
<file path=[Content_Types].xml><?xml version="1.0" encoding="utf-8"?>
<Types xmlns="http://schemas.openxmlformats.org/package/2006/content-types">
  <Default Extension="bin" ContentType="application/vnd.openxmlformats-officedocument.spreadsheetml.customProperty"/>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2.xml" ContentType="application/vnd.openxmlformats-officedocument.drawing+xml"/>
  <Override PartName="/xl/comments1.xml" ContentType="application/vnd.openxmlformats-officedocument.spreadsheetml.comments+xml"/>
  <Override PartName="/xl/printerSettings/printerSettings3.bin" ContentType="application/vnd.openxmlformats-officedocument.spreadsheetml.printerSettings"/>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4c608e27e9ebaa68/Documents/PP2/D.Source/"/>
    </mc:Choice>
  </mc:AlternateContent>
  <xr:revisionPtr revIDLastSave="16" documentId="13_ncr:1_{38C2F76B-F122-4E58-84B3-C17A43306C8C}" xr6:coauthVersionLast="47" xr6:coauthVersionMax="47" xr10:uidLastSave="{3FA8192B-6C66-4520-91E2-39E68D6BDCF8}"/>
  <bookViews>
    <workbookView minimized="1" xWindow="780" yWindow="780" windowWidth="21600" windowHeight="11295" tabRatio="802" firstSheet="2" activeTab="6" xr2:uid="{00000000-000D-0000-FFFF-FFFF00000000}"/>
  </bookViews>
  <sheets>
    <sheet name="Dynamics Enum Cache" sheetId="11" state="veryHidden" r:id="rId1"/>
    <sheet name="Chart1" sheetId="12" state="hidden" r:id="rId2"/>
    <sheet name="OPEN FOREIGN ORDER" sheetId="2" r:id="rId3"/>
    <sheet name="CLOSE FOREIGN ORDER" sheetId="15" r:id="rId4"/>
    <sheet name="OUTSTANDING PAYMENT FOLLOW UP" sheetId="20" r:id="rId5"/>
    <sheet name="OPEN LOCAL ORDER" sheetId="14" r:id="rId6"/>
    <sheet name="CLOSE LOCAL ORDER " sheetId="16" r:id="rId7"/>
    <sheet name="PAYMENT" sheetId="18" r:id="rId8"/>
    <sheet name="PO CLOSED 2024" sheetId="22" r:id="rId9"/>
    <sheet name="Sheet1" sheetId="21" r:id="rId10"/>
  </sheets>
  <definedNames>
    <definedName name="_xlnm._FilterDatabase" localSheetId="3" hidden="1">'CLOSE FOREIGN ORDER'!$A$1:$XEU$88</definedName>
    <definedName name="_xlnm._FilterDatabase" localSheetId="6" hidden="1">'CLOSE LOCAL ORDER '!$A$1:$N$98</definedName>
    <definedName name="_xlnm._FilterDatabase" localSheetId="2" hidden="1">'OPEN FOREIGN ORDER'!$A$1:$AJ$164</definedName>
    <definedName name="_xlnm._FilterDatabase" localSheetId="5" hidden="1">'OPEN LOCAL ORDER'!$A$1:$N$201</definedName>
    <definedName name="_xlnm._FilterDatabase" localSheetId="4" hidden="1">'OUTSTANDING PAYMENT FOLLOW UP'!$A$1:$AK$9</definedName>
    <definedName name="_xlnm._FilterDatabase" localSheetId="7" hidden="1">PAYMENT!$A$1:$J$3000</definedName>
    <definedName name="_xlnm.Print_Area" localSheetId="2">'OPEN FOREIGN ORDER'!$E$1:$AD$1</definedName>
    <definedName name="_xlnm.Print_Area" localSheetId="4">'OUTSTANDING PAYMENT FOLLOW UP'!$E$1:$AD$1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5" i="20" l="1"/>
  <c r="A14" i="20"/>
  <c r="AH754" i="15"/>
  <c r="AC754" i="15"/>
  <c r="A754" i="15"/>
  <c r="A753" i="15"/>
  <c r="A13" i="20"/>
  <c r="A752" i="15"/>
  <c r="AH81" i="2"/>
  <c r="AB81" i="2"/>
  <c r="AH83" i="2"/>
  <c r="AB83" i="2"/>
  <c r="AB735" i="15"/>
  <c r="AH736" i="15"/>
  <c r="AH737" i="15"/>
  <c r="AB133" i="2" l="1"/>
  <c r="A751" i="15"/>
  <c r="A750" i="15"/>
  <c r="A5" i="2"/>
  <c r="AE5" i="2"/>
  <c r="AH5" i="2"/>
  <c r="A6" i="2"/>
  <c r="AE6" i="2"/>
  <c r="AH6" i="2"/>
  <c r="A7" i="2"/>
  <c r="AE7" i="2"/>
  <c r="AH7" i="2"/>
  <c r="AH12" i="20"/>
  <c r="AE12" i="20"/>
  <c r="A12" i="20"/>
  <c r="AH11" i="20"/>
  <c r="AE11" i="20"/>
  <c r="A11" i="20"/>
  <c r="AH10" i="20"/>
  <c r="AE10" i="20"/>
  <c r="A10" i="20"/>
  <c r="A749" i="15"/>
  <c r="A748" i="15"/>
  <c r="A747" i="15"/>
  <c r="A118" i="2" l="1"/>
  <c r="A746" i="15"/>
  <c r="A9" i="2"/>
  <c r="A9" i="20"/>
  <c r="A8" i="20"/>
  <c r="A107" i="2" l="1"/>
  <c r="A142" i="2"/>
  <c r="A141" i="2"/>
  <c r="A140" i="2"/>
  <c r="A745" i="15" l="1"/>
  <c r="A744" i="15" l="1"/>
  <c r="AH744" i="15"/>
  <c r="A743" i="15"/>
  <c r="A742" i="15"/>
  <c r="A7" i="20" l="1"/>
  <c r="A6" i="20"/>
  <c r="A741" i="15"/>
  <c r="A5" i="20" l="1"/>
  <c r="A4" i="20"/>
  <c r="A3" i="20" l="1"/>
  <c r="A123" i="2"/>
  <c r="A122" i="2" l="1"/>
  <c r="A740" i="15"/>
  <c r="A739" i="15"/>
  <c r="A738" i="15"/>
  <c r="A84" i="2"/>
  <c r="A82" i="2"/>
  <c r="A737" i="15" l="1"/>
  <c r="A736" i="15"/>
  <c r="A735" i="15"/>
  <c r="AH735" i="15"/>
  <c r="A734" i="15"/>
  <c r="A733" i="15"/>
  <c r="A2" i="20"/>
  <c r="A66" i="2"/>
  <c r="A52" i="2"/>
  <c r="A732" i="15"/>
  <c r="A728" i="15" l="1"/>
  <c r="A729" i="15"/>
  <c r="A730" i="15"/>
  <c r="A731" i="15"/>
  <c r="A727" i="15"/>
  <c r="A726" i="15"/>
  <c r="AB726" i="15"/>
  <c r="A725" i="15" l="1"/>
  <c r="A46" i="2"/>
  <c r="A2" i="2"/>
  <c r="A724" i="15"/>
  <c r="A120" i="2"/>
  <c r="A121" i="2"/>
  <c r="A119" i="2"/>
  <c r="A26" i="2"/>
  <c r="A25" i="2"/>
  <c r="A8" i="2"/>
  <c r="A723" i="15" l="1"/>
  <c r="A722" i="15" l="1"/>
  <c r="A718" i="15"/>
  <c r="AH56" i="2"/>
  <c r="AB56" i="2"/>
  <c r="A717" i="15" l="1"/>
  <c r="A716" i="15"/>
  <c r="A715" i="15"/>
  <c r="A117" i="2"/>
  <c r="A116" i="2"/>
  <c r="A115" i="2"/>
  <c r="A114" i="2"/>
  <c r="A113" i="2"/>
  <c r="A80" i="2" l="1"/>
  <c r="A714" i="15"/>
  <c r="A44" i="2" l="1"/>
  <c r="A53" i="2"/>
  <c r="A67" i="2"/>
  <c r="A713" i="15"/>
  <c r="A712" i="15"/>
  <c r="A112" i="2"/>
  <c r="A111" i="2"/>
  <c r="A711" i="15" l="1"/>
  <c r="A710" i="15"/>
  <c r="A709" i="15"/>
  <c r="A708" i="15"/>
  <c r="A707" i="15"/>
  <c r="A706" i="15"/>
  <c r="A705" i="15"/>
  <c r="A704" i="15"/>
  <c r="A703" i="15"/>
  <c r="A702" i="15"/>
  <c r="A110" i="2" l="1"/>
  <c r="A109" i="2"/>
  <c r="A97" i="2"/>
  <c r="A96" i="2"/>
  <c r="A700" i="15"/>
  <c r="A99" i="2"/>
  <c r="A106" i="2"/>
  <c r="A105" i="2"/>
  <c r="A699" i="15"/>
  <c r="A698" i="15" l="1"/>
  <c r="A32" i="2" l="1"/>
  <c r="A31" i="2"/>
  <c r="A30" i="2"/>
  <c r="A29" i="2"/>
  <c r="A28" i="2"/>
  <c r="A27" i="2"/>
  <c r="A24" i="2"/>
  <c r="AE23" i="2"/>
  <c r="A23" i="2"/>
  <c r="A697" i="15"/>
  <c r="A696" i="15"/>
  <c r="A695" i="15"/>
  <c r="A694" i="15"/>
  <c r="A693" i="15"/>
  <c r="A692" i="15"/>
  <c r="A100" i="2" l="1"/>
  <c r="A101" i="2"/>
  <c r="A102" i="2"/>
  <c r="A103" i="2"/>
  <c r="A104" i="2"/>
  <c r="A95" i="2"/>
  <c r="A690" i="15"/>
  <c r="A689" i="15"/>
  <c r="A688" i="15"/>
  <c r="A13" i="2" l="1"/>
  <c r="A687" i="15" l="1"/>
  <c r="A39" i="2"/>
  <c r="A686" i="15" l="1"/>
  <c r="A685" i="15"/>
  <c r="A684" i="15"/>
  <c r="A681" i="15"/>
  <c r="A680" i="15"/>
  <c r="A677" i="15"/>
  <c r="A678" i="15"/>
  <c r="A98" i="2"/>
  <c r="A71" i="2"/>
  <c r="A70" i="2"/>
  <c r="A69" i="2"/>
  <c r="A676" i="15"/>
  <c r="A675" i="15"/>
  <c r="A674" i="15"/>
  <c r="A22" i="2" l="1"/>
  <c r="A673" i="15"/>
  <c r="A672" i="15"/>
  <c r="A671" i="15"/>
  <c r="A61" i="2"/>
  <c r="A21" i="2"/>
  <c r="A670" i="15" l="1"/>
  <c r="AB670" i="15"/>
  <c r="AH670" i="15"/>
  <c r="A669" i="15"/>
  <c r="A668" i="15"/>
  <c r="A68" i="2" l="1"/>
  <c r="A65" i="2"/>
  <c r="A64" i="2"/>
  <c r="A63" i="2"/>
  <c r="A62" i="2"/>
  <c r="A59" i="2"/>
  <c r="A653" i="15"/>
  <c r="A666" i="15"/>
  <c r="A665" i="15"/>
  <c r="A664" i="15" l="1"/>
  <c r="A663" i="15"/>
  <c r="A662" i="15"/>
  <c r="A20" i="2"/>
  <c r="A94" i="2" l="1"/>
  <c r="A93" i="2"/>
  <c r="A92" i="2"/>
  <c r="A91" i="2"/>
  <c r="A90" i="2"/>
  <c r="A89" i="2"/>
  <c r="A88" i="2"/>
  <c r="A87" i="2"/>
  <c r="A19" i="2"/>
  <c r="A60" i="2"/>
  <c r="A18" i="2"/>
  <c r="A17" i="2"/>
  <c r="A16" i="2"/>
  <c r="A661" i="15"/>
  <c r="A660" i="15"/>
  <c r="A659" i="15"/>
  <c r="A658" i="15"/>
  <c r="A657" i="15"/>
  <c r="A656" i="15"/>
  <c r="A654" i="15" l="1"/>
  <c r="A652" i="15" l="1"/>
  <c r="A86" i="2"/>
  <c r="A85" i="2"/>
  <c r="A83" i="2"/>
  <c r="A651" i="15"/>
  <c r="A650" i="15"/>
  <c r="A649" i="15"/>
  <c r="A648" i="15"/>
  <c r="A647" i="15" l="1"/>
  <c r="A58" i="2" l="1"/>
  <c r="A57" i="2"/>
  <c r="A643" i="15"/>
  <c r="AE643" i="15"/>
  <c r="AH643" i="15"/>
  <c r="AE644" i="15"/>
  <c r="AH644" i="15"/>
  <c r="A645" i="15"/>
  <c r="AE645" i="15"/>
  <c r="AH645" i="15"/>
  <c r="A646" i="15"/>
  <c r="AE646" i="15"/>
  <c r="AH646" i="15"/>
  <c r="A642" i="15"/>
  <c r="A641" i="15"/>
  <c r="A639" i="15"/>
  <c r="A640" i="15"/>
  <c r="A634" i="15"/>
  <c r="A633" i="15" l="1"/>
  <c r="A15" i="2" l="1"/>
  <c r="A40" i="2" l="1"/>
  <c r="A631" i="15" l="1"/>
  <c r="A630" i="15"/>
  <c r="A629" i="15"/>
  <c r="A628" i="15"/>
  <c r="AB628" i="15"/>
  <c r="AH628" i="15"/>
  <c r="A627" i="15"/>
  <c r="A56" i="2" l="1"/>
  <c r="A55" i="2"/>
  <c r="A54" i="2"/>
  <c r="A51" i="2"/>
  <c r="A50" i="2"/>
  <c r="A626" i="15" l="1"/>
  <c r="A625" i="15" l="1"/>
  <c r="A624" i="15" l="1"/>
  <c r="A49" i="2" l="1"/>
  <c r="A622" i="15" l="1"/>
  <c r="A623" i="15"/>
  <c r="A621" i="15"/>
  <c r="A620" i="15"/>
  <c r="A619" i="15"/>
  <c r="A36" i="2" l="1"/>
  <c r="A618" i="15"/>
  <c r="A617" i="15" l="1"/>
  <c r="A616" i="15"/>
  <c r="A615" i="15" l="1"/>
  <c r="AH614" i="15" l="1"/>
  <c r="AE614" i="15"/>
  <c r="A614" i="15"/>
  <c r="AH613" i="15"/>
  <c r="AE613" i="15"/>
  <c r="A613" i="15"/>
  <c r="AH612" i="15"/>
  <c r="AE612" i="15"/>
  <c r="A612" i="15"/>
  <c r="AH611" i="15"/>
  <c r="AE611" i="15"/>
  <c r="A611" i="15"/>
  <c r="AH610" i="15"/>
  <c r="AE610" i="15"/>
  <c r="A610" i="15"/>
  <c r="A3" i="2" l="1"/>
  <c r="A38" i="2"/>
  <c r="A41" i="2"/>
  <c r="A78" i="2" l="1"/>
  <c r="A81" i="2"/>
  <c r="A48" i="2"/>
  <c r="A47" i="2"/>
  <c r="A45" i="2"/>
  <c r="A14" i="2"/>
  <c r="A12" i="2"/>
  <c r="A11" i="2"/>
  <c r="A10" i="2"/>
  <c r="A603" i="15" l="1"/>
  <c r="AH603" i="15"/>
  <c r="A604" i="15"/>
  <c r="A605" i="15"/>
  <c r="AB606" i="15"/>
  <c r="A607" i="15"/>
  <c r="A609" i="15"/>
  <c r="A602" i="15"/>
  <c r="A601" i="15" l="1"/>
  <c r="AC600" i="15" l="1"/>
  <c r="AH600" i="15"/>
  <c r="A599" i="15" l="1"/>
  <c r="A597" i="15"/>
  <c r="A595" i="15" l="1"/>
  <c r="A592" i="15"/>
  <c r="A591" i="15" l="1"/>
  <c r="A590" i="15" l="1"/>
  <c r="A589" i="15"/>
  <c r="A588" i="15"/>
  <c r="A587" i="15"/>
  <c r="A585" i="15"/>
  <c r="A586" i="15"/>
  <c r="A584" i="15"/>
  <c r="A582" i="15"/>
  <c r="A581" i="15" l="1"/>
  <c r="A580" i="15" l="1"/>
  <c r="A576" i="15"/>
  <c r="A572" i="15"/>
  <c r="A573" i="15"/>
  <c r="A579" i="15"/>
  <c r="A578" i="15"/>
  <c r="A577" i="15"/>
  <c r="A575" i="15" l="1"/>
  <c r="A574" i="15" l="1"/>
  <c r="A571" i="15" l="1"/>
  <c r="A570" i="15" l="1"/>
  <c r="A569" i="15"/>
  <c r="A568" i="15"/>
  <c r="A566" i="15"/>
  <c r="A567" i="15"/>
  <c r="AH565" i="15" l="1"/>
  <c r="AE565" i="15"/>
  <c r="A565" i="15"/>
  <c r="A564" i="15"/>
  <c r="A563" i="15"/>
  <c r="A562" i="15"/>
  <c r="A560" i="15"/>
  <c r="A561" i="15"/>
  <c r="A559" i="15"/>
  <c r="A4" i="22"/>
  <c r="A3" i="22"/>
  <c r="A2" i="22"/>
  <c r="A558" i="15" l="1"/>
  <c r="A557" i="15"/>
  <c r="A556" i="15"/>
  <c r="A555" i="15"/>
  <c r="AE548" i="15"/>
  <c r="AH548" i="15"/>
  <c r="A549" i="15"/>
  <c r="AE549" i="15"/>
  <c r="AH549" i="15"/>
  <c r="A550" i="15"/>
  <c r="A551" i="15"/>
  <c r="AE551" i="15"/>
  <c r="AH551" i="15"/>
  <c r="A547" i="15" l="1"/>
  <c r="A546" i="15" l="1"/>
  <c r="AC546" i="15"/>
  <c r="A545" i="15"/>
  <c r="A543" i="15"/>
  <c r="A540" i="15" l="1"/>
  <c r="A539" i="15" l="1"/>
  <c r="A538" i="15"/>
  <c r="A537" i="15"/>
  <c r="A536" i="15"/>
  <c r="AE536" i="15"/>
  <c r="A534" i="15"/>
  <c r="A533" i="15"/>
  <c r="A532" i="15" l="1"/>
  <c r="A531" i="15"/>
  <c r="A530" i="15"/>
  <c r="A79" i="2"/>
  <c r="A528" i="15"/>
  <c r="A524" i="15"/>
  <c r="AC524" i="15"/>
  <c r="A523" i="15"/>
  <c r="A522" i="15" l="1"/>
  <c r="A521" i="15" l="1"/>
  <c r="A520" i="15" l="1"/>
  <c r="AC520" i="15"/>
  <c r="A519" i="15"/>
  <c r="A518" i="15"/>
  <c r="A517" i="15"/>
  <c r="A516" i="15"/>
  <c r="A515" i="15"/>
  <c r="A513" i="15"/>
  <c r="A514" i="15"/>
  <c r="A512" i="15"/>
  <c r="A511" i="15"/>
  <c r="A510" i="15"/>
  <c r="A507" i="15"/>
  <c r="A508" i="15"/>
  <c r="A505" i="15" l="1"/>
  <c r="A504" i="15" l="1"/>
  <c r="A503" i="15"/>
  <c r="A498" i="15" l="1"/>
  <c r="A497" i="15"/>
  <c r="A496" i="15"/>
  <c r="A494" i="15" l="1"/>
  <c r="A493" i="15"/>
  <c r="A492" i="15" l="1"/>
  <c r="A489" i="15"/>
  <c r="A43" i="2" l="1"/>
  <c r="A488" i="15" l="1"/>
  <c r="A485" i="15"/>
  <c r="A484" i="15" l="1"/>
  <c r="A483" i="15"/>
  <c r="A482" i="15"/>
  <c r="A481" i="15"/>
  <c r="A480" i="15"/>
  <c r="AB480" i="15"/>
  <c r="A478" i="15"/>
  <c r="AB478" i="15"/>
  <c r="A477" i="15"/>
  <c r="A476" i="15"/>
  <c r="A475" i="15"/>
  <c r="A474" i="15"/>
  <c r="A473" i="15"/>
  <c r="A472" i="15"/>
  <c r="A471" i="15"/>
  <c r="A470" i="15"/>
  <c r="A469" i="15" l="1"/>
  <c r="A468" i="15" l="1"/>
  <c r="A467" i="15"/>
  <c r="A466" i="15"/>
  <c r="A465" i="15"/>
  <c r="A464" i="15"/>
  <c r="A463" i="15" l="1"/>
  <c r="A461" i="15" l="1"/>
  <c r="A459" i="15"/>
  <c r="A458" i="15" l="1"/>
  <c r="A457" i="15"/>
  <c r="A456" i="15"/>
  <c r="A455" i="15"/>
  <c r="A453" i="15"/>
  <c r="AE453" i="15"/>
  <c r="A454" i="15"/>
  <c r="AE454" i="15"/>
  <c r="A452" i="15"/>
  <c r="A451" i="15"/>
  <c r="A450" i="15"/>
  <c r="A449" i="15"/>
  <c r="A448" i="15"/>
  <c r="A447" i="15"/>
  <c r="A446" i="15"/>
  <c r="A445" i="15" l="1"/>
  <c r="A444" i="15"/>
  <c r="A37" i="2" l="1"/>
  <c r="A440" i="15"/>
  <c r="A439" i="15" l="1"/>
  <c r="A438" i="15"/>
  <c r="A437" i="15" l="1"/>
  <c r="A436" i="15" l="1"/>
  <c r="A435" i="15" l="1"/>
  <c r="A434" i="15"/>
  <c r="AE434" i="15"/>
  <c r="H122" i="16" l="1"/>
  <c r="A432" i="15"/>
  <c r="A433" i="15"/>
  <c r="A431" i="15"/>
  <c r="A430" i="15"/>
  <c r="A429" i="15"/>
  <c r="A428" i="15"/>
  <c r="A424" i="15" l="1"/>
  <c r="AE424" i="15"/>
  <c r="AH424" i="15"/>
  <c r="A423" i="15"/>
  <c r="AE423" i="15"/>
  <c r="AH423" i="15"/>
  <c r="A422" i="15"/>
  <c r="A421" i="15"/>
  <c r="A420" i="15"/>
  <c r="A419" i="15"/>
  <c r="A418" i="15"/>
  <c r="A417" i="15"/>
  <c r="A416" i="15" l="1"/>
  <c r="A415" i="15" l="1"/>
  <c r="A413" i="15" l="1"/>
  <c r="A411" i="15"/>
  <c r="A412" i="15"/>
  <c r="A409" i="15" l="1"/>
  <c r="A408" i="15" l="1"/>
  <c r="A407" i="15"/>
  <c r="A405" i="15"/>
  <c r="A404" i="15"/>
  <c r="A403" i="15"/>
  <c r="A402" i="15"/>
  <c r="A401" i="15" l="1"/>
  <c r="A400" i="15"/>
  <c r="A398" i="15"/>
  <c r="A399" i="15" l="1"/>
  <c r="A397" i="15" l="1"/>
  <c r="A395" i="15"/>
  <c r="A394" i="15" l="1"/>
  <c r="A393" i="15"/>
  <c r="A392" i="15" l="1"/>
  <c r="A391" i="15" l="1"/>
  <c r="A389" i="15" l="1"/>
  <c r="A388" i="15"/>
  <c r="A387" i="15"/>
  <c r="A386" i="15"/>
  <c r="A385" i="15"/>
  <c r="A384" i="15" l="1"/>
  <c r="A383" i="15"/>
  <c r="A382" i="15"/>
  <c r="A381" i="15"/>
  <c r="A380" i="15"/>
  <c r="A379" i="15"/>
  <c r="A378" i="15" l="1"/>
  <c r="A377" i="15"/>
  <c r="A376" i="15"/>
  <c r="A375" i="15"/>
  <c r="A374" i="15"/>
  <c r="A373" i="15"/>
  <c r="A372" i="15"/>
  <c r="A371" i="15"/>
  <c r="A370" i="15"/>
  <c r="A369" i="15"/>
  <c r="A368" i="15"/>
  <c r="A367" i="15"/>
  <c r="A366" i="15"/>
  <c r="A364" i="15"/>
  <c r="A363" i="15"/>
  <c r="A362" i="15"/>
  <c r="A361" i="15"/>
  <c r="A360" i="15"/>
  <c r="A359" i="15"/>
  <c r="A358" i="15"/>
  <c r="A356" i="15"/>
  <c r="A355" i="15"/>
  <c r="A354" i="15"/>
  <c r="A353" i="15" l="1"/>
  <c r="A352" i="15" l="1"/>
  <c r="A351" i="15" l="1"/>
  <c r="A350" i="15"/>
  <c r="A349" i="15"/>
  <c r="A348" i="15" l="1"/>
  <c r="A347" i="15"/>
  <c r="A346" i="15"/>
  <c r="A345" i="15"/>
  <c r="A340" i="15"/>
  <c r="A339" i="15"/>
  <c r="A338" i="15"/>
  <c r="A337" i="15"/>
  <c r="A336" i="15"/>
  <c r="A335" i="15"/>
  <c r="A334" i="15"/>
  <c r="A332" i="15" l="1"/>
  <c r="A331" i="15"/>
  <c r="A329" i="15"/>
  <c r="A328" i="15"/>
  <c r="A327" i="15" l="1"/>
  <c r="A326" i="15" l="1"/>
  <c r="A325" i="15"/>
  <c r="A324" i="15"/>
  <c r="AC324" i="15"/>
  <c r="A323" i="15"/>
  <c r="AC323" i="15"/>
  <c r="A322" i="15"/>
  <c r="A321" i="15"/>
  <c r="AE52" i="15"/>
  <c r="AB96" i="15"/>
  <c r="AB97" i="15"/>
  <c r="AH107" i="15"/>
  <c r="AB120" i="15"/>
  <c r="AB135" i="15"/>
  <c r="AH135" i="15"/>
  <c r="AC138" i="15"/>
  <c r="AC146" i="15"/>
  <c r="AC151" i="15"/>
  <c r="B174" i="15"/>
  <c r="B175" i="15"/>
  <c r="B176" i="15"/>
  <c r="B177" i="15"/>
  <c r="B178" i="15"/>
  <c r="B179" i="15"/>
  <c r="B180" i="15"/>
  <c r="B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B204" i="15"/>
  <c r="AH204" i="15"/>
  <c r="A206" i="15"/>
  <c r="A207" i="15"/>
  <c r="A208" i="15"/>
  <c r="A209" i="15"/>
  <c r="AC209" i="15"/>
  <c r="AH209" i="15"/>
  <c r="A210" i="15"/>
  <c r="A211" i="15"/>
  <c r="A212" i="15"/>
  <c r="A213" i="15"/>
  <c r="A214" i="15"/>
  <c r="A215" i="15"/>
  <c r="AE215" i="15"/>
  <c r="AH215" i="15"/>
  <c r="A216" i="15"/>
  <c r="A217" i="15"/>
  <c r="AB217" i="15"/>
  <c r="A218" i="15"/>
  <c r="A219" i="15"/>
  <c r="A220" i="15"/>
  <c r="A221" i="15"/>
  <c r="A222" i="15"/>
  <c r="A223" i="15"/>
  <c r="A224" i="15"/>
  <c r="A225" i="15"/>
  <c r="A226" i="15"/>
  <c r="A227" i="15"/>
  <c r="AC227" i="15"/>
  <c r="A228" i="15"/>
  <c r="A229" i="15"/>
  <c r="A230" i="15"/>
  <c r="A231" i="15"/>
  <c r="A232" i="15"/>
  <c r="A233" i="15"/>
  <c r="A234" i="15"/>
  <c r="A235" i="15"/>
  <c r="A236" i="15"/>
  <c r="A237" i="15"/>
  <c r="A238" i="15"/>
  <c r="A239" i="15"/>
  <c r="A240" i="15"/>
  <c r="A241" i="15"/>
  <c r="A242" i="15"/>
  <c r="A243" i="15"/>
  <c r="A244" i="15"/>
  <c r="A245" i="15"/>
  <c r="AE245" i="15"/>
  <c r="A246" i="15"/>
  <c r="A247" i="15"/>
  <c r="AC247" i="15"/>
  <c r="A248" i="15"/>
  <c r="A249" i="15"/>
  <c r="A250" i="15"/>
  <c r="A252" i="15"/>
  <c r="A253" i="15"/>
  <c r="A254" i="15"/>
  <c r="A255" i="15"/>
  <c r="A256" i="15"/>
  <c r="A257" i="15"/>
  <c r="A258" i="15"/>
  <c r="A259" i="15"/>
  <c r="A260" i="15"/>
  <c r="A261" i="15"/>
  <c r="A262" i="15"/>
  <c r="A263" i="15"/>
  <c r="A264" i="15"/>
  <c r="A265" i="15"/>
  <c r="A266" i="15"/>
  <c r="AC266" i="15"/>
  <c r="A267" i="15"/>
  <c r="A268" i="15"/>
  <c r="A269" i="15"/>
  <c r="A270" i="15"/>
  <c r="A271" i="15"/>
  <c r="A272" i="15"/>
  <c r="A273" i="15"/>
  <c r="A274" i="15"/>
  <c r="A275" i="15"/>
  <c r="A276" i="15"/>
  <c r="A277" i="15"/>
  <c r="A278" i="15"/>
  <c r="A279" i="15"/>
  <c r="AB279" i="15"/>
  <c r="A280" i="15"/>
  <c r="A281" i="15"/>
  <c r="A282" i="15"/>
  <c r="A283" i="15"/>
  <c r="A284" i="15"/>
  <c r="A285" i="15"/>
  <c r="A287" i="15"/>
  <c r="A288" i="15"/>
  <c r="A289" i="15"/>
  <c r="A290" i="15"/>
  <c r="AH290" i="15"/>
  <c r="A291" i="15"/>
  <c r="AB291" i="15"/>
  <c r="A292" i="15"/>
  <c r="A293" i="15"/>
  <c r="A294" i="15"/>
  <c r="A295" i="15"/>
  <c r="A296" i="15"/>
  <c r="A297" i="15"/>
  <c r="A298" i="15"/>
  <c r="A299" i="15"/>
  <c r="A300" i="15"/>
  <c r="A301" i="15"/>
  <c r="A302" i="15"/>
  <c r="A303" i="15"/>
  <c r="A304" i="15"/>
  <c r="A310" i="15"/>
  <c r="A314" i="15"/>
  <c r="A315" i="15"/>
  <c r="A316" i="15"/>
  <c r="A317" i="15"/>
  <c r="A318" i="15"/>
  <c r="A319" i="15"/>
  <c r="A320" i="15"/>
  <c r="H92" i="16" l="1"/>
  <c r="AB36" i="2" l="1"/>
  <c r="A35" i="2" l="1"/>
  <c r="AE74" i="15" l="1"/>
  <c r="AG51" i="15" l="1"/>
  <c r="AE49" i="15" l="1"/>
  <c r="AE47" i="15"/>
  <c r="AF40" i="15"/>
  <c r="A2037" i="18" l="1"/>
  <c r="B2037" i="18"/>
  <c r="C2037" i="18"/>
  <c r="D2037" i="18"/>
  <c r="E2037" i="18"/>
  <c r="F2037" i="18"/>
  <c r="G2037" i="18"/>
  <c r="H2037" i="18"/>
  <c r="I2037" i="18"/>
  <c r="J2037" i="18"/>
  <c r="A2038" i="18"/>
  <c r="B2038" i="18"/>
  <c r="C2038" i="18"/>
  <c r="D2038" i="18"/>
  <c r="E2038" i="18"/>
  <c r="F2038" i="18"/>
  <c r="G2038" i="18"/>
  <c r="H2038" i="18"/>
  <c r="I2038" i="18"/>
  <c r="J2038" i="18"/>
  <c r="A2039" i="18"/>
  <c r="B2039" i="18"/>
  <c r="C2039" i="18"/>
  <c r="D2039" i="18"/>
  <c r="E2039" i="18"/>
  <c r="F2039" i="18"/>
  <c r="G2039" i="18"/>
  <c r="H2039" i="18"/>
  <c r="I2039" i="18"/>
  <c r="J2039" i="18"/>
  <c r="A2040" i="18"/>
  <c r="B2040" i="18"/>
  <c r="C2040" i="18"/>
  <c r="D2040" i="18"/>
  <c r="E2040" i="18"/>
  <c r="F2040" i="18"/>
  <c r="G2040" i="18"/>
  <c r="H2040" i="18"/>
  <c r="I2040" i="18"/>
  <c r="J2040" i="18"/>
  <c r="A2041" i="18"/>
  <c r="B2041" i="18"/>
  <c r="C2041" i="18"/>
  <c r="D2041" i="18"/>
  <c r="E2041" i="18"/>
  <c r="F2041" i="18"/>
  <c r="G2041" i="18"/>
  <c r="H2041" i="18"/>
  <c r="I2041" i="18"/>
  <c r="J2041" i="18"/>
  <c r="A2042" i="18"/>
  <c r="B2042" i="18"/>
  <c r="C2042" i="18"/>
  <c r="D2042" i="18"/>
  <c r="E2042" i="18"/>
  <c r="F2042" i="18"/>
  <c r="G2042" i="18"/>
  <c r="H2042" i="18"/>
  <c r="I2042" i="18"/>
  <c r="J2042" i="18"/>
  <c r="A2043" i="18"/>
  <c r="B2043" i="18"/>
  <c r="C2043" i="18"/>
  <c r="D2043" i="18"/>
  <c r="E2043" i="18"/>
  <c r="F2043" i="18"/>
  <c r="G2043" i="18"/>
  <c r="H2043" i="18"/>
  <c r="I2043" i="18"/>
  <c r="J2043" i="18"/>
  <c r="A2044" i="18"/>
  <c r="B2044" i="18"/>
  <c r="C2044" i="18"/>
  <c r="D2044" i="18"/>
  <c r="E2044" i="18"/>
  <c r="F2044" i="18"/>
  <c r="G2044" i="18"/>
  <c r="H2044" i="18"/>
  <c r="I2044" i="18"/>
  <c r="J2044" i="18"/>
  <c r="A2045" i="18"/>
  <c r="B2045" i="18"/>
  <c r="C2045" i="18"/>
  <c r="D2045" i="18"/>
  <c r="E2045" i="18"/>
  <c r="F2045" i="18"/>
  <c r="G2045" i="18"/>
  <c r="H2045" i="18"/>
  <c r="I2045" i="18"/>
  <c r="J2045" i="18"/>
  <c r="A2046" i="18"/>
  <c r="B2046" i="18"/>
  <c r="C2046" i="18"/>
  <c r="D2046" i="18"/>
  <c r="E2046" i="18"/>
  <c r="F2046" i="18"/>
  <c r="G2046" i="18"/>
  <c r="H2046" i="18"/>
  <c r="I2046" i="18"/>
  <c r="J2046" i="18"/>
  <c r="A2047" i="18"/>
  <c r="B2047" i="18"/>
  <c r="C2047" i="18"/>
  <c r="D2047" i="18"/>
  <c r="E2047" i="18"/>
  <c r="F2047" i="18"/>
  <c r="G2047" i="18"/>
  <c r="H2047" i="18"/>
  <c r="I2047" i="18"/>
  <c r="J2047" i="18"/>
  <c r="A2048" i="18"/>
  <c r="B2048" i="18"/>
  <c r="C2048" i="18"/>
  <c r="D2048" i="18"/>
  <c r="E2048" i="18"/>
  <c r="F2048" i="18"/>
  <c r="G2048" i="18"/>
  <c r="H2048" i="18"/>
  <c r="I2048" i="18"/>
  <c r="J2048" i="18"/>
  <c r="A2049" i="18"/>
  <c r="B2049" i="18"/>
  <c r="C2049" i="18"/>
  <c r="D2049" i="18"/>
  <c r="E2049" i="18"/>
  <c r="F2049" i="18"/>
  <c r="G2049" i="18"/>
  <c r="H2049" i="18"/>
  <c r="I2049" i="18"/>
  <c r="J2049" i="18"/>
  <c r="A2050" i="18"/>
  <c r="B2050" i="18"/>
  <c r="C2050" i="18"/>
  <c r="D2050" i="18"/>
  <c r="E2050" i="18"/>
  <c r="F2050" i="18"/>
  <c r="G2050" i="18"/>
  <c r="H2050" i="18"/>
  <c r="I2050" i="18"/>
  <c r="J2050" i="18"/>
  <c r="A2051" i="18"/>
  <c r="B2051" i="18"/>
  <c r="C2051" i="18"/>
  <c r="D2051" i="18"/>
  <c r="E2051" i="18"/>
  <c r="F2051" i="18"/>
  <c r="G2051" i="18"/>
  <c r="H2051" i="18"/>
  <c r="I2051" i="18"/>
  <c r="J2051" i="18"/>
  <c r="A2052" i="18"/>
  <c r="B2052" i="18"/>
  <c r="C2052" i="18"/>
  <c r="D2052" i="18"/>
  <c r="E2052" i="18"/>
  <c r="F2052" i="18"/>
  <c r="G2052" i="18"/>
  <c r="H2052" i="18"/>
  <c r="I2052" i="18"/>
  <c r="J2052" i="18"/>
  <c r="A2053" i="18"/>
  <c r="B2053" i="18"/>
  <c r="C2053" i="18"/>
  <c r="D2053" i="18"/>
  <c r="E2053" i="18"/>
  <c r="F2053" i="18"/>
  <c r="G2053" i="18"/>
  <c r="H2053" i="18"/>
  <c r="I2053" i="18"/>
  <c r="J2053" i="18"/>
  <c r="A2054" i="18"/>
  <c r="B2054" i="18"/>
  <c r="C2054" i="18"/>
  <c r="D2054" i="18"/>
  <c r="E2054" i="18"/>
  <c r="F2054" i="18"/>
  <c r="G2054" i="18"/>
  <c r="H2054" i="18"/>
  <c r="I2054" i="18"/>
  <c r="J2054" i="18"/>
  <c r="A2055" i="18"/>
  <c r="B2055" i="18"/>
  <c r="C2055" i="18"/>
  <c r="D2055" i="18"/>
  <c r="E2055" i="18"/>
  <c r="F2055" i="18"/>
  <c r="G2055" i="18"/>
  <c r="H2055" i="18"/>
  <c r="I2055" i="18"/>
  <c r="J2055" i="18"/>
  <c r="A2056" i="18"/>
  <c r="B2056" i="18"/>
  <c r="C2056" i="18"/>
  <c r="D2056" i="18"/>
  <c r="E2056" i="18"/>
  <c r="F2056" i="18"/>
  <c r="G2056" i="18"/>
  <c r="H2056" i="18"/>
  <c r="I2056" i="18"/>
  <c r="J2056" i="18"/>
  <c r="A2057" i="18"/>
  <c r="B2057" i="18"/>
  <c r="C2057" i="18"/>
  <c r="D2057" i="18"/>
  <c r="E2057" i="18"/>
  <c r="F2057" i="18"/>
  <c r="G2057" i="18"/>
  <c r="H2057" i="18"/>
  <c r="I2057" i="18"/>
  <c r="J2057" i="18"/>
  <c r="A2058" i="18"/>
  <c r="B2058" i="18"/>
  <c r="C2058" i="18"/>
  <c r="D2058" i="18"/>
  <c r="E2058" i="18"/>
  <c r="F2058" i="18"/>
  <c r="G2058" i="18"/>
  <c r="H2058" i="18"/>
  <c r="I2058" i="18"/>
  <c r="J2058" i="18"/>
  <c r="A2059" i="18"/>
  <c r="B2059" i="18"/>
  <c r="C2059" i="18"/>
  <c r="D2059" i="18"/>
  <c r="E2059" i="18"/>
  <c r="F2059" i="18"/>
  <c r="G2059" i="18"/>
  <c r="H2059" i="18"/>
  <c r="I2059" i="18"/>
  <c r="J2059" i="18"/>
  <c r="A2060" i="18"/>
  <c r="B2060" i="18"/>
  <c r="C2060" i="18"/>
  <c r="D2060" i="18"/>
  <c r="E2060" i="18"/>
  <c r="F2060" i="18"/>
  <c r="G2060" i="18"/>
  <c r="H2060" i="18"/>
  <c r="I2060" i="18"/>
  <c r="J2060" i="18"/>
  <c r="A2061" i="18"/>
  <c r="B2061" i="18"/>
  <c r="C2061" i="18"/>
  <c r="D2061" i="18"/>
  <c r="E2061" i="18"/>
  <c r="F2061" i="18"/>
  <c r="G2061" i="18"/>
  <c r="H2061" i="18"/>
  <c r="I2061" i="18"/>
  <c r="J2061" i="18"/>
  <c r="A2062" i="18"/>
  <c r="B2062" i="18"/>
  <c r="C2062" i="18"/>
  <c r="D2062" i="18"/>
  <c r="E2062" i="18"/>
  <c r="F2062" i="18"/>
  <c r="G2062" i="18"/>
  <c r="H2062" i="18"/>
  <c r="I2062" i="18"/>
  <c r="J2062" i="18"/>
  <c r="A2063" i="18"/>
  <c r="B2063" i="18"/>
  <c r="C2063" i="18"/>
  <c r="D2063" i="18"/>
  <c r="E2063" i="18"/>
  <c r="F2063" i="18"/>
  <c r="G2063" i="18"/>
  <c r="H2063" i="18"/>
  <c r="I2063" i="18"/>
  <c r="J2063" i="18"/>
  <c r="A2064" i="18"/>
  <c r="B2064" i="18"/>
  <c r="C2064" i="18"/>
  <c r="D2064" i="18"/>
  <c r="E2064" i="18"/>
  <c r="F2064" i="18"/>
  <c r="G2064" i="18"/>
  <c r="H2064" i="18"/>
  <c r="I2064" i="18"/>
  <c r="J2064" i="18"/>
  <c r="A2065" i="18"/>
  <c r="B2065" i="18"/>
  <c r="C2065" i="18"/>
  <c r="D2065" i="18"/>
  <c r="E2065" i="18"/>
  <c r="F2065" i="18"/>
  <c r="G2065" i="18"/>
  <c r="H2065" i="18"/>
  <c r="I2065" i="18"/>
  <c r="J2065" i="18"/>
  <c r="A2066" i="18"/>
  <c r="B2066" i="18"/>
  <c r="C2066" i="18"/>
  <c r="D2066" i="18"/>
  <c r="E2066" i="18"/>
  <c r="F2066" i="18"/>
  <c r="G2066" i="18"/>
  <c r="H2066" i="18"/>
  <c r="I2066" i="18"/>
  <c r="J2066" i="18"/>
  <c r="A2067" i="18"/>
  <c r="B2067" i="18"/>
  <c r="C2067" i="18"/>
  <c r="D2067" i="18"/>
  <c r="E2067" i="18"/>
  <c r="F2067" i="18"/>
  <c r="G2067" i="18"/>
  <c r="H2067" i="18"/>
  <c r="I2067" i="18"/>
  <c r="J2067" i="18"/>
  <c r="A2068" i="18"/>
  <c r="B2068" i="18"/>
  <c r="C2068" i="18"/>
  <c r="D2068" i="18"/>
  <c r="E2068" i="18"/>
  <c r="F2068" i="18"/>
  <c r="G2068" i="18"/>
  <c r="H2068" i="18"/>
  <c r="I2068" i="18"/>
  <c r="J2068" i="18"/>
  <c r="A2069" i="18"/>
  <c r="B2069" i="18"/>
  <c r="C2069" i="18"/>
  <c r="D2069" i="18"/>
  <c r="E2069" i="18"/>
  <c r="F2069" i="18"/>
  <c r="G2069" i="18"/>
  <c r="H2069" i="18"/>
  <c r="I2069" i="18"/>
  <c r="J2069" i="18"/>
  <c r="A2070" i="18"/>
  <c r="B2070" i="18"/>
  <c r="C2070" i="18"/>
  <c r="D2070" i="18"/>
  <c r="E2070" i="18"/>
  <c r="F2070" i="18"/>
  <c r="G2070" i="18"/>
  <c r="H2070" i="18"/>
  <c r="I2070" i="18"/>
  <c r="J2070" i="18"/>
  <c r="A2071" i="18"/>
  <c r="B2071" i="18"/>
  <c r="C2071" i="18"/>
  <c r="D2071" i="18"/>
  <c r="E2071" i="18"/>
  <c r="F2071" i="18"/>
  <c r="G2071" i="18"/>
  <c r="H2071" i="18"/>
  <c r="I2071" i="18"/>
  <c r="J2071" i="18"/>
  <c r="A2072" i="18"/>
  <c r="B2072" i="18"/>
  <c r="C2072" i="18"/>
  <c r="D2072" i="18"/>
  <c r="E2072" i="18"/>
  <c r="F2072" i="18"/>
  <c r="G2072" i="18"/>
  <c r="H2072" i="18"/>
  <c r="I2072" i="18"/>
  <c r="J2072" i="18"/>
  <c r="A2073" i="18"/>
  <c r="B2073" i="18"/>
  <c r="C2073" i="18"/>
  <c r="D2073" i="18"/>
  <c r="E2073" i="18"/>
  <c r="F2073" i="18"/>
  <c r="G2073" i="18"/>
  <c r="H2073" i="18"/>
  <c r="I2073" i="18"/>
  <c r="J2073" i="18"/>
  <c r="A2074" i="18"/>
  <c r="B2074" i="18"/>
  <c r="C2074" i="18"/>
  <c r="D2074" i="18"/>
  <c r="E2074" i="18"/>
  <c r="F2074" i="18"/>
  <c r="G2074" i="18"/>
  <c r="H2074" i="18"/>
  <c r="I2074" i="18"/>
  <c r="J2074" i="18"/>
  <c r="A2075" i="18"/>
  <c r="B2075" i="18"/>
  <c r="C2075" i="18"/>
  <c r="D2075" i="18"/>
  <c r="E2075" i="18"/>
  <c r="F2075" i="18"/>
  <c r="G2075" i="18"/>
  <c r="H2075" i="18"/>
  <c r="I2075" i="18"/>
  <c r="J2075" i="18"/>
  <c r="A2076" i="18"/>
  <c r="B2076" i="18"/>
  <c r="C2076" i="18"/>
  <c r="D2076" i="18"/>
  <c r="E2076" i="18"/>
  <c r="F2076" i="18"/>
  <c r="G2076" i="18"/>
  <c r="H2076" i="18"/>
  <c r="I2076" i="18"/>
  <c r="J2076" i="18"/>
  <c r="A2077" i="18"/>
  <c r="B2077" i="18"/>
  <c r="C2077" i="18"/>
  <c r="D2077" i="18"/>
  <c r="E2077" i="18"/>
  <c r="F2077" i="18"/>
  <c r="G2077" i="18"/>
  <c r="H2077" i="18"/>
  <c r="I2077" i="18"/>
  <c r="J2077" i="18"/>
  <c r="A2078" i="18"/>
  <c r="B2078" i="18"/>
  <c r="C2078" i="18"/>
  <c r="D2078" i="18"/>
  <c r="E2078" i="18"/>
  <c r="F2078" i="18"/>
  <c r="G2078" i="18"/>
  <c r="H2078" i="18"/>
  <c r="I2078" i="18"/>
  <c r="J2078" i="18"/>
  <c r="A2079" i="18"/>
  <c r="B2079" i="18"/>
  <c r="C2079" i="18"/>
  <c r="D2079" i="18"/>
  <c r="E2079" i="18"/>
  <c r="F2079" i="18"/>
  <c r="G2079" i="18"/>
  <c r="H2079" i="18"/>
  <c r="I2079" i="18"/>
  <c r="J2079" i="18"/>
  <c r="A2080" i="18"/>
  <c r="B2080" i="18"/>
  <c r="C2080" i="18"/>
  <c r="D2080" i="18"/>
  <c r="E2080" i="18"/>
  <c r="F2080" i="18"/>
  <c r="G2080" i="18"/>
  <c r="H2080" i="18"/>
  <c r="I2080" i="18"/>
  <c r="J2080" i="18"/>
  <c r="A2081" i="18"/>
  <c r="B2081" i="18"/>
  <c r="C2081" i="18"/>
  <c r="D2081" i="18"/>
  <c r="E2081" i="18"/>
  <c r="F2081" i="18"/>
  <c r="G2081" i="18"/>
  <c r="H2081" i="18"/>
  <c r="I2081" i="18"/>
  <c r="J2081" i="18"/>
  <c r="A2082" i="18"/>
  <c r="B2082" i="18"/>
  <c r="C2082" i="18"/>
  <c r="D2082" i="18"/>
  <c r="E2082" i="18"/>
  <c r="F2082" i="18"/>
  <c r="G2082" i="18"/>
  <c r="H2082" i="18"/>
  <c r="I2082" i="18"/>
  <c r="J2082" i="18"/>
  <c r="A2083" i="18"/>
  <c r="B2083" i="18"/>
  <c r="C2083" i="18"/>
  <c r="D2083" i="18"/>
  <c r="E2083" i="18"/>
  <c r="F2083" i="18"/>
  <c r="G2083" i="18"/>
  <c r="H2083" i="18"/>
  <c r="I2083" i="18"/>
  <c r="J2083" i="18"/>
  <c r="A2084" i="18"/>
  <c r="B2084" i="18"/>
  <c r="C2084" i="18"/>
  <c r="D2084" i="18"/>
  <c r="E2084" i="18"/>
  <c r="F2084" i="18"/>
  <c r="G2084" i="18"/>
  <c r="H2084" i="18"/>
  <c r="I2084" i="18"/>
  <c r="J2084" i="18"/>
  <c r="A2085" i="18"/>
  <c r="B2085" i="18"/>
  <c r="C2085" i="18"/>
  <c r="D2085" i="18"/>
  <c r="E2085" i="18"/>
  <c r="F2085" i="18"/>
  <c r="G2085" i="18"/>
  <c r="H2085" i="18"/>
  <c r="I2085" i="18"/>
  <c r="J2085" i="18"/>
  <c r="A2086" i="18"/>
  <c r="B2086" i="18"/>
  <c r="C2086" i="18"/>
  <c r="D2086" i="18"/>
  <c r="E2086" i="18"/>
  <c r="F2086" i="18"/>
  <c r="G2086" i="18"/>
  <c r="H2086" i="18"/>
  <c r="I2086" i="18"/>
  <c r="J2086" i="18"/>
  <c r="A2087" i="18"/>
  <c r="B2087" i="18"/>
  <c r="C2087" i="18"/>
  <c r="D2087" i="18"/>
  <c r="E2087" i="18"/>
  <c r="F2087" i="18"/>
  <c r="G2087" i="18"/>
  <c r="H2087" i="18"/>
  <c r="I2087" i="18"/>
  <c r="J2087" i="18"/>
  <c r="A2088" i="18"/>
  <c r="B2088" i="18"/>
  <c r="C2088" i="18"/>
  <c r="D2088" i="18"/>
  <c r="E2088" i="18"/>
  <c r="F2088" i="18"/>
  <c r="G2088" i="18"/>
  <c r="H2088" i="18"/>
  <c r="I2088" i="18"/>
  <c r="J2088" i="18"/>
  <c r="A2089" i="18"/>
  <c r="B2089" i="18"/>
  <c r="C2089" i="18"/>
  <c r="D2089" i="18"/>
  <c r="E2089" i="18"/>
  <c r="F2089" i="18"/>
  <c r="G2089" i="18"/>
  <c r="H2089" i="18"/>
  <c r="I2089" i="18"/>
  <c r="J2089" i="18"/>
  <c r="A2090" i="18"/>
  <c r="B2090" i="18"/>
  <c r="C2090" i="18"/>
  <c r="D2090" i="18"/>
  <c r="E2090" i="18"/>
  <c r="F2090" i="18"/>
  <c r="G2090" i="18"/>
  <c r="H2090" i="18"/>
  <c r="I2090" i="18"/>
  <c r="J2090" i="18"/>
  <c r="A2091" i="18"/>
  <c r="B2091" i="18"/>
  <c r="C2091" i="18"/>
  <c r="D2091" i="18"/>
  <c r="E2091" i="18"/>
  <c r="F2091" i="18"/>
  <c r="G2091" i="18"/>
  <c r="H2091" i="18"/>
  <c r="I2091" i="18"/>
  <c r="J2091" i="18"/>
  <c r="A2092" i="18"/>
  <c r="B2092" i="18"/>
  <c r="C2092" i="18"/>
  <c r="D2092" i="18"/>
  <c r="E2092" i="18"/>
  <c r="F2092" i="18"/>
  <c r="G2092" i="18"/>
  <c r="H2092" i="18"/>
  <c r="I2092" i="18"/>
  <c r="J2092" i="18"/>
  <c r="A2093" i="18"/>
  <c r="B2093" i="18"/>
  <c r="C2093" i="18"/>
  <c r="D2093" i="18"/>
  <c r="E2093" i="18"/>
  <c r="F2093" i="18"/>
  <c r="G2093" i="18"/>
  <c r="H2093" i="18"/>
  <c r="I2093" i="18"/>
  <c r="J2093" i="18"/>
  <c r="A2094" i="18"/>
  <c r="B2094" i="18"/>
  <c r="C2094" i="18"/>
  <c r="D2094" i="18"/>
  <c r="E2094" i="18"/>
  <c r="F2094" i="18"/>
  <c r="G2094" i="18"/>
  <c r="H2094" i="18"/>
  <c r="I2094" i="18"/>
  <c r="J2094" i="18"/>
  <c r="A2095" i="18"/>
  <c r="B2095" i="18"/>
  <c r="C2095" i="18"/>
  <c r="D2095" i="18"/>
  <c r="E2095" i="18"/>
  <c r="F2095" i="18"/>
  <c r="G2095" i="18"/>
  <c r="H2095" i="18"/>
  <c r="I2095" i="18"/>
  <c r="J2095" i="18"/>
  <c r="A2096" i="18"/>
  <c r="B2096" i="18"/>
  <c r="C2096" i="18"/>
  <c r="D2096" i="18"/>
  <c r="E2096" i="18"/>
  <c r="F2096" i="18"/>
  <c r="G2096" i="18"/>
  <c r="H2096" i="18"/>
  <c r="I2096" i="18"/>
  <c r="J2096" i="18"/>
  <c r="A2097" i="18"/>
  <c r="B2097" i="18"/>
  <c r="C2097" i="18"/>
  <c r="D2097" i="18"/>
  <c r="E2097" i="18"/>
  <c r="F2097" i="18"/>
  <c r="G2097" i="18"/>
  <c r="H2097" i="18"/>
  <c r="I2097" i="18"/>
  <c r="J2097" i="18"/>
  <c r="A2098" i="18"/>
  <c r="B2098" i="18"/>
  <c r="C2098" i="18"/>
  <c r="D2098" i="18"/>
  <c r="E2098" i="18"/>
  <c r="F2098" i="18"/>
  <c r="G2098" i="18"/>
  <c r="H2098" i="18"/>
  <c r="I2098" i="18"/>
  <c r="J2098" i="18"/>
  <c r="A2099" i="18"/>
  <c r="B2099" i="18"/>
  <c r="C2099" i="18"/>
  <c r="D2099" i="18"/>
  <c r="E2099" i="18"/>
  <c r="F2099" i="18"/>
  <c r="G2099" i="18"/>
  <c r="H2099" i="18"/>
  <c r="I2099" i="18"/>
  <c r="J2099" i="18"/>
  <c r="A2100" i="18"/>
  <c r="B2100" i="18"/>
  <c r="C2100" i="18"/>
  <c r="D2100" i="18"/>
  <c r="E2100" i="18"/>
  <c r="F2100" i="18"/>
  <c r="G2100" i="18"/>
  <c r="H2100" i="18"/>
  <c r="I2100" i="18"/>
  <c r="J2100" i="18"/>
  <c r="A2101" i="18"/>
  <c r="B2101" i="18"/>
  <c r="C2101" i="18"/>
  <c r="D2101" i="18"/>
  <c r="E2101" i="18"/>
  <c r="F2101" i="18"/>
  <c r="G2101" i="18"/>
  <c r="H2101" i="18"/>
  <c r="I2101" i="18"/>
  <c r="J2101" i="18"/>
  <c r="A2102" i="18"/>
  <c r="B2102" i="18"/>
  <c r="C2102" i="18"/>
  <c r="D2102" i="18"/>
  <c r="E2102" i="18"/>
  <c r="F2102" i="18"/>
  <c r="G2102" i="18"/>
  <c r="H2102" i="18"/>
  <c r="I2102" i="18"/>
  <c r="J2102" i="18"/>
  <c r="A2103" i="18"/>
  <c r="B2103" i="18"/>
  <c r="C2103" i="18"/>
  <c r="D2103" i="18"/>
  <c r="E2103" i="18"/>
  <c r="F2103" i="18"/>
  <c r="G2103" i="18"/>
  <c r="H2103" i="18"/>
  <c r="I2103" i="18"/>
  <c r="J2103" i="18"/>
  <c r="A2104" i="18"/>
  <c r="B2104" i="18"/>
  <c r="C2104" i="18"/>
  <c r="D2104" i="18"/>
  <c r="E2104" i="18"/>
  <c r="F2104" i="18"/>
  <c r="G2104" i="18"/>
  <c r="H2104" i="18"/>
  <c r="I2104" i="18"/>
  <c r="J2104" i="18"/>
  <c r="A2105" i="18"/>
  <c r="B2105" i="18"/>
  <c r="C2105" i="18"/>
  <c r="D2105" i="18"/>
  <c r="E2105" i="18"/>
  <c r="F2105" i="18"/>
  <c r="G2105" i="18"/>
  <c r="H2105" i="18"/>
  <c r="I2105" i="18"/>
  <c r="J2105" i="18"/>
  <c r="A2106" i="18"/>
  <c r="B2106" i="18"/>
  <c r="C2106" i="18"/>
  <c r="D2106" i="18"/>
  <c r="E2106" i="18"/>
  <c r="F2106" i="18"/>
  <c r="G2106" i="18"/>
  <c r="H2106" i="18"/>
  <c r="I2106" i="18"/>
  <c r="J2106" i="18"/>
  <c r="A2107" i="18"/>
  <c r="B2107" i="18"/>
  <c r="C2107" i="18"/>
  <c r="D2107" i="18"/>
  <c r="E2107" i="18"/>
  <c r="F2107" i="18"/>
  <c r="G2107" i="18"/>
  <c r="H2107" i="18"/>
  <c r="I2107" i="18"/>
  <c r="J2107" i="18"/>
  <c r="A2108" i="18"/>
  <c r="B2108" i="18"/>
  <c r="C2108" i="18"/>
  <c r="D2108" i="18"/>
  <c r="E2108" i="18"/>
  <c r="F2108" i="18"/>
  <c r="G2108" i="18"/>
  <c r="H2108" i="18"/>
  <c r="I2108" i="18"/>
  <c r="J2108" i="18"/>
  <c r="A2109" i="18"/>
  <c r="B2109" i="18"/>
  <c r="C2109" i="18"/>
  <c r="D2109" i="18"/>
  <c r="E2109" i="18"/>
  <c r="F2109" i="18"/>
  <c r="G2109" i="18"/>
  <c r="H2109" i="18"/>
  <c r="I2109" i="18"/>
  <c r="J2109" i="18"/>
  <c r="A2110" i="18"/>
  <c r="B2110" i="18"/>
  <c r="C2110" i="18"/>
  <c r="D2110" i="18"/>
  <c r="E2110" i="18"/>
  <c r="F2110" i="18"/>
  <c r="G2110" i="18"/>
  <c r="H2110" i="18"/>
  <c r="I2110" i="18"/>
  <c r="J2110" i="18"/>
  <c r="A2111" i="18"/>
  <c r="B2111" i="18"/>
  <c r="C2111" i="18"/>
  <c r="D2111" i="18"/>
  <c r="E2111" i="18"/>
  <c r="F2111" i="18"/>
  <c r="G2111" i="18"/>
  <c r="H2111" i="18"/>
  <c r="I2111" i="18"/>
  <c r="J2111" i="18"/>
  <c r="A2112" i="18"/>
  <c r="B2112" i="18"/>
  <c r="C2112" i="18"/>
  <c r="D2112" i="18"/>
  <c r="E2112" i="18"/>
  <c r="F2112" i="18"/>
  <c r="G2112" i="18"/>
  <c r="H2112" i="18"/>
  <c r="I2112" i="18"/>
  <c r="J2112" i="18"/>
  <c r="A2113" i="18"/>
  <c r="B2113" i="18"/>
  <c r="C2113" i="18"/>
  <c r="D2113" i="18"/>
  <c r="E2113" i="18"/>
  <c r="F2113" i="18"/>
  <c r="G2113" i="18"/>
  <c r="H2113" i="18"/>
  <c r="I2113" i="18"/>
  <c r="J2113" i="18"/>
  <c r="A2114" i="18"/>
  <c r="B2114" i="18"/>
  <c r="C2114" i="18"/>
  <c r="D2114" i="18"/>
  <c r="E2114" i="18"/>
  <c r="F2114" i="18"/>
  <c r="G2114" i="18"/>
  <c r="H2114" i="18"/>
  <c r="I2114" i="18"/>
  <c r="J2114" i="18"/>
  <c r="A2115" i="18"/>
  <c r="B2115" i="18"/>
  <c r="C2115" i="18"/>
  <c r="D2115" i="18"/>
  <c r="E2115" i="18"/>
  <c r="F2115" i="18"/>
  <c r="G2115" i="18"/>
  <c r="H2115" i="18"/>
  <c r="I2115" i="18"/>
  <c r="J2115" i="18"/>
  <c r="A2116" i="18"/>
  <c r="B2116" i="18"/>
  <c r="C2116" i="18"/>
  <c r="D2116" i="18"/>
  <c r="E2116" i="18"/>
  <c r="F2116" i="18"/>
  <c r="G2116" i="18"/>
  <c r="H2116" i="18"/>
  <c r="I2116" i="18"/>
  <c r="J2116" i="18"/>
  <c r="A2117" i="18"/>
  <c r="B2117" i="18"/>
  <c r="C2117" i="18"/>
  <c r="D2117" i="18"/>
  <c r="E2117" i="18"/>
  <c r="F2117" i="18"/>
  <c r="G2117" i="18"/>
  <c r="H2117" i="18"/>
  <c r="I2117" i="18"/>
  <c r="J2117" i="18"/>
  <c r="A2118" i="18"/>
  <c r="B2118" i="18"/>
  <c r="C2118" i="18"/>
  <c r="D2118" i="18"/>
  <c r="E2118" i="18"/>
  <c r="F2118" i="18"/>
  <c r="G2118" i="18"/>
  <c r="H2118" i="18"/>
  <c r="I2118" i="18"/>
  <c r="J2118" i="18"/>
  <c r="A2119" i="18"/>
  <c r="B2119" i="18"/>
  <c r="C2119" i="18"/>
  <c r="D2119" i="18"/>
  <c r="E2119" i="18"/>
  <c r="F2119" i="18"/>
  <c r="G2119" i="18"/>
  <c r="H2119" i="18"/>
  <c r="I2119" i="18"/>
  <c r="J2119" i="18"/>
  <c r="A2120" i="18"/>
  <c r="B2120" i="18"/>
  <c r="C2120" i="18"/>
  <c r="D2120" i="18"/>
  <c r="E2120" i="18"/>
  <c r="F2120" i="18"/>
  <c r="G2120" i="18"/>
  <c r="H2120" i="18"/>
  <c r="I2120" i="18"/>
  <c r="J2120" i="18"/>
  <c r="A2121" i="18"/>
  <c r="B2121" i="18"/>
  <c r="C2121" i="18"/>
  <c r="D2121" i="18"/>
  <c r="E2121" i="18"/>
  <c r="F2121" i="18"/>
  <c r="G2121" i="18"/>
  <c r="H2121" i="18"/>
  <c r="I2121" i="18"/>
  <c r="J2121" i="18"/>
  <c r="A2122" i="18"/>
  <c r="B2122" i="18"/>
  <c r="C2122" i="18"/>
  <c r="D2122" i="18"/>
  <c r="E2122" i="18"/>
  <c r="F2122" i="18"/>
  <c r="G2122" i="18"/>
  <c r="H2122" i="18"/>
  <c r="I2122" i="18"/>
  <c r="J2122" i="18"/>
  <c r="A2123" i="18"/>
  <c r="B2123" i="18"/>
  <c r="C2123" i="18"/>
  <c r="D2123" i="18"/>
  <c r="E2123" i="18"/>
  <c r="F2123" i="18"/>
  <c r="G2123" i="18"/>
  <c r="H2123" i="18"/>
  <c r="I2123" i="18"/>
  <c r="J2123" i="18"/>
  <c r="A2124" i="18"/>
  <c r="B2124" i="18"/>
  <c r="C2124" i="18"/>
  <c r="D2124" i="18"/>
  <c r="E2124" i="18"/>
  <c r="F2124" i="18"/>
  <c r="G2124" i="18"/>
  <c r="H2124" i="18"/>
  <c r="I2124" i="18"/>
  <c r="J2124" i="18"/>
  <c r="A2125" i="18"/>
  <c r="B2125" i="18"/>
  <c r="C2125" i="18"/>
  <c r="D2125" i="18"/>
  <c r="E2125" i="18"/>
  <c r="F2125" i="18"/>
  <c r="G2125" i="18"/>
  <c r="H2125" i="18"/>
  <c r="I2125" i="18"/>
  <c r="J2125" i="18"/>
  <c r="A2126" i="18"/>
  <c r="B2126" i="18"/>
  <c r="C2126" i="18"/>
  <c r="D2126" i="18"/>
  <c r="E2126" i="18"/>
  <c r="F2126" i="18"/>
  <c r="G2126" i="18"/>
  <c r="H2126" i="18"/>
  <c r="I2126" i="18"/>
  <c r="J2126" i="18"/>
  <c r="A2127" i="18"/>
  <c r="B2127" i="18"/>
  <c r="C2127" i="18"/>
  <c r="D2127" i="18"/>
  <c r="E2127" i="18"/>
  <c r="F2127" i="18"/>
  <c r="G2127" i="18"/>
  <c r="H2127" i="18"/>
  <c r="I2127" i="18"/>
  <c r="J2127" i="18"/>
  <c r="A2128" i="18"/>
  <c r="B2128" i="18"/>
  <c r="C2128" i="18"/>
  <c r="D2128" i="18"/>
  <c r="E2128" i="18"/>
  <c r="F2128" i="18"/>
  <c r="G2128" i="18"/>
  <c r="H2128" i="18"/>
  <c r="I2128" i="18"/>
  <c r="J2128" i="18"/>
  <c r="A2129" i="18"/>
  <c r="B2129" i="18"/>
  <c r="C2129" i="18"/>
  <c r="D2129" i="18"/>
  <c r="E2129" i="18"/>
  <c r="F2129" i="18"/>
  <c r="G2129" i="18"/>
  <c r="H2129" i="18"/>
  <c r="I2129" i="18"/>
  <c r="J2129" i="18"/>
  <c r="A2130" i="18"/>
  <c r="B2130" i="18"/>
  <c r="C2130" i="18"/>
  <c r="D2130" i="18"/>
  <c r="E2130" i="18"/>
  <c r="F2130" i="18"/>
  <c r="G2130" i="18"/>
  <c r="H2130" i="18"/>
  <c r="I2130" i="18"/>
  <c r="J2130" i="18"/>
  <c r="A2131" i="18"/>
  <c r="B2131" i="18"/>
  <c r="C2131" i="18"/>
  <c r="D2131" i="18"/>
  <c r="E2131" i="18"/>
  <c r="F2131" i="18"/>
  <c r="G2131" i="18"/>
  <c r="H2131" i="18"/>
  <c r="I2131" i="18"/>
  <c r="J2131" i="18"/>
  <c r="A2132" i="18"/>
  <c r="B2132" i="18"/>
  <c r="C2132" i="18"/>
  <c r="D2132" i="18"/>
  <c r="E2132" i="18"/>
  <c r="F2132" i="18"/>
  <c r="G2132" i="18"/>
  <c r="H2132" i="18"/>
  <c r="I2132" i="18"/>
  <c r="J2132" i="18"/>
  <c r="A2133" i="18"/>
  <c r="B2133" i="18"/>
  <c r="C2133" i="18"/>
  <c r="D2133" i="18"/>
  <c r="E2133" i="18"/>
  <c r="F2133" i="18"/>
  <c r="G2133" i="18"/>
  <c r="H2133" i="18"/>
  <c r="I2133" i="18"/>
  <c r="J2133" i="18"/>
  <c r="A2134" i="18"/>
  <c r="B2134" i="18"/>
  <c r="C2134" i="18"/>
  <c r="D2134" i="18"/>
  <c r="E2134" i="18"/>
  <c r="F2134" i="18"/>
  <c r="G2134" i="18"/>
  <c r="H2134" i="18"/>
  <c r="I2134" i="18"/>
  <c r="J2134" i="18"/>
  <c r="A2135" i="18"/>
  <c r="B2135" i="18"/>
  <c r="C2135" i="18"/>
  <c r="D2135" i="18"/>
  <c r="E2135" i="18"/>
  <c r="F2135" i="18"/>
  <c r="G2135" i="18"/>
  <c r="H2135" i="18"/>
  <c r="I2135" i="18"/>
  <c r="J2135" i="18"/>
  <c r="A2136" i="18"/>
  <c r="B2136" i="18"/>
  <c r="C2136" i="18"/>
  <c r="D2136" i="18"/>
  <c r="E2136" i="18"/>
  <c r="F2136" i="18"/>
  <c r="G2136" i="18"/>
  <c r="H2136" i="18"/>
  <c r="I2136" i="18"/>
  <c r="J2136" i="18"/>
  <c r="A2137" i="18"/>
  <c r="B2137" i="18"/>
  <c r="C2137" i="18"/>
  <c r="D2137" i="18"/>
  <c r="E2137" i="18"/>
  <c r="F2137" i="18"/>
  <c r="G2137" i="18"/>
  <c r="H2137" i="18"/>
  <c r="I2137" i="18"/>
  <c r="J2137" i="18"/>
  <c r="A2138" i="18"/>
  <c r="B2138" i="18"/>
  <c r="C2138" i="18"/>
  <c r="D2138" i="18"/>
  <c r="E2138" i="18"/>
  <c r="F2138" i="18"/>
  <c r="G2138" i="18"/>
  <c r="H2138" i="18"/>
  <c r="I2138" i="18"/>
  <c r="J2138" i="18"/>
  <c r="A2139" i="18"/>
  <c r="B2139" i="18"/>
  <c r="C2139" i="18"/>
  <c r="D2139" i="18"/>
  <c r="E2139" i="18"/>
  <c r="F2139" i="18"/>
  <c r="G2139" i="18"/>
  <c r="H2139" i="18"/>
  <c r="I2139" i="18"/>
  <c r="J2139" i="18"/>
  <c r="A2140" i="18"/>
  <c r="B2140" i="18"/>
  <c r="C2140" i="18"/>
  <c r="D2140" i="18"/>
  <c r="E2140" i="18"/>
  <c r="F2140" i="18"/>
  <c r="G2140" i="18"/>
  <c r="H2140" i="18"/>
  <c r="I2140" i="18"/>
  <c r="J2140" i="18"/>
  <c r="A2141" i="18"/>
  <c r="B2141" i="18"/>
  <c r="C2141" i="18"/>
  <c r="D2141" i="18"/>
  <c r="E2141" i="18"/>
  <c r="F2141" i="18"/>
  <c r="G2141" i="18"/>
  <c r="H2141" i="18"/>
  <c r="I2141" i="18"/>
  <c r="J2141" i="18"/>
  <c r="A2142" i="18"/>
  <c r="B2142" i="18"/>
  <c r="C2142" i="18"/>
  <c r="D2142" i="18"/>
  <c r="E2142" i="18"/>
  <c r="F2142" i="18"/>
  <c r="G2142" i="18"/>
  <c r="H2142" i="18"/>
  <c r="I2142" i="18"/>
  <c r="J2142" i="18"/>
  <c r="A2143" i="18"/>
  <c r="B2143" i="18"/>
  <c r="C2143" i="18"/>
  <c r="D2143" i="18"/>
  <c r="E2143" i="18"/>
  <c r="F2143" i="18"/>
  <c r="G2143" i="18"/>
  <c r="H2143" i="18"/>
  <c r="I2143" i="18"/>
  <c r="J2143" i="18"/>
  <c r="A2144" i="18"/>
  <c r="B2144" i="18"/>
  <c r="C2144" i="18"/>
  <c r="D2144" i="18"/>
  <c r="E2144" i="18"/>
  <c r="F2144" i="18"/>
  <c r="G2144" i="18"/>
  <c r="H2144" i="18"/>
  <c r="I2144" i="18"/>
  <c r="J2144" i="18"/>
  <c r="A2145" i="18"/>
  <c r="B2145" i="18"/>
  <c r="C2145" i="18"/>
  <c r="D2145" i="18"/>
  <c r="E2145" i="18"/>
  <c r="F2145" i="18"/>
  <c r="G2145" i="18"/>
  <c r="H2145" i="18"/>
  <c r="I2145" i="18"/>
  <c r="J2145" i="18"/>
  <c r="A2146" i="18"/>
  <c r="B2146" i="18"/>
  <c r="C2146" i="18"/>
  <c r="D2146" i="18"/>
  <c r="E2146" i="18"/>
  <c r="F2146" i="18"/>
  <c r="G2146" i="18"/>
  <c r="H2146" i="18"/>
  <c r="I2146" i="18"/>
  <c r="J2146" i="18"/>
  <c r="A2147" i="18"/>
  <c r="B2147" i="18"/>
  <c r="C2147" i="18"/>
  <c r="D2147" i="18"/>
  <c r="E2147" i="18"/>
  <c r="F2147" i="18"/>
  <c r="G2147" i="18"/>
  <c r="H2147" i="18"/>
  <c r="I2147" i="18"/>
  <c r="J2147" i="18"/>
  <c r="A2148" i="18"/>
  <c r="B2148" i="18"/>
  <c r="C2148" i="18"/>
  <c r="D2148" i="18"/>
  <c r="E2148" i="18"/>
  <c r="F2148" i="18"/>
  <c r="G2148" i="18"/>
  <c r="H2148" i="18"/>
  <c r="I2148" i="18"/>
  <c r="J2148" i="18"/>
  <c r="A2149" i="18"/>
  <c r="B2149" i="18"/>
  <c r="C2149" i="18"/>
  <c r="D2149" i="18"/>
  <c r="E2149" i="18"/>
  <c r="F2149" i="18"/>
  <c r="G2149" i="18"/>
  <c r="H2149" i="18"/>
  <c r="I2149" i="18"/>
  <c r="J2149" i="18"/>
  <c r="A2150" i="18"/>
  <c r="B2150" i="18"/>
  <c r="C2150" i="18"/>
  <c r="D2150" i="18"/>
  <c r="E2150" i="18"/>
  <c r="F2150" i="18"/>
  <c r="G2150" i="18"/>
  <c r="H2150" i="18"/>
  <c r="I2150" i="18"/>
  <c r="J2150" i="18"/>
  <c r="A2151" i="18"/>
  <c r="B2151" i="18"/>
  <c r="C2151" i="18"/>
  <c r="D2151" i="18"/>
  <c r="E2151" i="18"/>
  <c r="F2151" i="18"/>
  <c r="G2151" i="18"/>
  <c r="H2151" i="18"/>
  <c r="I2151" i="18"/>
  <c r="J2151" i="18"/>
  <c r="A2152" i="18"/>
  <c r="B2152" i="18"/>
  <c r="C2152" i="18"/>
  <c r="D2152" i="18"/>
  <c r="E2152" i="18"/>
  <c r="F2152" i="18"/>
  <c r="G2152" i="18"/>
  <c r="H2152" i="18"/>
  <c r="I2152" i="18"/>
  <c r="J2152" i="18"/>
  <c r="A2153" i="18"/>
  <c r="B2153" i="18"/>
  <c r="C2153" i="18"/>
  <c r="D2153" i="18"/>
  <c r="E2153" i="18"/>
  <c r="F2153" i="18"/>
  <c r="G2153" i="18"/>
  <c r="H2153" i="18"/>
  <c r="I2153" i="18"/>
  <c r="J2153" i="18"/>
  <c r="A2154" i="18"/>
  <c r="B2154" i="18"/>
  <c r="C2154" i="18"/>
  <c r="D2154" i="18"/>
  <c r="E2154" i="18"/>
  <c r="F2154" i="18"/>
  <c r="G2154" i="18"/>
  <c r="H2154" i="18"/>
  <c r="I2154" i="18"/>
  <c r="J2154" i="18"/>
  <c r="A2155" i="18"/>
  <c r="B2155" i="18"/>
  <c r="C2155" i="18"/>
  <c r="D2155" i="18"/>
  <c r="E2155" i="18"/>
  <c r="F2155" i="18"/>
  <c r="G2155" i="18"/>
  <c r="H2155" i="18"/>
  <c r="I2155" i="18"/>
  <c r="J2155" i="18"/>
  <c r="A2156" i="18"/>
  <c r="B2156" i="18"/>
  <c r="C2156" i="18"/>
  <c r="D2156" i="18"/>
  <c r="E2156" i="18"/>
  <c r="F2156" i="18"/>
  <c r="G2156" i="18"/>
  <c r="H2156" i="18"/>
  <c r="I2156" i="18"/>
  <c r="J2156" i="18"/>
  <c r="A2157" i="18"/>
  <c r="B2157" i="18"/>
  <c r="C2157" i="18"/>
  <c r="D2157" i="18"/>
  <c r="E2157" i="18"/>
  <c r="F2157" i="18"/>
  <c r="G2157" i="18"/>
  <c r="H2157" i="18"/>
  <c r="I2157" i="18"/>
  <c r="J2157" i="18"/>
  <c r="A2158" i="18"/>
  <c r="B2158" i="18"/>
  <c r="C2158" i="18"/>
  <c r="D2158" i="18"/>
  <c r="E2158" i="18"/>
  <c r="F2158" i="18"/>
  <c r="G2158" i="18"/>
  <c r="H2158" i="18"/>
  <c r="I2158" i="18"/>
  <c r="J2158" i="18"/>
  <c r="A2159" i="18"/>
  <c r="B2159" i="18"/>
  <c r="C2159" i="18"/>
  <c r="D2159" i="18"/>
  <c r="E2159" i="18"/>
  <c r="F2159" i="18"/>
  <c r="G2159" i="18"/>
  <c r="H2159" i="18"/>
  <c r="I2159" i="18"/>
  <c r="J2159" i="18"/>
  <c r="A2160" i="18"/>
  <c r="B2160" i="18"/>
  <c r="C2160" i="18"/>
  <c r="D2160" i="18"/>
  <c r="E2160" i="18"/>
  <c r="F2160" i="18"/>
  <c r="G2160" i="18"/>
  <c r="H2160" i="18"/>
  <c r="I2160" i="18"/>
  <c r="J2160" i="18"/>
  <c r="A2161" i="18"/>
  <c r="B2161" i="18"/>
  <c r="C2161" i="18"/>
  <c r="D2161" i="18"/>
  <c r="E2161" i="18"/>
  <c r="F2161" i="18"/>
  <c r="G2161" i="18"/>
  <c r="H2161" i="18"/>
  <c r="I2161" i="18"/>
  <c r="J2161" i="18"/>
  <c r="A2162" i="18"/>
  <c r="B2162" i="18"/>
  <c r="C2162" i="18"/>
  <c r="D2162" i="18"/>
  <c r="E2162" i="18"/>
  <c r="F2162" i="18"/>
  <c r="G2162" i="18"/>
  <c r="H2162" i="18"/>
  <c r="I2162" i="18"/>
  <c r="J2162" i="18"/>
  <c r="A2163" i="18"/>
  <c r="B2163" i="18"/>
  <c r="C2163" i="18"/>
  <c r="D2163" i="18"/>
  <c r="E2163" i="18"/>
  <c r="F2163" i="18"/>
  <c r="G2163" i="18"/>
  <c r="H2163" i="18"/>
  <c r="I2163" i="18"/>
  <c r="J2163" i="18"/>
  <c r="A2164" i="18"/>
  <c r="B2164" i="18"/>
  <c r="C2164" i="18"/>
  <c r="D2164" i="18"/>
  <c r="E2164" i="18"/>
  <c r="F2164" i="18"/>
  <c r="G2164" i="18"/>
  <c r="H2164" i="18"/>
  <c r="I2164" i="18"/>
  <c r="J2164" i="18"/>
  <c r="A2165" i="18"/>
  <c r="B2165" i="18"/>
  <c r="C2165" i="18"/>
  <c r="D2165" i="18"/>
  <c r="E2165" i="18"/>
  <c r="F2165" i="18"/>
  <c r="G2165" i="18"/>
  <c r="H2165" i="18"/>
  <c r="I2165" i="18"/>
  <c r="J2165" i="18"/>
  <c r="A2166" i="18"/>
  <c r="B2166" i="18"/>
  <c r="C2166" i="18"/>
  <c r="D2166" i="18"/>
  <c r="E2166" i="18"/>
  <c r="F2166" i="18"/>
  <c r="G2166" i="18"/>
  <c r="H2166" i="18"/>
  <c r="I2166" i="18"/>
  <c r="J2166" i="18"/>
  <c r="A2167" i="18"/>
  <c r="B2167" i="18"/>
  <c r="C2167" i="18"/>
  <c r="D2167" i="18"/>
  <c r="E2167" i="18"/>
  <c r="F2167" i="18"/>
  <c r="G2167" i="18"/>
  <c r="H2167" i="18"/>
  <c r="I2167" i="18"/>
  <c r="J2167" i="18"/>
  <c r="A2168" i="18"/>
  <c r="B2168" i="18"/>
  <c r="C2168" i="18"/>
  <c r="D2168" i="18"/>
  <c r="E2168" i="18"/>
  <c r="F2168" i="18"/>
  <c r="G2168" i="18"/>
  <c r="H2168" i="18"/>
  <c r="I2168" i="18"/>
  <c r="J2168" i="18"/>
  <c r="A2169" i="18"/>
  <c r="B2169" i="18"/>
  <c r="C2169" i="18"/>
  <c r="D2169" i="18"/>
  <c r="E2169" i="18"/>
  <c r="F2169" i="18"/>
  <c r="G2169" i="18"/>
  <c r="H2169" i="18"/>
  <c r="I2169" i="18"/>
  <c r="J2169" i="18"/>
  <c r="A2170" i="18"/>
  <c r="B2170" i="18"/>
  <c r="C2170" i="18"/>
  <c r="D2170" i="18"/>
  <c r="E2170" i="18"/>
  <c r="F2170" i="18"/>
  <c r="G2170" i="18"/>
  <c r="H2170" i="18"/>
  <c r="I2170" i="18"/>
  <c r="J2170" i="18"/>
  <c r="A2171" i="18"/>
  <c r="B2171" i="18"/>
  <c r="C2171" i="18"/>
  <c r="D2171" i="18"/>
  <c r="E2171" i="18"/>
  <c r="F2171" i="18"/>
  <c r="G2171" i="18"/>
  <c r="H2171" i="18"/>
  <c r="I2171" i="18"/>
  <c r="J2171" i="18"/>
  <c r="A2172" i="18"/>
  <c r="B2172" i="18"/>
  <c r="C2172" i="18"/>
  <c r="D2172" i="18"/>
  <c r="E2172" i="18"/>
  <c r="F2172" i="18"/>
  <c r="G2172" i="18"/>
  <c r="H2172" i="18"/>
  <c r="I2172" i="18"/>
  <c r="J2172" i="18"/>
  <c r="A2173" i="18"/>
  <c r="B2173" i="18"/>
  <c r="C2173" i="18"/>
  <c r="D2173" i="18"/>
  <c r="E2173" i="18"/>
  <c r="F2173" i="18"/>
  <c r="G2173" i="18"/>
  <c r="H2173" i="18"/>
  <c r="I2173" i="18"/>
  <c r="J2173" i="18"/>
  <c r="A2174" i="18"/>
  <c r="B2174" i="18"/>
  <c r="C2174" i="18"/>
  <c r="D2174" i="18"/>
  <c r="E2174" i="18"/>
  <c r="F2174" i="18"/>
  <c r="G2174" i="18"/>
  <c r="H2174" i="18"/>
  <c r="I2174" i="18"/>
  <c r="J2174" i="18"/>
  <c r="A2175" i="18"/>
  <c r="B2175" i="18"/>
  <c r="C2175" i="18"/>
  <c r="D2175" i="18"/>
  <c r="E2175" i="18"/>
  <c r="F2175" i="18"/>
  <c r="G2175" i="18"/>
  <c r="H2175" i="18"/>
  <c r="I2175" i="18"/>
  <c r="J2175" i="18"/>
  <c r="A2176" i="18"/>
  <c r="B2176" i="18"/>
  <c r="C2176" i="18"/>
  <c r="D2176" i="18"/>
  <c r="E2176" i="18"/>
  <c r="F2176" i="18"/>
  <c r="G2176" i="18"/>
  <c r="H2176" i="18"/>
  <c r="I2176" i="18"/>
  <c r="J2176" i="18"/>
  <c r="A2177" i="18"/>
  <c r="B2177" i="18"/>
  <c r="C2177" i="18"/>
  <c r="D2177" i="18"/>
  <c r="E2177" i="18"/>
  <c r="F2177" i="18"/>
  <c r="G2177" i="18"/>
  <c r="H2177" i="18"/>
  <c r="I2177" i="18"/>
  <c r="J2177" i="18"/>
  <c r="A2178" i="18"/>
  <c r="B2178" i="18"/>
  <c r="C2178" i="18"/>
  <c r="D2178" i="18"/>
  <c r="E2178" i="18"/>
  <c r="F2178" i="18"/>
  <c r="G2178" i="18"/>
  <c r="H2178" i="18"/>
  <c r="I2178" i="18"/>
  <c r="J2178" i="18"/>
  <c r="A2179" i="18"/>
  <c r="B2179" i="18"/>
  <c r="C2179" i="18"/>
  <c r="D2179" i="18"/>
  <c r="E2179" i="18"/>
  <c r="F2179" i="18"/>
  <c r="G2179" i="18"/>
  <c r="H2179" i="18"/>
  <c r="I2179" i="18"/>
  <c r="J2179" i="18"/>
  <c r="A2180" i="18"/>
  <c r="B2180" i="18"/>
  <c r="C2180" i="18"/>
  <c r="D2180" i="18"/>
  <c r="E2180" i="18"/>
  <c r="F2180" i="18"/>
  <c r="G2180" i="18"/>
  <c r="H2180" i="18"/>
  <c r="I2180" i="18"/>
  <c r="J2180" i="18"/>
  <c r="A2181" i="18"/>
  <c r="B2181" i="18"/>
  <c r="C2181" i="18"/>
  <c r="D2181" i="18"/>
  <c r="E2181" i="18"/>
  <c r="F2181" i="18"/>
  <c r="G2181" i="18"/>
  <c r="H2181" i="18"/>
  <c r="I2181" i="18"/>
  <c r="J2181" i="18"/>
  <c r="A2182" i="18"/>
  <c r="B2182" i="18"/>
  <c r="C2182" i="18"/>
  <c r="D2182" i="18"/>
  <c r="E2182" i="18"/>
  <c r="F2182" i="18"/>
  <c r="G2182" i="18"/>
  <c r="H2182" i="18"/>
  <c r="I2182" i="18"/>
  <c r="J2182" i="18"/>
  <c r="A2183" i="18"/>
  <c r="B2183" i="18"/>
  <c r="C2183" i="18"/>
  <c r="D2183" i="18"/>
  <c r="E2183" i="18"/>
  <c r="F2183" i="18"/>
  <c r="G2183" i="18"/>
  <c r="H2183" i="18"/>
  <c r="I2183" i="18"/>
  <c r="J2183" i="18"/>
  <c r="A2184" i="18"/>
  <c r="B2184" i="18"/>
  <c r="C2184" i="18"/>
  <c r="D2184" i="18"/>
  <c r="E2184" i="18"/>
  <c r="F2184" i="18"/>
  <c r="G2184" i="18"/>
  <c r="H2184" i="18"/>
  <c r="I2184" i="18"/>
  <c r="J2184" i="18"/>
  <c r="A2185" i="18"/>
  <c r="B2185" i="18"/>
  <c r="C2185" i="18"/>
  <c r="D2185" i="18"/>
  <c r="E2185" i="18"/>
  <c r="F2185" i="18"/>
  <c r="G2185" i="18"/>
  <c r="H2185" i="18"/>
  <c r="I2185" i="18"/>
  <c r="J2185" i="18"/>
  <c r="A2186" i="18"/>
  <c r="B2186" i="18"/>
  <c r="C2186" i="18"/>
  <c r="D2186" i="18"/>
  <c r="E2186" i="18"/>
  <c r="F2186" i="18"/>
  <c r="G2186" i="18"/>
  <c r="H2186" i="18"/>
  <c r="I2186" i="18"/>
  <c r="J2186" i="18"/>
  <c r="A2187" i="18"/>
  <c r="B2187" i="18"/>
  <c r="C2187" i="18"/>
  <c r="D2187" i="18"/>
  <c r="E2187" i="18"/>
  <c r="F2187" i="18"/>
  <c r="G2187" i="18"/>
  <c r="H2187" i="18"/>
  <c r="I2187" i="18"/>
  <c r="J2187" i="18"/>
  <c r="A2188" i="18"/>
  <c r="B2188" i="18"/>
  <c r="C2188" i="18"/>
  <c r="D2188" i="18"/>
  <c r="E2188" i="18"/>
  <c r="F2188" i="18"/>
  <c r="G2188" i="18"/>
  <c r="H2188" i="18"/>
  <c r="I2188" i="18"/>
  <c r="J2188" i="18"/>
  <c r="A2189" i="18"/>
  <c r="B2189" i="18"/>
  <c r="C2189" i="18"/>
  <c r="D2189" i="18"/>
  <c r="E2189" i="18"/>
  <c r="F2189" i="18"/>
  <c r="G2189" i="18"/>
  <c r="H2189" i="18"/>
  <c r="I2189" i="18"/>
  <c r="J2189" i="18"/>
  <c r="A2190" i="18"/>
  <c r="B2190" i="18"/>
  <c r="C2190" i="18"/>
  <c r="D2190" i="18"/>
  <c r="E2190" i="18"/>
  <c r="F2190" i="18"/>
  <c r="G2190" i="18"/>
  <c r="H2190" i="18"/>
  <c r="I2190" i="18"/>
  <c r="J2190" i="18"/>
  <c r="A2191" i="18"/>
  <c r="B2191" i="18"/>
  <c r="C2191" i="18"/>
  <c r="D2191" i="18"/>
  <c r="E2191" i="18"/>
  <c r="F2191" i="18"/>
  <c r="G2191" i="18"/>
  <c r="H2191" i="18"/>
  <c r="I2191" i="18"/>
  <c r="J2191" i="18"/>
  <c r="A2192" i="18"/>
  <c r="B2192" i="18"/>
  <c r="C2192" i="18"/>
  <c r="D2192" i="18"/>
  <c r="E2192" i="18"/>
  <c r="F2192" i="18"/>
  <c r="G2192" i="18"/>
  <c r="H2192" i="18"/>
  <c r="I2192" i="18"/>
  <c r="J2192" i="18"/>
  <c r="A2193" i="18"/>
  <c r="B2193" i="18"/>
  <c r="C2193" i="18"/>
  <c r="D2193" i="18"/>
  <c r="E2193" i="18"/>
  <c r="F2193" i="18"/>
  <c r="G2193" i="18"/>
  <c r="H2193" i="18"/>
  <c r="I2193" i="18"/>
  <c r="J2193" i="18"/>
  <c r="A2194" i="18"/>
  <c r="B2194" i="18"/>
  <c r="C2194" i="18"/>
  <c r="D2194" i="18"/>
  <c r="E2194" i="18"/>
  <c r="F2194" i="18"/>
  <c r="G2194" i="18"/>
  <c r="H2194" i="18"/>
  <c r="I2194" i="18"/>
  <c r="J2194" i="18"/>
  <c r="A2195" i="18"/>
  <c r="B2195" i="18"/>
  <c r="C2195" i="18"/>
  <c r="D2195" i="18"/>
  <c r="E2195" i="18"/>
  <c r="F2195" i="18"/>
  <c r="G2195" i="18"/>
  <c r="H2195" i="18"/>
  <c r="I2195" i="18"/>
  <c r="J2195" i="18"/>
  <c r="A2196" i="18"/>
  <c r="B2196" i="18"/>
  <c r="C2196" i="18"/>
  <c r="D2196" i="18"/>
  <c r="E2196" i="18"/>
  <c r="F2196" i="18"/>
  <c r="G2196" i="18"/>
  <c r="H2196" i="18"/>
  <c r="I2196" i="18"/>
  <c r="J2196" i="18"/>
  <c r="A2197" i="18"/>
  <c r="B2197" i="18"/>
  <c r="C2197" i="18"/>
  <c r="D2197" i="18"/>
  <c r="E2197" i="18"/>
  <c r="F2197" i="18"/>
  <c r="G2197" i="18"/>
  <c r="H2197" i="18"/>
  <c r="I2197" i="18"/>
  <c r="J2197" i="18"/>
  <c r="A2198" i="18"/>
  <c r="B2198" i="18"/>
  <c r="C2198" i="18"/>
  <c r="D2198" i="18"/>
  <c r="E2198" i="18"/>
  <c r="F2198" i="18"/>
  <c r="G2198" i="18"/>
  <c r="H2198" i="18"/>
  <c r="I2198" i="18"/>
  <c r="J2198" i="18"/>
  <c r="A2199" i="18"/>
  <c r="B2199" i="18"/>
  <c r="C2199" i="18"/>
  <c r="D2199" i="18"/>
  <c r="E2199" i="18"/>
  <c r="F2199" i="18"/>
  <c r="G2199" i="18"/>
  <c r="H2199" i="18"/>
  <c r="I2199" i="18"/>
  <c r="J2199" i="18"/>
  <c r="A2200" i="18"/>
  <c r="B2200" i="18"/>
  <c r="C2200" i="18"/>
  <c r="D2200" i="18"/>
  <c r="E2200" i="18"/>
  <c r="F2200" i="18"/>
  <c r="G2200" i="18"/>
  <c r="H2200" i="18"/>
  <c r="I2200" i="18"/>
  <c r="J2200" i="18"/>
  <c r="A2201" i="18"/>
  <c r="B2201" i="18"/>
  <c r="C2201" i="18"/>
  <c r="D2201" i="18"/>
  <c r="E2201" i="18"/>
  <c r="F2201" i="18"/>
  <c r="G2201" i="18"/>
  <c r="H2201" i="18"/>
  <c r="I2201" i="18"/>
  <c r="J2201" i="18"/>
  <c r="A2202" i="18"/>
  <c r="B2202" i="18"/>
  <c r="C2202" i="18"/>
  <c r="D2202" i="18"/>
  <c r="E2202" i="18"/>
  <c r="F2202" i="18"/>
  <c r="G2202" i="18"/>
  <c r="H2202" i="18"/>
  <c r="I2202" i="18"/>
  <c r="J2202" i="18"/>
  <c r="A2203" i="18"/>
  <c r="B2203" i="18"/>
  <c r="C2203" i="18"/>
  <c r="D2203" i="18"/>
  <c r="E2203" i="18"/>
  <c r="F2203" i="18"/>
  <c r="G2203" i="18"/>
  <c r="H2203" i="18"/>
  <c r="I2203" i="18"/>
  <c r="J2203" i="18"/>
  <c r="A2204" i="18"/>
  <c r="B2204" i="18"/>
  <c r="C2204" i="18"/>
  <c r="D2204" i="18"/>
  <c r="E2204" i="18"/>
  <c r="F2204" i="18"/>
  <c r="G2204" i="18"/>
  <c r="H2204" i="18"/>
  <c r="I2204" i="18"/>
  <c r="J2204" i="18"/>
  <c r="A2205" i="18"/>
  <c r="B2205" i="18"/>
  <c r="C2205" i="18"/>
  <c r="D2205" i="18"/>
  <c r="E2205" i="18"/>
  <c r="F2205" i="18"/>
  <c r="G2205" i="18"/>
  <c r="H2205" i="18"/>
  <c r="I2205" i="18"/>
  <c r="J2205" i="18"/>
  <c r="A2206" i="18"/>
  <c r="B2206" i="18"/>
  <c r="C2206" i="18"/>
  <c r="D2206" i="18"/>
  <c r="E2206" i="18"/>
  <c r="F2206" i="18"/>
  <c r="G2206" i="18"/>
  <c r="H2206" i="18"/>
  <c r="I2206" i="18"/>
  <c r="J2206" i="18"/>
  <c r="A2207" i="18"/>
  <c r="B2207" i="18"/>
  <c r="C2207" i="18"/>
  <c r="D2207" i="18"/>
  <c r="E2207" i="18"/>
  <c r="F2207" i="18"/>
  <c r="G2207" i="18"/>
  <c r="H2207" i="18"/>
  <c r="I2207" i="18"/>
  <c r="J2207" i="18"/>
  <c r="A2208" i="18"/>
  <c r="B2208" i="18"/>
  <c r="C2208" i="18"/>
  <c r="D2208" i="18"/>
  <c r="E2208" i="18"/>
  <c r="F2208" i="18"/>
  <c r="G2208" i="18"/>
  <c r="H2208" i="18"/>
  <c r="I2208" i="18"/>
  <c r="J2208" i="18"/>
  <c r="A2209" i="18"/>
  <c r="B2209" i="18"/>
  <c r="C2209" i="18"/>
  <c r="D2209" i="18"/>
  <c r="E2209" i="18"/>
  <c r="F2209" i="18"/>
  <c r="G2209" i="18"/>
  <c r="H2209" i="18"/>
  <c r="I2209" i="18"/>
  <c r="J2209" i="18"/>
  <c r="A2210" i="18"/>
  <c r="B2210" i="18"/>
  <c r="C2210" i="18"/>
  <c r="D2210" i="18"/>
  <c r="E2210" i="18"/>
  <c r="F2210" i="18"/>
  <c r="G2210" i="18"/>
  <c r="H2210" i="18"/>
  <c r="I2210" i="18"/>
  <c r="J2210" i="18"/>
  <c r="A2211" i="18"/>
  <c r="B2211" i="18"/>
  <c r="C2211" i="18"/>
  <c r="D2211" i="18"/>
  <c r="E2211" i="18"/>
  <c r="F2211" i="18"/>
  <c r="G2211" i="18"/>
  <c r="H2211" i="18"/>
  <c r="I2211" i="18"/>
  <c r="J2211" i="18"/>
  <c r="A2212" i="18"/>
  <c r="B2212" i="18"/>
  <c r="C2212" i="18"/>
  <c r="D2212" i="18"/>
  <c r="E2212" i="18"/>
  <c r="F2212" i="18"/>
  <c r="G2212" i="18"/>
  <c r="H2212" i="18"/>
  <c r="I2212" i="18"/>
  <c r="J2212" i="18"/>
  <c r="A2213" i="18"/>
  <c r="B2213" i="18"/>
  <c r="C2213" i="18"/>
  <c r="D2213" i="18"/>
  <c r="E2213" i="18"/>
  <c r="F2213" i="18"/>
  <c r="G2213" i="18"/>
  <c r="H2213" i="18"/>
  <c r="I2213" i="18"/>
  <c r="J2213" i="18"/>
  <c r="A2214" i="18"/>
  <c r="B2214" i="18"/>
  <c r="C2214" i="18"/>
  <c r="D2214" i="18"/>
  <c r="E2214" i="18"/>
  <c r="F2214" i="18"/>
  <c r="G2214" i="18"/>
  <c r="H2214" i="18"/>
  <c r="I2214" i="18"/>
  <c r="J2214" i="18"/>
  <c r="A2215" i="18"/>
  <c r="B2215" i="18"/>
  <c r="C2215" i="18"/>
  <c r="D2215" i="18"/>
  <c r="E2215" i="18"/>
  <c r="F2215" i="18"/>
  <c r="G2215" i="18"/>
  <c r="H2215" i="18"/>
  <c r="I2215" i="18"/>
  <c r="J2215" i="18"/>
  <c r="A2216" i="18"/>
  <c r="B2216" i="18"/>
  <c r="C2216" i="18"/>
  <c r="D2216" i="18"/>
  <c r="E2216" i="18"/>
  <c r="F2216" i="18"/>
  <c r="G2216" i="18"/>
  <c r="H2216" i="18"/>
  <c r="I2216" i="18"/>
  <c r="J2216" i="18"/>
  <c r="A2217" i="18"/>
  <c r="B2217" i="18"/>
  <c r="C2217" i="18"/>
  <c r="D2217" i="18"/>
  <c r="E2217" i="18"/>
  <c r="F2217" i="18"/>
  <c r="G2217" i="18"/>
  <c r="H2217" i="18"/>
  <c r="I2217" i="18"/>
  <c r="J2217" i="18"/>
  <c r="A2218" i="18"/>
  <c r="B2218" i="18"/>
  <c r="C2218" i="18"/>
  <c r="D2218" i="18"/>
  <c r="E2218" i="18"/>
  <c r="F2218" i="18"/>
  <c r="G2218" i="18"/>
  <c r="H2218" i="18"/>
  <c r="I2218" i="18"/>
  <c r="J2218" i="18"/>
  <c r="A2219" i="18"/>
  <c r="B2219" i="18"/>
  <c r="C2219" i="18"/>
  <c r="D2219" i="18"/>
  <c r="E2219" i="18"/>
  <c r="F2219" i="18"/>
  <c r="G2219" i="18"/>
  <c r="H2219" i="18"/>
  <c r="I2219" i="18"/>
  <c r="J2219" i="18"/>
  <c r="A2220" i="18"/>
  <c r="B2220" i="18"/>
  <c r="C2220" i="18"/>
  <c r="D2220" i="18"/>
  <c r="E2220" i="18"/>
  <c r="F2220" i="18"/>
  <c r="G2220" i="18"/>
  <c r="H2220" i="18"/>
  <c r="I2220" i="18"/>
  <c r="J2220" i="18"/>
  <c r="A2221" i="18"/>
  <c r="B2221" i="18"/>
  <c r="C2221" i="18"/>
  <c r="D2221" i="18"/>
  <c r="E2221" i="18"/>
  <c r="F2221" i="18"/>
  <c r="G2221" i="18"/>
  <c r="H2221" i="18"/>
  <c r="I2221" i="18"/>
  <c r="J2221" i="18"/>
  <c r="A2222" i="18"/>
  <c r="B2222" i="18"/>
  <c r="C2222" i="18"/>
  <c r="D2222" i="18"/>
  <c r="E2222" i="18"/>
  <c r="F2222" i="18"/>
  <c r="G2222" i="18"/>
  <c r="H2222" i="18"/>
  <c r="I2222" i="18"/>
  <c r="J2222" i="18"/>
  <c r="A2223" i="18"/>
  <c r="B2223" i="18"/>
  <c r="C2223" i="18"/>
  <c r="D2223" i="18"/>
  <c r="E2223" i="18"/>
  <c r="F2223" i="18"/>
  <c r="G2223" i="18"/>
  <c r="H2223" i="18"/>
  <c r="I2223" i="18"/>
  <c r="J2223" i="18"/>
  <c r="A2224" i="18"/>
  <c r="B2224" i="18"/>
  <c r="C2224" i="18"/>
  <c r="D2224" i="18"/>
  <c r="E2224" i="18"/>
  <c r="F2224" i="18"/>
  <c r="G2224" i="18"/>
  <c r="H2224" i="18"/>
  <c r="I2224" i="18"/>
  <c r="J2224" i="18"/>
  <c r="A2225" i="18"/>
  <c r="B2225" i="18"/>
  <c r="C2225" i="18"/>
  <c r="D2225" i="18"/>
  <c r="E2225" i="18"/>
  <c r="F2225" i="18"/>
  <c r="G2225" i="18"/>
  <c r="H2225" i="18"/>
  <c r="I2225" i="18"/>
  <c r="J2225" i="18"/>
  <c r="A2226" i="18"/>
  <c r="B2226" i="18"/>
  <c r="C2226" i="18"/>
  <c r="D2226" i="18"/>
  <c r="E2226" i="18"/>
  <c r="F2226" i="18"/>
  <c r="G2226" i="18"/>
  <c r="H2226" i="18"/>
  <c r="I2226" i="18"/>
  <c r="J2226" i="18"/>
  <c r="A2227" i="18"/>
  <c r="B2227" i="18"/>
  <c r="C2227" i="18"/>
  <c r="D2227" i="18"/>
  <c r="E2227" i="18"/>
  <c r="F2227" i="18"/>
  <c r="G2227" i="18"/>
  <c r="H2227" i="18"/>
  <c r="I2227" i="18"/>
  <c r="J2227" i="18"/>
  <c r="A2228" i="18"/>
  <c r="B2228" i="18"/>
  <c r="C2228" i="18"/>
  <c r="D2228" i="18"/>
  <c r="E2228" i="18"/>
  <c r="F2228" i="18"/>
  <c r="G2228" i="18"/>
  <c r="H2228" i="18"/>
  <c r="I2228" i="18"/>
  <c r="J2228" i="18"/>
  <c r="A2229" i="18"/>
  <c r="B2229" i="18"/>
  <c r="C2229" i="18"/>
  <c r="D2229" i="18"/>
  <c r="E2229" i="18"/>
  <c r="F2229" i="18"/>
  <c r="G2229" i="18"/>
  <c r="H2229" i="18"/>
  <c r="I2229" i="18"/>
  <c r="J2229" i="18"/>
  <c r="A2230" i="18"/>
  <c r="B2230" i="18"/>
  <c r="C2230" i="18"/>
  <c r="D2230" i="18"/>
  <c r="E2230" i="18"/>
  <c r="F2230" i="18"/>
  <c r="G2230" i="18"/>
  <c r="H2230" i="18"/>
  <c r="I2230" i="18"/>
  <c r="J2230" i="18"/>
  <c r="A2231" i="18"/>
  <c r="B2231" i="18"/>
  <c r="C2231" i="18"/>
  <c r="D2231" i="18"/>
  <c r="E2231" i="18"/>
  <c r="F2231" i="18"/>
  <c r="G2231" i="18"/>
  <c r="H2231" i="18"/>
  <c r="I2231" i="18"/>
  <c r="J2231" i="18"/>
  <c r="A2232" i="18"/>
  <c r="B2232" i="18"/>
  <c r="C2232" i="18"/>
  <c r="D2232" i="18"/>
  <c r="E2232" i="18"/>
  <c r="F2232" i="18"/>
  <c r="G2232" i="18"/>
  <c r="H2232" i="18"/>
  <c r="I2232" i="18"/>
  <c r="J2232" i="18"/>
  <c r="A2233" i="18"/>
  <c r="B2233" i="18"/>
  <c r="C2233" i="18"/>
  <c r="D2233" i="18"/>
  <c r="E2233" i="18"/>
  <c r="F2233" i="18"/>
  <c r="G2233" i="18"/>
  <c r="H2233" i="18"/>
  <c r="I2233" i="18"/>
  <c r="J2233" i="18"/>
  <c r="A2234" i="18"/>
  <c r="B2234" i="18"/>
  <c r="C2234" i="18"/>
  <c r="D2234" i="18"/>
  <c r="E2234" i="18"/>
  <c r="F2234" i="18"/>
  <c r="G2234" i="18"/>
  <c r="H2234" i="18"/>
  <c r="I2234" i="18"/>
  <c r="J2234" i="18"/>
  <c r="A2235" i="18"/>
  <c r="B2235" i="18"/>
  <c r="C2235" i="18"/>
  <c r="D2235" i="18"/>
  <c r="E2235" i="18"/>
  <c r="F2235" i="18"/>
  <c r="G2235" i="18"/>
  <c r="H2235" i="18"/>
  <c r="I2235" i="18"/>
  <c r="J2235" i="18"/>
  <c r="A2236" i="18"/>
  <c r="B2236" i="18"/>
  <c r="C2236" i="18"/>
  <c r="D2236" i="18"/>
  <c r="E2236" i="18"/>
  <c r="F2236" i="18"/>
  <c r="G2236" i="18"/>
  <c r="H2236" i="18"/>
  <c r="I2236" i="18"/>
  <c r="J2236" i="18"/>
  <c r="A2237" i="18"/>
  <c r="B2237" i="18"/>
  <c r="C2237" i="18"/>
  <c r="D2237" i="18"/>
  <c r="E2237" i="18"/>
  <c r="F2237" i="18"/>
  <c r="G2237" i="18"/>
  <c r="H2237" i="18"/>
  <c r="I2237" i="18"/>
  <c r="J2237" i="18"/>
  <c r="A2238" i="18"/>
  <c r="B2238" i="18"/>
  <c r="C2238" i="18"/>
  <c r="D2238" i="18"/>
  <c r="E2238" i="18"/>
  <c r="F2238" i="18"/>
  <c r="G2238" i="18"/>
  <c r="H2238" i="18"/>
  <c r="I2238" i="18"/>
  <c r="J2238" i="18"/>
  <c r="A2239" i="18"/>
  <c r="B2239" i="18"/>
  <c r="C2239" i="18"/>
  <c r="D2239" i="18"/>
  <c r="E2239" i="18"/>
  <c r="F2239" i="18"/>
  <c r="G2239" i="18"/>
  <c r="H2239" i="18"/>
  <c r="I2239" i="18"/>
  <c r="J2239" i="18"/>
  <c r="A2240" i="18"/>
  <c r="B2240" i="18"/>
  <c r="C2240" i="18"/>
  <c r="D2240" i="18"/>
  <c r="E2240" i="18"/>
  <c r="F2240" i="18"/>
  <c r="G2240" i="18"/>
  <c r="H2240" i="18"/>
  <c r="I2240" i="18"/>
  <c r="J2240" i="18"/>
  <c r="A2241" i="18"/>
  <c r="B2241" i="18"/>
  <c r="C2241" i="18"/>
  <c r="D2241" i="18"/>
  <c r="E2241" i="18"/>
  <c r="F2241" i="18"/>
  <c r="G2241" i="18"/>
  <c r="H2241" i="18"/>
  <c r="I2241" i="18"/>
  <c r="J2241" i="18"/>
  <c r="A2242" i="18"/>
  <c r="B2242" i="18"/>
  <c r="C2242" i="18"/>
  <c r="D2242" i="18"/>
  <c r="E2242" i="18"/>
  <c r="F2242" i="18"/>
  <c r="G2242" i="18"/>
  <c r="H2242" i="18"/>
  <c r="I2242" i="18"/>
  <c r="J2242" i="18"/>
  <c r="A2243" i="18"/>
  <c r="B2243" i="18"/>
  <c r="C2243" i="18"/>
  <c r="D2243" i="18"/>
  <c r="E2243" i="18"/>
  <c r="F2243" i="18"/>
  <c r="G2243" i="18"/>
  <c r="H2243" i="18"/>
  <c r="I2243" i="18"/>
  <c r="J2243" i="18"/>
  <c r="A2244" i="18"/>
  <c r="B2244" i="18"/>
  <c r="C2244" i="18"/>
  <c r="D2244" i="18"/>
  <c r="E2244" i="18"/>
  <c r="F2244" i="18"/>
  <c r="G2244" i="18"/>
  <c r="H2244" i="18"/>
  <c r="I2244" i="18"/>
  <c r="J2244" i="18"/>
  <c r="A2245" i="18"/>
  <c r="B2245" i="18"/>
  <c r="C2245" i="18"/>
  <c r="D2245" i="18"/>
  <c r="E2245" i="18"/>
  <c r="F2245" i="18"/>
  <c r="G2245" i="18"/>
  <c r="H2245" i="18"/>
  <c r="I2245" i="18"/>
  <c r="J2245" i="18"/>
  <c r="A2246" i="18"/>
  <c r="B2246" i="18"/>
  <c r="C2246" i="18"/>
  <c r="D2246" i="18"/>
  <c r="E2246" i="18"/>
  <c r="F2246" i="18"/>
  <c r="G2246" i="18"/>
  <c r="H2246" i="18"/>
  <c r="I2246" i="18"/>
  <c r="J2246" i="18"/>
  <c r="A2247" i="18"/>
  <c r="B2247" i="18"/>
  <c r="C2247" i="18"/>
  <c r="D2247" i="18"/>
  <c r="E2247" i="18"/>
  <c r="F2247" i="18"/>
  <c r="G2247" i="18"/>
  <c r="H2247" i="18"/>
  <c r="I2247" i="18"/>
  <c r="J2247" i="18"/>
  <c r="A2248" i="18"/>
  <c r="B2248" i="18"/>
  <c r="C2248" i="18"/>
  <c r="D2248" i="18"/>
  <c r="E2248" i="18"/>
  <c r="F2248" i="18"/>
  <c r="G2248" i="18"/>
  <c r="H2248" i="18"/>
  <c r="I2248" i="18"/>
  <c r="J2248" i="18"/>
  <c r="A2249" i="18"/>
  <c r="B2249" i="18"/>
  <c r="C2249" i="18"/>
  <c r="D2249" i="18"/>
  <c r="E2249" i="18"/>
  <c r="F2249" i="18"/>
  <c r="G2249" i="18"/>
  <c r="H2249" i="18"/>
  <c r="I2249" i="18"/>
  <c r="J2249" i="18"/>
  <c r="A2250" i="18"/>
  <c r="B2250" i="18"/>
  <c r="C2250" i="18"/>
  <c r="D2250" i="18"/>
  <c r="E2250" i="18"/>
  <c r="F2250" i="18"/>
  <c r="G2250" i="18"/>
  <c r="H2250" i="18"/>
  <c r="I2250" i="18"/>
  <c r="J2250" i="18"/>
  <c r="A2251" i="18"/>
  <c r="B2251" i="18"/>
  <c r="C2251" i="18"/>
  <c r="D2251" i="18"/>
  <c r="E2251" i="18"/>
  <c r="F2251" i="18"/>
  <c r="G2251" i="18"/>
  <c r="H2251" i="18"/>
  <c r="I2251" i="18"/>
  <c r="J2251" i="18"/>
  <c r="A2252" i="18"/>
  <c r="B2252" i="18"/>
  <c r="C2252" i="18"/>
  <c r="D2252" i="18"/>
  <c r="E2252" i="18"/>
  <c r="F2252" i="18"/>
  <c r="G2252" i="18"/>
  <c r="H2252" i="18"/>
  <c r="I2252" i="18"/>
  <c r="J2252" i="18"/>
  <c r="A2253" i="18"/>
  <c r="B2253" i="18"/>
  <c r="C2253" i="18"/>
  <c r="D2253" i="18"/>
  <c r="E2253" i="18"/>
  <c r="F2253" i="18"/>
  <c r="G2253" i="18"/>
  <c r="H2253" i="18"/>
  <c r="I2253" i="18"/>
  <c r="J2253" i="18"/>
  <c r="A2254" i="18"/>
  <c r="B2254" i="18"/>
  <c r="C2254" i="18"/>
  <c r="D2254" i="18"/>
  <c r="E2254" i="18"/>
  <c r="F2254" i="18"/>
  <c r="G2254" i="18"/>
  <c r="H2254" i="18"/>
  <c r="I2254" i="18"/>
  <c r="J2254" i="18"/>
  <c r="A2255" i="18"/>
  <c r="B2255" i="18"/>
  <c r="C2255" i="18"/>
  <c r="D2255" i="18"/>
  <c r="E2255" i="18"/>
  <c r="F2255" i="18"/>
  <c r="G2255" i="18"/>
  <c r="H2255" i="18"/>
  <c r="I2255" i="18"/>
  <c r="J2255" i="18"/>
  <c r="A2256" i="18"/>
  <c r="B2256" i="18"/>
  <c r="C2256" i="18"/>
  <c r="D2256" i="18"/>
  <c r="E2256" i="18"/>
  <c r="F2256" i="18"/>
  <c r="G2256" i="18"/>
  <c r="H2256" i="18"/>
  <c r="I2256" i="18"/>
  <c r="J2256" i="18"/>
  <c r="A2257" i="18"/>
  <c r="B2257" i="18"/>
  <c r="C2257" i="18"/>
  <c r="D2257" i="18"/>
  <c r="E2257" i="18"/>
  <c r="F2257" i="18"/>
  <c r="G2257" i="18"/>
  <c r="H2257" i="18"/>
  <c r="I2257" i="18"/>
  <c r="J2257" i="18"/>
  <c r="A2258" i="18"/>
  <c r="B2258" i="18"/>
  <c r="C2258" i="18"/>
  <c r="D2258" i="18"/>
  <c r="E2258" i="18"/>
  <c r="F2258" i="18"/>
  <c r="G2258" i="18"/>
  <c r="H2258" i="18"/>
  <c r="I2258" i="18"/>
  <c r="J2258" i="18"/>
  <c r="A2259" i="18"/>
  <c r="B2259" i="18"/>
  <c r="C2259" i="18"/>
  <c r="D2259" i="18"/>
  <c r="E2259" i="18"/>
  <c r="F2259" i="18"/>
  <c r="G2259" i="18"/>
  <c r="H2259" i="18"/>
  <c r="I2259" i="18"/>
  <c r="J2259" i="18"/>
  <c r="A2260" i="18"/>
  <c r="B2260" i="18"/>
  <c r="C2260" i="18"/>
  <c r="D2260" i="18"/>
  <c r="E2260" i="18"/>
  <c r="F2260" i="18"/>
  <c r="G2260" i="18"/>
  <c r="H2260" i="18"/>
  <c r="I2260" i="18"/>
  <c r="J2260" i="18"/>
  <c r="A2261" i="18"/>
  <c r="B2261" i="18"/>
  <c r="C2261" i="18"/>
  <c r="D2261" i="18"/>
  <c r="E2261" i="18"/>
  <c r="F2261" i="18"/>
  <c r="G2261" i="18"/>
  <c r="H2261" i="18"/>
  <c r="I2261" i="18"/>
  <c r="J2261" i="18"/>
  <c r="A2262" i="18"/>
  <c r="B2262" i="18"/>
  <c r="C2262" i="18"/>
  <c r="D2262" i="18"/>
  <c r="E2262" i="18"/>
  <c r="F2262" i="18"/>
  <c r="G2262" i="18"/>
  <c r="H2262" i="18"/>
  <c r="I2262" i="18"/>
  <c r="J2262" i="18"/>
  <c r="A2263" i="18"/>
  <c r="B2263" i="18"/>
  <c r="C2263" i="18"/>
  <c r="D2263" i="18"/>
  <c r="E2263" i="18"/>
  <c r="F2263" i="18"/>
  <c r="G2263" i="18"/>
  <c r="H2263" i="18"/>
  <c r="I2263" i="18"/>
  <c r="J2263" i="18"/>
  <c r="A2264" i="18"/>
  <c r="B2264" i="18"/>
  <c r="C2264" i="18"/>
  <c r="D2264" i="18"/>
  <c r="E2264" i="18"/>
  <c r="F2264" i="18"/>
  <c r="G2264" i="18"/>
  <c r="H2264" i="18"/>
  <c r="I2264" i="18"/>
  <c r="J2264" i="18"/>
  <c r="A2265" i="18"/>
  <c r="B2265" i="18"/>
  <c r="C2265" i="18"/>
  <c r="D2265" i="18"/>
  <c r="E2265" i="18"/>
  <c r="F2265" i="18"/>
  <c r="G2265" i="18"/>
  <c r="H2265" i="18"/>
  <c r="I2265" i="18"/>
  <c r="J2265" i="18"/>
  <c r="A2266" i="18"/>
  <c r="B2266" i="18"/>
  <c r="C2266" i="18"/>
  <c r="D2266" i="18"/>
  <c r="E2266" i="18"/>
  <c r="F2266" i="18"/>
  <c r="G2266" i="18"/>
  <c r="H2266" i="18"/>
  <c r="I2266" i="18"/>
  <c r="J2266" i="18"/>
  <c r="A2267" i="18"/>
  <c r="B2267" i="18"/>
  <c r="C2267" i="18"/>
  <c r="D2267" i="18"/>
  <c r="E2267" i="18"/>
  <c r="F2267" i="18"/>
  <c r="G2267" i="18"/>
  <c r="H2267" i="18"/>
  <c r="I2267" i="18"/>
  <c r="J2267" i="18"/>
  <c r="A2268" i="18"/>
  <c r="B2268" i="18"/>
  <c r="C2268" i="18"/>
  <c r="D2268" i="18"/>
  <c r="E2268" i="18"/>
  <c r="F2268" i="18"/>
  <c r="G2268" i="18"/>
  <c r="H2268" i="18"/>
  <c r="I2268" i="18"/>
  <c r="J2268" i="18"/>
  <c r="A2269" i="18"/>
  <c r="B2269" i="18"/>
  <c r="C2269" i="18"/>
  <c r="D2269" i="18"/>
  <c r="E2269" i="18"/>
  <c r="F2269" i="18"/>
  <c r="G2269" i="18"/>
  <c r="H2269" i="18"/>
  <c r="I2269" i="18"/>
  <c r="J2269" i="18"/>
  <c r="A2270" i="18"/>
  <c r="B2270" i="18"/>
  <c r="C2270" i="18"/>
  <c r="D2270" i="18"/>
  <c r="E2270" i="18"/>
  <c r="F2270" i="18"/>
  <c r="G2270" i="18"/>
  <c r="H2270" i="18"/>
  <c r="I2270" i="18"/>
  <c r="J2270" i="18"/>
  <c r="A2271" i="18"/>
  <c r="B2271" i="18"/>
  <c r="C2271" i="18"/>
  <c r="D2271" i="18"/>
  <c r="E2271" i="18"/>
  <c r="F2271" i="18"/>
  <c r="G2271" i="18"/>
  <c r="H2271" i="18"/>
  <c r="I2271" i="18"/>
  <c r="J2271" i="18"/>
  <c r="A2272" i="18"/>
  <c r="B2272" i="18"/>
  <c r="C2272" i="18"/>
  <c r="D2272" i="18"/>
  <c r="E2272" i="18"/>
  <c r="F2272" i="18"/>
  <c r="G2272" i="18"/>
  <c r="H2272" i="18"/>
  <c r="I2272" i="18"/>
  <c r="J2272" i="18"/>
  <c r="A2273" i="18"/>
  <c r="B2273" i="18"/>
  <c r="C2273" i="18"/>
  <c r="D2273" i="18"/>
  <c r="E2273" i="18"/>
  <c r="F2273" i="18"/>
  <c r="G2273" i="18"/>
  <c r="H2273" i="18"/>
  <c r="I2273" i="18"/>
  <c r="J2273" i="18"/>
  <c r="A2274" i="18"/>
  <c r="B2274" i="18"/>
  <c r="C2274" i="18"/>
  <c r="D2274" i="18"/>
  <c r="E2274" i="18"/>
  <c r="F2274" i="18"/>
  <c r="G2274" i="18"/>
  <c r="H2274" i="18"/>
  <c r="I2274" i="18"/>
  <c r="J2274" i="18"/>
  <c r="A2275" i="18"/>
  <c r="B2275" i="18"/>
  <c r="C2275" i="18"/>
  <c r="D2275" i="18"/>
  <c r="E2275" i="18"/>
  <c r="F2275" i="18"/>
  <c r="G2275" i="18"/>
  <c r="H2275" i="18"/>
  <c r="I2275" i="18"/>
  <c r="J2275" i="18"/>
  <c r="A2276" i="18"/>
  <c r="B2276" i="18"/>
  <c r="C2276" i="18"/>
  <c r="D2276" i="18"/>
  <c r="E2276" i="18"/>
  <c r="F2276" i="18"/>
  <c r="G2276" i="18"/>
  <c r="H2276" i="18"/>
  <c r="I2276" i="18"/>
  <c r="J2276" i="18"/>
  <c r="A2277" i="18"/>
  <c r="B2277" i="18"/>
  <c r="C2277" i="18"/>
  <c r="D2277" i="18"/>
  <c r="E2277" i="18"/>
  <c r="F2277" i="18"/>
  <c r="G2277" i="18"/>
  <c r="H2277" i="18"/>
  <c r="I2277" i="18"/>
  <c r="J2277" i="18"/>
  <c r="A2278" i="18"/>
  <c r="B2278" i="18"/>
  <c r="C2278" i="18"/>
  <c r="D2278" i="18"/>
  <c r="E2278" i="18"/>
  <c r="F2278" i="18"/>
  <c r="G2278" i="18"/>
  <c r="H2278" i="18"/>
  <c r="I2278" i="18"/>
  <c r="J2278" i="18"/>
  <c r="A2279" i="18"/>
  <c r="B2279" i="18"/>
  <c r="C2279" i="18"/>
  <c r="D2279" i="18"/>
  <c r="E2279" i="18"/>
  <c r="F2279" i="18"/>
  <c r="G2279" i="18"/>
  <c r="H2279" i="18"/>
  <c r="I2279" i="18"/>
  <c r="J2279" i="18"/>
  <c r="A2280" i="18"/>
  <c r="B2280" i="18"/>
  <c r="C2280" i="18"/>
  <c r="D2280" i="18"/>
  <c r="E2280" i="18"/>
  <c r="F2280" i="18"/>
  <c r="G2280" i="18"/>
  <c r="H2280" i="18"/>
  <c r="I2280" i="18"/>
  <c r="J2280" i="18"/>
  <c r="A2281" i="18"/>
  <c r="B2281" i="18"/>
  <c r="C2281" i="18"/>
  <c r="D2281" i="18"/>
  <c r="E2281" i="18"/>
  <c r="F2281" i="18"/>
  <c r="G2281" i="18"/>
  <c r="H2281" i="18"/>
  <c r="I2281" i="18"/>
  <c r="J2281" i="18"/>
  <c r="A2282" i="18"/>
  <c r="B2282" i="18"/>
  <c r="C2282" i="18"/>
  <c r="D2282" i="18"/>
  <c r="E2282" i="18"/>
  <c r="F2282" i="18"/>
  <c r="G2282" i="18"/>
  <c r="H2282" i="18"/>
  <c r="I2282" i="18"/>
  <c r="J2282" i="18"/>
  <c r="A2283" i="18"/>
  <c r="B2283" i="18"/>
  <c r="C2283" i="18"/>
  <c r="D2283" i="18"/>
  <c r="E2283" i="18"/>
  <c r="F2283" i="18"/>
  <c r="G2283" i="18"/>
  <c r="H2283" i="18"/>
  <c r="I2283" i="18"/>
  <c r="J2283" i="18"/>
  <c r="A2284" i="18"/>
  <c r="B2284" i="18"/>
  <c r="C2284" i="18"/>
  <c r="D2284" i="18"/>
  <c r="E2284" i="18"/>
  <c r="F2284" i="18"/>
  <c r="G2284" i="18"/>
  <c r="H2284" i="18"/>
  <c r="I2284" i="18"/>
  <c r="J2284" i="18"/>
  <c r="A2285" i="18"/>
  <c r="B2285" i="18"/>
  <c r="C2285" i="18"/>
  <c r="D2285" i="18"/>
  <c r="E2285" i="18"/>
  <c r="F2285" i="18"/>
  <c r="G2285" i="18"/>
  <c r="H2285" i="18"/>
  <c r="I2285" i="18"/>
  <c r="J2285" i="18"/>
  <c r="A2286" i="18"/>
  <c r="B2286" i="18"/>
  <c r="C2286" i="18"/>
  <c r="D2286" i="18"/>
  <c r="E2286" i="18"/>
  <c r="F2286" i="18"/>
  <c r="G2286" i="18"/>
  <c r="H2286" i="18"/>
  <c r="I2286" i="18"/>
  <c r="J2286" i="18"/>
  <c r="A2287" i="18"/>
  <c r="B2287" i="18"/>
  <c r="C2287" i="18"/>
  <c r="D2287" i="18"/>
  <c r="E2287" i="18"/>
  <c r="F2287" i="18"/>
  <c r="G2287" i="18"/>
  <c r="H2287" i="18"/>
  <c r="I2287" i="18"/>
  <c r="J2287" i="18"/>
  <c r="A2288" i="18"/>
  <c r="B2288" i="18"/>
  <c r="C2288" i="18"/>
  <c r="D2288" i="18"/>
  <c r="E2288" i="18"/>
  <c r="F2288" i="18"/>
  <c r="G2288" i="18"/>
  <c r="H2288" i="18"/>
  <c r="I2288" i="18"/>
  <c r="J2288" i="18"/>
  <c r="A2289" i="18"/>
  <c r="B2289" i="18"/>
  <c r="C2289" i="18"/>
  <c r="D2289" i="18"/>
  <c r="E2289" i="18"/>
  <c r="F2289" i="18"/>
  <c r="G2289" i="18"/>
  <c r="H2289" i="18"/>
  <c r="I2289" i="18"/>
  <c r="J2289" i="18"/>
  <c r="A2290" i="18"/>
  <c r="B2290" i="18"/>
  <c r="C2290" i="18"/>
  <c r="D2290" i="18"/>
  <c r="E2290" i="18"/>
  <c r="F2290" i="18"/>
  <c r="G2290" i="18"/>
  <c r="H2290" i="18"/>
  <c r="I2290" i="18"/>
  <c r="J2290" i="18"/>
  <c r="A2291" i="18"/>
  <c r="B2291" i="18"/>
  <c r="C2291" i="18"/>
  <c r="D2291" i="18"/>
  <c r="E2291" i="18"/>
  <c r="F2291" i="18"/>
  <c r="G2291" i="18"/>
  <c r="H2291" i="18"/>
  <c r="I2291" i="18"/>
  <c r="J2291" i="18"/>
  <c r="A2292" i="18"/>
  <c r="B2292" i="18"/>
  <c r="C2292" i="18"/>
  <c r="D2292" i="18"/>
  <c r="E2292" i="18"/>
  <c r="F2292" i="18"/>
  <c r="G2292" i="18"/>
  <c r="H2292" i="18"/>
  <c r="I2292" i="18"/>
  <c r="J2292" i="18"/>
  <c r="A2293" i="18"/>
  <c r="B2293" i="18"/>
  <c r="C2293" i="18"/>
  <c r="D2293" i="18"/>
  <c r="E2293" i="18"/>
  <c r="F2293" i="18"/>
  <c r="G2293" i="18"/>
  <c r="H2293" i="18"/>
  <c r="I2293" i="18"/>
  <c r="J2293" i="18"/>
  <c r="A2294" i="18"/>
  <c r="B2294" i="18"/>
  <c r="C2294" i="18"/>
  <c r="D2294" i="18"/>
  <c r="E2294" i="18"/>
  <c r="F2294" i="18"/>
  <c r="G2294" i="18"/>
  <c r="H2294" i="18"/>
  <c r="I2294" i="18"/>
  <c r="J2294" i="18"/>
  <c r="A2295" i="18"/>
  <c r="B2295" i="18"/>
  <c r="C2295" i="18"/>
  <c r="D2295" i="18"/>
  <c r="E2295" i="18"/>
  <c r="F2295" i="18"/>
  <c r="G2295" i="18"/>
  <c r="H2295" i="18"/>
  <c r="I2295" i="18"/>
  <c r="J2295" i="18"/>
  <c r="A2296" i="18"/>
  <c r="B2296" i="18"/>
  <c r="C2296" i="18"/>
  <c r="D2296" i="18"/>
  <c r="E2296" i="18"/>
  <c r="F2296" i="18"/>
  <c r="G2296" i="18"/>
  <c r="H2296" i="18"/>
  <c r="I2296" i="18"/>
  <c r="J2296" i="18"/>
  <c r="A2297" i="18"/>
  <c r="B2297" i="18"/>
  <c r="C2297" i="18"/>
  <c r="D2297" i="18"/>
  <c r="E2297" i="18"/>
  <c r="F2297" i="18"/>
  <c r="G2297" i="18"/>
  <c r="H2297" i="18"/>
  <c r="I2297" i="18"/>
  <c r="J2297" i="18"/>
  <c r="A2298" i="18"/>
  <c r="B2298" i="18"/>
  <c r="C2298" i="18"/>
  <c r="D2298" i="18"/>
  <c r="E2298" i="18"/>
  <c r="F2298" i="18"/>
  <c r="G2298" i="18"/>
  <c r="H2298" i="18"/>
  <c r="I2298" i="18"/>
  <c r="J2298" i="18"/>
  <c r="A2299" i="18"/>
  <c r="B2299" i="18"/>
  <c r="C2299" i="18"/>
  <c r="D2299" i="18"/>
  <c r="E2299" i="18"/>
  <c r="F2299" i="18"/>
  <c r="G2299" i="18"/>
  <c r="H2299" i="18"/>
  <c r="I2299" i="18"/>
  <c r="J2299" i="18"/>
  <c r="A2300" i="18"/>
  <c r="B2300" i="18"/>
  <c r="C2300" i="18"/>
  <c r="D2300" i="18"/>
  <c r="E2300" i="18"/>
  <c r="F2300" i="18"/>
  <c r="G2300" i="18"/>
  <c r="H2300" i="18"/>
  <c r="I2300" i="18"/>
  <c r="J2300" i="18"/>
  <c r="A2301" i="18"/>
  <c r="B2301" i="18"/>
  <c r="C2301" i="18"/>
  <c r="D2301" i="18"/>
  <c r="E2301" i="18"/>
  <c r="F2301" i="18"/>
  <c r="G2301" i="18"/>
  <c r="H2301" i="18"/>
  <c r="I2301" i="18"/>
  <c r="J2301" i="18"/>
  <c r="A2302" i="18"/>
  <c r="B2302" i="18"/>
  <c r="C2302" i="18"/>
  <c r="D2302" i="18"/>
  <c r="E2302" i="18"/>
  <c r="F2302" i="18"/>
  <c r="G2302" i="18"/>
  <c r="H2302" i="18"/>
  <c r="I2302" i="18"/>
  <c r="J2302" i="18"/>
  <c r="A2303" i="18"/>
  <c r="B2303" i="18"/>
  <c r="C2303" i="18"/>
  <c r="D2303" i="18"/>
  <c r="E2303" i="18"/>
  <c r="F2303" i="18"/>
  <c r="G2303" i="18"/>
  <c r="H2303" i="18"/>
  <c r="I2303" i="18"/>
  <c r="J2303" i="18"/>
  <c r="A2304" i="18"/>
  <c r="B2304" i="18"/>
  <c r="C2304" i="18"/>
  <c r="D2304" i="18"/>
  <c r="E2304" i="18"/>
  <c r="F2304" i="18"/>
  <c r="G2304" i="18"/>
  <c r="H2304" i="18"/>
  <c r="I2304" i="18"/>
  <c r="J2304" i="18"/>
  <c r="A2305" i="18"/>
  <c r="B2305" i="18"/>
  <c r="C2305" i="18"/>
  <c r="D2305" i="18"/>
  <c r="E2305" i="18"/>
  <c r="F2305" i="18"/>
  <c r="G2305" i="18"/>
  <c r="H2305" i="18"/>
  <c r="I2305" i="18"/>
  <c r="J2305" i="18"/>
  <c r="A2306" i="18"/>
  <c r="B2306" i="18"/>
  <c r="C2306" i="18"/>
  <c r="D2306" i="18"/>
  <c r="E2306" i="18"/>
  <c r="F2306" i="18"/>
  <c r="G2306" i="18"/>
  <c r="H2306" i="18"/>
  <c r="I2306" i="18"/>
  <c r="J2306" i="18"/>
  <c r="A2307" i="18"/>
  <c r="B2307" i="18"/>
  <c r="C2307" i="18"/>
  <c r="D2307" i="18"/>
  <c r="E2307" i="18"/>
  <c r="F2307" i="18"/>
  <c r="G2307" i="18"/>
  <c r="H2307" i="18"/>
  <c r="I2307" i="18"/>
  <c r="J2307" i="18"/>
  <c r="A2308" i="18"/>
  <c r="B2308" i="18"/>
  <c r="C2308" i="18"/>
  <c r="D2308" i="18"/>
  <c r="E2308" i="18"/>
  <c r="F2308" i="18"/>
  <c r="G2308" i="18"/>
  <c r="H2308" i="18"/>
  <c r="I2308" i="18"/>
  <c r="J2308" i="18"/>
  <c r="A2309" i="18"/>
  <c r="B2309" i="18"/>
  <c r="C2309" i="18"/>
  <c r="D2309" i="18"/>
  <c r="E2309" i="18"/>
  <c r="F2309" i="18"/>
  <c r="G2309" i="18"/>
  <c r="H2309" i="18"/>
  <c r="I2309" i="18"/>
  <c r="J2309" i="18"/>
  <c r="A2310" i="18"/>
  <c r="B2310" i="18"/>
  <c r="C2310" i="18"/>
  <c r="D2310" i="18"/>
  <c r="E2310" i="18"/>
  <c r="F2310" i="18"/>
  <c r="G2310" i="18"/>
  <c r="H2310" i="18"/>
  <c r="I2310" i="18"/>
  <c r="J2310" i="18"/>
  <c r="A2311" i="18"/>
  <c r="B2311" i="18"/>
  <c r="C2311" i="18"/>
  <c r="D2311" i="18"/>
  <c r="E2311" i="18"/>
  <c r="F2311" i="18"/>
  <c r="G2311" i="18"/>
  <c r="H2311" i="18"/>
  <c r="I2311" i="18"/>
  <c r="J2311" i="18"/>
  <c r="A2312" i="18"/>
  <c r="B2312" i="18"/>
  <c r="C2312" i="18"/>
  <c r="D2312" i="18"/>
  <c r="E2312" i="18"/>
  <c r="F2312" i="18"/>
  <c r="G2312" i="18"/>
  <c r="H2312" i="18"/>
  <c r="I2312" i="18"/>
  <c r="J2312" i="18"/>
  <c r="A2313" i="18"/>
  <c r="B2313" i="18"/>
  <c r="C2313" i="18"/>
  <c r="D2313" i="18"/>
  <c r="E2313" i="18"/>
  <c r="F2313" i="18"/>
  <c r="G2313" i="18"/>
  <c r="H2313" i="18"/>
  <c r="I2313" i="18"/>
  <c r="J2313" i="18"/>
  <c r="A2314" i="18"/>
  <c r="B2314" i="18"/>
  <c r="C2314" i="18"/>
  <c r="D2314" i="18"/>
  <c r="E2314" i="18"/>
  <c r="F2314" i="18"/>
  <c r="G2314" i="18"/>
  <c r="H2314" i="18"/>
  <c r="I2314" i="18"/>
  <c r="J2314" i="18"/>
  <c r="A2315" i="18"/>
  <c r="B2315" i="18"/>
  <c r="C2315" i="18"/>
  <c r="D2315" i="18"/>
  <c r="E2315" i="18"/>
  <c r="F2315" i="18"/>
  <c r="G2315" i="18"/>
  <c r="H2315" i="18"/>
  <c r="I2315" i="18"/>
  <c r="J2315" i="18"/>
  <c r="A2316" i="18"/>
  <c r="B2316" i="18"/>
  <c r="C2316" i="18"/>
  <c r="D2316" i="18"/>
  <c r="E2316" i="18"/>
  <c r="F2316" i="18"/>
  <c r="G2316" i="18"/>
  <c r="H2316" i="18"/>
  <c r="I2316" i="18"/>
  <c r="J2316" i="18"/>
  <c r="A2317" i="18"/>
  <c r="B2317" i="18"/>
  <c r="C2317" i="18"/>
  <c r="D2317" i="18"/>
  <c r="E2317" i="18"/>
  <c r="F2317" i="18"/>
  <c r="G2317" i="18"/>
  <c r="H2317" i="18"/>
  <c r="I2317" i="18"/>
  <c r="J2317" i="18"/>
  <c r="A2318" i="18"/>
  <c r="B2318" i="18"/>
  <c r="C2318" i="18"/>
  <c r="D2318" i="18"/>
  <c r="E2318" i="18"/>
  <c r="F2318" i="18"/>
  <c r="G2318" i="18"/>
  <c r="H2318" i="18"/>
  <c r="I2318" i="18"/>
  <c r="J2318" i="18"/>
  <c r="A2319" i="18"/>
  <c r="B2319" i="18"/>
  <c r="C2319" i="18"/>
  <c r="D2319" i="18"/>
  <c r="E2319" i="18"/>
  <c r="F2319" i="18"/>
  <c r="G2319" i="18"/>
  <c r="H2319" i="18"/>
  <c r="I2319" i="18"/>
  <c r="J2319" i="18"/>
  <c r="A2320" i="18"/>
  <c r="B2320" i="18"/>
  <c r="C2320" i="18"/>
  <c r="D2320" i="18"/>
  <c r="E2320" i="18"/>
  <c r="F2320" i="18"/>
  <c r="G2320" i="18"/>
  <c r="H2320" i="18"/>
  <c r="I2320" i="18"/>
  <c r="J2320" i="18"/>
  <c r="A2321" i="18"/>
  <c r="B2321" i="18"/>
  <c r="C2321" i="18"/>
  <c r="D2321" i="18"/>
  <c r="E2321" i="18"/>
  <c r="F2321" i="18"/>
  <c r="G2321" i="18"/>
  <c r="H2321" i="18"/>
  <c r="I2321" i="18"/>
  <c r="J2321" i="18"/>
  <c r="A2322" i="18"/>
  <c r="B2322" i="18"/>
  <c r="C2322" i="18"/>
  <c r="D2322" i="18"/>
  <c r="E2322" i="18"/>
  <c r="F2322" i="18"/>
  <c r="G2322" i="18"/>
  <c r="H2322" i="18"/>
  <c r="I2322" i="18"/>
  <c r="J2322" i="18"/>
  <c r="A2323" i="18"/>
  <c r="B2323" i="18"/>
  <c r="C2323" i="18"/>
  <c r="D2323" i="18"/>
  <c r="E2323" i="18"/>
  <c r="F2323" i="18"/>
  <c r="G2323" i="18"/>
  <c r="H2323" i="18"/>
  <c r="I2323" i="18"/>
  <c r="J2323" i="18"/>
  <c r="A2324" i="18"/>
  <c r="B2324" i="18"/>
  <c r="C2324" i="18"/>
  <c r="D2324" i="18"/>
  <c r="E2324" i="18"/>
  <c r="F2324" i="18"/>
  <c r="G2324" i="18"/>
  <c r="H2324" i="18"/>
  <c r="I2324" i="18"/>
  <c r="J2324" i="18"/>
  <c r="A2325" i="18"/>
  <c r="B2325" i="18"/>
  <c r="C2325" i="18"/>
  <c r="D2325" i="18"/>
  <c r="E2325" i="18"/>
  <c r="F2325" i="18"/>
  <c r="G2325" i="18"/>
  <c r="H2325" i="18"/>
  <c r="I2325" i="18"/>
  <c r="J2325" i="18"/>
  <c r="A2326" i="18"/>
  <c r="B2326" i="18"/>
  <c r="C2326" i="18"/>
  <c r="D2326" i="18"/>
  <c r="E2326" i="18"/>
  <c r="F2326" i="18"/>
  <c r="G2326" i="18"/>
  <c r="H2326" i="18"/>
  <c r="I2326" i="18"/>
  <c r="J2326" i="18"/>
  <c r="A2327" i="18"/>
  <c r="B2327" i="18"/>
  <c r="C2327" i="18"/>
  <c r="D2327" i="18"/>
  <c r="E2327" i="18"/>
  <c r="F2327" i="18"/>
  <c r="G2327" i="18"/>
  <c r="H2327" i="18"/>
  <c r="I2327" i="18"/>
  <c r="J2327" i="18"/>
  <c r="A2328" i="18"/>
  <c r="B2328" i="18"/>
  <c r="C2328" i="18"/>
  <c r="D2328" i="18"/>
  <c r="E2328" i="18"/>
  <c r="F2328" i="18"/>
  <c r="G2328" i="18"/>
  <c r="H2328" i="18"/>
  <c r="I2328" i="18"/>
  <c r="J2328" i="18"/>
  <c r="A2329" i="18"/>
  <c r="B2329" i="18"/>
  <c r="C2329" i="18"/>
  <c r="D2329" i="18"/>
  <c r="E2329" i="18"/>
  <c r="F2329" i="18"/>
  <c r="G2329" i="18"/>
  <c r="H2329" i="18"/>
  <c r="I2329" i="18"/>
  <c r="J2329" i="18"/>
  <c r="A2330" i="18"/>
  <c r="B2330" i="18"/>
  <c r="C2330" i="18"/>
  <c r="D2330" i="18"/>
  <c r="E2330" i="18"/>
  <c r="F2330" i="18"/>
  <c r="G2330" i="18"/>
  <c r="H2330" i="18"/>
  <c r="I2330" i="18"/>
  <c r="J2330" i="18"/>
  <c r="A2331" i="18"/>
  <c r="B2331" i="18"/>
  <c r="C2331" i="18"/>
  <c r="D2331" i="18"/>
  <c r="E2331" i="18"/>
  <c r="F2331" i="18"/>
  <c r="G2331" i="18"/>
  <c r="H2331" i="18"/>
  <c r="I2331" i="18"/>
  <c r="J2331" i="18"/>
  <c r="A2332" i="18"/>
  <c r="B2332" i="18"/>
  <c r="C2332" i="18"/>
  <c r="D2332" i="18"/>
  <c r="E2332" i="18"/>
  <c r="F2332" i="18"/>
  <c r="G2332" i="18"/>
  <c r="H2332" i="18"/>
  <c r="I2332" i="18"/>
  <c r="J2332" i="18"/>
  <c r="A2333" i="18"/>
  <c r="B2333" i="18"/>
  <c r="C2333" i="18"/>
  <c r="D2333" i="18"/>
  <c r="E2333" i="18"/>
  <c r="F2333" i="18"/>
  <c r="G2333" i="18"/>
  <c r="H2333" i="18"/>
  <c r="I2333" i="18"/>
  <c r="J2333" i="18"/>
  <c r="A2334" i="18"/>
  <c r="B2334" i="18"/>
  <c r="C2334" i="18"/>
  <c r="D2334" i="18"/>
  <c r="E2334" i="18"/>
  <c r="F2334" i="18"/>
  <c r="G2334" i="18"/>
  <c r="H2334" i="18"/>
  <c r="I2334" i="18"/>
  <c r="J2334" i="18"/>
  <c r="A2335" i="18"/>
  <c r="B2335" i="18"/>
  <c r="C2335" i="18"/>
  <c r="D2335" i="18"/>
  <c r="E2335" i="18"/>
  <c r="F2335" i="18"/>
  <c r="G2335" i="18"/>
  <c r="H2335" i="18"/>
  <c r="I2335" i="18"/>
  <c r="J2335" i="18"/>
  <c r="A2336" i="18"/>
  <c r="B2336" i="18"/>
  <c r="C2336" i="18"/>
  <c r="D2336" i="18"/>
  <c r="E2336" i="18"/>
  <c r="F2336" i="18"/>
  <c r="G2336" i="18"/>
  <c r="H2336" i="18"/>
  <c r="I2336" i="18"/>
  <c r="J2336" i="18"/>
  <c r="A2337" i="18"/>
  <c r="B2337" i="18"/>
  <c r="C2337" i="18"/>
  <c r="D2337" i="18"/>
  <c r="E2337" i="18"/>
  <c r="F2337" i="18"/>
  <c r="G2337" i="18"/>
  <c r="H2337" i="18"/>
  <c r="I2337" i="18"/>
  <c r="J2337" i="18"/>
  <c r="A2338" i="18"/>
  <c r="B2338" i="18"/>
  <c r="C2338" i="18"/>
  <c r="D2338" i="18"/>
  <c r="E2338" i="18"/>
  <c r="F2338" i="18"/>
  <c r="G2338" i="18"/>
  <c r="H2338" i="18"/>
  <c r="I2338" i="18"/>
  <c r="J2338" i="18"/>
  <c r="A2339" i="18"/>
  <c r="B2339" i="18"/>
  <c r="C2339" i="18"/>
  <c r="D2339" i="18"/>
  <c r="E2339" i="18"/>
  <c r="F2339" i="18"/>
  <c r="G2339" i="18"/>
  <c r="H2339" i="18"/>
  <c r="I2339" i="18"/>
  <c r="J2339" i="18"/>
  <c r="A2340" i="18"/>
  <c r="B2340" i="18"/>
  <c r="C2340" i="18"/>
  <c r="D2340" i="18"/>
  <c r="E2340" i="18"/>
  <c r="F2340" i="18"/>
  <c r="G2340" i="18"/>
  <c r="H2340" i="18"/>
  <c r="I2340" i="18"/>
  <c r="J2340" i="18"/>
  <c r="A2341" i="18"/>
  <c r="B2341" i="18"/>
  <c r="C2341" i="18"/>
  <c r="D2341" i="18"/>
  <c r="E2341" i="18"/>
  <c r="F2341" i="18"/>
  <c r="G2341" i="18"/>
  <c r="H2341" i="18"/>
  <c r="I2341" i="18"/>
  <c r="J2341" i="18"/>
  <c r="A2342" i="18"/>
  <c r="B2342" i="18"/>
  <c r="C2342" i="18"/>
  <c r="D2342" i="18"/>
  <c r="E2342" i="18"/>
  <c r="F2342" i="18"/>
  <c r="G2342" i="18"/>
  <c r="H2342" i="18"/>
  <c r="I2342" i="18"/>
  <c r="J2342" i="18"/>
  <c r="A2343" i="18"/>
  <c r="B2343" i="18"/>
  <c r="C2343" i="18"/>
  <c r="D2343" i="18"/>
  <c r="E2343" i="18"/>
  <c r="F2343" i="18"/>
  <c r="G2343" i="18"/>
  <c r="H2343" i="18"/>
  <c r="I2343" i="18"/>
  <c r="J2343" i="18"/>
  <c r="A2344" i="18"/>
  <c r="B2344" i="18"/>
  <c r="C2344" i="18"/>
  <c r="D2344" i="18"/>
  <c r="E2344" i="18"/>
  <c r="F2344" i="18"/>
  <c r="G2344" i="18"/>
  <c r="H2344" i="18"/>
  <c r="I2344" i="18"/>
  <c r="J2344" i="18"/>
  <c r="A2345" i="18"/>
  <c r="B2345" i="18"/>
  <c r="C2345" i="18"/>
  <c r="D2345" i="18"/>
  <c r="E2345" i="18"/>
  <c r="F2345" i="18"/>
  <c r="G2345" i="18"/>
  <c r="H2345" i="18"/>
  <c r="I2345" i="18"/>
  <c r="J2345" i="18"/>
  <c r="A2346" i="18"/>
  <c r="B2346" i="18"/>
  <c r="C2346" i="18"/>
  <c r="D2346" i="18"/>
  <c r="E2346" i="18"/>
  <c r="F2346" i="18"/>
  <c r="G2346" i="18"/>
  <c r="H2346" i="18"/>
  <c r="I2346" i="18"/>
  <c r="J2346" i="18"/>
  <c r="A2347" i="18"/>
  <c r="B2347" i="18"/>
  <c r="C2347" i="18"/>
  <c r="D2347" i="18"/>
  <c r="E2347" i="18"/>
  <c r="F2347" i="18"/>
  <c r="G2347" i="18"/>
  <c r="H2347" i="18"/>
  <c r="I2347" i="18"/>
  <c r="J2347" i="18"/>
  <c r="A2348" i="18"/>
  <c r="B2348" i="18"/>
  <c r="C2348" i="18"/>
  <c r="D2348" i="18"/>
  <c r="E2348" i="18"/>
  <c r="F2348" i="18"/>
  <c r="G2348" i="18"/>
  <c r="H2348" i="18"/>
  <c r="I2348" i="18"/>
  <c r="J2348" i="18"/>
  <c r="A2349" i="18"/>
  <c r="B2349" i="18"/>
  <c r="C2349" i="18"/>
  <c r="D2349" i="18"/>
  <c r="E2349" i="18"/>
  <c r="F2349" i="18"/>
  <c r="G2349" i="18"/>
  <c r="H2349" i="18"/>
  <c r="I2349" i="18"/>
  <c r="J2349" i="18"/>
  <c r="A2350" i="18"/>
  <c r="B2350" i="18"/>
  <c r="C2350" i="18"/>
  <c r="D2350" i="18"/>
  <c r="E2350" i="18"/>
  <c r="F2350" i="18"/>
  <c r="G2350" i="18"/>
  <c r="H2350" i="18"/>
  <c r="I2350" i="18"/>
  <c r="J2350" i="18"/>
  <c r="A2351" i="18"/>
  <c r="B2351" i="18"/>
  <c r="C2351" i="18"/>
  <c r="D2351" i="18"/>
  <c r="E2351" i="18"/>
  <c r="F2351" i="18"/>
  <c r="G2351" i="18"/>
  <c r="H2351" i="18"/>
  <c r="I2351" i="18"/>
  <c r="J2351" i="18"/>
  <c r="A2352" i="18"/>
  <c r="B2352" i="18"/>
  <c r="C2352" i="18"/>
  <c r="D2352" i="18"/>
  <c r="E2352" i="18"/>
  <c r="F2352" i="18"/>
  <c r="G2352" i="18"/>
  <c r="H2352" i="18"/>
  <c r="I2352" i="18"/>
  <c r="J2352" i="18"/>
  <c r="A2353" i="18"/>
  <c r="B2353" i="18"/>
  <c r="C2353" i="18"/>
  <c r="D2353" i="18"/>
  <c r="E2353" i="18"/>
  <c r="F2353" i="18"/>
  <c r="G2353" i="18"/>
  <c r="H2353" i="18"/>
  <c r="I2353" i="18"/>
  <c r="J2353" i="18"/>
  <c r="A2354" i="18"/>
  <c r="B2354" i="18"/>
  <c r="C2354" i="18"/>
  <c r="D2354" i="18"/>
  <c r="E2354" i="18"/>
  <c r="F2354" i="18"/>
  <c r="G2354" i="18"/>
  <c r="H2354" i="18"/>
  <c r="I2354" i="18"/>
  <c r="J2354" i="18"/>
  <c r="A2355" i="18"/>
  <c r="B2355" i="18"/>
  <c r="C2355" i="18"/>
  <c r="D2355" i="18"/>
  <c r="E2355" i="18"/>
  <c r="F2355" i="18"/>
  <c r="G2355" i="18"/>
  <c r="H2355" i="18"/>
  <c r="I2355" i="18"/>
  <c r="J2355" i="18"/>
  <c r="A2356" i="18"/>
  <c r="B2356" i="18"/>
  <c r="C2356" i="18"/>
  <c r="D2356" i="18"/>
  <c r="E2356" i="18"/>
  <c r="F2356" i="18"/>
  <c r="G2356" i="18"/>
  <c r="H2356" i="18"/>
  <c r="I2356" i="18"/>
  <c r="J2356" i="18"/>
  <c r="A2357" i="18"/>
  <c r="B2357" i="18"/>
  <c r="C2357" i="18"/>
  <c r="D2357" i="18"/>
  <c r="E2357" i="18"/>
  <c r="F2357" i="18"/>
  <c r="G2357" i="18"/>
  <c r="H2357" i="18"/>
  <c r="I2357" i="18"/>
  <c r="J2357" i="18"/>
  <c r="A2358" i="18"/>
  <c r="B2358" i="18"/>
  <c r="C2358" i="18"/>
  <c r="D2358" i="18"/>
  <c r="E2358" i="18"/>
  <c r="F2358" i="18"/>
  <c r="G2358" i="18"/>
  <c r="H2358" i="18"/>
  <c r="I2358" i="18"/>
  <c r="J2358" i="18"/>
  <c r="A2359" i="18"/>
  <c r="B2359" i="18"/>
  <c r="C2359" i="18"/>
  <c r="D2359" i="18"/>
  <c r="E2359" i="18"/>
  <c r="F2359" i="18"/>
  <c r="G2359" i="18"/>
  <c r="H2359" i="18"/>
  <c r="I2359" i="18"/>
  <c r="J2359" i="18"/>
  <c r="A2360" i="18"/>
  <c r="B2360" i="18"/>
  <c r="C2360" i="18"/>
  <c r="D2360" i="18"/>
  <c r="E2360" i="18"/>
  <c r="F2360" i="18"/>
  <c r="G2360" i="18"/>
  <c r="H2360" i="18"/>
  <c r="I2360" i="18"/>
  <c r="J2360" i="18"/>
  <c r="A2361" i="18"/>
  <c r="B2361" i="18"/>
  <c r="C2361" i="18"/>
  <c r="D2361" i="18"/>
  <c r="E2361" i="18"/>
  <c r="F2361" i="18"/>
  <c r="G2361" i="18"/>
  <c r="H2361" i="18"/>
  <c r="I2361" i="18"/>
  <c r="J2361" i="18"/>
  <c r="A2362" i="18"/>
  <c r="B2362" i="18"/>
  <c r="C2362" i="18"/>
  <c r="D2362" i="18"/>
  <c r="E2362" i="18"/>
  <c r="F2362" i="18"/>
  <c r="G2362" i="18"/>
  <c r="H2362" i="18"/>
  <c r="I2362" i="18"/>
  <c r="J2362" i="18"/>
  <c r="A2363" i="18"/>
  <c r="B2363" i="18"/>
  <c r="C2363" i="18"/>
  <c r="D2363" i="18"/>
  <c r="E2363" i="18"/>
  <c r="F2363" i="18"/>
  <c r="G2363" i="18"/>
  <c r="H2363" i="18"/>
  <c r="I2363" i="18"/>
  <c r="J2363" i="18"/>
  <c r="A2364" i="18"/>
  <c r="B2364" i="18"/>
  <c r="C2364" i="18"/>
  <c r="D2364" i="18"/>
  <c r="E2364" i="18"/>
  <c r="F2364" i="18"/>
  <c r="G2364" i="18"/>
  <c r="H2364" i="18"/>
  <c r="I2364" i="18"/>
  <c r="J2364" i="18"/>
  <c r="A2365" i="18"/>
  <c r="B2365" i="18"/>
  <c r="C2365" i="18"/>
  <c r="D2365" i="18"/>
  <c r="E2365" i="18"/>
  <c r="F2365" i="18"/>
  <c r="G2365" i="18"/>
  <c r="H2365" i="18"/>
  <c r="I2365" i="18"/>
  <c r="J2365" i="18"/>
  <c r="A2366" i="18"/>
  <c r="B2366" i="18"/>
  <c r="C2366" i="18"/>
  <c r="D2366" i="18"/>
  <c r="E2366" i="18"/>
  <c r="F2366" i="18"/>
  <c r="G2366" i="18"/>
  <c r="H2366" i="18"/>
  <c r="I2366" i="18"/>
  <c r="J2366" i="18"/>
  <c r="A2367" i="18"/>
  <c r="B2367" i="18"/>
  <c r="C2367" i="18"/>
  <c r="D2367" i="18"/>
  <c r="E2367" i="18"/>
  <c r="F2367" i="18"/>
  <c r="G2367" i="18"/>
  <c r="H2367" i="18"/>
  <c r="I2367" i="18"/>
  <c r="J2367" i="18"/>
  <c r="A2368" i="18"/>
  <c r="B2368" i="18"/>
  <c r="C2368" i="18"/>
  <c r="D2368" i="18"/>
  <c r="E2368" i="18"/>
  <c r="F2368" i="18"/>
  <c r="G2368" i="18"/>
  <c r="H2368" i="18"/>
  <c r="I2368" i="18"/>
  <c r="J2368" i="18"/>
  <c r="A2369" i="18"/>
  <c r="B2369" i="18"/>
  <c r="C2369" i="18"/>
  <c r="D2369" i="18"/>
  <c r="E2369" i="18"/>
  <c r="F2369" i="18"/>
  <c r="G2369" i="18"/>
  <c r="H2369" i="18"/>
  <c r="I2369" i="18"/>
  <c r="J2369" i="18"/>
  <c r="A2370" i="18"/>
  <c r="B2370" i="18"/>
  <c r="C2370" i="18"/>
  <c r="D2370" i="18"/>
  <c r="E2370" i="18"/>
  <c r="F2370" i="18"/>
  <c r="G2370" i="18"/>
  <c r="H2370" i="18"/>
  <c r="I2370" i="18"/>
  <c r="J2370" i="18"/>
  <c r="A2371" i="18"/>
  <c r="B2371" i="18"/>
  <c r="C2371" i="18"/>
  <c r="D2371" i="18"/>
  <c r="E2371" i="18"/>
  <c r="F2371" i="18"/>
  <c r="G2371" i="18"/>
  <c r="H2371" i="18"/>
  <c r="I2371" i="18"/>
  <c r="J2371" i="18"/>
  <c r="A2372" i="18"/>
  <c r="B2372" i="18"/>
  <c r="C2372" i="18"/>
  <c r="D2372" i="18"/>
  <c r="E2372" i="18"/>
  <c r="F2372" i="18"/>
  <c r="G2372" i="18"/>
  <c r="H2372" i="18"/>
  <c r="I2372" i="18"/>
  <c r="J2372" i="18"/>
  <c r="A2373" i="18"/>
  <c r="B2373" i="18"/>
  <c r="C2373" i="18"/>
  <c r="D2373" i="18"/>
  <c r="E2373" i="18"/>
  <c r="F2373" i="18"/>
  <c r="G2373" i="18"/>
  <c r="H2373" i="18"/>
  <c r="I2373" i="18"/>
  <c r="J2373" i="18"/>
  <c r="A2374" i="18"/>
  <c r="B2374" i="18"/>
  <c r="C2374" i="18"/>
  <c r="D2374" i="18"/>
  <c r="E2374" i="18"/>
  <c r="F2374" i="18"/>
  <c r="G2374" i="18"/>
  <c r="H2374" i="18"/>
  <c r="I2374" i="18"/>
  <c r="J2374" i="18"/>
  <c r="A2375" i="18"/>
  <c r="B2375" i="18"/>
  <c r="C2375" i="18"/>
  <c r="D2375" i="18"/>
  <c r="E2375" i="18"/>
  <c r="F2375" i="18"/>
  <c r="G2375" i="18"/>
  <c r="H2375" i="18"/>
  <c r="I2375" i="18"/>
  <c r="J2375" i="18"/>
  <c r="A2376" i="18"/>
  <c r="B2376" i="18"/>
  <c r="C2376" i="18"/>
  <c r="D2376" i="18"/>
  <c r="E2376" i="18"/>
  <c r="F2376" i="18"/>
  <c r="G2376" i="18"/>
  <c r="H2376" i="18"/>
  <c r="I2376" i="18"/>
  <c r="J2376" i="18"/>
  <c r="A2377" i="18"/>
  <c r="B2377" i="18"/>
  <c r="C2377" i="18"/>
  <c r="D2377" i="18"/>
  <c r="E2377" i="18"/>
  <c r="F2377" i="18"/>
  <c r="G2377" i="18"/>
  <c r="H2377" i="18"/>
  <c r="I2377" i="18"/>
  <c r="J2377" i="18"/>
  <c r="A2378" i="18"/>
  <c r="B2378" i="18"/>
  <c r="C2378" i="18"/>
  <c r="D2378" i="18"/>
  <c r="E2378" i="18"/>
  <c r="F2378" i="18"/>
  <c r="G2378" i="18"/>
  <c r="H2378" i="18"/>
  <c r="I2378" i="18"/>
  <c r="J2378" i="18"/>
  <c r="A2379" i="18"/>
  <c r="B2379" i="18"/>
  <c r="C2379" i="18"/>
  <c r="D2379" i="18"/>
  <c r="E2379" i="18"/>
  <c r="F2379" i="18"/>
  <c r="G2379" i="18"/>
  <c r="H2379" i="18"/>
  <c r="I2379" i="18"/>
  <c r="J2379" i="18"/>
  <c r="A2380" i="18"/>
  <c r="B2380" i="18"/>
  <c r="C2380" i="18"/>
  <c r="D2380" i="18"/>
  <c r="E2380" i="18"/>
  <c r="F2380" i="18"/>
  <c r="G2380" i="18"/>
  <c r="H2380" i="18"/>
  <c r="I2380" i="18"/>
  <c r="J2380" i="18"/>
  <c r="A2381" i="18"/>
  <c r="B2381" i="18"/>
  <c r="C2381" i="18"/>
  <c r="D2381" i="18"/>
  <c r="E2381" i="18"/>
  <c r="F2381" i="18"/>
  <c r="G2381" i="18"/>
  <c r="H2381" i="18"/>
  <c r="I2381" i="18"/>
  <c r="J2381" i="18"/>
  <c r="A2382" i="18"/>
  <c r="B2382" i="18"/>
  <c r="C2382" i="18"/>
  <c r="D2382" i="18"/>
  <c r="E2382" i="18"/>
  <c r="F2382" i="18"/>
  <c r="G2382" i="18"/>
  <c r="H2382" i="18"/>
  <c r="I2382" i="18"/>
  <c r="J2382" i="18"/>
  <c r="A2383" i="18"/>
  <c r="B2383" i="18"/>
  <c r="C2383" i="18"/>
  <c r="D2383" i="18"/>
  <c r="E2383" i="18"/>
  <c r="F2383" i="18"/>
  <c r="G2383" i="18"/>
  <c r="H2383" i="18"/>
  <c r="I2383" i="18"/>
  <c r="J2383" i="18"/>
  <c r="A2384" i="18"/>
  <c r="B2384" i="18"/>
  <c r="C2384" i="18"/>
  <c r="D2384" i="18"/>
  <c r="E2384" i="18"/>
  <c r="F2384" i="18"/>
  <c r="G2384" i="18"/>
  <c r="H2384" i="18"/>
  <c r="I2384" i="18"/>
  <c r="J2384" i="18"/>
  <c r="A2385" i="18"/>
  <c r="B2385" i="18"/>
  <c r="C2385" i="18"/>
  <c r="D2385" i="18"/>
  <c r="E2385" i="18"/>
  <c r="F2385" i="18"/>
  <c r="G2385" i="18"/>
  <c r="H2385" i="18"/>
  <c r="I2385" i="18"/>
  <c r="J2385" i="18"/>
  <c r="A2386" i="18"/>
  <c r="B2386" i="18"/>
  <c r="C2386" i="18"/>
  <c r="D2386" i="18"/>
  <c r="E2386" i="18"/>
  <c r="F2386" i="18"/>
  <c r="G2386" i="18"/>
  <c r="H2386" i="18"/>
  <c r="I2386" i="18"/>
  <c r="J2386" i="18"/>
  <c r="A2387" i="18"/>
  <c r="B2387" i="18"/>
  <c r="C2387" i="18"/>
  <c r="D2387" i="18"/>
  <c r="E2387" i="18"/>
  <c r="F2387" i="18"/>
  <c r="G2387" i="18"/>
  <c r="H2387" i="18"/>
  <c r="I2387" i="18"/>
  <c r="J2387" i="18"/>
  <c r="A2388" i="18"/>
  <c r="B2388" i="18"/>
  <c r="C2388" i="18"/>
  <c r="D2388" i="18"/>
  <c r="E2388" i="18"/>
  <c r="F2388" i="18"/>
  <c r="G2388" i="18"/>
  <c r="H2388" i="18"/>
  <c r="I2388" i="18"/>
  <c r="J2388" i="18"/>
  <c r="A2389" i="18"/>
  <c r="B2389" i="18"/>
  <c r="C2389" i="18"/>
  <c r="D2389" i="18"/>
  <c r="E2389" i="18"/>
  <c r="F2389" i="18"/>
  <c r="G2389" i="18"/>
  <c r="H2389" i="18"/>
  <c r="I2389" i="18"/>
  <c r="J2389" i="18"/>
  <c r="A2390" i="18"/>
  <c r="B2390" i="18"/>
  <c r="C2390" i="18"/>
  <c r="D2390" i="18"/>
  <c r="E2390" i="18"/>
  <c r="F2390" i="18"/>
  <c r="G2390" i="18"/>
  <c r="H2390" i="18"/>
  <c r="I2390" i="18"/>
  <c r="J2390" i="18"/>
  <c r="A2391" i="18"/>
  <c r="B2391" i="18"/>
  <c r="C2391" i="18"/>
  <c r="D2391" i="18"/>
  <c r="E2391" i="18"/>
  <c r="F2391" i="18"/>
  <c r="G2391" i="18"/>
  <c r="H2391" i="18"/>
  <c r="I2391" i="18"/>
  <c r="J2391" i="18"/>
  <c r="A2392" i="18"/>
  <c r="B2392" i="18"/>
  <c r="C2392" i="18"/>
  <c r="D2392" i="18"/>
  <c r="E2392" i="18"/>
  <c r="F2392" i="18"/>
  <c r="G2392" i="18"/>
  <c r="H2392" i="18"/>
  <c r="I2392" i="18"/>
  <c r="J2392" i="18"/>
  <c r="A2393" i="18"/>
  <c r="B2393" i="18"/>
  <c r="C2393" i="18"/>
  <c r="D2393" i="18"/>
  <c r="E2393" i="18"/>
  <c r="F2393" i="18"/>
  <c r="G2393" i="18"/>
  <c r="H2393" i="18"/>
  <c r="I2393" i="18"/>
  <c r="J2393" i="18"/>
  <c r="A2394" i="18"/>
  <c r="B2394" i="18"/>
  <c r="C2394" i="18"/>
  <c r="D2394" i="18"/>
  <c r="E2394" i="18"/>
  <c r="F2394" i="18"/>
  <c r="G2394" i="18"/>
  <c r="H2394" i="18"/>
  <c r="I2394" i="18"/>
  <c r="J2394" i="18"/>
  <c r="A2395" i="18"/>
  <c r="B2395" i="18"/>
  <c r="C2395" i="18"/>
  <c r="D2395" i="18"/>
  <c r="E2395" i="18"/>
  <c r="F2395" i="18"/>
  <c r="G2395" i="18"/>
  <c r="H2395" i="18"/>
  <c r="I2395" i="18"/>
  <c r="J2395" i="18"/>
  <c r="A2396" i="18"/>
  <c r="B2396" i="18"/>
  <c r="C2396" i="18"/>
  <c r="D2396" i="18"/>
  <c r="E2396" i="18"/>
  <c r="F2396" i="18"/>
  <c r="G2396" i="18"/>
  <c r="H2396" i="18"/>
  <c r="I2396" i="18"/>
  <c r="J2396" i="18"/>
  <c r="A2397" i="18"/>
  <c r="B2397" i="18"/>
  <c r="C2397" i="18"/>
  <c r="D2397" i="18"/>
  <c r="E2397" i="18"/>
  <c r="F2397" i="18"/>
  <c r="G2397" i="18"/>
  <c r="H2397" i="18"/>
  <c r="I2397" i="18"/>
  <c r="J2397" i="18"/>
  <c r="A2398" i="18"/>
  <c r="B2398" i="18"/>
  <c r="C2398" i="18"/>
  <c r="D2398" i="18"/>
  <c r="E2398" i="18"/>
  <c r="F2398" i="18"/>
  <c r="G2398" i="18"/>
  <c r="H2398" i="18"/>
  <c r="I2398" i="18"/>
  <c r="J2398" i="18"/>
  <c r="A2399" i="18"/>
  <c r="B2399" i="18"/>
  <c r="C2399" i="18"/>
  <c r="D2399" i="18"/>
  <c r="E2399" i="18"/>
  <c r="F2399" i="18"/>
  <c r="G2399" i="18"/>
  <c r="H2399" i="18"/>
  <c r="I2399" i="18"/>
  <c r="J2399" i="18"/>
  <c r="A2400" i="18"/>
  <c r="B2400" i="18"/>
  <c r="C2400" i="18"/>
  <c r="D2400" i="18"/>
  <c r="E2400" i="18"/>
  <c r="F2400" i="18"/>
  <c r="G2400" i="18"/>
  <c r="H2400" i="18"/>
  <c r="I2400" i="18"/>
  <c r="J2400" i="18"/>
  <c r="A2401" i="18"/>
  <c r="B2401" i="18"/>
  <c r="C2401" i="18"/>
  <c r="D2401" i="18"/>
  <c r="E2401" i="18"/>
  <c r="F2401" i="18"/>
  <c r="G2401" i="18"/>
  <c r="H2401" i="18"/>
  <c r="I2401" i="18"/>
  <c r="J2401" i="18"/>
  <c r="A2402" i="18"/>
  <c r="B2402" i="18"/>
  <c r="C2402" i="18"/>
  <c r="D2402" i="18"/>
  <c r="E2402" i="18"/>
  <c r="F2402" i="18"/>
  <c r="G2402" i="18"/>
  <c r="H2402" i="18"/>
  <c r="I2402" i="18"/>
  <c r="J2402" i="18"/>
  <c r="A2403" i="18"/>
  <c r="B2403" i="18"/>
  <c r="C2403" i="18"/>
  <c r="D2403" i="18"/>
  <c r="E2403" i="18"/>
  <c r="F2403" i="18"/>
  <c r="G2403" i="18"/>
  <c r="H2403" i="18"/>
  <c r="I2403" i="18"/>
  <c r="J2403" i="18"/>
  <c r="A2404" i="18"/>
  <c r="B2404" i="18"/>
  <c r="C2404" i="18"/>
  <c r="D2404" i="18"/>
  <c r="E2404" i="18"/>
  <c r="F2404" i="18"/>
  <c r="G2404" i="18"/>
  <c r="H2404" i="18"/>
  <c r="I2404" i="18"/>
  <c r="J2404" i="18"/>
  <c r="A2405" i="18"/>
  <c r="B2405" i="18"/>
  <c r="C2405" i="18"/>
  <c r="D2405" i="18"/>
  <c r="E2405" i="18"/>
  <c r="F2405" i="18"/>
  <c r="G2405" i="18"/>
  <c r="H2405" i="18"/>
  <c r="I2405" i="18"/>
  <c r="J2405" i="18"/>
  <c r="A2406" i="18"/>
  <c r="B2406" i="18"/>
  <c r="C2406" i="18"/>
  <c r="D2406" i="18"/>
  <c r="E2406" i="18"/>
  <c r="F2406" i="18"/>
  <c r="G2406" i="18"/>
  <c r="H2406" i="18"/>
  <c r="I2406" i="18"/>
  <c r="J2406" i="18"/>
  <c r="A2407" i="18"/>
  <c r="B2407" i="18"/>
  <c r="C2407" i="18"/>
  <c r="D2407" i="18"/>
  <c r="E2407" i="18"/>
  <c r="F2407" i="18"/>
  <c r="G2407" i="18"/>
  <c r="H2407" i="18"/>
  <c r="I2407" i="18"/>
  <c r="J2407" i="18"/>
  <c r="A2408" i="18"/>
  <c r="B2408" i="18"/>
  <c r="C2408" i="18"/>
  <c r="D2408" i="18"/>
  <c r="E2408" i="18"/>
  <c r="F2408" i="18"/>
  <c r="G2408" i="18"/>
  <c r="H2408" i="18"/>
  <c r="I2408" i="18"/>
  <c r="J2408" i="18"/>
  <c r="A2409" i="18"/>
  <c r="B2409" i="18"/>
  <c r="C2409" i="18"/>
  <c r="D2409" i="18"/>
  <c r="E2409" i="18"/>
  <c r="F2409" i="18"/>
  <c r="G2409" i="18"/>
  <c r="H2409" i="18"/>
  <c r="I2409" i="18"/>
  <c r="J2409" i="18"/>
  <c r="A2410" i="18"/>
  <c r="B2410" i="18"/>
  <c r="C2410" i="18"/>
  <c r="D2410" i="18"/>
  <c r="E2410" i="18"/>
  <c r="F2410" i="18"/>
  <c r="G2410" i="18"/>
  <c r="H2410" i="18"/>
  <c r="I2410" i="18"/>
  <c r="J2410" i="18"/>
  <c r="A2411" i="18"/>
  <c r="B2411" i="18"/>
  <c r="C2411" i="18"/>
  <c r="D2411" i="18"/>
  <c r="E2411" i="18"/>
  <c r="F2411" i="18"/>
  <c r="G2411" i="18"/>
  <c r="H2411" i="18"/>
  <c r="I2411" i="18"/>
  <c r="J2411" i="18"/>
  <c r="A2412" i="18"/>
  <c r="B2412" i="18"/>
  <c r="C2412" i="18"/>
  <c r="D2412" i="18"/>
  <c r="E2412" i="18"/>
  <c r="F2412" i="18"/>
  <c r="G2412" i="18"/>
  <c r="H2412" i="18"/>
  <c r="I2412" i="18"/>
  <c r="J2412" i="18"/>
  <c r="A2413" i="18"/>
  <c r="B2413" i="18"/>
  <c r="C2413" i="18"/>
  <c r="D2413" i="18"/>
  <c r="E2413" i="18"/>
  <c r="F2413" i="18"/>
  <c r="G2413" i="18"/>
  <c r="H2413" i="18"/>
  <c r="I2413" i="18"/>
  <c r="J2413" i="18"/>
  <c r="A2414" i="18"/>
  <c r="B2414" i="18"/>
  <c r="C2414" i="18"/>
  <c r="D2414" i="18"/>
  <c r="E2414" i="18"/>
  <c r="F2414" i="18"/>
  <c r="G2414" i="18"/>
  <c r="H2414" i="18"/>
  <c r="I2414" i="18"/>
  <c r="J2414" i="18"/>
  <c r="A2415" i="18"/>
  <c r="B2415" i="18"/>
  <c r="C2415" i="18"/>
  <c r="D2415" i="18"/>
  <c r="E2415" i="18"/>
  <c r="F2415" i="18"/>
  <c r="G2415" i="18"/>
  <c r="H2415" i="18"/>
  <c r="I2415" i="18"/>
  <c r="J2415" i="18"/>
  <c r="A2416" i="18"/>
  <c r="B2416" i="18"/>
  <c r="C2416" i="18"/>
  <c r="D2416" i="18"/>
  <c r="E2416" i="18"/>
  <c r="F2416" i="18"/>
  <c r="G2416" i="18"/>
  <c r="H2416" i="18"/>
  <c r="I2416" i="18"/>
  <c r="J2416" i="18"/>
  <c r="A2417" i="18"/>
  <c r="B2417" i="18"/>
  <c r="C2417" i="18"/>
  <c r="D2417" i="18"/>
  <c r="E2417" i="18"/>
  <c r="F2417" i="18"/>
  <c r="G2417" i="18"/>
  <c r="H2417" i="18"/>
  <c r="I2417" i="18"/>
  <c r="J2417" i="18"/>
  <c r="A2418" i="18"/>
  <c r="B2418" i="18"/>
  <c r="C2418" i="18"/>
  <c r="D2418" i="18"/>
  <c r="E2418" i="18"/>
  <c r="F2418" i="18"/>
  <c r="G2418" i="18"/>
  <c r="H2418" i="18"/>
  <c r="I2418" i="18"/>
  <c r="J2418" i="18"/>
  <c r="A2419" i="18"/>
  <c r="B2419" i="18"/>
  <c r="C2419" i="18"/>
  <c r="D2419" i="18"/>
  <c r="E2419" i="18"/>
  <c r="F2419" i="18"/>
  <c r="G2419" i="18"/>
  <c r="H2419" i="18"/>
  <c r="I2419" i="18"/>
  <c r="J2419" i="18"/>
  <c r="A2420" i="18"/>
  <c r="B2420" i="18"/>
  <c r="C2420" i="18"/>
  <c r="D2420" i="18"/>
  <c r="E2420" i="18"/>
  <c r="F2420" i="18"/>
  <c r="G2420" i="18"/>
  <c r="H2420" i="18"/>
  <c r="I2420" i="18"/>
  <c r="J2420" i="18"/>
  <c r="A2421" i="18"/>
  <c r="B2421" i="18"/>
  <c r="C2421" i="18"/>
  <c r="D2421" i="18"/>
  <c r="E2421" i="18"/>
  <c r="F2421" i="18"/>
  <c r="G2421" i="18"/>
  <c r="H2421" i="18"/>
  <c r="I2421" i="18"/>
  <c r="J2421" i="18"/>
  <c r="A2422" i="18"/>
  <c r="B2422" i="18"/>
  <c r="C2422" i="18"/>
  <c r="D2422" i="18"/>
  <c r="E2422" i="18"/>
  <c r="F2422" i="18"/>
  <c r="G2422" i="18"/>
  <c r="H2422" i="18"/>
  <c r="I2422" i="18"/>
  <c r="J2422" i="18"/>
  <c r="A2423" i="18"/>
  <c r="B2423" i="18"/>
  <c r="C2423" i="18"/>
  <c r="D2423" i="18"/>
  <c r="E2423" i="18"/>
  <c r="F2423" i="18"/>
  <c r="G2423" i="18"/>
  <c r="H2423" i="18"/>
  <c r="I2423" i="18"/>
  <c r="J2423" i="18"/>
  <c r="A2424" i="18"/>
  <c r="B2424" i="18"/>
  <c r="C2424" i="18"/>
  <c r="D2424" i="18"/>
  <c r="E2424" i="18"/>
  <c r="F2424" i="18"/>
  <c r="G2424" i="18"/>
  <c r="H2424" i="18"/>
  <c r="I2424" i="18"/>
  <c r="J2424" i="18"/>
  <c r="A2425" i="18"/>
  <c r="B2425" i="18"/>
  <c r="C2425" i="18"/>
  <c r="D2425" i="18"/>
  <c r="E2425" i="18"/>
  <c r="F2425" i="18"/>
  <c r="G2425" i="18"/>
  <c r="H2425" i="18"/>
  <c r="I2425" i="18"/>
  <c r="J2425" i="18"/>
  <c r="A2426" i="18"/>
  <c r="B2426" i="18"/>
  <c r="C2426" i="18"/>
  <c r="D2426" i="18"/>
  <c r="E2426" i="18"/>
  <c r="F2426" i="18"/>
  <c r="G2426" i="18"/>
  <c r="H2426" i="18"/>
  <c r="I2426" i="18"/>
  <c r="J2426" i="18"/>
  <c r="A2427" i="18"/>
  <c r="B2427" i="18"/>
  <c r="C2427" i="18"/>
  <c r="D2427" i="18"/>
  <c r="E2427" i="18"/>
  <c r="F2427" i="18"/>
  <c r="G2427" i="18"/>
  <c r="H2427" i="18"/>
  <c r="I2427" i="18"/>
  <c r="J2427" i="18"/>
  <c r="A2428" i="18"/>
  <c r="B2428" i="18"/>
  <c r="C2428" i="18"/>
  <c r="D2428" i="18"/>
  <c r="E2428" i="18"/>
  <c r="F2428" i="18"/>
  <c r="G2428" i="18"/>
  <c r="H2428" i="18"/>
  <c r="I2428" i="18"/>
  <c r="J2428" i="18"/>
  <c r="A2429" i="18"/>
  <c r="B2429" i="18"/>
  <c r="C2429" i="18"/>
  <c r="D2429" i="18"/>
  <c r="E2429" i="18"/>
  <c r="F2429" i="18"/>
  <c r="G2429" i="18"/>
  <c r="H2429" i="18"/>
  <c r="I2429" i="18"/>
  <c r="J2429" i="18"/>
  <c r="A2430" i="18"/>
  <c r="B2430" i="18"/>
  <c r="C2430" i="18"/>
  <c r="D2430" i="18"/>
  <c r="E2430" i="18"/>
  <c r="F2430" i="18"/>
  <c r="G2430" i="18"/>
  <c r="H2430" i="18"/>
  <c r="I2430" i="18"/>
  <c r="J2430" i="18"/>
  <c r="A2431" i="18"/>
  <c r="B2431" i="18"/>
  <c r="C2431" i="18"/>
  <c r="D2431" i="18"/>
  <c r="E2431" i="18"/>
  <c r="F2431" i="18"/>
  <c r="G2431" i="18"/>
  <c r="H2431" i="18"/>
  <c r="I2431" i="18"/>
  <c r="J2431" i="18"/>
  <c r="A2432" i="18"/>
  <c r="B2432" i="18"/>
  <c r="C2432" i="18"/>
  <c r="D2432" i="18"/>
  <c r="E2432" i="18"/>
  <c r="F2432" i="18"/>
  <c r="G2432" i="18"/>
  <c r="H2432" i="18"/>
  <c r="I2432" i="18"/>
  <c r="J2432" i="18"/>
  <c r="A2433" i="18"/>
  <c r="B2433" i="18"/>
  <c r="C2433" i="18"/>
  <c r="D2433" i="18"/>
  <c r="E2433" i="18"/>
  <c r="F2433" i="18"/>
  <c r="G2433" i="18"/>
  <c r="H2433" i="18"/>
  <c r="I2433" i="18"/>
  <c r="J2433" i="18"/>
  <c r="A2434" i="18"/>
  <c r="B2434" i="18"/>
  <c r="C2434" i="18"/>
  <c r="D2434" i="18"/>
  <c r="E2434" i="18"/>
  <c r="F2434" i="18"/>
  <c r="G2434" i="18"/>
  <c r="H2434" i="18"/>
  <c r="I2434" i="18"/>
  <c r="J2434" i="18"/>
  <c r="A2435" i="18"/>
  <c r="B2435" i="18"/>
  <c r="C2435" i="18"/>
  <c r="D2435" i="18"/>
  <c r="E2435" i="18"/>
  <c r="F2435" i="18"/>
  <c r="G2435" i="18"/>
  <c r="H2435" i="18"/>
  <c r="I2435" i="18"/>
  <c r="J2435" i="18"/>
  <c r="A2436" i="18"/>
  <c r="B2436" i="18"/>
  <c r="C2436" i="18"/>
  <c r="D2436" i="18"/>
  <c r="E2436" i="18"/>
  <c r="F2436" i="18"/>
  <c r="G2436" i="18"/>
  <c r="H2436" i="18"/>
  <c r="I2436" i="18"/>
  <c r="J2436" i="18"/>
  <c r="A2437" i="18"/>
  <c r="B2437" i="18"/>
  <c r="C2437" i="18"/>
  <c r="D2437" i="18"/>
  <c r="E2437" i="18"/>
  <c r="F2437" i="18"/>
  <c r="G2437" i="18"/>
  <c r="H2437" i="18"/>
  <c r="I2437" i="18"/>
  <c r="J2437" i="18"/>
  <c r="A2438" i="18"/>
  <c r="B2438" i="18"/>
  <c r="C2438" i="18"/>
  <c r="D2438" i="18"/>
  <c r="E2438" i="18"/>
  <c r="F2438" i="18"/>
  <c r="G2438" i="18"/>
  <c r="H2438" i="18"/>
  <c r="I2438" i="18"/>
  <c r="J2438" i="18"/>
  <c r="A2439" i="18"/>
  <c r="B2439" i="18"/>
  <c r="C2439" i="18"/>
  <c r="D2439" i="18"/>
  <c r="E2439" i="18"/>
  <c r="F2439" i="18"/>
  <c r="G2439" i="18"/>
  <c r="H2439" i="18"/>
  <c r="I2439" i="18"/>
  <c r="J2439" i="18"/>
  <c r="A2440" i="18"/>
  <c r="B2440" i="18"/>
  <c r="C2440" i="18"/>
  <c r="D2440" i="18"/>
  <c r="E2440" i="18"/>
  <c r="F2440" i="18"/>
  <c r="G2440" i="18"/>
  <c r="H2440" i="18"/>
  <c r="I2440" i="18"/>
  <c r="J2440" i="18"/>
  <c r="A2441" i="18"/>
  <c r="B2441" i="18"/>
  <c r="C2441" i="18"/>
  <c r="D2441" i="18"/>
  <c r="E2441" i="18"/>
  <c r="F2441" i="18"/>
  <c r="G2441" i="18"/>
  <c r="H2441" i="18"/>
  <c r="I2441" i="18"/>
  <c r="J2441" i="18"/>
  <c r="A2442" i="18"/>
  <c r="B2442" i="18"/>
  <c r="C2442" i="18"/>
  <c r="D2442" i="18"/>
  <c r="E2442" i="18"/>
  <c r="F2442" i="18"/>
  <c r="G2442" i="18"/>
  <c r="H2442" i="18"/>
  <c r="I2442" i="18"/>
  <c r="J2442" i="18"/>
  <c r="A2443" i="18"/>
  <c r="B2443" i="18"/>
  <c r="C2443" i="18"/>
  <c r="D2443" i="18"/>
  <c r="E2443" i="18"/>
  <c r="F2443" i="18"/>
  <c r="G2443" i="18"/>
  <c r="H2443" i="18"/>
  <c r="I2443" i="18"/>
  <c r="J2443" i="18"/>
  <c r="A2444" i="18"/>
  <c r="B2444" i="18"/>
  <c r="C2444" i="18"/>
  <c r="D2444" i="18"/>
  <c r="E2444" i="18"/>
  <c r="F2444" i="18"/>
  <c r="G2444" i="18"/>
  <c r="H2444" i="18"/>
  <c r="I2444" i="18"/>
  <c r="J2444" i="18"/>
  <c r="A2445" i="18"/>
  <c r="B2445" i="18"/>
  <c r="C2445" i="18"/>
  <c r="D2445" i="18"/>
  <c r="E2445" i="18"/>
  <c r="F2445" i="18"/>
  <c r="G2445" i="18"/>
  <c r="H2445" i="18"/>
  <c r="I2445" i="18"/>
  <c r="J2445" i="18"/>
  <c r="A2446" i="18"/>
  <c r="B2446" i="18"/>
  <c r="C2446" i="18"/>
  <c r="D2446" i="18"/>
  <c r="E2446" i="18"/>
  <c r="F2446" i="18"/>
  <c r="G2446" i="18"/>
  <c r="H2446" i="18"/>
  <c r="I2446" i="18"/>
  <c r="J2446" i="18"/>
  <c r="A2447" i="18"/>
  <c r="B2447" i="18"/>
  <c r="C2447" i="18"/>
  <c r="D2447" i="18"/>
  <c r="E2447" i="18"/>
  <c r="F2447" i="18"/>
  <c r="G2447" i="18"/>
  <c r="H2447" i="18"/>
  <c r="I2447" i="18"/>
  <c r="J2447" i="18"/>
  <c r="A2448" i="18"/>
  <c r="B2448" i="18"/>
  <c r="C2448" i="18"/>
  <c r="D2448" i="18"/>
  <c r="E2448" i="18"/>
  <c r="F2448" i="18"/>
  <c r="G2448" i="18"/>
  <c r="H2448" i="18"/>
  <c r="I2448" i="18"/>
  <c r="J2448" i="18"/>
  <c r="A2449" i="18"/>
  <c r="B2449" i="18"/>
  <c r="C2449" i="18"/>
  <c r="D2449" i="18"/>
  <c r="E2449" i="18"/>
  <c r="F2449" i="18"/>
  <c r="G2449" i="18"/>
  <c r="H2449" i="18"/>
  <c r="I2449" i="18"/>
  <c r="J2449" i="18"/>
  <c r="A2450" i="18"/>
  <c r="B2450" i="18"/>
  <c r="C2450" i="18"/>
  <c r="D2450" i="18"/>
  <c r="E2450" i="18"/>
  <c r="F2450" i="18"/>
  <c r="G2450" i="18"/>
  <c r="H2450" i="18"/>
  <c r="I2450" i="18"/>
  <c r="J2450" i="18"/>
  <c r="A2451" i="18"/>
  <c r="B2451" i="18"/>
  <c r="C2451" i="18"/>
  <c r="D2451" i="18"/>
  <c r="E2451" i="18"/>
  <c r="F2451" i="18"/>
  <c r="G2451" i="18"/>
  <c r="H2451" i="18"/>
  <c r="I2451" i="18"/>
  <c r="J2451" i="18"/>
  <c r="A2452" i="18"/>
  <c r="B2452" i="18"/>
  <c r="C2452" i="18"/>
  <c r="D2452" i="18"/>
  <c r="E2452" i="18"/>
  <c r="F2452" i="18"/>
  <c r="G2452" i="18"/>
  <c r="H2452" i="18"/>
  <c r="I2452" i="18"/>
  <c r="J2452" i="18"/>
  <c r="A2453" i="18"/>
  <c r="B2453" i="18"/>
  <c r="C2453" i="18"/>
  <c r="D2453" i="18"/>
  <c r="E2453" i="18"/>
  <c r="F2453" i="18"/>
  <c r="G2453" i="18"/>
  <c r="H2453" i="18"/>
  <c r="I2453" i="18"/>
  <c r="J2453" i="18"/>
  <c r="A2454" i="18"/>
  <c r="B2454" i="18"/>
  <c r="C2454" i="18"/>
  <c r="D2454" i="18"/>
  <c r="E2454" i="18"/>
  <c r="F2454" i="18"/>
  <c r="G2454" i="18"/>
  <c r="H2454" i="18"/>
  <c r="I2454" i="18"/>
  <c r="J2454" i="18"/>
  <c r="A2455" i="18"/>
  <c r="B2455" i="18"/>
  <c r="C2455" i="18"/>
  <c r="D2455" i="18"/>
  <c r="E2455" i="18"/>
  <c r="F2455" i="18"/>
  <c r="G2455" i="18"/>
  <c r="H2455" i="18"/>
  <c r="I2455" i="18"/>
  <c r="J2455" i="18"/>
  <c r="A2456" i="18"/>
  <c r="B2456" i="18"/>
  <c r="C2456" i="18"/>
  <c r="D2456" i="18"/>
  <c r="E2456" i="18"/>
  <c r="F2456" i="18"/>
  <c r="G2456" i="18"/>
  <c r="H2456" i="18"/>
  <c r="I2456" i="18"/>
  <c r="J2456" i="18"/>
  <c r="A2457" i="18"/>
  <c r="B2457" i="18"/>
  <c r="C2457" i="18"/>
  <c r="D2457" i="18"/>
  <c r="E2457" i="18"/>
  <c r="F2457" i="18"/>
  <c r="G2457" i="18"/>
  <c r="H2457" i="18"/>
  <c r="I2457" i="18"/>
  <c r="J2457" i="18"/>
  <c r="A2458" i="18"/>
  <c r="B2458" i="18"/>
  <c r="C2458" i="18"/>
  <c r="D2458" i="18"/>
  <c r="E2458" i="18"/>
  <c r="F2458" i="18"/>
  <c r="G2458" i="18"/>
  <c r="H2458" i="18"/>
  <c r="I2458" i="18"/>
  <c r="J2458" i="18"/>
  <c r="A2459" i="18"/>
  <c r="B2459" i="18"/>
  <c r="C2459" i="18"/>
  <c r="D2459" i="18"/>
  <c r="E2459" i="18"/>
  <c r="F2459" i="18"/>
  <c r="G2459" i="18"/>
  <c r="H2459" i="18"/>
  <c r="I2459" i="18"/>
  <c r="J2459" i="18"/>
  <c r="A2460" i="18"/>
  <c r="B2460" i="18"/>
  <c r="C2460" i="18"/>
  <c r="D2460" i="18"/>
  <c r="E2460" i="18"/>
  <c r="F2460" i="18"/>
  <c r="G2460" i="18"/>
  <c r="H2460" i="18"/>
  <c r="I2460" i="18"/>
  <c r="J2460" i="18"/>
  <c r="A2461" i="18"/>
  <c r="B2461" i="18"/>
  <c r="C2461" i="18"/>
  <c r="D2461" i="18"/>
  <c r="E2461" i="18"/>
  <c r="F2461" i="18"/>
  <c r="G2461" i="18"/>
  <c r="H2461" i="18"/>
  <c r="I2461" i="18"/>
  <c r="J2461" i="18"/>
  <c r="A2462" i="18"/>
  <c r="B2462" i="18"/>
  <c r="C2462" i="18"/>
  <c r="D2462" i="18"/>
  <c r="E2462" i="18"/>
  <c r="F2462" i="18"/>
  <c r="G2462" i="18"/>
  <c r="H2462" i="18"/>
  <c r="I2462" i="18"/>
  <c r="J2462" i="18"/>
  <c r="A2463" i="18"/>
  <c r="B2463" i="18"/>
  <c r="C2463" i="18"/>
  <c r="D2463" i="18"/>
  <c r="E2463" i="18"/>
  <c r="F2463" i="18"/>
  <c r="G2463" i="18"/>
  <c r="H2463" i="18"/>
  <c r="I2463" i="18"/>
  <c r="J2463" i="18"/>
  <c r="A2464" i="18"/>
  <c r="B2464" i="18"/>
  <c r="C2464" i="18"/>
  <c r="D2464" i="18"/>
  <c r="E2464" i="18"/>
  <c r="F2464" i="18"/>
  <c r="G2464" i="18"/>
  <c r="H2464" i="18"/>
  <c r="I2464" i="18"/>
  <c r="J2464" i="18"/>
  <c r="A2465" i="18"/>
  <c r="B2465" i="18"/>
  <c r="C2465" i="18"/>
  <c r="D2465" i="18"/>
  <c r="E2465" i="18"/>
  <c r="F2465" i="18"/>
  <c r="G2465" i="18"/>
  <c r="H2465" i="18"/>
  <c r="I2465" i="18"/>
  <c r="J2465" i="18"/>
  <c r="A2466" i="18"/>
  <c r="B2466" i="18"/>
  <c r="C2466" i="18"/>
  <c r="D2466" i="18"/>
  <c r="E2466" i="18"/>
  <c r="F2466" i="18"/>
  <c r="G2466" i="18"/>
  <c r="H2466" i="18"/>
  <c r="I2466" i="18"/>
  <c r="J2466" i="18"/>
  <c r="A2467" i="18"/>
  <c r="B2467" i="18"/>
  <c r="C2467" i="18"/>
  <c r="D2467" i="18"/>
  <c r="E2467" i="18"/>
  <c r="F2467" i="18"/>
  <c r="G2467" i="18"/>
  <c r="H2467" i="18"/>
  <c r="I2467" i="18"/>
  <c r="J2467" i="18"/>
  <c r="A2468" i="18"/>
  <c r="B2468" i="18"/>
  <c r="C2468" i="18"/>
  <c r="D2468" i="18"/>
  <c r="E2468" i="18"/>
  <c r="F2468" i="18"/>
  <c r="G2468" i="18"/>
  <c r="H2468" i="18"/>
  <c r="I2468" i="18"/>
  <c r="J2468" i="18"/>
  <c r="A2469" i="18"/>
  <c r="B2469" i="18"/>
  <c r="C2469" i="18"/>
  <c r="D2469" i="18"/>
  <c r="E2469" i="18"/>
  <c r="F2469" i="18"/>
  <c r="G2469" i="18"/>
  <c r="H2469" i="18"/>
  <c r="I2469" i="18"/>
  <c r="J2469" i="18"/>
  <c r="A2470" i="18"/>
  <c r="B2470" i="18"/>
  <c r="C2470" i="18"/>
  <c r="D2470" i="18"/>
  <c r="E2470" i="18"/>
  <c r="F2470" i="18"/>
  <c r="G2470" i="18"/>
  <c r="H2470" i="18"/>
  <c r="I2470" i="18"/>
  <c r="J2470" i="18"/>
  <c r="A2471" i="18"/>
  <c r="B2471" i="18"/>
  <c r="C2471" i="18"/>
  <c r="D2471" i="18"/>
  <c r="E2471" i="18"/>
  <c r="F2471" i="18"/>
  <c r="G2471" i="18"/>
  <c r="H2471" i="18"/>
  <c r="I2471" i="18"/>
  <c r="J2471" i="18"/>
  <c r="A2472" i="18"/>
  <c r="B2472" i="18"/>
  <c r="C2472" i="18"/>
  <c r="D2472" i="18"/>
  <c r="E2472" i="18"/>
  <c r="F2472" i="18"/>
  <c r="G2472" i="18"/>
  <c r="H2472" i="18"/>
  <c r="I2472" i="18"/>
  <c r="J2472" i="18"/>
  <c r="A2473" i="18"/>
  <c r="B2473" i="18"/>
  <c r="C2473" i="18"/>
  <c r="D2473" i="18"/>
  <c r="E2473" i="18"/>
  <c r="F2473" i="18"/>
  <c r="G2473" i="18"/>
  <c r="H2473" i="18"/>
  <c r="I2473" i="18"/>
  <c r="J2473" i="18"/>
  <c r="A2474" i="18"/>
  <c r="B2474" i="18"/>
  <c r="C2474" i="18"/>
  <c r="D2474" i="18"/>
  <c r="E2474" i="18"/>
  <c r="F2474" i="18"/>
  <c r="G2474" i="18"/>
  <c r="H2474" i="18"/>
  <c r="I2474" i="18"/>
  <c r="J2474" i="18"/>
  <c r="A2475" i="18"/>
  <c r="B2475" i="18"/>
  <c r="C2475" i="18"/>
  <c r="D2475" i="18"/>
  <c r="E2475" i="18"/>
  <c r="F2475" i="18"/>
  <c r="G2475" i="18"/>
  <c r="H2475" i="18"/>
  <c r="I2475" i="18"/>
  <c r="J2475" i="18"/>
  <c r="A2476" i="18"/>
  <c r="B2476" i="18"/>
  <c r="C2476" i="18"/>
  <c r="D2476" i="18"/>
  <c r="E2476" i="18"/>
  <c r="F2476" i="18"/>
  <c r="G2476" i="18"/>
  <c r="H2476" i="18"/>
  <c r="I2476" i="18"/>
  <c r="J2476" i="18"/>
  <c r="A2477" i="18"/>
  <c r="B2477" i="18"/>
  <c r="C2477" i="18"/>
  <c r="D2477" i="18"/>
  <c r="E2477" i="18"/>
  <c r="F2477" i="18"/>
  <c r="G2477" i="18"/>
  <c r="H2477" i="18"/>
  <c r="I2477" i="18"/>
  <c r="J2477" i="18"/>
  <c r="A2478" i="18"/>
  <c r="B2478" i="18"/>
  <c r="C2478" i="18"/>
  <c r="D2478" i="18"/>
  <c r="E2478" i="18"/>
  <c r="F2478" i="18"/>
  <c r="G2478" i="18"/>
  <c r="H2478" i="18"/>
  <c r="I2478" i="18"/>
  <c r="J2478" i="18"/>
  <c r="A2479" i="18"/>
  <c r="B2479" i="18"/>
  <c r="C2479" i="18"/>
  <c r="D2479" i="18"/>
  <c r="E2479" i="18"/>
  <c r="F2479" i="18"/>
  <c r="G2479" i="18"/>
  <c r="H2479" i="18"/>
  <c r="I2479" i="18"/>
  <c r="J2479" i="18"/>
  <c r="A2480" i="18"/>
  <c r="B2480" i="18"/>
  <c r="C2480" i="18"/>
  <c r="D2480" i="18"/>
  <c r="E2480" i="18"/>
  <c r="F2480" i="18"/>
  <c r="G2480" i="18"/>
  <c r="H2480" i="18"/>
  <c r="I2480" i="18"/>
  <c r="J2480" i="18"/>
  <c r="A2481" i="18"/>
  <c r="B2481" i="18"/>
  <c r="C2481" i="18"/>
  <c r="D2481" i="18"/>
  <c r="E2481" i="18"/>
  <c r="F2481" i="18"/>
  <c r="G2481" i="18"/>
  <c r="H2481" i="18"/>
  <c r="I2481" i="18"/>
  <c r="J2481" i="18"/>
  <c r="A2482" i="18"/>
  <c r="B2482" i="18"/>
  <c r="C2482" i="18"/>
  <c r="D2482" i="18"/>
  <c r="E2482" i="18"/>
  <c r="F2482" i="18"/>
  <c r="G2482" i="18"/>
  <c r="H2482" i="18"/>
  <c r="I2482" i="18"/>
  <c r="J2482" i="18"/>
  <c r="A2483" i="18"/>
  <c r="B2483" i="18"/>
  <c r="C2483" i="18"/>
  <c r="D2483" i="18"/>
  <c r="E2483" i="18"/>
  <c r="F2483" i="18"/>
  <c r="G2483" i="18"/>
  <c r="H2483" i="18"/>
  <c r="I2483" i="18"/>
  <c r="J2483" i="18"/>
  <c r="A2484" i="18"/>
  <c r="B2484" i="18"/>
  <c r="C2484" i="18"/>
  <c r="D2484" i="18"/>
  <c r="E2484" i="18"/>
  <c r="F2484" i="18"/>
  <c r="G2484" i="18"/>
  <c r="H2484" i="18"/>
  <c r="I2484" i="18"/>
  <c r="J2484" i="18"/>
  <c r="A2485" i="18"/>
  <c r="B2485" i="18"/>
  <c r="C2485" i="18"/>
  <c r="D2485" i="18"/>
  <c r="E2485" i="18"/>
  <c r="F2485" i="18"/>
  <c r="G2485" i="18"/>
  <c r="H2485" i="18"/>
  <c r="I2485" i="18"/>
  <c r="J2485" i="18"/>
  <c r="A2486" i="18"/>
  <c r="B2486" i="18"/>
  <c r="C2486" i="18"/>
  <c r="D2486" i="18"/>
  <c r="E2486" i="18"/>
  <c r="F2486" i="18"/>
  <c r="G2486" i="18"/>
  <c r="H2486" i="18"/>
  <c r="I2486" i="18"/>
  <c r="J2486" i="18"/>
  <c r="A2487" i="18"/>
  <c r="B2487" i="18"/>
  <c r="C2487" i="18"/>
  <c r="D2487" i="18"/>
  <c r="E2487" i="18"/>
  <c r="F2487" i="18"/>
  <c r="G2487" i="18"/>
  <c r="H2487" i="18"/>
  <c r="I2487" i="18"/>
  <c r="J2487" i="18"/>
  <c r="A2488" i="18"/>
  <c r="B2488" i="18"/>
  <c r="C2488" i="18"/>
  <c r="D2488" i="18"/>
  <c r="E2488" i="18"/>
  <c r="F2488" i="18"/>
  <c r="G2488" i="18"/>
  <c r="H2488" i="18"/>
  <c r="I2488" i="18"/>
  <c r="J2488" i="18"/>
  <c r="A2489" i="18"/>
  <c r="B2489" i="18"/>
  <c r="C2489" i="18"/>
  <c r="D2489" i="18"/>
  <c r="E2489" i="18"/>
  <c r="F2489" i="18"/>
  <c r="G2489" i="18"/>
  <c r="H2489" i="18"/>
  <c r="I2489" i="18"/>
  <c r="J2489" i="18"/>
  <c r="A2490" i="18"/>
  <c r="B2490" i="18"/>
  <c r="C2490" i="18"/>
  <c r="D2490" i="18"/>
  <c r="E2490" i="18"/>
  <c r="F2490" i="18"/>
  <c r="G2490" i="18"/>
  <c r="H2490" i="18"/>
  <c r="I2490" i="18"/>
  <c r="J2490" i="18"/>
  <c r="A2491" i="18"/>
  <c r="B2491" i="18"/>
  <c r="C2491" i="18"/>
  <c r="D2491" i="18"/>
  <c r="E2491" i="18"/>
  <c r="F2491" i="18"/>
  <c r="G2491" i="18"/>
  <c r="H2491" i="18"/>
  <c r="I2491" i="18"/>
  <c r="J2491" i="18"/>
  <c r="A2492" i="18"/>
  <c r="B2492" i="18"/>
  <c r="C2492" i="18"/>
  <c r="D2492" i="18"/>
  <c r="E2492" i="18"/>
  <c r="F2492" i="18"/>
  <c r="G2492" i="18"/>
  <c r="H2492" i="18"/>
  <c r="I2492" i="18"/>
  <c r="J2492" i="18"/>
  <c r="A2493" i="18"/>
  <c r="B2493" i="18"/>
  <c r="C2493" i="18"/>
  <c r="D2493" i="18"/>
  <c r="E2493" i="18"/>
  <c r="F2493" i="18"/>
  <c r="G2493" i="18"/>
  <c r="H2493" i="18"/>
  <c r="I2493" i="18"/>
  <c r="J2493" i="18"/>
  <c r="A2494" i="18"/>
  <c r="B2494" i="18"/>
  <c r="C2494" i="18"/>
  <c r="D2494" i="18"/>
  <c r="E2494" i="18"/>
  <c r="F2494" i="18"/>
  <c r="G2494" i="18"/>
  <c r="H2494" i="18"/>
  <c r="I2494" i="18"/>
  <c r="J2494" i="18"/>
  <c r="A2495" i="18"/>
  <c r="B2495" i="18"/>
  <c r="C2495" i="18"/>
  <c r="D2495" i="18"/>
  <c r="E2495" i="18"/>
  <c r="F2495" i="18"/>
  <c r="G2495" i="18"/>
  <c r="H2495" i="18"/>
  <c r="I2495" i="18"/>
  <c r="J2495" i="18"/>
  <c r="A2496" i="18"/>
  <c r="B2496" i="18"/>
  <c r="C2496" i="18"/>
  <c r="D2496" i="18"/>
  <c r="E2496" i="18"/>
  <c r="F2496" i="18"/>
  <c r="G2496" i="18"/>
  <c r="H2496" i="18"/>
  <c r="I2496" i="18"/>
  <c r="J2496" i="18"/>
  <c r="A2497" i="18"/>
  <c r="B2497" i="18"/>
  <c r="C2497" i="18"/>
  <c r="D2497" i="18"/>
  <c r="E2497" i="18"/>
  <c r="F2497" i="18"/>
  <c r="G2497" i="18"/>
  <c r="H2497" i="18"/>
  <c r="I2497" i="18"/>
  <c r="J2497" i="18"/>
  <c r="A2498" i="18"/>
  <c r="B2498" i="18"/>
  <c r="C2498" i="18"/>
  <c r="D2498" i="18"/>
  <c r="E2498" i="18"/>
  <c r="F2498" i="18"/>
  <c r="G2498" i="18"/>
  <c r="H2498" i="18"/>
  <c r="I2498" i="18"/>
  <c r="J2498" i="18"/>
  <c r="A2499" i="18"/>
  <c r="B2499" i="18"/>
  <c r="C2499" i="18"/>
  <c r="D2499" i="18"/>
  <c r="E2499" i="18"/>
  <c r="F2499" i="18"/>
  <c r="G2499" i="18"/>
  <c r="H2499" i="18"/>
  <c r="I2499" i="18"/>
  <c r="J2499" i="18"/>
  <c r="A2500" i="18"/>
  <c r="B2500" i="18"/>
  <c r="C2500" i="18"/>
  <c r="D2500" i="18"/>
  <c r="E2500" i="18"/>
  <c r="F2500" i="18"/>
  <c r="G2500" i="18"/>
  <c r="H2500" i="18"/>
  <c r="I2500" i="18"/>
  <c r="J2500" i="18"/>
  <c r="A2501" i="18"/>
  <c r="B2501" i="18"/>
  <c r="C2501" i="18"/>
  <c r="D2501" i="18"/>
  <c r="E2501" i="18"/>
  <c r="F2501" i="18"/>
  <c r="G2501" i="18"/>
  <c r="H2501" i="18"/>
  <c r="I2501" i="18"/>
  <c r="J2501" i="18"/>
  <c r="A2502" i="18"/>
  <c r="B2502" i="18"/>
  <c r="C2502" i="18"/>
  <c r="D2502" i="18"/>
  <c r="E2502" i="18"/>
  <c r="F2502" i="18"/>
  <c r="G2502" i="18"/>
  <c r="H2502" i="18"/>
  <c r="I2502" i="18"/>
  <c r="J2502" i="18"/>
  <c r="A2503" i="18"/>
  <c r="B2503" i="18"/>
  <c r="C2503" i="18"/>
  <c r="D2503" i="18"/>
  <c r="E2503" i="18"/>
  <c r="F2503" i="18"/>
  <c r="G2503" i="18"/>
  <c r="H2503" i="18"/>
  <c r="I2503" i="18"/>
  <c r="J2503" i="18"/>
  <c r="A2504" i="18"/>
  <c r="B2504" i="18"/>
  <c r="C2504" i="18"/>
  <c r="D2504" i="18"/>
  <c r="E2504" i="18"/>
  <c r="F2504" i="18"/>
  <c r="G2504" i="18"/>
  <c r="H2504" i="18"/>
  <c r="I2504" i="18"/>
  <c r="J2504" i="18"/>
  <c r="A2505" i="18"/>
  <c r="B2505" i="18"/>
  <c r="C2505" i="18"/>
  <c r="D2505" i="18"/>
  <c r="E2505" i="18"/>
  <c r="F2505" i="18"/>
  <c r="G2505" i="18"/>
  <c r="H2505" i="18"/>
  <c r="I2505" i="18"/>
  <c r="J2505" i="18"/>
  <c r="A2506" i="18"/>
  <c r="B2506" i="18"/>
  <c r="C2506" i="18"/>
  <c r="D2506" i="18"/>
  <c r="E2506" i="18"/>
  <c r="F2506" i="18"/>
  <c r="G2506" i="18"/>
  <c r="H2506" i="18"/>
  <c r="I2506" i="18"/>
  <c r="J2506" i="18"/>
  <c r="A2507" i="18"/>
  <c r="B2507" i="18"/>
  <c r="C2507" i="18"/>
  <c r="D2507" i="18"/>
  <c r="E2507" i="18"/>
  <c r="F2507" i="18"/>
  <c r="G2507" i="18"/>
  <c r="H2507" i="18"/>
  <c r="I2507" i="18"/>
  <c r="J2507" i="18"/>
  <c r="A2508" i="18"/>
  <c r="B2508" i="18"/>
  <c r="C2508" i="18"/>
  <c r="D2508" i="18"/>
  <c r="E2508" i="18"/>
  <c r="F2508" i="18"/>
  <c r="G2508" i="18"/>
  <c r="H2508" i="18"/>
  <c r="I2508" i="18"/>
  <c r="J2508" i="18"/>
  <c r="A2509" i="18"/>
  <c r="B2509" i="18"/>
  <c r="C2509" i="18"/>
  <c r="D2509" i="18"/>
  <c r="E2509" i="18"/>
  <c r="F2509" i="18"/>
  <c r="G2509" i="18"/>
  <c r="H2509" i="18"/>
  <c r="I2509" i="18"/>
  <c r="J2509" i="18"/>
  <c r="A2510" i="18"/>
  <c r="B2510" i="18"/>
  <c r="C2510" i="18"/>
  <c r="D2510" i="18"/>
  <c r="E2510" i="18"/>
  <c r="F2510" i="18"/>
  <c r="G2510" i="18"/>
  <c r="H2510" i="18"/>
  <c r="I2510" i="18"/>
  <c r="J2510" i="18"/>
  <c r="A2511" i="18"/>
  <c r="B2511" i="18"/>
  <c r="C2511" i="18"/>
  <c r="D2511" i="18"/>
  <c r="E2511" i="18"/>
  <c r="F2511" i="18"/>
  <c r="G2511" i="18"/>
  <c r="H2511" i="18"/>
  <c r="I2511" i="18"/>
  <c r="J2511" i="18"/>
  <c r="A2512" i="18"/>
  <c r="B2512" i="18"/>
  <c r="C2512" i="18"/>
  <c r="D2512" i="18"/>
  <c r="E2512" i="18"/>
  <c r="F2512" i="18"/>
  <c r="G2512" i="18"/>
  <c r="H2512" i="18"/>
  <c r="I2512" i="18"/>
  <c r="J2512" i="18"/>
  <c r="A2513" i="18"/>
  <c r="B2513" i="18"/>
  <c r="C2513" i="18"/>
  <c r="D2513" i="18"/>
  <c r="E2513" i="18"/>
  <c r="F2513" i="18"/>
  <c r="G2513" i="18"/>
  <c r="H2513" i="18"/>
  <c r="I2513" i="18"/>
  <c r="J2513" i="18"/>
  <c r="A2514" i="18"/>
  <c r="B2514" i="18"/>
  <c r="C2514" i="18"/>
  <c r="D2514" i="18"/>
  <c r="E2514" i="18"/>
  <c r="F2514" i="18"/>
  <c r="G2514" i="18"/>
  <c r="H2514" i="18"/>
  <c r="I2514" i="18"/>
  <c r="J2514" i="18"/>
  <c r="A2515" i="18"/>
  <c r="B2515" i="18"/>
  <c r="C2515" i="18"/>
  <c r="D2515" i="18"/>
  <c r="E2515" i="18"/>
  <c r="F2515" i="18"/>
  <c r="G2515" i="18"/>
  <c r="H2515" i="18"/>
  <c r="I2515" i="18"/>
  <c r="J2515" i="18"/>
  <c r="A2516" i="18"/>
  <c r="B2516" i="18"/>
  <c r="C2516" i="18"/>
  <c r="D2516" i="18"/>
  <c r="E2516" i="18"/>
  <c r="F2516" i="18"/>
  <c r="G2516" i="18"/>
  <c r="H2516" i="18"/>
  <c r="I2516" i="18"/>
  <c r="J2516" i="18"/>
  <c r="A2517" i="18"/>
  <c r="B2517" i="18"/>
  <c r="C2517" i="18"/>
  <c r="D2517" i="18"/>
  <c r="E2517" i="18"/>
  <c r="F2517" i="18"/>
  <c r="G2517" i="18"/>
  <c r="H2517" i="18"/>
  <c r="I2517" i="18"/>
  <c r="J2517" i="18"/>
  <c r="A2518" i="18"/>
  <c r="B2518" i="18"/>
  <c r="C2518" i="18"/>
  <c r="D2518" i="18"/>
  <c r="E2518" i="18"/>
  <c r="F2518" i="18"/>
  <c r="G2518" i="18"/>
  <c r="H2518" i="18"/>
  <c r="I2518" i="18"/>
  <c r="J2518" i="18"/>
  <c r="A2519" i="18"/>
  <c r="B2519" i="18"/>
  <c r="C2519" i="18"/>
  <c r="D2519" i="18"/>
  <c r="E2519" i="18"/>
  <c r="F2519" i="18"/>
  <c r="G2519" i="18"/>
  <c r="H2519" i="18"/>
  <c r="I2519" i="18"/>
  <c r="J2519" i="18"/>
  <c r="A2520" i="18"/>
  <c r="B2520" i="18"/>
  <c r="C2520" i="18"/>
  <c r="D2520" i="18"/>
  <c r="E2520" i="18"/>
  <c r="F2520" i="18"/>
  <c r="G2520" i="18"/>
  <c r="H2520" i="18"/>
  <c r="I2520" i="18"/>
  <c r="J2520" i="18"/>
  <c r="A2521" i="18"/>
  <c r="B2521" i="18"/>
  <c r="C2521" i="18"/>
  <c r="D2521" i="18"/>
  <c r="E2521" i="18"/>
  <c r="F2521" i="18"/>
  <c r="G2521" i="18"/>
  <c r="H2521" i="18"/>
  <c r="I2521" i="18"/>
  <c r="J2521" i="18"/>
  <c r="A2522" i="18"/>
  <c r="B2522" i="18"/>
  <c r="C2522" i="18"/>
  <c r="D2522" i="18"/>
  <c r="E2522" i="18"/>
  <c r="F2522" i="18"/>
  <c r="G2522" i="18"/>
  <c r="H2522" i="18"/>
  <c r="I2522" i="18"/>
  <c r="J2522" i="18"/>
  <c r="A2523" i="18"/>
  <c r="B2523" i="18"/>
  <c r="C2523" i="18"/>
  <c r="D2523" i="18"/>
  <c r="E2523" i="18"/>
  <c r="F2523" i="18"/>
  <c r="G2523" i="18"/>
  <c r="H2523" i="18"/>
  <c r="I2523" i="18"/>
  <c r="J2523" i="18"/>
  <c r="A2524" i="18"/>
  <c r="B2524" i="18"/>
  <c r="C2524" i="18"/>
  <c r="D2524" i="18"/>
  <c r="E2524" i="18"/>
  <c r="F2524" i="18"/>
  <c r="G2524" i="18"/>
  <c r="H2524" i="18"/>
  <c r="I2524" i="18"/>
  <c r="J2524" i="18"/>
  <c r="A2525" i="18"/>
  <c r="B2525" i="18"/>
  <c r="C2525" i="18"/>
  <c r="D2525" i="18"/>
  <c r="E2525" i="18"/>
  <c r="F2525" i="18"/>
  <c r="G2525" i="18"/>
  <c r="H2525" i="18"/>
  <c r="I2525" i="18"/>
  <c r="J2525" i="18"/>
  <c r="A2526" i="18"/>
  <c r="B2526" i="18"/>
  <c r="C2526" i="18"/>
  <c r="D2526" i="18"/>
  <c r="E2526" i="18"/>
  <c r="F2526" i="18"/>
  <c r="G2526" i="18"/>
  <c r="H2526" i="18"/>
  <c r="I2526" i="18"/>
  <c r="J2526" i="18"/>
  <c r="A2527" i="18"/>
  <c r="B2527" i="18"/>
  <c r="C2527" i="18"/>
  <c r="D2527" i="18"/>
  <c r="E2527" i="18"/>
  <c r="F2527" i="18"/>
  <c r="G2527" i="18"/>
  <c r="H2527" i="18"/>
  <c r="I2527" i="18"/>
  <c r="J2527" i="18"/>
  <c r="A2528" i="18"/>
  <c r="B2528" i="18"/>
  <c r="C2528" i="18"/>
  <c r="D2528" i="18"/>
  <c r="E2528" i="18"/>
  <c r="F2528" i="18"/>
  <c r="G2528" i="18"/>
  <c r="H2528" i="18"/>
  <c r="I2528" i="18"/>
  <c r="J2528" i="18"/>
  <c r="A2529" i="18"/>
  <c r="B2529" i="18"/>
  <c r="C2529" i="18"/>
  <c r="D2529" i="18"/>
  <c r="E2529" i="18"/>
  <c r="F2529" i="18"/>
  <c r="G2529" i="18"/>
  <c r="H2529" i="18"/>
  <c r="I2529" i="18"/>
  <c r="J2529" i="18"/>
  <c r="A2530" i="18"/>
  <c r="B2530" i="18"/>
  <c r="C2530" i="18"/>
  <c r="D2530" i="18"/>
  <c r="E2530" i="18"/>
  <c r="F2530" i="18"/>
  <c r="G2530" i="18"/>
  <c r="H2530" i="18"/>
  <c r="I2530" i="18"/>
  <c r="J2530" i="18"/>
  <c r="A2531" i="18"/>
  <c r="B2531" i="18"/>
  <c r="C2531" i="18"/>
  <c r="D2531" i="18"/>
  <c r="E2531" i="18"/>
  <c r="F2531" i="18"/>
  <c r="G2531" i="18"/>
  <c r="H2531" i="18"/>
  <c r="I2531" i="18"/>
  <c r="J2531" i="18"/>
  <c r="A2532" i="18"/>
  <c r="B2532" i="18"/>
  <c r="C2532" i="18"/>
  <c r="D2532" i="18"/>
  <c r="E2532" i="18"/>
  <c r="F2532" i="18"/>
  <c r="G2532" i="18"/>
  <c r="H2532" i="18"/>
  <c r="I2532" i="18"/>
  <c r="J2532" i="18"/>
  <c r="A2533" i="18"/>
  <c r="B2533" i="18"/>
  <c r="C2533" i="18"/>
  <c r="D2533" i="18"/>
  <c r="E2533" i="18"/>
  <c r="F2533" i="18"/>
  <c r="G2533" i="18"/>
  <c r="H2533" i="18"/>
  <c r="I2533" i="18"/>
  <c r="J2533" i="18"/>
  <c r="A2534" i="18"/>
  <c r="B2534" i="18"/>
  <c r="C2534" i="18"/>
  <c r="D2534" i="18"/>
  <c r="E2534" i="18"/>
  <c r="F2534" i="18"/>
  <c r="G2534" i="18"/>
  <c r="H2534" i="18"/>
  <c r="I2534" i="18"/>
  <c r="J2534" i="18"/>
  <c r="A2535" i="18"/>
  <c r="B2535" i="18"/>
  <c r="C2535" i="18"/>
  <c r="D2535" i="18"/>
  <c r="E2535" i="18"/>
  <c r="F2535" i="18"/>
  <c r="G2535" i="18"/>
  <c r="H2535" i="18"/>
  <c r="I2535" i="18"/>
  <c r="J2535" i="18"/>
  <c r="A2536" i="18"/>
  <c r="B2536" i="18"/>
  <c r="C2536" i="18"/>
  <c r="D2536" i="18"/>
  <c r="E2536" i="18"/>
  <c r="F2536" i="18"/>
  <c r="G2536" i="18"/>
  <c r="H2536" i="18"/>
  <c r="I2536" i="18"/>
  <c r="J2536" i="18"/>
  <c r="A2537" i="18"/>
  <c r="B2537" i="18"/>
  <c r="C2537" i="18"/>
  <c r="D2537" i="18"/>
  <c r="E2537" i="18"/>
  <c r="F2537" i="18"/>
  <c r="G2537" i="18"/>
  <c r="H2537" i="18"/>
  <c r="I2537" i="18"/>
  <c r="J2537" i="18"/>
  <c r="A2538" i="18"/>
  <c r="B2538" i="18"/>
  <c r="C2538" i="18"/>
  <c r="D2538" i="18"/>
  <c r="E2538" i="18"/>
  <c r="F2538" i="18"/>
  <c r="G2538" i="18"/>
  <c r="H2538" i="18"/>
  <c r="I2538" i="18"/>
  <c r="J2538" i="18"/>
  <c r="A2539" i="18"/>
  <c r="B2539" i="18"/>
  <c r="C2539" i="18"/>
  <c r="D2539" i="18"/>
  <c r="E2539" i="18"/>
  <c r="F2539" i="18"/>
  <c r="G2539" i="18"/>
  <c r="H2539" i="18"/>
  <c r="I2539" i="18"/>
  <c r="J2539" i="18"/>
  <c r="A2540" i="18"/>
  <c r="B2540" i="18"/>
  <c r="C2540" i="18"/>
  <c r="D2540" i="18"/>
  <c r="E2540" i="18"/>
  <c r="F2540" i="18"/>
  <c r="G2540" i="18"/>
  <c r="H2540" i="18"/>
  <c r="I2540" i="18"/>
  <c r="J2540" i="18"/>
  <c r="A2541" i="18"/>
  <c r="B2541" i="18"/>
  <c r="C2541" i="18"/>
  <c r="D2541" i="18"/>
  <c r="E2541" i="18"/>
  <c r="F2541" i="18"/>
  <c r="G2541" i="18"/>
  <c r="H2541" i="18"/>
  <c r="I2541" i="18"/>
  <c r="J2541" i="18"/>
  <c r="A2542" i="18"/>
  <c r="B2542" i="18"/>
  <c r="C2542" i="18"/>
  <c r="D2542" i="18"/>
  <c r="E2542" i="18"/>
  <c r="F2542" i="18"/>
  <c r="G2542" i="18"/>
  <c r="H2542" i="18"/>
  <c r="I2542" i="18"/>
  <c r="J2542" i="18"/>
  <c r="A2543" i="18"/>
  <c r="B2543" i="18"/>
  <c r="C2543" i="18"/>
  <c r="D2543" i="18"/>
  <c r="E2543" i="18"/>
  <c r="F2543" i="18"/>
  <c r="G2543" i="18"/>
  <c r="H2543" i="18"/>
  <c r="I2543" i="18"/>
  <c r="J2543" i="18"/>
  <c r="A2544" i="18"/>
  <c r="B2544" i="18"/>
  <c r="C2544" i="18"/>
  <c r="D2544" i="18"/>
  <c r="E2544" i="18"/>
  <c r="F2544" i="18"/>
  <c r="G2544" i="18"/>
  <c r="H2544" i="18"/>
  <c r="I2544" i="18"/>
  <c r="J2544" i="18"/>
  <c r="A2545" i="18"/>
  <c r="B2545" i="18"/>
  <c r="C2545" i="18"/>
  <c r="D2545" i="18"/>
  <c r="E2545" i="18"/>
  <c r="F2545" i="18"/>
  <c r="G2545" i="18"/>
  <c r="H2545" i="18"/>
  <c r="I2545" i="18"/>
  <c r="J2545" i="18"/>
  <c r="A2546" i="18"/>
  <c r="B2546" i="18"/>
  <c r="C2546" i="18"/>
  <c r="D2546" i="18"/>
  <c r="E2546" i="18"/>
  <c r="F2546" i="18"/>
  <c r="G2546" i="18"/>
  <c r="H2546" i="18"/>
  <c r="I2546" i="18"/>
  <c r="J2546" i="18"/>
  <c r="A2547" i="18"/>
  <c r="B2547" i="18"/>
  <c r="C2547" i="18"/>
  <c r="D2547" i="18"/>
  <c r="E2547" i="18"/>
  <c r="F2547" i="18"/>
  <c r="G2547" i="18"/>
  <c r="H2547" i="18"/>
  <c r="I2547" i="18"/>
  <c r="J2547" i="18"/>
  <c r="A2548" i="18"/>
  <c r="B2548" i="18"/>
  <c r="C2548" i="18"/>
  <c r="D2548" i="18"/>
  <c r="E2548" i="18"/>
  <c r="F2548" i="18"/>
  <c r="G2548" i="18"/>
  <c r="H2548" i="18"/>
  <c r="I2548" i="18"/>
  <c r="J2548" i="18"/>
  <c r="A2549" i="18"/>
  <c r="B2549" i="18"/>
  <c r="C2549" i="18"/>
  <c r="D2549" i="18"/>
  <c r="E2549" i="18"/>
  <c r="F2549" i="18"/>
  <c r="G2549" i="18"/>
  <c r="H2549" i="18"/>
  <c r="I2549" i="18"/>
  <c r="J2549" i="18"/>
  <c r="A2550" i="18"/>
  <c r="B2550" i="18"/>
  <c r="C2550" i="18"/>
  <c r="D2550" i="18"/>
  <c r="E2550" i="18"/>
  <c r="F2550" i="18"/>
  <c r="G2550" i="18"/>
  <c r="H2550" i="18"/>
  <c r="I2550" i="18"/>
  <c r="J2550" i="18"/>
  <c r="A2551" i="18"/>
  <c r="B2551" i="18"/>
  <c r="C2551" i="18"/>
  <c r="D2551" i="18"/>
  <c r="E2551" i="18"/>
  <c r="F2551" i="18"/>
  <c r="G2551" i="18"/>
  <c r="H2551" i="18"/>
  <c r="I2551" i="18"/>
  <c r="J2551" i="18"/>
  <c r="A2552" i="18"/>
  <c r="B2552" i="18"/>
  <c r="C2552" i="18"/>
  <c r="D2552" i="18"/>
  <c r="E2552" i="18"/>
  <c r="F2552" i="18"/>
  <c r="G2552" i="18"/>
  <c r="H2552" i="18"/>
  <c r="I2552" i="18"/>
  <c r="J2552" i="18"/>
  <c r="A2553" i="18"/>
  <c r="B2553" i="18"/>
  <c r="C2553" i="18"/>
  <c r="D2553" i="18"/>
  <c r="E2553" i="18"/>
  <c r="F2553" i="18"/>
  <c r="G2553" i="18"/>
  <c r="H2553" i="18"/>
  <c r="I2553" i="18"/>
  <c r="J2553" i="18"/>
  <c r="A2554" i="18"/>
  <c r="B2554" i="18"/>
  <c r="C2554" i="18"/>
  <c r="D2554" i="18"/>
  <c r="E2554" i="18"/>
  <c r="F2554" i="18"/>
  <c r="G2554" i="18"/>
  <c r="H2554" i="18"/>
  <c r="I2554" i="18"/>
  <c r="J2554" i="18"/>
  <c r="A2555" i="18"/>
  <c r="B2555" i="18"/>
  <c r="C2555" i="18"/>
  <c r="D2555" i="18"/>
  <c r="E2555" i="18"/>
  <c r="F2555" i="18"/>
  <c r="G2555" i="18"/>
  <c r="H2555" i="18"/>
  <c r="I2555" i="18"/>
  <c r="J2555" i="18"/>
  <c r="A2556" i="18"/>
  <c r="B2556" i="18"/>
  <c r="C2556" i="18"/>
  <c r="D2556" i="18"/>
  <c r="E2556" i="18"/>
  <c r="F2556" i="18"/>
  <c r="G2556" i="18"/>
  <c r="H2556" i="18"/>
  <c r="I2556" i="18"/>
  <c r="J2556" i="18"/>
  <c r="A2557" i="18"/>
  <c r="B2557" i="18"/>
  <c r="C2557" i="18"/>
  <c r="D2557" i="18"/>
  <c r="E2557" i="18"/>
  <c r="F2557" i="18"/>
  <c r="G2557" i="18"/>
  <c r="H2557" i="18"/>
  <c r="I2557" i="18"/>
  <c r="J2557" i="18"/>
  <c r="A2558" i="18"/>
  <c r="B2558" i="18"/>
  <c r="C2558" i="18"/>
  <c r="D2558" i="18"/>
  <c r="E2558" i="18"/>
  <c r="F2558" i="18"/>
  <c r="G2558" i="18"/>
  <c r="H2558" i="18"/>
  <c r="I2558" i="18"/>
  <c r="J2558" i="18"/>
  <c r="A2559" i="18"/>
  <c r="B2559" i="18"/>
  <c r="C2559" i="18"/>
  <c r="D2559" i="18"/>
  <c r="E2559" i="18"/>
  <c r="F2559" i="18"/>
  <c r="G2559" i="18"/>
  <c r="H2559" i="18"/>
  <c r="I2559" i="18"/>
  <c r="J2559" i="18"/>
  <c r="A2560" i="18"/>
  <c r="B2560" i="18"/>
  <c r="C2560" i="18"/>
  <c r="D2560" i="18"/>
  <c r="E2560" i="18"/>
  <c r="F2560" i="18"/>
  <c r="G2560" i="18"/>
  <c r="H2560" i="18"/>
  <c r="I2560" i="18"/>
  <c r="J2560" i="18"/>
  <c r="A2561" i="18"/>
  <c r="B2561" i="18"/>
  <c r="C2561" i="18"/>
  <c r="D2561" i="18"/>
  <c r="E2561" i="18"/>
  <c r="F2561" i="18"/>
  <c r="G2561" i="18"/>
  <c r="H2561" i="18"/>
  <c r="I2561" i="18"/>
  <c r="J2561" i="18"/>
  <c r="A2562" i="18"/>
  <c r="B2562" i="18"/>
  <c r="C2562" i="18"/>
  <c r="D2562" i="18"/>
  <c r="E2562" i="18"/>
  <c r="F2562" i="18"/>
  <c r="G2562" i="18"/>
  <c r="H2562" i="18"/>
  <c r="I2562" i="18"/>
  <c r="J2562" i="18"/>
  <c r="A2563" i="18"/>
  <c r="B2563" i="18"/>
  <c r="C2563" i="18"/>
  <c r="D2563" i="18"/>
  <c r="E2563" i="18"/>
  <c r="F2563" i="18"/>
  <c r="G2563" i="18"/>
  <c r="H2563" i="18"/>
  <c r="I2563" i="18"/>
  <c r="J2563" i="18"/>
  <c r="A2564" i="18"/>
  <c r="B2564" i="18"/>
  <c r="C2564" i="18"/>
  <c r="D2564" i="18"/>
  <c r="E2564" i="18"/>
  <c r="F2564" i="18"/>
  <c r="G2564" i="18"/>
  <c r="H2564" i="18"/>
  <c r="I2564" i="18"/>
  <c r="J2564" i="18"/>
  <c r="A2565" i="18"/>
  <c r="B2565" i="18"/>
  <c r="C2565" i="18"/>
  <c r="D2565" i="18"/>
  <c r="E2565" i="18"/>
  <c r="F2565" i="18"/>
  <c r="G2565" i="18"/>
  <c r="H2565" i="18"/>
  <c r="I2565" i="18"/>
  <c r="J2565" i="18"/>
  <c r="A2566" i="18"/>
  <c r="B2566" i="18"/>
  <c r="C2566" i="18"/>
  <c r="D2566" i="18"/>
  <c r="E2566" i="18"/>
  <c r="F2566" i="18"/>
  <c r="G2566" i="18"/>
  <c r="H2566" i="18"/>
  <c r="I2566" i="18"/>
  <c r="J2566" i="18"/>
  <c r="A2567" i="18"/>
  <c r="B2567" i="18"/>
  <c r="C2567" i="18"/>
  <c r="D2567" i="18"/>
  <c r="E2567" i="18"/>
  <c r="F2567" i="18"/>
  <c r="G2567" i="18"/>
  <c r="H2567" i="18"/>
  <c r="I2567" i="18"/>
  <c r="J2567" i="18"/>
  <c r="A2568" i="18"/>
  <c r="B2568" i="18"/>
  <c r="C2568" i="18"/>
  <c r="D2568" i="18"/>
  <c r="E2568" i="18"/>
  <c r="F2568" i="18"/>
  <c r="G2568" i="18"/>
  <c r="H2568" i="18"/>
  <c r="I2568" i="18"/>
  <c r="J2568" i="18"/>
  <c r="A2569" i="18"/>
  <c r="B2569" i="18"/>
  <c r="C2569" i="18"/>
  <c r="D2569" i="18"/>
  <c r="E2569" i="18"/>
  <c r="F2569" i="18"/>
  <c r="G2569" i="18"/>
  <c r="H2569" i="18"/>
  <c r="I2569" i="18"/>
  <c r="J2569" i="18"/>
  <c r="A2570" i="18"/>
  <c r="B2570" i="18"/>
  <c r="C2570" i="18"/>
  <c r="D2570" i="18"/>
  <c r="E2570" i="18"/>
  <c r="F2570" i="18"/>
  <c r="G2570" i="18"/>
  <c r="H2570" i="18"/>
  <c r="I2570" i="18"/>
  <c r="J2570" i="18"/>
  <c r="A2571" i="18"/>
  <c r="B2571" i="18"/>
  <c r="C2571" i="18"/>
  <c r="D2571" i="18"/>
  <c r="E2571" i="18"/>
  <c r="F2571" i="18"/>
  <c r="G2571" i="18"/>
  <c r="H2571" i="18"/>
  <c r="I2571" i="18"/>
  <c r="J2571" i="18"/>
  <c r="A2572" i="18"/>
  <c r="B2572" i="18"/>
  <c r="C2572" i="18"/>
  <c r="D2572" i="18"/>
  <c r="E2572" i="18"/>
  <c r="F2572" i="18"/>
  <c r="G2572" i="18"/>
  <c r="H2572" i="18"/>
  <c r="I2572" i="18"/>
  <c r="J2572" i="18"/>
  <c r="A2573" i="18"/>
  <c r="B2573" i="18"/>
  <c r="C2573" i="18"/>
  <c r="D2573" i="18"/>
  <c r="E2573" i="18"/>
  <c r="F2573" i="18"/>
  <c r="G2573" i="18"/>
  <c r="H2573" i="18"/>
  <c r="I2573" i="18"/>
  <c r="J2573" i="18"/>
  <c r="A2574" i="18"/>
  <c r="B2574" i="18"/>
  <c r="C2574" i="18"/>
  <c r="D2574" i="18"/>
  <c r="E2574" i="18"/>
  <c r="F2574" i="18"/>
  <c r="G2574" i="18"/>
  <c r="H2574" i="18"/>
  <c r="I2574" i="18"/>
  <c r="J2574" i="18"/>
  <c r="A2575" i="18"/>
  <c r="B2575" i="18"/>
  <c r="C2575" i="18"/>
  <c r="D2575" i="18"/>
  <c r="E2575" i="18"/>
  <c r="F2575" i="18"/>
  <c r="G2575" i="18"/>
  <c r="H2575" i="18"/>
  <c r="I2575" i="18"/>
  <c r="J2575" i="18"/>
  <c r="A2576" i="18"/>
  <c r="B2576" i="18"/>
  <c r="C2576" i="18"/>
  <c r="D2576" i="18"/>
  <c r="E2576" i="18"/>
  <c r="F2576" i="18"/>
  <c r="G2576" i="18"/>
  <c r="H2576" i="18"/>
  <c r="I2576" i="18"/>
  <c r="J2576" i="18"/>
  <c r="A2577" i="18"/>
  <c r="B2577" i="18"/>
  <c r="C2577" i="18"/>
  <c r="D2577" i="18"/>
  <c r="E2577" i="18"/>
  <c r="F2577" i="18"/>
  <c r="G2577" i="18"/>
  <c r="H2577" i="18"/>
  <c r="I2577" i="18"/>
  <c r="J2577" i="18"/>
  <c r="A2578" i="18"/>
  <c r="B2578" i="18"/>
  <c r="C2578" i="18"/>
  <c r="D2578" i="18"/>
  <c r="E2578" i="18"/>
  <c r="F2578" i="18"/>
  <c r="G2578" i="18"/>
  <c r="H2578" i="18"/>
  <c r="I2578" i="18"/>
  <c r="J2578" i="18"/>
  <c r="A2579" i="18"/>
  <c r="B2579" i="18"/>
  <c r="C2579" i="18"/>
  <c r="D2579" i="18"/>
  <c r="E2579" i="18"/>
  <c r="F2579" i="18"/>
  <c r="G2579" i="18"/>
  <c r="H2579" i="18"/>
  <c r="I2579" i="18"/>
  <c r="J2579" i="18"/>
  <c r="A2580" i="18"/>
  <c r="B2580" i="18"/>
  <c r="C2580" i="18"/>
  <c r="D2580" i="18"/>
  <c r="E2580" i="18"/>
  <c r="F2580" i="18"/>
  <c r="G2580" i="18"/>
  <c r="H2580" i="18"/>
  <c r="I2580" i="18"/>
  <c r="J2580" i="18"/>
  <c r="A2581" i="18"/>
  <c r="B2581" i="18"/>
  <c r="C2581" i="18"/>
  <c r="D2581" i="18"/>
  <c r="E2581" i="18"/>
  <c r="F2581" i="18"/>
  <c r="G2581" i="18"/>
  <c r="H2581" i="18"/>
  <c r="I2581" i="18"/>
  <c r="J2581" i="18"/>
  <c r="A2582" i="18"/>
  <c r="B2582" i="18"/>
  <c r="C2582" i="18"/>
  <c r="D2582" i="18"/>
  <c r="E2582" i="18"/>
  <c r="F2582" i="18"/>
  <c r="G2582" i="18"/>
  <c r="H2582" i="18"/>
  <c r="I2582" i="18"/>
  <c r="J2582" i="18"/>
  <c r="A2583" i="18"/>
  <c r="B2583" i="18"/>
  <c r="C2583" i="18"/>
  <c r="D2583" i="18"/>
  <c r="E2583" i="18"/>
  <c r="F2583" i="18"/>
  <c r="G2583" i="18"/>
  <c r="H2583" i="18"/>
  <c r="I2583" i="18"/>
  <c r="J2583" i="18"/>
  <c r="A2584" i="18"/>
  <c r="B2584" i="18"/>
  <c r="C2584" i="18"/>
  <c r="D2584" i="18"/>
  <c r="E2584" i="18"/>
  <c r="F2584" i="18"/>
  <c r="G2584" i="18"/>
  <c r="H2584" i="18"/>
  <c r="I2584" i="18"/>
  <c r="J2584" i="18"/>
  <c r="A2585" i="18"/>
  <c r="B2585" i="18"/>
  <c r="C2585" i="18"/>
  <c r="D2585" i="18"/>
  <c r="E2585" i="18"/>
  <c r="F2585" i="18"/>
  <c r="G2585" i="18"/>
  <c r="H2585" i="18"/>
  <c r="I2585" i="18"/>
  <c r="J2585" i="18"/>
  <c r="A2586" i="18"/>
  <c r="B2586" i="18"/>
  <c r="C2586" i="18"/>
  <c r="D2586" i="18"/>
  <c r="E2586" i="18"/>
  <c r="F2586" i="18"/>
  <c r="G2586" i="18"/>
  <c r="H2586" i="18"/>
  <c r="I2586" i="18"/>
  <c r="J2586" i="18"/>
  <c r="A2587" i="18"/>
  <c r="B2587" i="18"/>
  <c r="C2587" i="18"/>
  <c r="D2587" i="18"/>
  <c r="E2587" i="18"/>
  <c r="F2587" i="18"/>
  <c r="G2587" i="18"/>
  <c r="H2587" i="18"/>
  <c r="I2587" i="18"/>
  <c r="J2587" i="18"/>
  <c r="A2588" i="18"/>
  <c r="B2588" i="18"/>
  <c r="C2588" i="18"/>
  <c r="D2588" i="18"/>
  <c r="E2588" i="18"/>
  <c r="F2588" i="18"/>
  <c r="G2588" i="18"/>
  <c r="H2588" i="18"/>
  <c r="I2588" i="18"/>
  <c r="J2588" i="18"/>
  <c r="A2589" i="18"/>
  <c r="B2589" i="18"/>
  <c r="C2589" i="18"/>
  <c r="D2589" i="18"/>
  <c r="E2589" i="18"/>
  <c r="F2589" i="18"/>
  <c r="G2589" i="18"/>
  <c r="H2589" i="18"/>
  <c r="I2589" i="18"/>
  <c r="J2589" i="18"/>
  <c r="A2590" i="18"/>
  <c r="B2590" i="18"/>
  <c r="C2590" i="18"/>
  <c r="D2590" i="18"/>
  <c r="E2590" i="18"/>
  <c r="F2590" i="18"/>
  <c r="G2590" i="18"/>
  <c r="H2590" i="18"/>
  <c r="I2590" i="18"/>
  <c r="J2590" i="18"/>
  <c r="A2591" i="18"/>
  <c r="B2591" i="18"/>
  <c r="C2591" i="18"/>
  <c r="D2591" i="18"/>
  <c r="E2591" i="18"/>
  <c r="F2591" i="18"/>
  <c r="G2591" i="18"/>
  <c r="H2591" i="18"/>
  <c r="I2591" i="18"/>
  <c r="J2591" i="18"/>
  <c r="A2592" i="18"/>
  <c r="B2592" i="18"/>
  <c r="C2592" i="18"/>
  <c r="D2592" i="18"/>
  <c r="E2592" i="18"/>
  <c r="F2592" i="18"/>
  <c r="G2592" i="18"/>
  <c r="H2592" i="18"/>
  <c r="I2592" i="18"/>
  <c r="J2592" i="18"/>
  <c r="A2593" i="18"/>
  <c r="B2593" i="18"/>
  <c r="C2593" i="18"/>
  <c r="D2593" i="18"/>
  <c r="E2593" i="18"/>
  <c r="F2593" i="18"/>
  <c r="G2593" i="18"/>
  <c r="H2593" i="18"/>
  <c r="I2593" i="18"/>
  <c r="J2593" i="18"/>
  <c r="A2594" i="18"/>
  <c r="B2594" i="18"/>
  <c r="C2594" i="18"/>
  <c r="D2594" i="18"/>
  <c r="E2594" i="18"/>
  <c r="F2594" i="18"/>
  <c r="G2594" i="18"/>
  <c r="H2594" i="18"/>
  <c r="I2594" i="18"/>
  <c r="J2594" i="18"/>
  <c r="A2595" i="18"/>
  <c r="B2595" i="18"/>
  <c r="C2595" i="18"/>
  <c r="D2595" i="18"/>
  <c r="E2595" i="18"/>
  <c r="F2595" i="18"/>
  <c r="G2595" i="18"/>
  <c r="H2595" i="18"/>
  <c r="I2595" i="18"/>
  <c r="J2595" i="18"/>
  <c r="A2596" i="18"/>
  <c r="B2596" i="18"/>
  <c r="C2596" i="18"/>
  <c r="D2596" i="18"/>
  <c r="E2596" i="18"/>
  <c r="F2596" i="18"/>
  <c r="G2596" i="18"/>
  <c r="H2596" i="18"/>
  <c r="I2596" i="18"/>
  <c r="J2596" i="18"/>
  <c r="A2597" i="18"/>
  <c r="B2597" i="18"/>
  <c r="C2597" i="18"/>
  <c r="D2597" i="18"/>
  <c r="E2597" i="18"/>
  <c r="F2597" i="18"/>
  <c r="G2597" i="18"/>
  <c r="H2597" i="18"/>
  <c r="I2597" i="18"/>
  <c r="J2597" i="18"/>
  <c r="A2598" i="18"/>
  <c r="B2598" i="18"/>
  <c r="C2598" i="18"/>
  <c r="D2598" i="18"/>
  <c r="E2598" i="18"/>
  <c r="F2598" i="18"/>
  <c r="G2598" i="18"/>
  <c r="H2598" i="18"/>
  <c r="I2598" i="18"/>
  <c r="J2598" i="18"/>
  <c r="A2599" i="18"/>
  <c r="B2599" i="18"/>
  <c r="C2599" i="18"/>
  <c r="D2599" i="18"/>
  <c r="E2599" i="18"/>
  <c r="F2599" i="18"/>
  <c r="G2599" i="18"/>
  <c r="H2599" i="18"/>
  <c r="I2599" i="18"/>
  <c r="J2599" i="18"/>
  <c r="A2600" i="18"/>
  <c r="B2600" i="18"/>
  <c r="C2600" i="18"/>
  <c r="D2600" i="18"/>
  <c r="E2600" i="18"/>
  <c r="F2600" i="18"/>
  <c r="G2600" i="18"/>
  <c r="H2600" i="18"/>
  <c r="I2600" i="18"/>
  <c r="J2600" i="18"/>
  <c r="A2601" i="18"/>
  <c r="B2601" i="18"/>
  <c r="C2601" i="18"/>
  <c r="D2601" i="18"/>
  <c r="E2601" i="18"/>
  <c r="F2601" i="18"/>
  <c r="G2601" i="18"/>
  <c r="H2601" i="18"/>
  <c r="I2601" i="18"/>
  <c r="J2601" i="18"/>
  <c r="A2602" i="18"/>
  <c r="B2602" i="18"/>
  <c r="C2602" i="18"/>
  <c r="D2602" i="18"/>
  <c r="E2602" i="18"/>
  <c r="F2602" i="18"/>
  <c r="G2602" i="18"/>
  <c r="H2602" i="18"/>
  <c r="I2602" i="18"/>
  <c r="J2602" i="18"/>
  <c r="A2603" i="18"/>
  <c r="B2603" i="18"/>
  <c r="C2603" i="18"/>
  <c r="D2603" i="18"/>
  <c r="E2603" i="18"/>
  <c r="F2603" i="18"/>
  <c r="G2603" i="18"/>
  <c r="H2603" i="18"/>
  <c r="I2603" i="18"/>
  <c r="J2603" i="18"/>
  <c r="A2604" i="18"/>
  <c r="B2604" i="18"/>
  <c r="C2604" i="18"/>
  <c r="D2604" i="18"/>
  <c r="E2604" i="18"/>
  <c r="F2604" i="18"/>
  <c r="G2604" i="18"/>
  <c r="H2604" i="18"/>
  <c r="I2604" i="18"/>
  <c r="J2604" i="18"/>
  <c r="A2605" i="18"/>
  <c r="B2605" i="18"/>
  <c r="C2605" i="18"/>
  <c r="D2605" i="18"/>
  <c r="E2605" i="18"/>
  <c r="F2605" i="18"/>
  <c r="G2605" i="18"/>
  <c r="H2605" i="18"/>
  <c r="I2605" i="18"/>
  <c r="J2605" i="18"/>
  <c r="A2606" i="18"/>
  <c r="B2606" i="18"/>
  <c r="C2606" i="18"/>
  <c r="D2606" i="18"/>
  <c r="E2606" i="18"/>
  <c r="F2606" i="18"/>
  <c r="G2606" i="18"/>
  <c r="H2606" i="18"/>
  <c r="I2606" i="18"/>
  <c r="J2606" i="18"/>
  <c r="A2607" i="18"/>
  <c r="B2607" i="18"/>
  <c r="C2607" i="18"/>
  <c r="D2607" i="18"/>
  <c r="E2607" i="18"/>
  <c r="F2607" i="18"/>
  <c r="G2607" i="18"/>
  <c r="H2607" i="18"/>
  <c r="I2607" i="18"/>
  <c r="J2607" i="18"/>
  <c r="A2608" i="18"/>
  <c r="B2608" i="18"/>
  <c r="C2608" i="18"/>
  <c r="D2608" i="18"/>
  <c r="E2608" i="18"/>
  <c r="F2608" i="18"/>
  <c r="G2608" i="18"/>
  <c r="H2608" i="18"/>
  <c r="I2608" i="18"/>
  <c r="J2608" i="18"/>
  <c r="A2609" i="18"/>
  <c r="B2609" i="18"/>
  <c r="C2609" i="18"/>
  <c r="D2609" i="18"/>
  <c r="E2609" i="18"/>
  <c r="F2609" i="18"/>
  <c r="G2609" i="18"/>
  <c r="H2609" i="18"/>
  <c r="I2609" i="18"/>
  <c r="J2609" i="18"/>
  <c r="A2610" i="18"/>
  <c r="B2610" i="18"/>
  <c r="C2610" i="18"/>
  <c r="D2610" i="18"/>
  <c r="E2610" i="18"/>
  <c r="F2610" i="18"/>
  <c r="G2610" i="18"/>
  <c r="H2610" i="18"/>
  <c r="I2610" i="18"/>
  <c r="J2610" i="18"/>
  <c r="A2611" i="18"/>
  <c r="B2611" i="18"/>
  <c r="C2611" i="18"/>
  <c r="D2611" i="18"/>
  <c r="E2611" i="18"/>
  <c r="F2611" i="18"/>
  <c r="G2611" i="18"/>
  <c r="H2611" i="18"/>
  <c r="I2611" i="18"/>
  <c r="J2611" i="18"/>
  <c r="A2612" i="18"/>
  <c r="B2612" i="18"/>
  <c r="C2612" i="18"/>
  <c r="D2612" i="18"/>
  <c r="E2612" i="18"/>
  <c r="F2612" i="18"/>
  <c r="G2612" i="18"/>
  <c r="H2612" i="18"/>
  <c r="I2612" i="18"/>
  <c r="J2612" i="18"/>
  <c r="A2613" i="18"/>
  <c r="B2613" i="18"/>
  <c r="C2613" i="18"/>
  <c r="D2613" i="18"/>
  <c r="E2613" i="18"/>
  <c r="F2613" i="18"/>
  <c r="G2613" i="18"/>
  <c r="H2613" i="18"/>
  <c r="I2613" i="18"/>
  <c r="J2613" i="18"/>
  <c r="A2614" i="18"/>
  <c r="B2614" i="18"/>
  <c r="C2614" i="18"/>
  <c r="D2614" i="18"/>
  <c r="E2614" i="18"/>
  <c r="F2614" i="18"/>
  <c r="G2614" i="18"/>
  <c r="H2614" i="18"/>
  <c r="I2614" i="18"/>
  <c r="J2614" i="18"/>
  <c r="A2615" i="18"/>
  <c r="B2615" i="18"/>
  <c r="C2615" i="18"/>
  <c r="D2615" i="18"/>
  <c r="E2615" i="18"/>
  <c r="F2615" i="18"/>
  <c r="G2615" i="18"/>
  <c r="H2615" i="18"/>
  <c r="I2615" i="18"/>
  <c r="J2615" i="18"/>
  <c r="A2616" i="18"/>
  <c r="B2616" i="18"/>
  <c r="C2616" i="18"/>
  <c r="D2616" i="18"/>
  <c r="E2616" i="18"/>
  <c r="F2616" i="18"/>
  <c r="G2616" i="18"/>
  <c r="H2616" i="18"/>
  <c r="I2616" i="18"/>
  <c r="J2616" i="18"/>
  <c r="A2617" i="18"/>
  <c r="B2617" i="18"/>
  <c r="C2617" i="18"/>
  <c r="D2617" i="18"/>
  <c r="E2617" i="18"/>
  <c r="F2617" i="18"/>
  <c r="G2617" i="18"/>
  <c r="H2617" i="18"/>
  <c r="I2617" i="18"/>
  <c r="J2617" i="18"/>
  <c r="A2618" i="18"/>
  <c r="B2618" i="18"/>
  <c r="C2618" i="18"/>
  <c r="D2618" i="18"/>
  <c r="E2618" i="18"/>
  <c r="F2618" i="18"/>
  <c r="G2618" i="18"/>
  <c r="H2618" i="18"/>
  <c r="I2618" i="18"/>
  <c r="J2618" i="18"/>
  <c r="A2619" i="18"/>
  <c r="B2619" i="18"/>
  <c r="C2619" i="18"/>
  <c r="D2619" i="18"/>
  <c r="E2619" i="18"/>
  <c r="F2619" i="18"/>
  <c r="G2619" i="18"/>
  <c r="H2619" i="18"/>
  <c r="I2619" i="18"/>
  <c r="J2619" i="18"/>
  <c r="A2620" i="18"/>
  <c r="B2620" i="18"/>
  <c r="C2620" i="18"/>
  <c r="D2620" i="18"/>
  <c r="E2620" i="18"/>
  <c r="F2620" i="18"/>
  <c r="G2620" i="18"/>
  <c r="H2620" i="18"/>
  <c r="I2620" i="18"/>
  <c r="J2620" i="18"/>
  <c r="A2621" i="18"/>
  <c r="B2621" i="18"/>
  <c r="C2621" i="18"/>
  <c r="D2621" i="18"/>
  <c r="E2621" i="18"/>
  <c r="F2621" i="18"/>
  <c r="G2621" i="18"/>
  <c r="H2621" i="18"/>
  <c r="I2621" i="18"/>
  <c r="J2621" i="18"/>
  <c r="A2622" i="18"/>
  <c r="B2622" i="18"/>
  <c r="C2622" i="18"/>
  <c r="D2622" i="18"/>
  <c r="E2622" i="18"/>
  <c r="F2622" i="18"/>
  <c r="G2622" i="18"/>
  <c r="H2622" i="18"/>
  <c r="I2622" i="18"/>
  <c r="J2622" i="18"/>
  <c r="A2623" i="18"/>
  <c r="B2623" i="18"/>
  <c r="C2623" i="18"/>
  <c r="D2623" i="18"/>
  <c r="E2623" i="18"/>
  <c r="F2623" i="18"/>
  <c r="G2623" i="18"/>
  <c r="H2623" i="18"/>
  <c r="I2623" i="18"/>
  <c r="J2623" i="18"/>
  <c r="A2624" i="18"/>
  <c r="B2624" i="18"/>
  <c r="C2624" i="18"/>
  <c r="D2624" i="18"/>
  <c r="E2624" i="18"/>
  <c r="F2624" i="18"/>
  <c r="G2624" i="18"/>
  <c r="H2624" i="18"/>
  <c r="I2624" i="18"/>
  <c r="J2624" i="18"/>
  <c r="A2625" i="18"/>
  <c r="B2625" i="18"/>
  <c r="C2625" i="18"/>
  <c r="D2625" i="18"/>
  <c r="E2625" i="18"/>
  <c r="F2625" i="18"/>
  <c r="G2625" i="18"/>
  <c r="H2625" i="18"/>
  <c r="I2625" i="18"/>
  <c r="J2625" i="18"/>
  <c r="A2626" i="18"/>
  <c r="B2626" i="18"/>
  <c r="C2626" i="18"/>
  <c r="D2626" i="18"/>
  <c r="E2626" i="18"/>
  <c r="F2626" i="18"/>
  <c r="G2626" i="18"/>
  <c r="H2626" i="18"/>
  <c r="I2626" i="18"/>
  <c r="J2626" i="18"/>
  <c r="A2627" i="18"/>
  <c r="B2627" i="18"/>
  <c r="C2627" i="18"/>
  <c r="D2627" i="18"/>
  <c r="E2627" i="18"/>
  <c r="F2627" i="18"/>
  <c r="G2627" i="18"/>
  <c r="H2627" i="18"/>
  <c r="I2627" i="18"/>
  <c r="J2627" i="18"/>
  <c r="A2628" i="18"/>
  <c r="B2628" i="18"/>
  <c r="C2628" i="18"/>
  <c r="D2628" i="18"/>
  <c r="E2628" i="18"/>
  <c r="F2628" i="18"/>
  <c r="G2628" i="18"/>
  <c r="H2628" i="18"/>
  <c r="I2628" i="18"/>
  <c r="J2628" i="18"/>
  <c r="A2629" i="18"/>
  <c r="B2629" i="18"/>
  <c r="C2629" i="18"/>
  <c r="D2629" i="18"/>
  <c r="E2629" i="18"/>
  <c r="F2629" i="18"/>
  <c r="G2629" i="18"/>
  <c r="H2629" i="18"/>
  <c r="I2629" i="18"/>
  <c r="J2629" i="18"/>
  <c r="A2630" i="18"/>
  <c r="B2630" i="18"/>
  <c r="C2630" i="18"/>
  <c r="D2630" i="18"/>
  <c r="E2630" i="18"/>
  <c r="F2630" i="18"/>
  <c r="G2630" i="18"/>
  <c r="H2630" i="18"/>
  <c r="I2630" i="18"/>
  <c r="J2630" i="18"/>
  <c r="A2631" i="18"/>
  <c r="B2631" i="18"/>
  <c r="C2631" i="18"/>
  <c r="D2631" i="18"/>
  <c r="E2631" i="18"/>
  <c r="F2631" i="18"/>
  <c r="G2631" i="18"/>
  <c r="H2631" i="18"/>
  <c r="I2631" i="18"/>
  <c r="J2631" i="18"/>
  <c r="A2632" i="18"/>
  <c r="B2632" i="18"/>
  <c r="C2632" i="18"/>
  <c r="D2632" i="18"/>
  <c r="E2632" i="18"/>
  <c r="F2632" i="18"/>
  <c r="G2632" i="18"/>
  <c r="H2632" i="18"/>
  <c r="I2632" i="18"/>
  <c r="J2632" i="18"/>
  <c r="A2633" i="18"/>
  <c r="B2633" i="18"/>
  <c r="C2633" i="18"/>
  <c r="D2633" i="18"/>
  <c r="E2633" i="18"/>
  <c r="F2633" i="18"/>
  <c r="G2633" i="18"/>
  <c r="H2633" i="18"/>
  <c r="I2633" i="18"/>
  <c r="J2633" i="18"/>
  <c r="A2634" i="18"/>
  <c r="B2634" i="18"/>
  <c r="C2634" i="18"/>
  <c r="D2634" i="18"/>
  <c r="E2634" i="18"/>
  <c r="F2634" i="18"/>
  <c r="G2634" i="18"/>
  <c r="H2634" i="18"/>
  <c r="I2634" i="18"/>
  <c r="J2634" i="18"/>
  <c r="A2635" i="18"/>
  <c r="B2635" i="18"/>
  <c r="C2635" i="18"/>
  <c r="D2635" i="18"/>
  <c r="E2635" i="18"/>
  <c r="F2635" i="18"/>
  <c r="G2635" i="18"/>
  <c r="H2635" i="18"/>
  <c r="I2635" i="18"/>
  <c r="J2635" i="18"/>
  <c r="A2636" i="18"/>
  <c r="B2636" i="18"/>
  <c r="C2636" i="18"/>
  <c r="D2636" i="18"/>
  <c r="E2636" i="18"/>
  <c r="F2636" i="18"/>
  <c r="G2636" i="18"/>
  <c r="H2636" i="18"/>
  <c r="I2636" i="18"/>
  <c r="J2636" i="18"/>
  <c r="A2637" i="18"/>
  <c r="B2637" i="18"/>
  <c r="C2637" i="18"/>
  <c r="D2637" i="18"/>
  <c r="E2637" i="18"/>
  <c r="F2637" i="18"/>
  <c r="G2637" i="18"/>
  <c r="H2637" i="18"/>
  <c r="I2637" i="18"/>
  <c r="J2637" i="18"/>
  <c r="A2638" i="18"/>
  <c r="B2638" i="18"/>
  <c r="C2638" i="18"/>
  <c r="D2638" i="18"/>
  <c r="E2638" i="18"/>
  <c r="F2638" i="18"/>
  <c r="G2638" i="18"/>
  <c r="H2638" i="18"/>
  <c r="I2638" i="18"/>
  <c r="J2638" i="18"/>
  <c r="A2639" i="18"/>
  <c r="B2639" i="18"/>
  <c r="C2639" i="18"/>
  <c r="D2639" i="18"/>
  <c r="E2639" i="18"/>
  <c r="F2639" i="18"/>
  <c r="G2639" i="18"/>
  <c r="H2639" i="18"/>
  <c r="I2639" i="18"/>
  <c r="J2639" i="18"/>
  <c r="A2640" i="18"/>
  <c r="B2640" i="18"/>
  <c r="C2640" i="18"/>
  <c r="D2640" i="18"/>
  <c r="E2640" i="18"/>
  <c r="F2640" i="18"/>
  <c r="G2640" i="18"/>
  <c r="H2640" i="18"/>
  <c r="I2640" i="18"/>
  <c r="J2640" i="18"/>
  <c r="A2641" i="18"/>
  <c r="B2641" i="18"/>
  <c r="C2641" i="18"/>
  <c r="D2641" i="18"/>
  <c r="E2641" i="18"/>
  <c r="F2641" i="18"/>
  <c r="G2641" i="18"/>
  <c r="H2641" i="18"/>
  <c r="I2641" i="18"/>
  <c r="J2641" i="18"/>
  <c r="A2642" i="18"/>
  <c r="B2642" i="18"/>
  <c r="C2642" i="18"/>
  <c r="D2642" i="18"/>
  <c r="E2642" i="18"/>
  <c r="F2642" i="18"/>
  <c r="G2642" i="18"/>
  <c r="H2642" i="18"/>
  <c r="I2642" i="18"/>
  <c r="J2642" i="18"/>
  <c r="A2643" i="18"/>
  <c r="B2643" i="18"/>
  <c r="C2643" i="18"/>
  <c r="D2643" i="18"/>
  <c r="E2643" i="18"/>
  <c r="F2643" i="18"/>
  <c r="G2643" i="18"/>
  <c r="H2643" i="18"/>
  <c r="I2643" i="18"/>
  <c r="J2643" i="18"/>
  <c r="A2644" i="18"/>
  <c r="B2644" i="18"/>
  <c r="C2644" i="18"/>
  <c r="D2644" i="18"/>
  <c r="E2644" i="18"/>
  <c r="F2644" i="18"/>
  <c r="G2644" i="18"/>
  <c r="H2644" i="18"/>
  <c r="I2644" i="18"/>
  <c r="J2644" i="18"/>
  <c r="A2645" i="18"/>
  <c r="B2645" i="18"/>
  <c r="C2645" i="18"/>
  <c r="D2645" i="18"/>
  <c r="E2645" i="18"/>
  <c r="F2645" i="18"/>
  <c r="G2645" i="18"/>
  <c r="H2645" i="18"/>
  <c r="I2645" i="18"/>
  <c r="J2645" i="18"/>
  <c r="A2646" i="18"/>
  <c r="B2646" i="18"/>
  <c r="C2646" i="18"/>
  <c r="D2646" i="18"/>
  <c r="E2646" i="18"/>
  <c r="F2646" i="18"/>
  <c r="G2646" i="18"/>
  <c r="H2646" i="18"/>
  <c r="I2646" i="18"/>
  <c r="J2646" i="18"/>
  <c r="A2647" i="18"/>
  <c r="B2647" i="18"/>
  <c r="C2647" i="18"/>
  <c r="D2647" i="18"/>
  <c r="E2647" i="18"/>
  <c r="F2647" i="18"/>
  <c r="G2647" i="18"/>
  <c r="H2647" i="18"/>
  <c r="I2647" i="18"/>
  <c r="J2647" i="18"/>
  <c r="A2648" i="18"/>
  <c r="B2648" i="18"/>
  <c r="C2648" i="18"/>
  <c r="D2648" i="18"/>
  <c r="E2648" i="18"/>
  <c r="F2648" i="18"/>
  <c r="G2648" i="18"/>
  <c r="H2648" i="18"/>
  <c r="I2648" i="18"/>
  <c r="J2648" i="18"/>
  <c r="A2649" i="18"/>
  <c r="B2649" i="18"/>
  <c r="C2649" i="18"/>
  <c r="D2649" i="18"/>
  <c r="E2649" i="18"/>
  <c r="F2649" i="18"/>
  <c r="G2649" i="18"/>
  <c r="H2649" i="18"/>
  <c r="I2649" i="18"/>
  <c r="J2649" i="18"/>
  <c r="A2650" i="18"/>
  <c r="B2650" i="18"/>
  <c r="C2650" i="18"/>
  <c r="D2650" i="18"/>
  <c r="E2650" i="18"/>
  <c r="F2650" i="18"/>
  <c r="G2650" i="18"/>
  <c r="H2650" i="18"/>
  <c r="I2650" i="18"/>
  <c r="J2650" i="18"/>
  <c r="A2651" i="18"/>
  <c r="B2651" i="18"/>
  <c r="C2651" i="18"/>
  <c r="D2651" i="18"/>
  <c r="E2651" i="18"/>
  <c r="F2651" i="18"/>
  <c r="G2651" i="18"/>
  <c r="H2651" i="18"/>
  <c r="I2651" i="18"/>
  <c r="J2651" i="18"/>
  <c r="A2652" i="18"/>
  <c r="B2652" i="18"/>
  <c r="C2652" i="18"/>
  <c r="D2652" i="18"/>
  <c r="E2652" i="18"/>
  <c r="F2652" i="18"/>
  <c r="G2652" i="18"/>
  <c r="H2652" i="18"/>
  <c r="I2652" i="18"/>
  <c r="J2652" i="18"/>
  <c r="A2653" i="18"/>
  <c r="B2653" i="18"/>
  <c r="C2653" i="18"/>
  <c r="D2653" i="18"/>
  <c r="E2653" i="18"/>
  <c r="F2653" i="18"/>
  <c r="G2653" i="18"/>
  <c r="H2653" i="18"/>
  <c r="I2653" i="18"/>
  <c r="J2653" i="18"/>
  <c r="A2654" i="18"/>
  <c r="B2654" i="18"/>
  <c r="C2654" i="18"/>
  <c r="D2654" i="18"/>
  <c r="E2654" i="18"/>
  <c r="F2654" i="18"/>
  <c r="G2654" i="18"/>
  <c r="H2654" i="18"/>
  <c r="I2654" i="18"/>
  <c r="J2654" i="18"/>
  <c r="A2655" i="18"/>
  <c r="B2655" i="18"/>
  <c r="C2655" i="18"/>
  <c r="D2655" i="18"/>
  <c r="E2655" i="18"/>
  <c r="F2655" i="18"/>
  <c r="G2655" i="18"/>
  <c r="H2655" i="18"/>
  <c r="I2655" i="18"/>
  <c r="J2655" i="18"/>
  <c r="A2656" i="18"/>
  <c r="B2656" i="18"/>
  <c r="C2656" i="18"/>
  <c r="D2656" i="18"/>
  <c r="E2656" i="18"/>
  <c r="F2656" i="18"/>
  <c r="G2656" i="18"/>
  <c r="H2656" i="18"/>
  <c r="I2656" i="18"/>
  <c r="J2656" i="18"/>
  <c r="A2657" i="18"/>
  <c r="B2657" i="18"/>
  <c r="C2657" i="18"/>
  <c r="D2657" i="18"/>
  <c r="E2657" i="18"/>
  <c r="F2657" i="18"/>
  <c r="G2657" i="18"/>
  <c r="H2657" i="18"/>
  <c r="I2657" i="18"/>
  <c r="J2657" i="18"/>
  <c r="A2658" i="18"/>
  <c r="B2658" i="18"/>
  <c r="C2658" i="18"/>
  <c r="D2658" i="18"/>
  <c r="E2658" i="18"/>
  <c r="F2658" i="18"/>
  <c r="G2658" i="18"/>
  <c r="H2658" i="18"/>
  <c r="I2658" i="18"/>
  <c r="J2658" i="18"/>
  <c r="A2659" i="18"/>
  <c r="B2659" i="18"/>
  <c r="C2659" i="18"/>
  <c r="D2659" i="18"/>
  <c r="E2659" i="18"/>
  <c r="F2659" i="18"/>
  <c r="G2659" i="18"/>
  <c r="H2659" i="18"/>
  <c r="I2659" i="18"/>
  <c r="J2659" i="18"/>
  <c r="A2660" i="18"/>
  <c r="B2660" i="18"/>
  <c r="C2660" i="18"/>
  <c r="D2660" i="18"/>
  <c r="E2660" i="18"/>
  <c r="F2660" i="18"/>
  <c r="G2660" i="18"/>
  <c r="H2660" i="18"/>
  <c r="I2660" i="18"/>
  <c r="J2660" i="18"/>
  <c r="A2661" i="18"/>
  <c r="B2661" i="18"/>
  <c r="C2661" i="18"/>
  <c r="D2661" i="18"/>
  <c r="E2661" i="18"/>
  <c r="F2661" i="18"/>
  <c r="G2661" i="18"/>
  <c r="H2661" i="18"/>
  <c r="I2661" i="18"/>
  <c r="J2661" i="18"/>
  <c r="A2662" i="18"/>
  <c r="B2662" i="18"/>
  <c r="C2662" i="18"/>
  <c r="D2662" i="18"/>
  <c r="E2662" i="18"/>
  <c r="F2662" i="18"/>
  <c r="G2662" i="18"/>
  <c r="H2662" i="18"/>
  <c r="I2662" i="18"/>
  <c r="J2662" i="18"/>
  <c r="A2663" i="18"/>
  <c r="B2663" i="18"/>
  <c r="C2663" i="18"/>
  <c r="D2663" i="18"/>
  <c r="E2663" i="18"/>
  <c r="F2663" i="18"/>
  <c r="G2663" i="18"/>
  <c r="H2663" i="18"/>
  <c r="I2663" i="18"/>
  <c r="J2663" i="18"/>
  <c r="A2664" i="18"/>
  <c r="B2664" i="18"/>
  <c r="C2664" i="18"/>
  <c r="D2664" i="18"/>
  <c r="E2664" i="18"/>
  <c r="F2664" i="18"/>
  <c r="G2664" i="18"/>
  <c r="H2664" i="18"/>
  <c r="I2664" i="18"/>
  <c r="J2664" i="18"/>
  <c r="A2665" i="18"/>
  <c r="B2665" i="18"/>
  <c r="C2665" i="18"/>
  <c r="D2665" i="18"/>
  <c r="E2665" i="18"/>
  <c r="F2665" i="18"/>
  <c r="G2665" i="18"/>
  <c r="H2665" i="18"/>
  <c r="I2665" i="18"/>
  <c r="J2665" i="18"/>
  <c r="A2666" i="18"/>
  <c r="B2666" i="18"/>
  <c r="C2666" i="18"/>
  <c r="D2666" i="18"/>
  <c r="E2666" i="18"/>
  <c r="F2666" i="18"/>
  <c r="G2666" i="18"/>
  <c r="H2666" i="18"/>
  <c r="I2666" i="18"/>
  <c r="J2666" i="18"/>
  <c r="A2667" i="18"/>
  <c r="B2667" i="18"/>
  <c r="C2667" i="18"/>
  <c r="D2667" i="18"/>
  <c r="E2667" i="18"/>
  <c r="F2667" i="18"/>
  <c r="G2667" i="18"/>
  <c r="H2667" i="18"/>
  <c r="I2667" i="18"/>
  <c r="J2667" i="18"/>
  <c r="A2668" i="18"/>
  <c r="B2668" i="18"/>
  <c r="C2668" i="18"/>
  <c r="D2668" i="18"/>
  <c r="E2668" i="18"/>
  <c r="F2668" i="18"/>
  <c r="G2668" i="18"/>
  <c r="H2668" i="18"/>
  <c r="I2668" i="18"/>
  <c r="J2668" i="18"/>
  <c r="A2669" i="18"/>
  <c r="B2669" i="18"/>
  <c r="C2669" i="18"/>
  <c r="D2669" i="18"/>
  <c r="E2669" i="18"/>
  <c r="F2669" i="18"/>
  <c r="G2669" i="18"/>
  <c r="H2669" i="18"/>
  <c r="I2669" i="18"/>
  <c r="J2669" i="18"/>
  <c r="A2670" i="18"/>
  <c r="B2670" i="18"/>
  <c r="C2670" i="18"/>
  <c r="D2670" i="18"/>
  <c r="E2670" i="18"/>
  <c r="F2670" i="18"/>
  <c r="G2670" i="18"/>
  <c r="H2670" i="18"/>
  <c r="I2670" i="18"/>
  <c r="J2670" i="18"/>
  <c r="A2671" i="18"/>
  <c r="B2671" i="18"/>
  <c r="C2671" i="18"/>
  <c r="D2671" i="18"/>
  <c r="E2671" i="18"/>
  <c r="F2671" i="18"/>
  <c r="G2671" i="18"/>
  <c r="H2671" i="18"/>
  <c r="I2671" i="18"/>
  <c r="J2671" i="18"/>
  <c r="A2672" i="18"/>
  <c r="B2672" i="18"/>
  <c r="C2672" i="18"/>
  <c r="D2672" i="18"/>
  <c r="E2672" i="18"/>
  <c r="F2672" i="18"/>
  <c r="G2672" i="18"/>
  <c r="H2672" i="18"/>
  <c r="I2672" i="18"/>
  <c r="J2672" i="18"/>
  <c r="A2673" i="18"/>
  <c r="B2673" i="18"/>
  <c r="C2673" i="18"/>
  <c r="D2673" i="18"/>
  <c r="E2673" i="18"/>
  <c r="F2673" i="18"/>
  <c r="G2673" i="18"/>
  <c r="H2673" i="18"/>
  <c r="I2673" i="18"/>
  <c r="J2673" i="18"/>
  <c r="A2674" i="18"/>
  <c r="B2674" i="18"/>
  <c r="C2674" i="18"/>
  <c r="D2674" i="18"/>
  <c r="E2674" i="18"/>
  <c r="F2674" i="18"/>
  <c r="G2674" i="18"/>
  <c r="H2674" i="18"/>
  <c r="I2674" i="18"/>
  <c r="J2674" i="18"/>
  <c r="A2675" i="18"/>
  <c r="B2675" i="18"/>
  <c r="C2675" i="18"/>
  <c r="D2675" i="18"/>
  <c r="E2675" i="18"/>
  <c r="F2675" i="18"/>
  <c r="G2675" i="18"/>
  <c r="H2675" i="18"/>
  <c r="I2675" i="18"/>
  <c r="J2675" i="18"/>
  <c r="A2676" i="18"/>
  <c r="B2676" i="18"/>
  <c r="C2676" i="18"/>
  <c r="D2676" i="18"/>
  <c r="E2676" i="18"/>
  <c r="F2676" i="18"/>
  <c r="G2676" i="18"/>
  <c r="H2676" i="18"/>
  <c r="I2676" i="18"/>
  <c r="J2676" i="18"/>
  <c r="A2677" i="18"/>
  <c r="B2677" i="18"/>
  <c r="C2677" i="18"/>
  <c r="D2677" i="18"/>
  <c r="E2677" i="18"/>
  <c r="F2677" i="18"/>
  <c r="G2677" i="18"/>
  <c r="H2677" i="18"/>
  <c r="I2677" i="18"/>
  <c r="J2677" i="18"/>
  <c r="A2678" i="18"/>
  <c r="B2678" i="18"/>
  <c r="C2678" i="18"/>
  <c r="D2678" i="18"/>
  <c r="E2678" i="18"/>
  <c r="F2678" i="18"/>
  <c r="G2678" i="18"/>
  <c r="H2678" i="18"/>
  <c r="I2678" i="18"/>
  <c r="J2678" i="18"/>
  <c r="A2679" i="18"/>
  <c r="B2679" i="18"/>
  <c r="C2679" i="18"/>
  <c r="D2679" i="18"/>
  <c r="E2679" i="18"/>
  <c r="F2679" i="18"/>
  <c r="G2679" i="18"/>
  <c r="H2679" i="18"/>
  <c r="I2679" i="18"/>
  <c r="J2679" i="18"/>
  <c r="A2680" i="18"/>
  <c r="B2680" i="18"/>
  <c r="C2680" i="18"/>
  <c r="D2680" i="18"/>
  <c r="E2680" i="18"/>
  <c r="F2680" i="18"/>
  <c r="G2680" i="18"/>
  <c r="H2680" i="18"/>
  <c r="I2680" i="18"/>
  <c r="J2680" i="18"/>
  <c r="A2681" i="18"/>
  <c r="B2681" i="18"/>
  <c r="C2681" i="18"/>
  <c r="D2681" i="18"/>
  <c r="E2681" i="18"/>
  <c r="F2681" i="18"/>
  <c r="G2681" i="18"/>
  <c r="H2681" i="18"/>
  <c r="I2681" i="18"/>
  <c r="J2681" i="18"/>
  <c r="A2682" i="18"/>
  <c r="B2682" i="18"/>
  <c r="C2682" i="18"/>
  <c r="D2682" i="18"/>
  <c r="E2682" i="18"/>
  <c r="F2682" i="18"/>
  <c r="G2682" i="18"/>
  <c r="H2682" i="18"/>
  <c r="I2682" i="18"/>
  <c r="J2682" i="18"/>
  <c r="A2683" i="18"/>
  <c r="B2683" i="18"/>
  <c r="C2683" i="18"/>
  <c r="D2683" i="18"/>
  <c r="E2683" i="18"/>
  <c r="F2683" i="18"/>
  <c r="G2683" i="18"/>
  <c r="H2683" i="18"/>
  <c r="I2683" i="18"/>
  <c r="J2683" i="18"/>
  <c r="A2684" i="18"/>
  <c r="B2684" i="18"/>
  <c r="C2684" i="18"/>
  <c r="D2684" i="18"/>
  <c r="E2684" i="18"/>
  <c r="F2684" i="18"/>
  <c r="G2684" i="18"/>
  <c r="H2684" i="18"/>
  <c r="I2684" i="18"/>
  <c r="J2684" i="18"/>
  <c r="A2685" i="18"/>
  <c r="B2685" i="18"/>
  <c r="C2685" i="18"/>
  <c r="D2685" i="18"/>
  <c r="E2685" i="18"/>
  <c r="F2685" i="18"/>
  <c r="G2685" i="18"/>
  <c r="H2685" i="18"/>
  <c r="I2685" i="18"/>
  <c r="J2685" i="18"/>
  <c r="A2686" i="18"/>
  <c r="B2686" i="18"/>
  <c r="C2686" i="18"/>
  <c r="D2686" i="18"/>
  <c r="E2686" i="18"/>
  <c r="F2686" i="18"/>
  <c r="G2686" i="18"/>
  <c r="H2686" i="18"/>
  <c r="I2686" i="18"/>
  <c r="J2686" i="18"/>
  <c r="A2687" i="18"/>
  <c r="B2687" i="18"/>
  <c r="C2687" i="18"/>
  <c r="D2687" i="18"/>
  <c r="E2687" i="18"/>
  <c r="F2687" i="18"/>
  <c r="G2687" i="18"/>
  <c r="H2687" i="18"/>
  <c r="I2687" i="18"/>
  <c r="J2687" i="18"/>
  <c r="A2688" i="18"/>
  <c r="B2688" i="18"/>
  <c r="C2688" i="18"/>
  <c r="D2688" i="18"/>
  <c r="E2688" i="18"/>
  <c r="F2688" i="18"/>
  <c r="G2688" i="18"/>
  <c r="H2688" i="18"/>
  <c r="I2688" i="18"/>
  <c r="J2688" i="18"/>
  <c r="A2689" i="18"/>
  <c r="B2689" i="18"/>
  <c r="C2689" i="18"/>
  <c r="D2689" i="18"/>
  <c r="E2689" i="18"/>
  <c r="F2689" i="18"/>
  <c r="G2689" i="18"/>
  <c r="H2689" i="18"/>
  <c r="I2689" i="18"/>
  <c r="J2689" i="18"/>
  <c r="A2690" i="18"/>
  <c r="B2690" i="18"/>
  <c r="C2690" i="18"/>
  <c r="D2690" i="18"/>
  <c r="E2690" i="18"/>
  <c r="F2690" i="18"/>
  <c r="G2690" i="18"/>
  <c r="H2690" i="18"/>
  <c r="I2690" i="18"/>
  <c r="J2690" i="18"/>
  <c r="A2691" i="18"/>
  <c r="B2691" i="18"/>
  <c r="C2691" i="18"/>
  <c r="D2691" i="18"/>
  <c r="E2691" i="18"/>
  <c r="F2691" i="18"/>
  <c r="G2691" i="18"/>
  <c r="H2691" i="18"/>
  <c r="I2691" i="18"/>
  <c r="J2691" i="18"/>
  <c r="A2692" i="18"/>
  <c r="B2692" i="18"/>
  <c r="C2692" i="18"/>
  <c r="D2692" i="18"/>
  <c r="E2692" i="18"/>
  <c r="F2692" i="18"/>
  <c r="G2692" i="18"/>
  <c r="H2692" i="18"/>
  <c r="I2692" i="18"/>
  <c r="J2692" i="18"/>
  <c r="A2693" i="18"/>
  <c r="B2693" i="18"/>
  <c r="C2693" i="18"/>
  <c r="D2693" i="18"/>
  <c r="E2693" i="18"/>
  <c r="F2693" i="18"/>
  <c r="G2693" i="18"/>
  <c r="H2693" i="18"/>
  <c r="I2693" i="18"/>
  <c r="J2693" i="18"/>
  <c r="A2694" i="18"/>
  <c r="B2694" i="18"/>
  <c r="C2694" i="18"/>
  <c r="D2694" i="18"/>
  <c r="E2694" i="18"/>
  <c r="F2694" i="18"/>
  <c r="G2694" i="18"/>
  <c r="H2694" i="18"/>
  <c r="I2694" i="18"/>
  <c r="J2694" i="18"/>
  <c r="A2695" i="18"/>
  <c r="B2695" i="18"/>
  <c r="C2695" i="18"/>
  <c r="D2695" i="18"/>
  <c r="E2695" i="18"/>
  <c r="F2695" i="18"/>
  <c r="G2695" i="18"/>
  <c r="H2695" i="18"/>
  <c r="I2695" i="18"/>
  <c r="J2695" i="18"/>
  <c r="A2696" i="18"/>
  <c r="B2696" i="18"/>
  <c r="C2696" i="18"/>
  <c r="D2696" i="18"/>
  <c r="E2696" i="18"/>
  <c r="F2696" i="18"/>
  <c r="G2696" i="18"/>
  <c r="H2696" i="18"/>
  <c r="I2696" i="18"/>
  <c r="J2696" i="18"/>
  <c r="A2697" i="18"/>
  <c r="B2697" i="18"/>
  <c r="C2697" i="18"/>
  <c r="D2697" i="18"/>
  <c r="E2697" i="18"/>
  <c r="F2697" i="18"/>
  <c r="G2697" i="18"/>
  <c r="H2697" i="18"/>
  <c r="I2697" i="18"/>
  <c r="J2697" i="18"/>
  <c r="A2698" i="18"/>
  <c r="B2698" i="18"/>
  <c r="C2698" i="18"/>
  <c r="D2698" i="18"/>
  <c r="E2698" i="18"/>
  <c r="F2698" i="18"/>
  <c r="G2698" i="18"/>
  <c r="H2698" i="18"/>
  <c r="I2698" i="18"/>
  <c r="J2698" i="18"/>
  <c r="A2699" i="18"/>
  <c r="B2699" i="18"/>
  <c r="C2699" i="18"/>
  <c r="D2699" i="18"/>
  <c r="E2699" i="18"/>
  <c r="F2699" i="18"/>
  <c r="G2699" i="18"/>
  <c r="H2699" i="18"/>
  <c r="I2699" i="18"/>
  <c r="J2699" i="18"/>
  <c r="A2700" i="18"/>
  <c r="B2700" i="18"/>
  <c r="C2700" i="18"/>
  <c r="D2700" i="18"/>
  <c r="E2700" i="18"/>
  <c r="F2700" i="18"/>
  <c r="G2700" i="18"/>
  <c r="H2700" i="18"/>
  <c r="I2700" i="18"/>
  <c r="J2700" i="18"/>
  <c r="A2701" i="18"/>
  <c r="B2701" i="18"/>
  <c r="C2701" i="18"/>
  <c r="D2701" i="18"/>
  <c r="E2701" i="18"/>
  <c r="F2701" i="18"/>
  <c r="G2701" i="18"/>
  <c r="H2701" i="18"/>
  <c r="I2701" i="18"/>
  <c r="J2701" i="18"/>
  <c r="A2702" i="18"/>
  <c r="B2702" i="18"/>
  <c r="C2702" i="18"/>
  <c r="D2702" i="18"/>
  <c r="E2702" i="18"/>
  <c r="F2702" i="18"/>
  <c r="G2702" i="18"/>
  <c r="H2702" i="18"/>
  <c r="I2702" i="18"/>
  <c r="J2702" i="18"/>
  <c r="A2703" i="18"/>
  <c r="B2703" i="18"/>
  <c r="C2703" i="18"/>
  <c r="D2703" i="18"/>
  <c r="E2703" i="18"/>
  <c r="F2703" i="18"/>
  <c r="G2703" i="18"/>
  <c r="H2703" i="18"/>
  <c r="I2703" i="18"/>
  <c r="J2703" i="18"/>
  <c r="A2704" i="18"/>
  <c r="B2704" i="18"/>
  <c r="C2704" i="18"/>
  <c r="D2704" i="18"/>
  <c r="E2704" i="18"/>
  <c r="F2704" i="18"/>
  <c r="G2704" i="18"/>
  <c r="H2704" i="18"/>
  <c r="I2704" i="18"/>
  <c r="J2704" i="18"/>
  <c r="A2705" i="18"/>
  <c r="B2705" i="18"/>
  <c r="C2705" i="18"/>
  <c r="D2705" i="18"/>
  <c r="E2705" i="18"/>
  <c r="F2705" i="18"/>
  <c r="G2705" i="18"/>
  <c r="H2705" i="18"/>
  <c r="I2705" i="18"/>
  <c r="J2705" i="18"/>
  <c r="A2706" i="18"/>
  <c r="B2706" i="18"/>
  <c r="C2706" i="18"/>
  <c r="D2706" i="18"/>
  <c r="E2706" i="18"/>
  <c r="F2706" i="18"/>
  <c r="G2706" i="18"/>
  <c r="H2706" i="18"/>
  <c r="I2706" i="18"/>
  <c r="J2706" i="18"/>
  <c r="A2707" i="18"/>
  <c r="B2707" i="18"/>
  <c r="C2707" i="18"/>
  <c r="D2707" i="18"/>
  <c r="E2707" i="18"/>
  <c r="F2707" i="18"/>
  <c r="G2707" i="18"/>
  <c r="H2707" i="18"/>
  <c r="I2707" i="18"/>
  <c r="J2707" i="18"/>
  <c r="A2708" i="18"/>
  <c r="B2708" i="18"/>
  <c r="C2708" i="18"/>
  <c r="D2708" i="18"/>
  <c r="E2708" i="18"/>
  <c r="F2708" i="18"/>
  <c r="G2708" i="18"/>
  <c r="H2708" i="18"/>
  <c r="I2708" i="18"/>
  <c r="J2708" i="18"/>
  <c r="A2709" i="18"/>
  <c r="B2709" i="18"/>
  <c r="C2709" i="18"/>
  <c r="D2709" i="18"/>
  <c r="E2709" i="18"/>
  <c r="F2709" i="18"/>
  <c r="G2709" i="18"/>
  <c r="H2709" i="18"/>
  <c r="I2709" i="18"/>
  <c r="J2709" i="18"/>
  <c r="A2710" i="18"/>
  <c r="B2710" i="18"/>
  <c r="C2710" i="18"/>
  <c r="D2710" i="18"/>
  <c r="E2710" i="18"/>
  <c r="F2710" i="18"/>
  <c r="G2710" i="18"/>
  <c r="H2710" i="18"/>
  <c r="I2710" i="18"/>
  <c r="J2710" i="18"/>
  <c r="A2711" i="18"/>
  <c r="B2711" i="18"/>
  <c r="C2711" i="18"/>
  <c r="D2711" i="18"/>
  <c r="E2711" i="18"/>
  <c r="F2711" i="18"/>
  <c r="G2711" i="18"/>
  <c r="H2711" i="18"/>
  <c r="I2711" i="18"/>
  <c r="J2711" i="18"/>
  <c r="A2712" i="18"/>
  <c r="B2712" i="18"/>
  <c r="C2712" i="18"/>
  <c r="D2712" i="18"/>
  <c r="E2712" i="18"/>
  <c r="F2712" i="18"/>
  <c r="G2712" i="18"/>
  <c r="H2712" i="18"/>
  <c r="I2712" i="18"/>
  <c r="J2712" i="18"/>
  <c r="A2713" i="18"/>
  <c r="B2713" i="18"/>
  <c r="C2713" i="18"/>
  <c r="D2713" i="18"/>
  <c r="E2713" i="18"/>
  <c r="F2713" i="18"/>
  <c r="G2713" i="18"/>
  <c r="H2713" i="18"/>
  <c r="I2713" i="18"/>
  <c r="J2713" i="18"/>
  <c r="A2714" i="18"/>
  <c r="B2714" i="18"/>
  <c r="C2714" i="18"/>
  <c r="D2714" i="18"/>
  <c r="E2714" i="18"/>
  <c r="F2714" i="18"/>
  <c r="G2714" i="18"/>
  <c r="H2714" i="18"/>
  <c r="I2714" i="18"/>
  <c r="J2714" i="18"/>
  <c r="A2715" i="18"/>
  <c r="B2715" i="18"/>
  <c r="C2715" i="18"/>
  <c r="D2715" i="18"/>
  <c r="E2715" i="18"/>
  <c r="F2715" i="18"/>
  <c r="G2715" i="18"/>
  <c r="H2715" i="18"/>
  <c r="I2715" i="18"/>
  <c r="J2715" i="18"/>
  <c r="A2716" i="18"/>
  <c r="B2716" i="18"/>
  <c r="C2716" i="18"/>
  <c r="D2716" i="18"/>
  <c r="E2716" i="18"/>
  <c r="F2716" i="18"/>
  <c r="G2716" i="18"/>
  <c r="H2716" i="18"/>
  <c r="I2716" i="18"/>
  <c r="J2716" i="18"/>
  <c r="A2717" i="18"/>
  <c r="B2717" i="18"/>
  <c r="C2717" i="18"/>
  <c r="D2717" i="18"/>
  <c r="E2717" i="18"/>
  <c r="F2717" i="18"/>
  <c r="G2717" i="18"/>
  <c r="H2717" i="18"/>
  <c r="I2717" i="18"/>
  <c r="J2717" i="18"/>
  <c r="A2718" i="18"/>
  <c r="B2718" i="18"/>
  <c r="C2718" i="18"/>
  <c r="D2718" i="18"/>
  <c r="E2718" i="18"/>
  <c r="F2718" i="18"/>
  <c r="G2718" i="18"/>
  <c r="H2718" i="18"/>
  <c r="I2718" i="18"/>
  <c r="J2718" i="18"/>
  <c r="A2719" i="18"/>
  <c r="B2719" i="18"/>
  <c r="C2719" i="18"/>
  <c r="D2719" i="18"/>
  <c r="E2719" i="18"/>
  <c r="F2719" i="18"/>
  <c r="G2719" i="18"/>
  <c r="H2719" i="18"/>
  <c r="I2719" i="18"/>
  <c r="J2719" i="18"/>
  <c r="A2720" i="18"/>
  <c r="B2720" i="18"/>
  <c r="C2720" i="18"/>
  <c r="D2720" i="18"/>
  <c r="E2720" i="18"/>
  <c r="F2720" i="18"/>
  <c r="G2720" i="18"/>
  <c r="H2720" i="18"/>
  <c r="I2720" i="18"/>
  <c r="J2720" i="18"/>
  <c r="A2721" i="18"/>
  <c r="B2721" i="18"/>
  <c r="C2721" i="18"/>
  <c r="D2721" i="18"/>
  <c r="E2721" i="18"/>
  <c r="F2721" i="18"/>
  <c r="G2721" i="18"/>
  <c r="H2721" i="18"/>
  <c r="I2721" i="18"/>
  <c r="J2721" i="18"/>
  <c r="A2722" i="18"/>
  <c r="B2722" i="18"/>
  <c r="C2722" i="18"/>
  <c r="D2722" i="18"/>
  <c r="E2722" i="18"/>
  <c r="F2722" i="18"/>
  <c r="G2722" i="18"/>
  <c r="H2722" i="18"/>
  <c r="I2722" i="18"/>
  <c r="J2722" i="18"/>
  <c r="A2723" i="18"/>
  <c r="B2723" i="18"/>
  <c r="C2723" i="18"/>
  <c r="D2723" i="18"/>
  <c r="E2723" i="18"/>
  <c r="F2723" i="18"/>
  <c r="G2723" i="18"/>
  <c r="H2723" i="18"/>
  <c r="I2723" i="18"/>
  <c r="J2723" i="18"/>
  <c r="A2724" i="18"/>
  <c r="B2724" i="18"/>
  <c r="C2724" i="18"/>
  <c r="D2724" i="18"/>
  <c r="E2724" i="18"/>
  <c r="F2724" i="18"/>
  <c r="G2724" i="18"/>
  <c r="H2724" i="18"/>
  <c r="I2724" i="18"/>
  <c r="J2724" i="18"/>
  <c r="A2725" i="18"/>
  <c r="B2725" i="18"/>
  <c r="C2725" i="18"/>
  <c r="D2725" i="18"/>
  <c r="E2725" i="18"/>
  <c r="F2725" i="18"/>
  <c r="G2725" i="18"/>
  <c r="H2725" i="18"/>
  <c r="I2725" i="18"/>
  <c r="J2725" i="18"/>
  <c r="A2726" i="18"/>
  <c r="B2726" i="18"/>
  <c r="C2726" i="18"/>
  <c r="D2726" i="18"/>
  <c r="E2726" i="18"/>
  <c r="F2726" i="18"/>
  <c r="G2726" i="18"/>
  <c r="H2726" i="18"/>
  <c r="I2726" i="18"/>
  <c r="J2726" i="18"/>
  <c r="A2727" i="18"/>
  <c r="B2727" i="18"/>
  <c r="C2727" i="18"/>
  <c r="D2727" i="18"/>
  <c r="E2727" i="18"/>
  <c r="F2727" i="18"/>
  <c r="G2727" i="18"/>
  <c r="H2727" i="18"/>
  <c r="I2727" i="18"/>
  <c r="J2727" i="18"/>
  <c r="A2728" i="18"/>
  <c r="B2728" i="18"/>
  <c r="C2728" i="18"/>
  <c r="D2728" i="18"/>
  <c r="E2728" i="18"/>
  <c r="F2728" i="18"/>
  <c r="G2728" i="18"/>
  <c r="H2728" i="18"/>
  <c r="I2728" i="18"/>
  <c r="J2728" i="18"/>
  <c r="A2729" i="18"/>
  <c r="B2729" i="18"/>
  <c r="C2729" i="18"/>
  <c r="D2729" i="18"/>
  <c r="E2729" i="18"/>
  <c r="F2729" i="18"/>
  <c r="G2729" i="18"/>
  <c r="H2729" i="18"/>
  <c r="I2729" i="18"/>
  <c r="J2729" i="18"/>
  <c r="A2730" i="18"/>
  <c r="B2730" i="18"/>
  <c r="C2730" i="18"/>
  <c r="D2730" i="18"/>
  <c r="E2730" i="18"/>
  <c r="F2730" i="18"/>
  <c r="G2730" i="18"/>
  <c r="H2730" i="18"/>
  <c r="I2730" i="18"/>
  <c r="J2730" i="18"/>
  <c r="A2731" i="18"/>
  <c r="B2731" i="18"/>
  <c r="C2731" i="18"/>
  <c r="D2731" i="18"/>
  <c r="E2731" i="18"/>
  <c r="F2731" i="18"/>
  <c r="G2731" i="18"/>
  <c r="H2731" i="18"/>
  <c r="I2731" i="18"/>
  <c r="J2731" i="18"/>
  <c r="A2732" i="18"/>
  <c r="B2732" i="18"/>
  <c r="C2732" i="18"/>
  <c r="D2732" i="18"/>
  <c r="E2732" i="18"/>
  <c r="F2732" i="18"/>
  <c r="G2732" i="18"/>
  <c r="H2732" i="18"/>
  <c r="I2732" i="18"/>
  <c r="J2732" i="18"/>
  <c r="A2733" i="18"/>
  <c r="B2733" i="18"/>
  <c r="C2733" i="18"/>
  <c r="D2733" i="18"/>
  <c r="E2733" i="18"/>
  <c r="F2733" i="18"/>
  <c r="G2733" i="18"/>
  <c r="H2733" i="18"/>
  <c r="I2733" i="18"/>
  <c r="J2733" i="18"/>
  <c r="A2734" i="18"/>
  <c r="B2734" i="18"/>
  <c r="C2734" i="18"/>
  <c r="D2734" i="18"/>
  <c r="E2734" i="18"/>
  <c r="F2734" i="18"/>
  <c r="G2734" i="18"/>
  <c r="H2734" i="18"/>
  <c r="I2734" i="18"/>
  <c r="J2734" i="18"/>
  <c r="A2735" i="18"/>
  <c r="B2735" i="18"/>
  <c r="C2735" i="18"/>
  <c r="D2735" i="18"/>
  <c r="E2735" i="18"/>
  <c r="F2735" i="18"/>
  <c r="G2735" i="18"/>
  <c r="H2735" i="18"/>
  <c r="I2735" i="18"/>
  <c r="J2735" i="18"/>
  <c r="A2736" i="18"/>
  <c r="B2736" i="18"/>
  <c r="C2736" i="18"/>
  <c r="D2736" i="18"/>
  <c r="E2736" i="18"/>
  <c r="F2736" i="18"/>
  <c r="G2736" i="18"/>
  <c r="H2736" i="18"/>
  <c r="I2736" i="18"/>
  <c r="J2736" i="18"/>
  <c r="A2737" i="18"/>
  <c r="B2737" i="18"/>
  <c r="C2737" i="18"/>
  <c r="D2737" i="18"/>
  <c r="E2737" i="18"/>
  <c r="F2737" i="18"/>
  <c r="G2737" i="18"/>
  <c r="H2737" i="18"/>
  <c r="I2737" i="18"/>
  <c r="J2737" i="18"/>
  <c r="A2738" i="18"/>
  <c r="B2738" i="18"/>
  <c r="C2738" i="18"/>
  <c r="D2738" i="18"/>
  <c r="E2738" i="18"/>
  <c r="F2738" i="18"/>
  <c r="G2738" i="18"/>
  <c r="H2738" i="18"/>
  <c r="I2738" i="18"/>
  <c r="J2738" i="18"/>
  <c r="A2739" i="18"/>
  <c r="B2739" i="18"/>
  <c r="C2739" i="18"/>
  <c r="D2739" i="18"/>
  <c r="E2739" i="18"/>
  <c r="F2739" i="18"/>
  <c r="G2739" i="18"/>
  <c r="H2739" i="18"/>
  <c r="I2739" i="18"/>
  <c r="J2739" i="18"/>
  <c r="A2740" i="18"/>
  <c r="B2740" i="18"/>
  <c r="C2740" i="18"/>
  <c r="D2740" i="18"/>
  <c r="E2740" i="18"/>
  <c r="F2740" i="18"/>
  <c r="G2740" i="18"/>
  <c r="H2740" i="18"/>
  <c r="I2740" i="18"/>
  <c r="J2740" i="18"/>
  <c r="A2741" i="18"/>
  <c r="B2741" i="18"/>
  <c r="C2741" i="18"/>
  <c r="D2741" i="18"/>
  <c r="E2741" i="18"/>
  <c r="F2741" i="18"/>
  <c r="G2741" i="18"/>
  <c r="H2741" i="18"/>
  <c r="I2741" i="18"/>
  <c r="J2741" i="18"/>
  <c r="A2742" i="18"/>
  <c r="B2742" i="18"/>
  <c r="C2742" i="18"/>
  <c r="D2742" i="18"/>
  <c r="E2742" i="18"/>
  <c r="F2742" i="18"/>
  <c r="G2742" i="18"/>
  <c r="H2742" i="18"/>
  <c r="I2742" i="18"/>
  <c r="J2742" i="18"/>
  <c r="A2743" i="18"/>
  <c r="B2743" i="18"/>
  <c r="C2743" i="18"/>
  <c r="D2743" i="18"/>
  <c r="E2743" i="18"/>
  <c r="F2743" i="18"/>
  <c r="G2743" i="18"/>
  <c r="H2743" i="18"/>
  <c r="I2743" i="18"/>
  <c r="J2743" i="18"/>
  <c r="A2744" i="18"/>
  <c r="B2744" i="18"/>
  <c r="C2744" i="18"/>
  <c r="D2744" i="18"/>
  <c r="E2744" i="18"/>
  <c r="F2744" i="18"/>
  <c r="G2744" i="18"/>
  <c r="H2744" i="18"/>
  <c r="I2744" i="18"/>
  <c r="J2744" i="18"/>
  <c r="A2745" i="18"/>
  <c r="B2745" i="18"/>
  <c r="C2745" i="18"/>
  <c r="D2745" i="18"/>
  <c r="E2745" i="18"/>
  <c r="F2745" i="18"/>
  <c r="G2745" i="18"/>
  <c r="H2745" i="18"/>
  <c r="I2745" i="18"/>
  <c r="J2745" i="18"/>
  <c r="A2746" i="18"/>
  <c r="B2746" i="18"/>
  <c r="C2746" i="18"/>
  <c r="D2746" i="18"/>
  <c r="E2746" i="18"/>
  <c r="F2746" i="18"/>
  <c r="G2746" i="18"/>
  <c r="H2746" i="18"/>
  <c r="I2746" i="18"/>
  <c r="J2746" i="18"/>
  <c r="A2747" i="18"/>
  <c r="B2747" i="18"/>
  <c r="C2747" i="18"/>
  <c r="D2747" i="18"/>
  <c r="E2747" i="18"/>
  <c r="F2747" i="18"/>
  <c r="G2747" i="18"/>
  <c r="H2747" i="18"/>
  <c r="I2747" i="18"/>
  <c r="J2747" i="18"/>
  <c r="A2748" i="18"/>
  <c r="B2748" i="18"/>
  <c r="C2748" i="18"/>
  <c r="D2748" i="18"/>
  <c r="E2748" i="18"/>
  <c r="F2748" i="18"/>
  <c r="G2748" i="18"/>
  <c r="H2748" i="18"/>
  <c r="I2748" i="18"/>
  <c r="J2748" i="18"/>
  <c r="A2749" i="18"/>
  <c r="B2749" i="18"/>
  <c r="C2749" i="18"/>
  <c r="D2749" i="18"/>
  <c r="E2749" i="18"/>
  <c r="F2749" i="18"/>
  <c r="G2749" i="18"/>
  <c r="H2749" i="18"/>
  <c r="I2749" i="18"/>
  <c r="J2749" i="18"/>
  <c r="A2750" i="18"/>
  <c r="B2750" i="18"/>
  <c r="C2750" i="18"/>
  <c r="D2750" i="18"/>
  <c r="E2750" i="18"/>
  <c r="F2750" i="18"/>
  <c r="G2750" i="18"/>
  <c r="H2750" i="18"/>
  <c r="I2750" i="18"/>
  <c r="J2750" i="18"/>
  <c r="A2751" i="18"/>
  <c r="B2751" i="18"/>
  <c r="C2751" i="18"/>
  <c r="D2751" i="18"/>
  <c r="E2751" i="18"/>
  <c r="F2751" i="18"/>
  <c r="G2751" i="18"/>
  <c r="H2751" i="18"/>
  <c r="I2751" i="18"/>
  <c r="J2751" i="18"/>
  <c r="A2752" i="18"/>
  <c r="B2752" i="18"/>
  <c r="C2752" i="18"/>
  <c r="D2752" i="18"/>
  <c r="E2752" i="18"/>
  <c r="F2752" i="18"/>
  <c r="G2752" i="18"/>
  <c r="H2752" i="18"/>
  <c r="I2752" i="18"/>
  <c r="J2752" i="18"/>
  <c r="A2753" i="18"/>
  <c r="B2753" i="18"/>
  <c r="C2753" i="18"/>
  <c r="D2753" i="18"/>
  <c r="E2753" i="18"/>
  <c r="F2753" i="18"/>
  <c r="G2753" i="18"/>
  <c r="H2753" i="18"/>
  <c r="I2753" i="18"/>
  <c r="J2753" i="18"/>
  <c r="A2754" i="18"/>
  <c r="B2754" i="18"/>
  <c r="C2754" i="18"/>
  <c r="D2754" i="18"/>
  <c r="E2754" i="18"/>
  <c r="F2754" i="18"/>
  <c r="G2754" i="18"/>
  <c r="H2754" i="18"/>
  <c r="I2754" i="18"/>
  <c r="J2754" i="18"/>
  <c r="A2755" i="18"/>
  <c r="B2755" i="18"/>
  <c r="C2755" i="18"/>
  <c r="D2755" i="18"/>
  <c r="E2755" i="18"/>
  <c r="F2755" i="18"/>
  <c r="G2755" i="18"/>
  <c r="H2755" i="18"/>
  <c r="I2755" i="18"/>
  <c r="J2755" i="18"/>
  <c r="A2756" i="18"/>
  <c r="B2756" i="18"/>
  <c r="C2756" i="18"/>
  <c r="D2756" i="18"/>
  <c r="E2756" i="18"/>
  <c r="F2756" i="18"/>
  <c r="G2756" i="18"/>
  <c r="H2756" i="18"/>
  <c r="I2756" i="18"/>
  <c r="J2756" i="18"/>
  <c r="A2757" i="18"/>
  <c r="B2757" i="18"/>
  <c r="C2757" i="18"/>
  <c r="D2757" i="18"/>
  <c r="E2757" i="18"/>
  <c r="F2757" i="18"/>
  <c r="G2757" i="18"/>
  <c r="H2757" i="18"/>
  <c r="I2757" i="18"/>
  <c r="J2757" i="18"/>
  <c r="A2758" i="18"/>
  <c r="B2758" i="18"/>
  <c r="C2758" i="18"/>
  <c r="D2758" i="18"/>
  <c r="E2758" i="18"/>
  <c r="F2758" i="18"/>
  <c r="G2758" i="18"/>
  <c r="H2758" i="18"/>
  <c r="I2758" i="18"/>
  <c r="J2758" i="18"/>
  <c r="A2759" i="18"/>
  <c r="B2759" i="18"/>
  <c r="C2759" i="18"/>
  <c r="D2759" i="18"/>
  <c r="E2759" i="18"/>
  <c r="F2759" i="18"/>
  <c r="G2759" i="18"/>
  <c r="H2759" i="18"/>
  <c r="I2759" i="18"/>
  <c r="J2759" i="18"/>
  <c r="A2760" i="18"/>
  <c r="B2760" i="18"/>
  <c r="C2760" i="18"/>
  <c r="D2760" i="18"/>
  <c r="E2760" i="18"/>
  <c r="F2760" i="18"/>
  <c r="G2760" i="18"/>
  <c r="H2760" i="18"/>
  <c r="I2760" i="18"/>
  <c r="J2760" i="18"/>
  <c r="A2761" i="18"/>
  <c r="B2761" i="18"/>
  <c r="C2761" i="18"/>
  <c r="D2761" i="18"/>
  <c r="E2761" i="18"/>
  <c r="F2761" i="18"/>
  <c r="G2761" i="18"/>
  <c r="H2761" i="18"/>
  <c r="I2761" i="18"/>
  <c r="J2761" i="18"/>
  <c r="A2762" i="18"/>
  <c r="B2762" i="18"/>
  <c r="C2762" i="18"/>
  <c r="D2762" i="18"/>
  <c r="E2762" i="18"/>
  <c r="F2762" i="18"/>
  <c r="G2762" i="18"/>
  <c r="H2762" i="18"/>
  <c r="I2762" i="18"/>
  <c r="J2762" i="18"/>
  <c r="A2763" i="18"/>
  <c r="B2763" i="18"/>
  <c r="C2763" i="18"/>
  <c r="D2763" i="18"/>
  <c r="E2763" i="18"/>
  <c r="F2763" i="18"/>
  <c r="G2763" i="18"/>
  <c r="H2763" i="18"/>
  <c r="I2763" i="18"/>
  <c r="J2763" i="18"/>
  <c r="A2764" i="18"/>
  <c r="B2764" i="18"/>
  <c r="C2764" i="18"/>
  <c r="D2764" i="18"/>
  <c r="E2764" i="18"/>
  <c r="F2764" i="18"/>
  <c r="G2764" i="18"/>
  <c r="H2764" i="18"/>
  <c r="I2764" i="18"/>
  <c r="J2764" i="18"/>
  <c r="A2765" i="18"/>
  <c r="B2765" i="18"/>
  <c r="C2765" i="18"/>
  <c r="D2765" i="18"/>
  <c r="E2765" i="18"/>
  <c r="F2765" i="18"/>
  <c r="G2765" i="18"/>
  <c r="H2765" i="18"/>
  <c r="I2765" i="18"/>
  <c r="J2765" i="18"/>
  <c r="A2766" i="18"/>
  <c r="B2766" i="18"/>
  <c r="C2766" i="18"/>
  <c r="D2766" i="18"/>
  <c r="E2766" i="18"/>
  <c r="F2766" i="18"/>
  <c r="G2766" i="18"/>
  <c r="H2766" i="18"/>
  <c r="I2766" i="18"/>
  <c r="J2766" i="18"/>
  <c r="A2767" i="18"/>
  <c r="B2767" i="18"/>
  <c r="C2767" i="18"/>
  <c r="D2767" i="18"/>
  <c r="E2767" i="18"/>
  <c r="F2767" i="18"/>
  <c r="G2767" i="18"/>
  <c r="H2767" i="18"/>
  <c r="I2767" i="18"/>
  <c r="J2767" i="18"/>
  <c r="A2768" i="18"/>
  <c r="B2768" i="18"/>
  <c r="C2768" i="18"/>
  <c r="D2768" i="18"/>
  <c r="E2768" i="18"/>
  <c r="F2768" i="18"/>
  <c r="G2768" i="18"/>
  <c r="H2768" i="18"/>
  <c r="I2768" i="18"/>
  <c r="J2768" i="18"/>
  <c r="A2769" i="18"/>
  <c r="B2769" i="18"/>
  <c r="C2769" i="18"/>
  <c r="D2769" i="18"/>
  <c r="E2769" i="18"/>
  <c r="F2769" i="18"/>
  <c r="G2769" i="18"/>
  <c r="H2769" i="18"/>
  <c r="I2769" i="18"/>
  <c r="J2769" i="18"/>
  <c r="A2770" i="18"/>
  <c r="B2770" i="18"/>
  <c r="C2770" i="18"/>
  <c r="D2770" i="18"/>
  <c r="E2770" i="18"/>
  <c r="F2770" i="18"/>
  <c r="G2770" i="18"/>
  <c r="H2770" i="18"/>
  <c r="I2770" i="18"/>
  <c r="J2770" i="18"/>
  <c r="A2771" i="18"/>
  <c r="B2771" i="18"/>
  <c r="C2771" i="18"/>
  <c r="D2771" i="18"/>
  <c r="E2771" i="18"/>
  <c r="F2771" i="18"/>
  <c r="G2771" i="18"/>
  <c r="H2771" i="18"/>
  <c r="I2771" i="18"/>
  <c r="J2771" i="18"/>
  <c r="A2772" i="18"/>
  <c r="B2772" i="18"/>
  <c r="C2772" i="18"/>
  <c r="D2772" i="18"/>
  <c r="E2772" i="18"/>
  <c r="F2772" i="18"/>
  <c r="G2772" i="18"/>
  <c r="H2772" i="18"/>
  <c r="I2772" i="18"/>
  <c r="J2772" i="18"/>
  <c r="A2773" i="18"/>
  <c r="B2773" i="18"/>
  <c r="C2773" i="18"/>
  <c r="D2773" i="18"/>
  <c r="E2773" i="18"/>
  <c r="F2773" i="18"/>
  <c r="G2773" i="18"/>
  <c r="H2773" i="18"/>
  <c r="I2773" i="18"/>
  <c r="J2773" i="18"/>
  <c r="A2774" i="18"/>
  <c r="B2774" i="18"/>
  <c r="C2774" i="18"/>
  <c r="D2774" i="18"/>
  <c r="E2774" i="18"/>
  <c r="F2774" i="18"/>
  <c r="G2774" i="18"/>
  <c r="H2774" i="18"/>
  <c r="I2774" i="18"/>
  <c r="J2774" i="18"/>
  <c r="A2775" i="18"/>
  <c r="B2775" i="18"/>
  <c r="C2775" i="18"/>
  <c r="D2775" i="18"/>
  <c r="E2775" i="18"/>
  <c r="F2775" i="18"/>
  <c r="G2775" i="18"/>
  <c r="H2775" i="18"/>
  <c r="I2775" i="18"/>
  <c r="J2775" i="18"/>
  <c r="A2776" i="18"/>
  <c r="B2776" i="18"/>
  <c r="C2776" i="18"/>
  <c r="D2776" i="18"/>
  <c r="E2776" i="18"/>
  <c r="F2776" i="18"/>
  <c r="G2776" i="18"/>
  <c r="H2776" i="18"/>
  <c r="I2776" i="18"/>
  <c r="J2776" i="18"/>
  <c r="A2777" i="18"/>
  <c r="B2777" i="18"/>
  <c r="C2777" i="18"/>
  <c r="D2777" i="18"/>
  <c r="E2777" i="18"/>
  <c r="F2777" i="18"/>
  <c r="G2777" i="18"/>
  <c r="H2777" i="18"/>
  <c r="I2777" i="18"/>
  <c r="J2777" i="18"/>
  <c r="A2778" i="18"/>
  <c r="B2778" i="18"/>
  <c r="C2778" i="18"/>
  <c r="D2778" i="18"/>
  <c r="E2778" i="18"/>
  <c r="F2778" i="18"/>
  <c r="G2778" i="18"/>
  <c r="H2778" i="18"/>
  <c r="I2778" i="18"/>
  <c r="J2778" i="18"/>
  <c r="A2779" i="18"/>
  <c r="B2779" i="18"/>
  <c r="C2779" i="18"/>
  <c r="D2779" i="18"/>
  <c r="E2779" i="18"/>
  <c r="F2779" i="18"/>
  <c r="G2779" i="18"/>
  <c r="H2779" i="18"/>
  <c r="I2779" i="18"/>
  <c r="J2779" i="18"/>
  <c r="A2780" i="18"/>
  <c r="B2780" i="18"/>
  <c r="C2780" i="18"/>
  <c r="D2780" i="18"/>
  <c r="E2780" i="18"/>
  <c r="F2780" i="18"/>
  <c r="G2780" i="18"/>
  <c r="H2780" i="18"/>
  <c r="I2780" i="18"/>
  <c r="J2780" i="18"/>
  <c r="A2781" i="18"/>
  <c r="B2781" i="18"/>
  <c r="C2781" i="18"/>
  <c r="D2781" i="18"/>
  <c r="E2781" i="18"/>
  <c r="F2781" i="18"/>
  <c r="G2781" i="18"/>
  <c r="H2781" i="18"/>
  <c r="I2781" i="18"/>
  <c r="J2781" i="18"/>
  <c r="A2782" i="18"/>
  <c r="B2782" i="18"/>
  <c r="C2782" i="18"/>
  <c r="D2782" i="18"/>
  <c r="E2782" i="18"/>
  <c r="F2782" i="18"/>
  <c r="G2782" i="18"/>
  <c r="H2782" i="18"/>
  <c r="I2782" i="18"/>
  <c r="J2782" i="18"/>
  <c r="A2783" i="18"/>
  <c r="B2783" i="18"/>
  <c r="C2783" i="18"/>
  <c r="D2783" i="18"/>
  <c r="E2783" i="18"/>
  <c r="F2783" i="18"/>
  <c r="G2783" i="18"/>
  <c r="H2783" i="18"/>
  <c r="I2783" i="18"/>
  <c r="J2783" i="18"/>
  <c r="A2784" i="18"/>
  <c r="B2784" i="18"/>
  <c r="C2784" i="18"/>
  <c r="D2784" i="18"/>
  <c r="E2784" i="18"/>
  <c r="F2784" i="18"/>
  <c r="G2784" i="18"/>
  <c r="H2784" i="18"/>
  <c r="I2784" i="18"/>
  <c r="J2784" i="18"/>
  <c r="A2785" i="18"/>
  <c r="B2785" i="18"/>
  <c r="C2785" i="18"/>
  <c r="D2785" i="18"/>
  <c r="E2785" i="18"/>
  <c r="F2785" i="18"/>
  <c r="G2785" i="18"/>
  <c r="H2785" i="18"/>
  <c r="I2785" i="18"/>
  <c r="J2785" i="18"/>
  <c r="A2786" i="18"/>
  <c r="B2786" i="18"/>
  <c r="C2786" i="18"/>
  <c r="D2786" i="18"/>
  <c r="E2786" i="18"/>
  <c r="F2786" i="18"/>
  <c r="G2786" i="18"/>
  <c r="H2786" i="18"/>
  <c r="I2786" i="18"/>
  <c r="J2786" i="18"/>
  <c r="A2787" i="18"/>
  <c r="B2787" i="18"/>
  <c r="C2787" i="18"/>
  <c r="D2787" i="18"/>
  <c r="E2787" i="18"/>
  <c r="F2787" i="18"/>
  <c r="G2787" i="18"/>
  <c r="H2787" i="18"/>
  <c r="I2787" i="18"/>
  <c r="J2787" i="18"/>
  <c r="A2788" i="18"/>
  <c r="B2788" i="18"/>
  <c r="C2788" i="18"/>
  <c r="D2788" i="18"/>
  <c r="E2788" i="18"/>
  <c r="F2788" i="18"/>
  <c r="G2788" i="18"/>
  <c r="H2788" i="18"/>
  <c r="I2788" i="18"/>
  <c r="J2788" i="18"/>
  <c r="A2789" i="18"/>
  <c r="B2789" i="18"/>
  <c r="C2789" i="18"/>
  <c r="D2789" i="18"/>
  <c r="E2789" i="18"/>
  <c r="F2789" i="18"/>
  <c r="G2789" i="18"/>
  <c r="H2789" i="18"/>
  <c r="I2789" i="18"/>
  <c r="J2789" i="18"/>
  <c r="A2790" i="18"/>
  <c r="B2790" i="18"/>
  <c r="C2790" i="18"/>
  <c r="D2790" i="18"/>
  <c r="E2790" i="18"/>
  <c r="F2790" i="18"/>
  <c r="G2790" i="18"/>
  <c r="H2790" i="18"/>
  <c r="I2790" i="18"/>
  <c r="J2790" i="18"/>
  <c r="A2791" i="18"/>
  <c r="B2791" i="18"/>
  <c r="C2791" i="18"/>
  <c r="D2791" i="18"/>
  <c r="E2791" i="18"/>
  <c r="F2791" i="18"/>
  <c r="G2791" i="18"/>
  <c r="H2791" i="18"/>
  <c r="I2791" i="18"/>
  <c r="J2791" i="18"/>
  <c r="A2792" i="18"/>
  <c r="B2792" i="18"/>
  <c r="C2792" i="18"/>
  <c r="D2792" i="18"/>
  <c r="E2792" i="18"/>
  <c r="F2792" i="18"/>
  <c r="G2792" i="18"/>
  <c r="H2792" i="18"/>
  <c r="I2792" i="18"/>
  <c r="J2792" i="18"/>
  <c r="A2793" i="18"/>
  <c r="B2793" i="18"/>
  <c r="C2793" i="18"/>
  <c r="D2793" i="18"/>
  <c r="E2793" i="18"/>
  <c r="F2793" i="18"/>
  <c r="G2793" i="18"/>
  <c r="H2793" i="18"/>
  <c r="I2793" i="18"/>
  <c r="J2793" i="18"/>
  <c r="A2794" i="18"/>
  <c r="B2794" i="18"/>
  <c r="C2794" i="18"/>
  <c r="D2794" i="18"/>
  <c r="E2794" i="18"/>
  <c r="F2794" i="18"/>
  <c r="G2794" i="18"/>
  <c r="H2794" i="18"/>
  <c r="I2794" i="18"/>
  <c r="J2794" i="18"/>
  <c r="A2795" i="18"/>
  <c r="B2795" i="18"/>
  <c r="C2795" i="18"/>
  <c r="D2795" i="18"/>
  <c r="E2795" i="18"/>
  <c r="F2795" i="18"/>
  <c r="G2795" i="18"/>
  <c r="H2795" i="18"/>
  <c r="I2795" i="18"/>
  <c r="J2795" i="18"/>
  <c r="A2796" i="18"/>
  <c r="B2796" i="18"/>
  <c r="C2796" i="18"/>
  <c r="D2796" i="18"/>
  <c r="E2796" i="18"/>
  <c r="F2796" i="18"/>
  <c r="G2796" i="18"/>
  <c r="H2796" i="18"/>
  <c r="I2796" i="18"/>
  <c r="J2796" i="18"/>
  <c r="A2797" i="18"/>
  <c r="B2797" i="18"/>
  <c r="C2797" i="18"/>
  <c r="D2797" i="18"/>
  <c r="E2797" i="18"/>
  <c r="F2797" i="18"/>
  <c r="G2797" i="18"/>
  <c r="H2797" i="18"/>
  <c r="I2797" i="18"/>
  <c r="J2797" i="18"/>
  <c r="A2798" i="18"/>
  <c r="B2798" i="18"/>
  <c r="C2798" i="18"/>
  <c r="D2798" i="18"/>
  <c r="E2798" i="18"/>
  <c r="F2798" i="18"/>
  <c r="G2798" i="18"/>
  <c r="H2798" i="18"/>
  <c r="I2798" i="18"/>
  <c r="J2798" i="18"/>
  <c r="A2799" i="18"/>
  <c r="B2799" i="18"/>
  <c r="C2799" i="18"/>
  <c r="D2799" i="18"/>
  <c r="E2799" i="18"/>
  <c r="F2799" i="18"/>
  <c r="G2799" i="18"/>
  <c r="H2799" i="18"/>
  <c r="I2799" i="18"/>
  <c r="J2799" i="18"/>
  <c r="A2800" i="18"/>
  <c r="B2800" i="18"/>
  <c r="C2800" i="18"/>
  <c r="D2800" i="18"/>
  <c r="E2800" i="18"/>
  <c r="F2800" i="18"/>
  <c r="G2800" i="18"/>
  <c r="H2800" i="18"/>
  <c r="I2800" i="18"/>
  <c r="J2800" i="18"/>
  <c r="A2801" i="18"/>
  <c r="B2801" i="18"/>
  <c r="C2801" i="18"/>
  <c r="D2801" i="18"/>
  <c r="E2801" i="18"/>
  <c r="F2801" i="18"/>
  <c r="G2801" i="18"/>
  <c r="H2801" i="18"/>
  <c r="I2801" i="18"/>
  <c r="J2801" i="18"/>
  <c r="A2802" i="18"/>
  <c r="B2802" i="18"/>
  <c r="C2802" i="18"/>
  <c r="D2802" i="18"/>
  <c r="E2802" i="18"/>
  <c r="F2802" i="18"/>
  <c r="G2802" i="18"/>
  <c r="H2802" i="18"/>
  <c r="I2802" i="18"/>
  <c r="J2802" i="18"/>
  <c r="A2803" i="18"/>
  <c r="B2803" i="18"/>
  <c r="C2803" i="18"/>
  <c r="D2803" i="18"/>
  <c r="E2803" i="18"/>
  <c r="F2803" i="18"/>
  <c r="G2803" i="18"/>
  <c r="H2803" i="18"/>
  <c r="I2803" i="18"/>
  <c r="J2803" i="18"/>
  <c r="A2804" i="18"/>
  <c r="B2804" i="18"/>
  <c r="C2804" i="18"/>
  <c r="D2804" i="18"/>
  <c r="E2804" i="18"/>
  <c r="F2804" i="18"/>
  <c r="G2804" i="18"/>
  <c r="H2804" i="18"/>
  <c r="I2804" i="18"/>
  <c r="J2804" i="18"/>
  <c r="A2805" i="18"/>
  <c r="B2805" i="18"/>
  <c r="C2805" i="18"/>
  <c r="D2805" i="18"/>
  <c r="E2805" i="18"/>
  <c r="F2805" i="18"/>
  <c r="G2805" i="18"/>
  <c r="H2805" i="18"/>
  <c r="I2805" i="18"/>
  <c r="J2805" i="18"/>
  <c r="A2806" i="18"/>
  <c r="B2806" i="18"/>
  <c r="C2806" i="18"/>
  <c r="D2806" i="18"/>
  <c r="E2806" i="18"/>
  <c r="F2806" i="18"/>
  <c r="G2806" i="18"/>
  <c r="H2806" i="18"/>
  <c r="I2806" i="18"/>
  <c r="J2806" i="18"/>
  <c r="A2807" i="18"/>
  <c r="B2807" i="18"/>
  <c r="C2807" i="18"/>
  <c r="D2807" i="18"/>
  <c r="E2807" i="18"/>
  <c r="F2807" i="18"/>
  <c r="G2807" i="18"/>
  <c r="H2807" i="18"/>
  <c r="I2807" i="18"/>
  <c r="J2807" i="18"/>
  <c r="A2808" i="18"/>
  <c r="B2808" i="18"/>
  <c r="C2808" i="18"/>
  <c r="D2808" i="18"/>
  <c r="E2808" i="18"/>
  <c r="F2808" i="18"/>
  <c r="G2808" i="18"/>
  <c r="H2808" i="18"/>
  <c r="I2808" i="18"/>
  <c r="J2808" i="18"/>
  <c r="A2809" i="18"/>
  <c r="B2809" i="18"/>
  <c r="C2809" i="18"/>
  <c r="D2809" i="18"/>
  <c r="E2809" i="18"/>
  <c r="F2809" i="18"/>
  <c r="G2809" i="18"/>
  <c r="H2809" i="18"/>
  <c r="I2809" i="18"/>
  <c r="J2809" i="18"/>
  <c r="A2810" i="18"/>
  <c r="B2810" i="18"/>
  <c r="C2810" i="18"/>
  <c r="D2810" i="18"/>
  <c r="E2810" i="18"/>
  <c r="F2810" i="18"/>
  <c r="G2810" i="18"/>
  <c r="H2810" i="18"/>
  <c r="I2810" i="18"/>
  <c r="J2810" i="18"/>
  <c r="A2811" i="18"/>
  <c r="B2811" i="18"/>
  <c r="C2811" i="18"/>
  <c r="D2811" i="18"/>
  <c r="E2811" i="18"/>
  <c r="F2811" i="18"/>
  <c r="G2811" i="18"/>
  <c r="H2811" i="18"/>
  <c r="I2811" i="18"/>
  <c r="J2811" i="18"/>
  <c r="A2812" i="18"/>
  <c r="B2812" i="18"/>
  <c r="C2812" i="18"/>
  <c r="D2812" i="18"/>
  <c r="E2812" i="18"/>
  <c r="F2812" i="18"/>
  <c r="G2812" i="18"/>
  <c r="H2812" i="18"/>
  <c r="I2812" i="18"/>
  <c r="J2812" i="18"/>
  <c r="A2813" i="18"/>
  <c r="B2813" i="18"/>
  <c r="C2813" i="18"/>
  <c r="D2813" i="18"/>
  <c r="E2813" i="18"/>
  <c r="F2813" i="18"/>
  <c r="G2813" i="18"/>
  <c r="H2813" i="18"/>
  <c r="I2813" i="18"/>
  <c r="J2813" i="18"/>
  <c r="A2814" i="18"/>
  <c r="B2814" i="18"/>
  <c r="C2814" i="18"/>
  <c r="D2814" i="18"/>
  <c r="E2814" i="18"/>
  <c r="F2814" i="18"/>
  <c r="G2814" i="18"/>
  <c r="H2814" i="18"/>
  <c r="I2814" i="18"/>
  <c r="J2814" i="18"/>
  <c r="A2815" i="18"/>
  <c r="B2815" i="18"/>
  <c r="C2815" i="18"/>
  <c r="D2815" i="18"/>
  <c r="E2815" i="18"/>
  <c r="F2815" i="18"/>
  <c r="G2815" i="18"/>
  <c r="H2815" i="18"/>
  <c r="I2815" i="18"/>
  <c r="J2815" i="18"/>
  <c r="A2816" i="18"/>
  <c r="B2816" i="18"/>
  <c r="C2816" i="18"/>
  <c r="D2816" i="18"/>
  <c r="E2816" i="18"/>
  <c r="F2816" i="18"/>
  <c r="G2816" i="18"/>
  <c r="H2816" i="18"/>
  <c r="I2816" i="18"/>
  <c r="J2816" i="18"/>
  <c r="A2817" i="18"/>
  <c r="B2817" i="18"/>
  <c r="C2817" i="18"/>
  <c r="D2817" i="18"/>
  <c r="E2817" i="18"/>
  <c r="F2817" i="18"/>
  <c r="G2817" i="18"/>
  <c r="H2817" i="18"/>
  <c r="I2817" i="18"/>
  <c r="J2817" i="18"/>
  <c r="A2818" i="18"/>
  <c r="B2818" i="18"/>
  <c r="C2818" i="18"/>
  <c r="D2818" i="18"/>
  <c r="E2818" i="18"/>
  <c r="F2818" i="18"/>
  <c r="G2818" i="18"/>
  <c r="H2818" i="18"/>
  <c r="I2818" i="18"/>
  <c r="J2818" i="18"/>
  <c r="A2819" i="18"/>
  <c r="B2819" i="18"/>
  <c r="C2819" i="18"/>
  <c r="D2819" i="18"/>
  <c r="E2819" i="18"/>
  <c r="F2819" i="18"/>
  <c r="G2819" i="18"/>
  <c r="H2819" i="18"/>
  <c r="I2819" i="18"/>
  <c r="J2819" i="18"/>
  <c r="A2820" i="18"/>
  <c r="B2820" i="18"/>
  <c r="C2820" i="18"/>
  <c r="D2820" i="18"/>
  <c r="E2820" i="18"/>
  <c r="F2820" i="18"/>
  <c r="G2820" i="18"/>
  <c r="H2820" i="18"/>
  <c r="I2820" i="18"/>
  <c r="J2820" i="18"/>
  <c r="A2821" i="18"/>
  <c r="B2821" i="18"/>
  <c r="C2821" i="18"/>
  <c r="D2821" i="18"/>
  <c r="E2821" i="18"/>
  <c r="F2821" i="18"/>
  <c r="G2821" i="18"/>
  <c r="H2821" i="18"/>
  <c r="I2821" i="18"/>
  <c r="J2821" i="18"/>
  <c r="A2822" i="18"/>
  <c r="B2822" i="18"/>
  <c r="C2822" i="18"/>
  <c r="D2822" i="18"/>
  <c r="E2822" i="18"/>
  <c r="F2822" i="18"/>
  <c r="G2822" i="18"/>
  <c r="H2822" i="18"/>
  <c r="I2822" i="18"/>
  <c r="J2822" i="18"/>
  <c r="A2823" i="18"/>
  <c r="B2823" i="18"/>
  <c r="C2823" i="18"/>
  <c r="D2823" i="18"/>
  <c r="E2823" i="18"/>
  <c r="F2823" i="18"/>
  <c r="G2823" i="18"/>
  <c r="H2823" i="18"/>
  <c r="I2823" i="18"/>
  <c r="J2823" i="18"/>
  <c r="A2824" i="18"/>
  <c r="B2824" i="18"/>
  <c r="C2824" i="18"/>
  <c r="D2824" i="18"/>
  <c r="E2824" i="18"/>
  <c r="F2824" i="18"/>
  <c r="G2824" i="18"/>
  <c r="H2824" i="18"/>
  <c r="I2824" i="18"/>
  <c r="J2824" i="18"/>
  <c r="A2825" i="18"/>
  <c r="B2825" i="18"/>
  <c r="C2825" i="18"/>
  <c r="D2825" i="18"/>
  <c r="E2825" i="18"/>
  <c r="F2825" i="18"/>
  <c r="G2825" i="18"/>
  <c r="H2825" i="18"/>
  <c r="I2825" i="18"/>
  <c r="J2825" i="18"/>
  <c r="A2826" i="18"/>
  <c r="B2826" i="18"/>
  <c r="C2826" i="18"/>
  <c r="D2826" i="18"/>
  <c r="E2826" i="18"/>
  <c r="F2826" i="18"/>
  <c r="G2826" i="18"/>
  <c r="H2826" i="18"/>
  <c r="I2826" i="18"/>
  <c r="J2826" i="18"/>
  <c r="A2827" i="18"/>
  <c r="B2827" i="18"/>
  <c r="C2827" i="18"/>
  <c r="D2827" i="18"/>
  <c r="E2827" i="18"/>
  <c r="F2827" i="18"/>
  <c r="G2827" i="18"/>
  <c r="H2827" i="18"/>
  <c r="I2827" i="18"/>
  <c r="J2827" i="18"/>
  <c r="A2828" i="18"/>
  <c r="B2828" i="18"/>
  <c r="C2828" i="18"/>
  <c r="D2828" i="18"/>
  <c r="E2828" i="18"/>
  <c r="F2828" i="18"/>
  <c r="G2828" i="18"/>
  <c r="H2828" i="18"/>
  <c r="I2828" i="18"/>
  <c r="J2828" i="18"/>
  <c r="A2829" i="18"/>
  <c r="B2829" i="18"/>
  <c r="C2829" i="18"/>
  <c r="D2829" i="18"/>
  <c r="E2829" i="18"/>
  <c r="F2829" i="18"/>
  <c r="G2829" i="18"/>
  <c r="H2829" i="18"/>
  <c r="I2829" i="18"/>
  <c r="J2829" i="18"/>
  <c r="A2830" i="18"/>
  <c r="B2830" i="18"/>
  <c r="C2830" i="18"/>
  <c r="D2830" i="18"/>
  <c r="E2830" i="18"/>
  <c r="F2830" i="18"/>
  <c r="G2830" i="18"/>
  <c r="H2830" i="18"/>
  <c r="I2830" i="18"/>
  <c r="J2830" i="18"/>
  <c r="A2831" i="18"/>
  <c r="B2831" i="18"/>
  <c r="C2831" i="18"/>
  <c r="D2831" i="18"/>
  <c r="E2831" i="18"/>
  <c r="F2831" i="18"/>
  <c r="G2831" i="18"/>
  <c r="H2831" i="18"/>
  <c r="I2831" i="18"/>
  <c r="J2831" i="18"/>
  <c r="A2832" i="18"/>
  <c r="B2832" i="18"/>
  <c r="C2832" i="18"/>
  <c r="D2832" i="18"/>
  <c r="E2832" i="18"/>
  <c r="F2832" i="18"/>
  <c r="G2832" i="18"/>
  <c r="H2832" i="18"/>
  <c r="I2832" i="18"/>
  <c r="J2832" i="18"/>
  <c r="A2833" i="18"/>
  <c r="B2833" i="18"/>
  <c r="C2833" i="18"/>
  <c r="D2833" i="18"/>
  <c r="E2833" i="18"/>
  <c r="F2833" i="18"/>
  <c r="G2833" i="18"/>
  <c r="H2833" i="18"/>
  <c r="I2833" i="18"/>
  <c r="J2833" i="18"/>
  <c r="A2834" i="18"/>
  <c r="B2834" i="18"/>
  <c r="C2834" i="18"/>
  <c r="D2834" i="18"/>
  <c r="E2834" i="18"/>
  <c r="F2834" i="18"/>
  <c r="G2834" i="18"/>
  <c r="H2834" i="18"/>
  <c r="I2834" i="18"/>
  <c r="J2834" i="18"/>
  <c r="A2835" i="18"/>
  <c r="B2835" i="18"/>
  <c r="C2835" i="18"/>
  <c r="D2835" i="18"/>
  <c r="E2835" i="18"/>
  <c r="F2835" i="18"/>
  <c r="G2835" i="18"/>
  <c r="H2835" i="18"/>
  <c r="I2835" i="18"/>
  <c r="J2835" i="18"/>
  <c r="A2836" i="18"/>
  <c r="B2836" i="18"/>
  <c r="C2836" i="18"/>
  <c r="D2836" i="18"/>
  <c r="E2836" i="18"/>
  <c r="F2836" i="18"/>
  <c r="G2836" i="18"/>
  <c r="H2836" i="18"/>
  <c r="I2836" i="18"/>
  <c r="J2836" i="18"/>
  <c r="A2837" i="18"/>
  <c r="B2837" i="18"/>
  <c r="C2837" i="18"/>
  <c r="D2837" i="18"/>
  <c r="E2837" i="18"/>
  <c r="F2837" i="18"/>
  <c r="G2837" i="18"/>
  <c r="H2837" i="18"/>
  <c r="I2837" i="18"/>
  <c r="J2837" i="18"/>
  <c r="A2838" i="18"/>
  <c r="B2838" i="18"/>
  <c r="C2838" i="18"/>
  <c r="D2838" i="18"/>
  <c r="E2838" i="18"/>
  <c r="F2838" i="18"/>
  <c r="G2838" i="18"/>
  <c r="H2838" i="18"/>
  <c r="I2838" i="18"/>
  <c r="J2838" i="18"/>
  <c r="A2839" i="18"/>
  <c r="B2839" i="18"/>
  <c r="C2839" i="18"/>
  <c r="D2839" i="18"/>
  <c r="E2839" i="18"/>
  <c r="F2839" i="18"/>
  <c r="G2839" i="18"/>
  <c r="H2839" i="18"/>
  <c r="I2839" i="18"/>
  <c r="J2839" i="18"/>
  <c r="A2840" i="18"/>
  <c r="B2840" i="18"/>
  <c r="C2840" i="18"/>
  <c r="D2840" i="18"/>
  <c r="E2840" i="18"/>
  <c r="F2840" i="18"/>
  <c r="G2840" i="18"/>
  <c r="H2840" i="18"/>
  <c r="I2840" i="18"/>
  <c r="J2840" i="18"/>
  <c r="A2841" i="18"/>
  <c r="B2841" i="18"/>
  <c r="C2841" i="18"/>
  <c r="D2841" i="18"/>
  <c r="E2841" i="18"/>
  <c r="F2841" i="18"/>
  <c r="G2841" i="18"/>
  <c r="H2841" i="18"/>
  <c r="I2841" i="18"/>
  <c r="J2841" i="18"/>
  <c r="A2842" i="18"/>
  <c r="B2842" i="18"/>
  <c r="C2842" i="18"/>
  <c r="D2842" i="18"/>
  <c r="E2842" i="18"/>
  <c r="F2842" i="18"/>
  <c r="G2842" i="18"/>
  <c r="H2842" i="18"/>
  <c r="I2842" i="18"/>
  <c r="J2842" i="18"/>
  <c r="A2843" i="18"/>
  <c r="B2843" i="18"/>
  <c r="C2843" i="18"/>
  <c r="D2843" i="18"/>
  <c r="E2843" i="18"/>
  <c r="F2843" i="18"/>
  <c r="G2843" i="18"/>
  <c r="H2843" i="18"/>
  <c r="I2843" i="18"/>
  <c r="J2843" i="18"/>
  <c r="A2844" i="18"/>
  <c r="B2844" i="18"/>
  <c r="C2844" i="18"/>
  <c r="D2844" i="18"/>
  <c r="E2844" i="18"/>
  <c r="F2844" i="18"/>
  <c r="G2844" i="18"/>
  <c r="H2844" i="18"/>
  <c r="I2844" i="18"/>
  <c r="J2844" i="18"/>
  <c r="A2845" i="18"/>
  <c r="B2845" i="18"/>
  <c r="C2845" i="18"/>
  <c r="D2845" i="18"/>
  <c r="E2845" i="18"/>
  <c r="F2845" i="18"/>
  <c r="G2845" i="18"/>
  <c r="H2845" i="18"/>
  <c r="I2845" i="18"/>
  <c r="J2845" i="18"/>
  <c r="A2846" i="18"/>
  <c r="B2846" i="18"/>
  <c r="C2846" i="18"/>
  <c r="D2846" i="18"/>
  <c r="E2846" i="18"/>
  <c r="F2846" i="18"/>
  <c r="G2846" i="18"/>
  <c r="H2846" i="18"/>
  <c r="I2846" i="18"/>
  <c r="J2846" i="18"/>
  <c r="A2847" i="18"/>
  <c r="B2847" i="18"/>
  <c r="C2847" i="18"/>
  <c r="D2847" i="18"/>
  <c r="E2847" i="18"/>
  <c r="F2847" i="18"/>
  <c r="G2847" i="18"/>
  <c r="H2847" i="18"/>
  <c r="I2847" i="18"/>
  <c r="J2847" i="18"/>
  <c r="A2848" i="18"/>
  <c r="B2848" i="18"/>
  <c r="C2848" i="18"/>
  <c r="D2848" i="18"/>
  <c r="E2848" i="18"/>
  <c r="F2848" i="18"/>
  <c r="G2848" i="18"/>
  <c r="H2848" i="18"/>
  <c r="I2848" i="18"/>
  <c r="J2848" i="18"/>
  <c r="A2849" i="18"/>
  <c r="B2849" i="18"/>
  <c r="C2849" i="18"/>
  <c r="D2849" i="18"/>
  <c r="E2849" i="18"/>
  <c r="F2849" i="18"/>
  <c r="G2849" i="18"/>
  <c r="H2849" i="18"/>
  <c r="I2849" i="18"/>
  <c r="J2849" i="18"/>
  <c r="A2850" i="18"/>
  <c r="B2850" i="18"/>
  <c r="C2850" i="18"/>
  <c r="D2850" i="18"/>
  <c r="E2850" i="18"/>
  <c r="F2850" i="18"/>
  <c r="G2850" i="18"/>
  <c r="H2850" i="18"/>
  <c r="I2850" i="18"/>
  <c r="J2850" i="18"/>
  <c r="A2851" i="18"/>
  <c r="B2851" i="18"/>
  <c r="C2851" i="18"/>
  <c r="D2851" i="18"/>
  <c r="E2851" i="18"/>
  <c r="F2851" i="18"/>
  <c r="G2851" i="18"/>
  <c r="H2851" i="18"/>
  <c r="I2851" i="18"/>
  <c r="J2851" i="18"/>
  <c r="A2852" i="18"/>
  <c r="B2852" i="18"/>
  <c r="C2852" i="18"/>
  <c r="D2852" i="18"/>
  <c r="E2852" i="18"/>
  <c r="F2852" i="18"/>
  <c r="G2852" i="18"/>
  <c r="H2852" i="18"/>
  <c r="I2852" i="18"/>
  <c r="J2852" i="18"/>
  <c r="A2853" i="18"/>
  <c r="B2853" i="18"/>
  <c r="C2853" i="18"/>
  <c r="D2853" i="18"/>
  <c r="E2853" i="18"/>
  <c r="F2853" i="18"/>
  <c r="G2853" i="18"/>
  <c r="H2853" i="18"/>
  <c r="I2853" i="18"/>
  <c r="J2853" i="18"/>
  <c r="A2854" i="18"/>
  <c r="B2854" i="18"/>
  <c r="C2854" i="18"/>
  <c r="D2854" i="18"/>
  <c r="E2854" i="18"/>
  <c r="F2854" i="18"/>
  <c r="G2854" i="18"/>
  <c r="H2854" i="18"/>
  <c r="I2854" i="18"/>
  <c r="J2854" i="18"/>
  <c r="A2855" i="18"/>
  <c r="B2855" i="18"/>
  <c r="C2855" i="18"/>
  <c r="D2855" i="18"/>
  <c r="E2855" i="18"/>
  <c r="F2855" i="18"/>
  <c r="G2855" i="18"/>
  <c r="H2855" i="18"/>
  <c r="I2855" i="18"/>
  <c r="J2855" i="18"/>
  <c r="A2856" i="18"/>
  <c r="B2856" i="18"/>
  <c r="C2856" i="18"/>
  <c r="D2856" i="18"/>
  <c r="E2856" i="18"/>
  <c r="F2856" i="18"/>
  <c r="G2856" i="18"/>
  <c r="H2856" i="18"/>
  <c r="I2856" i="18"/>
  <c r="J2856" i="18"/>
  <c r="A2857" i="18"/>
  <c r="B2857" i="18"/>
  <c r="C2857" i="18"/>
  <c r="D2857" i="18"/>
  <c r="E2857" i="18"/>
  <c r="F2857" i="18"/>
  <c r="G2857" i="18"/>
  <c r="H2857" i="18"/>
  <c r="I2857" i="18"/>
  <c r="J2857" i="18"/>
  <c r="A2858" i="18"/>
  <c r="B2858" i="18"/>
  <c r="C2858" i="18"/>
  <c r="D2858" i="18"/>
  <c r="E2858" i="18"/>
  <c r="F2858" i="18"/>
  <c r="G2858" i="18"/>
  <c r="H2858" i="18"/>
  <c r="I2858" i="18"/>
  <c r="J2858" i="18"/>
  <c r="A2859" i="18"/>
  <c r="B2859" i="18"/>
  <c r="C2859" i="18"/>
  <c r="D2859" i="18"/>
  <c r="E2859" i="18"/>
  <c r="F2859" i="18"/>
  <c r="G2859" i="18"/>
  <c r="H2859" i="18"/>
  <c r="I2859" i="18"/>
  <c r="J2859" i="18"/>
  <c r="A2860" i="18"/>
  <c r="B2860" i="18"/>
  <c r="C2860" i="18"/>
  <c r="D2860" i="18"/>
  <c r="E2860" i="18"/>
  <c r="F2860" i="18"/>
  <c r="G2860" i="18"/>
  <c r="H2860" i="18"/>
  <c r="I2860" i="18"/>
  <c r="J2860" i="18"/>
  <c r="A2861" i="18"/>
  <c r="B2861" i="18"/>
  <c r="C2861" i="18"/>
  <c r="D2861" i="18"/>
  <c r="E2861" i="18"/>
  <c r="F2861" i="18"/>
  <c r="G2861" i="18"/>
  <c r="H2861" i="18"/>
  <c r="I2861" i="18"/>
  <c r="J2861" i="18"/>
  <c r="A2862" i="18"/>
  <c r="B2862" i="18"/>
  <c r="C2862" i="18"/>
  <c r="D2862" i="18"/>
  <c r="E2862" i="18"/>
  <c r="F2862" i="18"/>
  <c r="G2862" i="18"/>
  <c r="H2862" i="18"/>
  <c r="I2862" i="18"/>
  <c r="J2862" i="18"/>
  <c r="A2863" i="18"/>
  <c r="B2863" i="18"/>
  <c r="C2863" i="18"/>
  <c r="D2863" i="18"/>
  <c r="E2863" i="18"/>
  <c r="F2863" i="18"/>
  <c r="G2863" i="18"/>
  <c r="H2863" i="18"/>
  <c r="I2863" i="18"/>
  <c r="J2863" i="18"/>
  <c r="A2864" i="18"/>
  <c r="B2864" i="18"/>
  <c r="C2864" i="18"/>
  <c r="D2864" i="18"/>
  <c r="E2864" i="18"/>
  <c r="F2864" i="18"/>
  <c r="G2864" i="18"/>
  <c r="H2864" i="18"/>
  <c r="I2864" i="18"/>
  <c r="J2864" i="18"/>
  <c r="A2865" i="18"/>
  <c r="B2865" i="18"/>
  <c r="C2865" i="18"/>
  <c r="D2865" i="18"/>
  <c r="E2865" i="18"/>
  <c r="F2865" i="18"/>
  <c r="G2865" i="18"/>
  <c r="H2865" i="18"/>
  <c r="I2865" i="18"/>
  <c r="J2865" i="18"/>
  <c r="A2866" i="18"/>
  <c r="B2866" i="18"/>
  <c r="C2866" i="18"/>
  <c r="D2866" i="18"/>
  <c r="E2866" i="18"/>
  <c r="F2866" i="18"/>
  <c r="G2866" i="18"/>
  <c r="H2866" i="18"/>
  <c r="I2866" i="18"/>
  <c r="J2866" i="18"/>
  <c r="A2867" i="18"/>
  <c r="B2867" i="18"/>
  <c r="C2867" i="18"/>
  <c r="D2867" i="18"/>
  <c r="E2867" i="18"/>
  <c r="F2867" i="18"/>
  <c r="G2867" i="18"/>
  <c r="H2867" i="18"/>
  <c r="I2867" i="18"/>
  <c r="J2867" i="18"/>
  <c r="A2868" i="18"/>
  <c r="B2868" i="18"/>
  <c r="C2868" i="18"/>
  <c r="D2868" i="18"/>
  <c r="E2868" i="18"/>
  <c r="F2868" i="18"/>
  <c r="G2868" i="18"/>
  <c r="H2868" i="18"/>
  <c r="I2868" i="18"/>
  <c r="J2868" i="18"/>
  <c r="A2869" i="18"/>
  <c r="B2869" i="18"/>
  <c r="C2869" i="18"/>
  <c r="D2869" i="18"/>
  <c r="E2869" i="18"/>
  <c r="F2869" i="18"/>
  <c r="G2869" i="18"/>
  <c r="H2869" i="18"/>
  <c r="I2869" i="18"/>
  <c r="J2869" i="18"/>
  <c r="A2870" i="18"/>
  <c r="B2870" i="18"/>
  <c r="C2870" i="18"/>
  <c r="D2870" i="18"/>
  <c r="E2870" i="18"/>
  <c r="F2870" i="18"/>
  <c r="G2870" i="18"/>
  <c r="H2870" i="18"/>
  <c r="I2870" i="18"/>
  <c r="J2870" i="18"/>
  <c r="A2871" i="18"/>
  <c r="B2871" i="18"/>
  <c r="C2871" i="18"/>
  <c r="D2871" i="18"/>
  <c r="E2871" i="18"/>
  <c r="F2871" i="18"/>
  <c r="G2871" i="18"/>
  <c r="H2871" i="18"/>
  <c r="I2871" i="18"/>
  <c r="J2871" i="18"/>
  <c r="A2872" i="18"/>
  <c r="B2872" i="18"/>
  <c r="C2872" i="18"/>
  <c r="D2872" i="18"/>
  <c r="E2872" i="18"/>
  <c r="F2872" i="18"/>
  <c r="G2872" i="18"/>
  <c r="H2872" i="18"/>
  <c r="I2872" i="18"/>
  <c r="J2872" i="18"/>
  <c r="A2873" i="18"/>
  <c r="B2873" i="18"/>
  <c r="C2873" i="18"/>
  <c r="D2873" i="18"/>
  <c r="E2873" i="18"/>
  <c r="F2873" i="18"/>
  <c r="G2873" i="18"/>
  <c r="H2873" i="18"/>
  <c r="I2873" i="18"/>
  <c r="J2873" i="18"/>
  <c r="A2874" i="18"/>
  <c r="B2874" i="18"/>
  <c r="C2874" i="18"/>
  <c r="D2874" i="18"/>
  <c r="E2874" i="18"/>
  <c r="F2874" i="18"/>
  <c r="G2874" i="18"/>
  <c r="H2874" i="18"/>
  <c r="I2874" i="18"/>
  <c r="J2874" i="18"/>
  <c r="A2875" i="18"/>
  <c r="B2875" i="18"/>
  <c r="C2875" i="18"/>
  <c r="D2875" i="18"/>
  <c r="E2875" i="18"/>
  <c r="F2875" i="18"/>
  <c r="G2875" i="18"/>
  <c r="H2875" i="18"/>
  <c r="I2875" i="18"/>
  <c r="J2875" i="18"/>
  <c r="A2876" i="18"/>
  <c r="B2876" i="18"/>
  <c r="C2876" i="18"/>
  <c r="D2876" i="18"/>
  <c r="E2876" i="18"/>
  <c r="F2876" i="18"/>
  <c r="G2876" i="18"/>
  <c r="H2876" i="18"/>
  <c r="I2876" i="18"/>
  <c r="J2876" i="18"/>
  <c r="A2877" i="18"/>
  <c r="B2877" i="18"/>
  <c r="C2877" i="18"/>
  <c r="D2877" i="18"/>
  <c r="E2877" i="18"/>
  <c r="F2877" i="18"/>
  <c r="G2877" i="18"/>
  <c r="H2877" i="18"/>
  <c r="I2877" i="18"/>
  <c r="J2877" i="18"/>
  <c r="A2878" i="18"/>
  <c r="B2878" i="18"/>
  <c r="C2878" i="18"/>
  <c r="D2878" i="18"/>
  <c r="E2878" i="18"/>
  <c r="F2878" i="18"/>
  <c r="G2878" i="18"/>
  <c r="H2878" i="18"/>
  <c r="I2878" i="18"/>
  <c r="J2878" i="18"/>
  <c r="A2879" i="18"/>
  <c r="B2879" i="18"/>
  <c r="C2879" i="18"/>
  <c r="D2879" i="18"/>
  <c r="E2879" i="18"/>
  <c r="F2879" i="18"/>
  <c r="G2879" i="18"/>
  <c r="H2879" i="18"/>
  <c r="I2879" i="18"/>
  <c r="J2879" i="18"/>
  <c r="A2880" i="18"/>
  <c r="B2880" i="18"/>
  <c r="C2880" i="18"/>
  <c r="D2880" i="18"/>
  <c r="E2880" i="18"/>
  <c r="F2880" i="18"/>
  <c r="G2880" i="18"/>
  <c r="H2880" i="18"/>
  <c r="I2880" i="18"/>
  <c r="J2880" i="18"/>
  <c r="A2881" i="18"/>
  <c r="B2881" i="18"/>
  <c r="C2881" i="18"/>
  <c r="D2881" i="18"/>
  <c r="E2881" i="18"/>
  <c r="F2881" i="18"/>
  <c r="G2881" i="18"/>
  <c r="H2881" i="18"/>
  <c r="I2881" i="18"/>
  <c r="J2881" i="18"/>
  <c r="A2882" i="18"/>
  <c r="B2882" i="18"/>
  <c r="C2882" i="18"/>
  <c r="D2882" i="18"/>
  <c r="E2882" i="18"/>
  <c r="F2882" i="18"/>
  <c r="G2882" i="18"/>
  <c r="H2882" i="18"/>
  <c r="I2882" i="18"/>
  <c r="J2882" i="18"/>
  <c r="A2883" i="18"/>
  <c r="B2883" i="18"/>
  <c r="C2883" i="18"/>
  <c r="D2883" i="18"/>
  <c r="E2883" i="18"/>
  <c r="F2883" i="18"/>
  <c r="G2883" i="18"/>
  <c r="H2883" i="18"/>
  <c r="I2883" i="18"/>
  <c r="J2883" i="18"/>
  <c r="A2884" i="18"/>
  <c r="B2884" i="18"/>
  <c r="C2884" i="18"/>
  <c r="D2884" i="18"/>
  <c r="E2884" i="18"/>
  <c r="F2884" i="18"/>
  <c r="G2884" i="18"/>
  <c r="H2884" i="18"/>
  <c r="I2884" i="18"/>
  <c r="J2884" i="18"/>
  <c r="A2885" i="18"/>
  <c r="B2885" i="18"/>
  <c r="C2885" i="18"/>
  <c r="D2885" i="18"/>
  <c r="E2885" i="18"/>
  <c r="F2885" i="18"/>
  <c r="G2885" i="18"/>
  <c r="H2885" i="18"/>
  <c r="I2885" i="18"/>
  <c r="J2885" i="18"/>
  <c r="A2886" i="18"/>
  <c r="B2886" i="18"/>
  <c r="C2886" i="18"/>
  <c r="D2886" i="18"/>
  <c r="E2886" i="18"/>
  <c r="F2886" i="18"/>
  <c r="G2886" i="18"/>
  <c r="H2886" i="18"/>
  <c r="I2886" i="18"/>
  <c r="J2886" i="18"/>
  <c r="A2887" i="18"/>
  <c r="B2887" i="18"/>
  <c r="C2887" i="18"/>
  <c r="D2887" i="18"/>
  <c r="E2887" i="18"/>
  <c r="F2887" i="18"/>
  <c r="G2887" i="18"/>
  <c r="H2887" i="18"/>
  <c r="I2887" i="18"/>
  <c r="J2887" i="18"/>
  <c r="A2888" i="18"/>
  <c r="B2888" i="18"/>
  <c r="C2888" i="18"/>
  <c r="D2888" i="18"/>
  <c r="E2888" i="18"/>
  <c r="F2888" i="18"/>
  <c r="G2888" i="18"/>
  <c r="H2888" i="18"/>
  <c r="I2888" i="18"/>
  <c r="J2888" i="18"/>
  <c r="A2889" i="18"/>
  <c r="B2889" i="18"/>
  <c r="C2889" i="18"/>
  <c r="D2889" i="18"/>
  <c r="E2889" i="18"/>
  <c r="F2889" i="18"/>
  <c r="G2889" i="18"/>
  <c r="H2889" i="18"/>
  <c r="I2889" i="18"/>
  <c r="J2889" i="18"/>
  <c r="A2890" i="18"/>
  <c r="B2890" i="18"/>
  <c r="C2890" i="18"/>
  <c r="D2890" i="18"/>
  <c r="E2890" i="18"/>
  <c r="F2890" i="18"/>
  <c r="G2890" i="18"/>
  <c r="H2890" i="18"/>
  <c r="I2890" i="18"/>
  <c r="J2890" i="18"/>
  <c r="A2891" i="18"/>
  <c r="B2891" i="18"/>
  <c r="C2891" i="18"/>
  <c r="D2891" i="18"/>
  <c r="E2891" i="18"/>
  <c r="F2891" i="18"/>
  <c r="G2891" i="18"/>
  <c r="H2891" i="18"/>
  <c r="I2891" i="18"/>
  <c r="J2891" i="18"/>
  <c r="A2892" i="18"/>
  <c r="B2892" i="18"/>
  <c r="C2892" i="18"/>
  <c r="D2892" i="18"/>
  <c r="E2892" i="18"/>
  <c r="F2892" i="18"/>
  <c r="G2892" i="18"/>
  <c r="H2892" i="18"/>
  <c r="I2892" i="18"/>
  <c r="J2892" i="18"/>
  <c r="A2893" i="18"/>
  <c r="B2893" i="18"/>
  <c r="C2893" i="18"/>
  <c r="D2893" i="18"/>
  <c r="E2893" i="18"/>
  <c r="F2893" i="18"/>
  <c r="G2893" i="18"/>
  <c r="H2893" i="18"/>
  <c r="I2893" i="18"/>
  <c r="J2893" i="18"/>
  <c r="A2894" i="18"/>
  <c r="B2894" i="18"/>
  <c r="C2894" i="18"/>
  <c r="D2894" i="18"/>
  <c r="E2894" i="18"/>
  <c r="F2894" i="18"/>
  <c r="G2894" i="18"/>
  <c r="H2894" i="18"/>
  <c r="I2894" i="18"/>
  <c r="J2894" i="18"/>
  <c r="A2895" i="18"/>
  <c r="B2895" i="18"/>
  <c r="C2895" i="18"/>
  <c r="D2895" i="18"/>
  <c r="E2895" i="18"/>
  <c r="F2895" i="18"/>
  <c r="G2895" i="18"/>
  <c r="H2895" i="18"/>
  <c r="I2895" i="18"/>
  <c r="J2895" i="18"/>
  <c r="A2896" i="18"/>
  <c r="B2896" i="18"/>
  <c r="C2896" i="18"/>
  <c r="D2896" i="18"/>
  <c r="E2896" i="18"/>
  <c r="F2896" i="18"/>
  <c r="G2896" i="18"/>
  <c r="H2896" i="18"/>
  <c r="I2896" i="18"/>
  <c r="J2896" i="18"/>
  <c r="A2897" i="18"/>
  <c r="B2897" i="18"/>
  <c r="C2897" i="18"/>
  <c r="D2897" i="18"/>
  <c r="E2897" i="18"/>
  <c r="F2897" i="18"/>
  <c r="G2897" i="18"/>
  <c r="H2897" i="18"/>
  <c r="I2897" i="18"/>
  <c r="J2897" i="18"/>
  <c r="A2898" i="18"/>
  <c r="B2898" i="18"/>
  <c r="C2898" i="18"/>
  <c r="D2898" i="18"/>
  <c r="E2898" i="18"/>
  <c r="F2898" i="18"/>
  <c r="G2898" i="18"/>
  <c r="H2898" i="18"/>
  <c r="I2898" i="18"/>
  <c r="J2898" i="18"/>
  <c r="A2899" i="18"/>
  <c r="B2899" i="18"/>
  <c r="C2899" i="18"/>
  <c r="D2899" i="18"/>
  <c r="E2899" i="18"/>
  <c r="F2899" i="18"/>
  <c r="G2899" i="18"/>
  <c r="H2899" i="18"/>
  <c r="I2899" i="18"/>
  <c r="J2899" i="18"/>
  <c r="A2900" i="18"/>
  <c r="B2900" i="18"/>
  <c r="C2900" i="18"/>
  <c r="D2900" i="18"/>
  <c r="E2900" i="18"/>
  <c r="F2900" i="18"/>
  <c r="G2900" i="18"/>
  <c r="H2900" i="18"/>
  <c r="I2900" i="18"/>
  <c r="J2900" i="18"/>
  <c r="A2901" i="18"/>
  <c r="B2901" i="18"/>
  <c r="C2901" i="18"/>
  <c r="D2901" i="18"/>
  <c r="E2901" i="18"/>
  <c r="F2901" i="18"/>
  <c r="G2901" i="18"/>
  <c r="H2901" i="18"/>
  <c r="I2901" i="18"/>
  <c r="J2901" i="18"/>
  <c r="A2902" i="18"/>
  <c r="B2902" i="18"/>
  <c r="C2902" i="18"/>
  <c r="D2902" i="18"/>
  <c r="E2902" i="18"/>
  <c r="F2902" i="18"/>
  <c r="G2902" i="18"/>
  <c r="H2902" i="18"/>
  <c r="I2902" i="18"/>
  <c r="J2902" i="18"/>
  <c r="A2903" i="18"/>
  <c r="B2903" i="18"/>
  <c r="C2903" i="18"/>
  <c r="D2903" i="18"/>
  <c r="E2903" i="18"/>
  <c r="F2903" i="18"/>
  <c r="G2903" i="18"/>
  <c r="H2903" i="18"/>
  <c r="I2903" i="18"/>
  <c r="J2903" i="18"/>
  <c r="A2904" i="18"/>
  <c r="B2904" i="18"/>
  <c r="C2904" i="18"/>
  <c r="D2904" i="18"/>
  <c r="E2904" i="18"/>
  <c r="F2904" i="18"/>
  <c r="G2904" i="18"/>
  <c r="H2904" i="18"/>
  <c r="I2904" i="18"/>
  <c r="J2904" i="18"/>
  <c r="A2905" i="18"/>
  <c r="B2905" i="18"/>
  <c r="C2905" i="18"/>
  <c r="D2905" i="18"/>
  <c r="E2905" i="18"/>
  <c r="F2905" i="18"/>
  <c r="G2905" i="18"/>
  <c r="H2905" i="18"/>
  <c r="I2905" i="18"/>
  <c r="J2905" i="18"/>
  <c r="A2906" i="18"/>
  <c r="B2906" i="18"/>
  <c r="C2906" i="18"/>
  <c r="D2906" i="18"/>
  <c r="E2906" i="18"/>
  <c r="F2906" i="18"/>
  <c r="G2906" i="18"/>
  <c r="H2906" i="18"/>
  <c r="I2906" i="18"/>
  <c r="J2906" i="18"/>
  <c r="A2907" i="18"/>
  <c r="B2907" i="18"/>
  <c r="C2907" i="18"/>
  <c r="D2907" i="18"/>
  <c r="E2907" i="18"/>
  <c r="F2907" i="18"/>
  <c r="G2907" i="18"/>
  <c r="H2907" i="18"/>
  <c r="I2907" i="18"/>
  <c r="J2907" i="18"/>
  <c r="A2908" i="18"/>
  <c r="B2908" i="18"/>
  <c r="C2908" i="18"/>
  <c r="D2908" i="18"/>
  <c r="E2908" i="18"/>
  <c r="F2908" i="18"/>
  <c r="G2908" i="18"/>
  <c r="H2908" i="18"/>
  <c r="I2908" i="18"/>
  <c r="J2908" i="18"/>
  <c r="A2909" i="18"/>
  <c r="B2909" i="18"/>
  <c r="C2909" i="18"/>
  <c r="D2909" i="18"/>
  <c r="E2909" i="18"/>
  <c r="F2909" i="18"/>
  <c r="G2909" i="18"/>
  <c r="H2909" i="18"/>
  <c r="I2909" i="18"/>
  <c r="J2909" i="18"/>
  <c r="A2910" i="18"/>
  <c r="B2910" i="18"/>
  <c r="C2910" i="18"/>
  <c r="D2910" i="18"/>
  <c r="E2910" i="18"/>
  <c r="F2910" i="18"/>
  <c r="G2910" i="18"/>
  <c r="H2910" i="18"/>
  <c r="I2910" i="18"/>
  <c r="J2910" i="18"/>
  <c r="A2911" i="18"/>
  <c r="B2911" i="18"/>
  <c r="C2911" i="18"/>
  <c r="D2911" i="18"/>
  <c r="E2911" i="18"/>
  <c r="F2911" i="18"/>
  <c r="G2911" i="18"/>
  <c r="H2911" i="18"/>
  <c r="I2911" i="18"/>
  <c r="J2911" i="18"/>
  <c r="A2912" i="18"/>
  <c r="B2912" i="18"/>
  <c r="C2912" i="18"/>
  <c r="D2912" i="18"/>
  <c r="E2912" i="18"/>
  <c r="F2912" i="18"/>
  <c r="G2912" i="18"/>
  <c r="H2912" i="18"/>
  <c r="I2912" i="18"/>
  <c r="J2912" i="18"/>
  <c r="A2913" i="18"/>
  <c r="B2913" i="18"/>
  <c r="C2913" i="18"/>
  <c r="D2913" i="18"/>
  <c r="E2913" i="18"/>
  <c r="F2913" i="18"/>
  <c r="G2913" i="18"/>
  <c r="H2913" i="18"/>
  <c r="I2913" i="18"/>
  <c r="J2913" i="18"/>
  <c r="A2914" i="18"/>
  <c r="B2914" i="18"/>
  <c r="C2914" i="18"/>
  <c r="D2914" i="18"/>
  <c r="E2914" i="18"/>
  <c r="F2914" i="18"/>
  <c r="G2914" i="18"/>
  <c r="H2914" i="18"/>
  <c r="I2914" i="18"/>
  <c r="J2914" i="18"/>
  <c r="A2915" i="18"/>
  <c r="B2915" i="18"/>
  <c r="C2915" i="18"/>
  <c r="D2915" i="18"/>
  <c r="E2915" i="18"/>
  <c r="F2915" i="18"/>
  <c r="G2915" i="18"/>
  <c r="H2915" i="18"/>
  <c r="I2915" i="18"/>
  <c r="J2915" i="18"/>
  <c r="A2916" i="18"/>
  <c r="B2916" i="18"/>
  <c r="C2916" i="18"/>
  <c r="D2916" i="18"/>
  <c r="E2916" i="18"/>
  <c r="F2916" i="18"/>
  <c r="G2916" i="18"/>
  <c r="H2916" i="18"/>
  <c r="I2916" i="18"/>
  <c r="J2916" i="18"/>
  <c r="A2917" i="18"/>
  <c r="B2917" i="18"/>
  <c r="C2917" i="18"/>
  <c r="D2917" i="18"/>
  <c r="E2917" i="18"/>
  <c r="F2917" i="18"/>
  <c r="G2917" i="18"/>
  <c r="H2917" i="18"/>
  <c r="I2917" i="18"/>
  <c r="J2917" i="18"/>
  <c r="A2918" i="18"/>
  <c r="B2918" i="18"/>
  <c r="C2918" i="18"/>
  <c r="D2918" i="18"/>
  <c r="E2918" i="18"/>
  <c r="F2918" i="18"/>
  <c r="G2918" i="18"/>
  <c r="H2918" i="18"/>
  <c r="I2918" i="18"/>
  <c r="J2918" i="18"/>
  <c r="A2919" i="18"/>
  <c r="B2919" i="18"/>
  <c r="C2919" i="18"/>
  <c r="D2919" i="18"/>
  <c r="E2919" i="18"/>
  <c r="F2919" i="18"/>
  <c r="G2919" i="18"/>
  <c r="H2919" i="18"/>
  <c r="I2919" i="18"/>
  <c r="J2919" i="18"/>
  <c r="A2920" i="18"/>
  <c r="B2920" i="18"/>
  <c r="C2920" i="18"/>
  <c r="D2920" i="18"/>
  <c r="E2920" i="18"/>
  <c r="F2920" i="18"/>
  <c r="G2920" i="18"/>
  <c r="H2920" i="18"/>
  <c r="I2920" i="18"/>
  <c r="J2920" i="18"/>
  <c r="A2921" i="18"/>
  <c r="B2921" i="18"/>
  <c r="C2921" i="18"/>
  <c r="D2921" i="18"/>
  <c r="E2921" i="18"/>
  <c r="F2921" i="18"/>
  <c r="G2921" i="18"/>
  <c r="H2921" i="18"/>
  <c r="I2921" i="18"/>
  <c r="J2921" i="18"/>
  <c r="A2922" i="18"/>
  <c r="B2922" i="18"/>
  <c r="C2922" i="18"/>
  <c r="D2922" i="18"/>
  <c r="E2922" i="18"/>
  <c r="F2922" i="18"/>
  <c r="G2922" i="18"/>
  <c r="H2922" i="18"/>
  <c r="I2922" i="18"/>
  <c r="J2922" i="18"/>
  <c r="A2923" i="18"/>
  <c r="B2923" i="18"/>
  <c r="C2923" i="18"/>
  <c r="D2923" i="18"/>
  <c r="E2923" i="18"/>
  <c r="F2923" i="18"/>
  <c r="G2923" i="18"/>
  <c r="H2923" i="18"/>
  <c r="I2923" i="18"/>
  <c r="J2923" i="18"/>
  <c r="A2924" i="18"/>
  <c r="B2924" i="18"/>
  <c r="C2924" i="18"/>
  <c r="D2924" i="18"/>
  <c r="E2924" i="18"/>
  <c r="F2924" i="18"/>
  <c r="G2924" i="18"/>
  <c r="H2924" i="18"/>
  <c r="I2924" i="18"/>
  <c r="J2924" i="18"/>
  <c r="A2925" i="18"/>
  <c r="B2925" i="18"/>
  <c r="C2925" i="18"/>
  <c r="D2925" i="18"/>
  <c r="E2925" i="18"/>
  <c r="F2925" i="18"/>
  <c r="G2925" i="18"/>
  <c r="H2925" i="18"/>
  <c r="I2925" i="18"/>
  <c r="J2925" i="18"/>
  <c r="A2926" i="18"/>
  <c r="B2926" i="18"/>
  <c r="C2926" i="18"/>
  <c r="D2926" i="18"/>
  <c r="E2926" i="18"/>
  <c r="F2926" i="18"/>
  <c r="G2926" i="18"/>
  <c r="H2926" i="18"/>
  <c r="I2926" i="18"/>
  <c r="J2926" i="18"/>
  <c r="A2927" i="18"/>
  <c r="B2927" i="18"/>
  <c r="C2927" i="18"/>
  <c r="D2927" i="18"/>
  <c r="E2927" i="18"/>
  <c r="F2927" i="18"/>
  <c r="G2927" i="18"/>
  <c r="H2927" i="18"/>
  <c r="I2927" i="18"/>
  <c r="J2927" i="18"/>
  <c r="A2928" i="18"/>
  <c r="B2928" i="18"/>
  <c r="C2928" i="18"/>
  <c r="D2928" i="18"/>
  <c r="E2928" i="18"/>
  <c r="F2928" i="18"/>
  <c r="G2928" i="18"/>
  <c r="H2928" i="18"/>
  <c r="I2928" i="18"/>
  <c r="J2928" i="18"/>
  <c r="A2929" i="18"/>
  <c r="B2929" i="18"/>
  <c r="C2929" i="18"/>
  <c r="D2929" i="18"/>
  <c r="E2929" i="18"/>
  <c r="F2929" i="18"/>
  <c r="G2929" i="18"/>
  <c r="H2929" i="18"/>
  <c r="I2929" i="18"/>
  <c r="J2929" i="18"/>
  <c r="A2930" i="18"/>
  <c r="B2930" i="18"/>
  <c r="C2930" i="18"/>
  <c r="D2930" i="18"/>
  <c r="E2930" i="18"/>
  <c r="F2930" i="18"/>
  <c r="G2930" i="18"/>
  <c r="H2930" i="18"/>
  <c r="I2930" i="18"/>
  <c r="J2930" i="18"/>
  <c r="A2931" i="18"/>
  <c r="B2931" i="18"/>
  <c r="C2931" i="18"/>
  <c r="D2931" i="18"/>
  <c r="E2931" i="18"/>
  <c r="F2931" i="18"/>
  <c r="G2931" i="18"/>
  <c r="H2931" i="18"/>
  <c r="I2931" i="18"/>
  <c r="J2931" i="18"/>
  <c r="A2932" i="18"/>
  <c r="B2932" i="18"/>
  <c r="C2932" i="18"/>
  <c r="D2932" i="18"/>
  <c r="E2932" i="18"/>
  <c r="F2932" i="18"/>
  <c r="G2932" i="18"/>
  <c r="H2932" i="18"/>
  <c r="I2932" i="18"/>
  <c r="J2932" i="18"/>
  <c r="A2933" i="18"/>
  <c r="B2933" i="18"/>
  <c r="C2933" i="18"/>
  <c r="D2933" i="18"/>
  <c r="E2933" i="18"/>
  <c r="F2933" i="18"/>
  <c r="G2933" i="18"/>
  <c r="H2933" i="18"/>
  <c r="I2933" i="18"/>
  <c r="J2933" i="18"/>
  <c r="A2934" i="18"/>
  <c r="B2934" i="18"/>
  <c r="C2934" i="18"/>
  <c r="D2934" i="18"/>
  <c r="E2934" i="18"/>
  <c r="F2934" i="18"/>
  <c r="G2934" i="18"/>
  <c r="H2934" i="18"/>
  <c r="I2934" i="18"/>
  <c r="J2934" i="18"/>
  <c r="A2935" i="18"/>
  <c r="B2935" i="18"/>
  <c r="C2935" i="18"/>
  <c r="D2935" i="18"/>
  <c r="E2935" i="18"/>
  <c r="F2935" i="18"/>
  <c r="G2935" i="18"/>
  <c r="H2935" i="18"/>
  <c r="I2935" i="18"/>
  <c r="J2935" i="18"/>
  <c r="A2936" i="18"/>
  <c r="B2936" i="18"/>
  <c r="C2936" i="18"/>
  <c r="D2936" i="18"/>
  <c r="E2936" i="18"/>
  <c r="F2936" i="18"/>
  <c r="G2936" i="18"/>
  <c r="H2936" i="18"/>
  <c r="I2936" i="18"/>
  <c r="J2936" i="18"/>
  <c r="A2937" i="18"/>
  <c r="B2937" i="18"/>
  <c r="C2937" i="18"/>
  <c r="D2937" i="18"/>
  <c r="E2937" i="18"/>
  <c r="F2937" i="18"/>
  <c r="G2937" i="18"/>
  <c r="H2937" i="18"/>
  <c r="I2937" i="18"/>
  <c r="J2937" i="18"/>
  <c r="A2938" i="18"/>
  <c r="B2938" i="18"/>
  <c r="C2938" i="18"/>
  <c r="D2938" i="18"/>
  <c r="E2938" i="18"/>
  <c r="F2938" i="18"/>
  <c r="G2938" i="18"/>
  <c r="H2938" i="18"/>
  <c r="I2938" i="18"/>
  <c r="J2938" i="18"/>
  <c r="A2939" i="18"/>
  <c r="B2939" i="18"/>
  <c r="C2939" i="18"/>
  <c r="D2939" i="18"/>
  <c r="E2939" i="18"/>
  <c r="F2939" i="18"/>
  <c r="G2939" i="18"/>
  <c r="H2939" i="18"/>
  <c r="I2939" i="18"/>
  <c r="J2939" i="18"/>
  <c r="A2940" i="18"/>
  <c r="B2940" i="18"/>
  <c r="C2940" i="18"/>
  <c r="D2940" i="18"/>
  <c r="E2940" i="18"/>
  <c r="F2940" i="18"/>
  <c r="G2940" i="18"/>
  <c r="H2940" i="18"/>
  <c r="I2940" i="18"/>
  <c r="J2940" i="18"/>
  <c r="A2941" i="18"/>
  <c r="B2941" i="18"/>
  <c r="C2941" i="18"/>
  <c r="D2941" i="18"/>
  <c r="E2941" i="18"/>
  <c r="F2941" i="18"/>
  <c r="G2941" i="18"/>
  <c r="H2941" i="18"/>
  <c r="I2941" i="18"/>
  <c r="J2941" i="18"/>
  <c r="A2942" i="18"/>
  <c r="B2942" i="18"/>
  <c r="C2942" i="18"/>
  <c r="D2942" i="18"/>
  <c r="E2942" i="18"/>
  <c r="F2942" i="18"/>
  <c r="G2942" i="18"/>
  <c r="H2942" i="18"/>
  <c r="I2942" i="18"/>
  <c r="J2942" i="18"/>
  <c r="A2943" i="18"/>
  <c r="B2943" i="18"/>
  <c r="C2943" i="18"/>
  <c r="D2943" i="18"/>
  <c r="E2943" i="18"/>
  <c r="F2943" i="18"/>
  <c r="G2943" i="18"/>
  <c r="H2943" i="18"/>
  <c r="I2943" i="18"/>
  <c r="J2943" i="18"/>
  <c r="A2944" i="18"/>
  <c r="B2944" i="18"/>
  <c r="C2944" i="18"/>
  <c r="D2944" i="18"/>
  <c r="E2944" i="18"/>
  <c r="F2944" i="18"/>
  <c r="G2944" i="18"/>
  <c r="H2944" i="18"/>
  <c r="I2944" i="18"/>
  <c r="J2944" i="18"/>
  <c r="A2945" i="18"/>
  <c r="B2945" i="18"/>
  <c r="C2945" i="18"/>
  <c r="D2945" i="18"/>
  <c r="E2945" i="18"/>
  <c r="F2945" i="18"/>
  <c r="G2945" i="18"/>
  <c r="H2945" i="18"/>
  <c r="I2945" i="18"/>
  <c r="J2945" i="18"/>
  <c r="A2946" i="18"/>
  <c r="B2946" i="18"/>
  <c r="C2946" i="18"/>
  <c r="D2946" i="18"/>
  <c r="E2946" i="18"/>
  <c r="F2946" i="18"/>
  <c r="G2946" i="18"/>
  <c r="H2946" i="18"/>
  <c r="I2946" i="18"/>
  <c r="J2946" i="18"/>
  <c r="A2947" i="18"/>
  <c r="B2947" i="18"/>
  <c r="C2947" i="18"/>
  <c r="D2947" i="18"/>
  <c r="E2947" i="18"/>
  <c r="F2947" i="18"/>
  <c r="G2947" i="18"/>
  <c r="H2947" i="18"/>
  <c r="I2947" i="18"/>
  <c r="J2947" i="18"/>
  <c r="A2948" i="18"/>
  <c r="B2948" i="18"/>
  <c r="C2948" i="18"/>
  <c r="D2948" i="18"/>
  <c r="E2948" i="18"/>
  <c r="F2948" i="18"/>
  <c r="G2948" i="18"/>
  <c r="H2948" i="18"/>
  <c r="I2948" i="18"/>
  <c r="J2948" i="18"/>
  <c r="A2949" i="18"/>
  <c r="B2949" i="18"/>
  <c r="C2949" i="18"/>
  <c r="D2949" i="18"/>
  <c r="E2949" i="18"/>
  <c r="F2949" i="18"/>
  <c r="G2949" i="18"/>
  <c r="H2949" i="18"/>
  <c r="I2949" i="18"/>
  <c r="J2949" i="18"/>
  <c r="A2950" i="18"/>
  <c r="B2950" i="18"/>
  <c r="C2950" i="18"/>
  <c r="D2950" i="18"/>
  <c r="E2950" i="18"/>
  <c r="F2950" i="18"/>
  <c r="G2950" i="18"/>
  <c r="H2950" i="18"/>
  <c r="I2950" i="18"/>
  <c r="J2950" i="18"/>
  <c r="A2951" i="18"/>
  <c r="B2951" i="18"/>
  <c r="C2951" i="18"/>
  <c r="D2951" i="18"/>
  <c r="E2951" i="18"/>
  <c r="F2951" i="18"/>
  <c r="G2951" i="18"/>
  <c r="H2951" i="18"/>
  <c r="I2951" i="18"/>
  <c r="J2951" i="18"/>
  <c r="A2952" i="18"/>
  <c r="B2952" i="18"/>
  <c r="C2952" i="18"/>
  <c r="D2952" i="18"/>
  <c r="E2952" i="18"/>
  <c r="F2952" i="18"/>
  <c r="G2952" i="18"/>
  <c r="H2952" i="18"/>
  <c r="I2952" i="18"/>
  <c r="J2952" i="18"/>
  <c r="A2953" i="18"/>
  <c r="B2953" i="18"/>
  <c r="C2953" i="18"/>
  <c r="D2953" i="18"/>
  <c r="E2953" i="18"/>
  <c r="F2953" i="18"/>
  <c r="G2953" i="18"/>
  <c r="H2953" i="18"/>
  <c r="I2953" i="18"/>
  <c r="J2953" i="18"/>
  <c r="A2954" i="18"/>
  <c r="B2954" i="18"/>
  <c r="C2954" i="18"/>
  <c r="D2954" i="18"/>
  <c r="E2954" i="18"/>
  <c r="F2954" i="18"/>
  <c r="G2954" i="18"/>
  <c r="H2954" i="18"/>
  <c r="I2954" i="18"/>
  <c r="J2954" i="18"/>
  <c r="A2955" i="18"/>
  <c r="B2955" i="18"/>
  <c r="C2955" i="18"/>
  <c r="D2955" i="18"/>
  <c r="E2955" i="18"/>
  <c r="F2955" i="18"/>
  <c r="G2955" i="18"/>
  <c r="H2955" i="18"/>
  <c r="I2955" i="18"/>
  <c r="J2955" i="18"/>
  <c r="A2956" i="18"/>
  <c r="B2956" i="18"/>
  <c r="C2956" i="18"/>
  <c r="D2956" i="18"/>
  <c r="E2956" i="18"/>
  <c r="F2956" i="18"/>
  <c r="G2956" i="18"/>
  <c r="H2956" i="18"/>
  <c r="I2956" i="18"/>
  <c r="J2956" i="18"/>
  <c r="A2957" i="18"/>
  <c r="B2957" i="18"/>
  <c r="C2957" i="18"/>
  <c r="D2957" i="18"/>
  <c r="E2957" i="18"/>
  <c r="F2957" i="18"/>
  <c r="G2957" i="18"/>
  <c r="H2957" i="18"/>
  <c r="I2957" i="18"/>
  <c r="J2957" i="18"/>
  <c r="A2958" i="18"/>
  <c r="B2958" i="18"/>
  <c r="C2958" i="18"/>
  <c r="D2958" i="18"/>
  <c r="E2958" i="18"/>
  <c r="F2958" i="18"/>
  <c r="G2958" i="18"/>
  <c r="H2958" i="18"/>
  <c r="I2958" i="18"/>
  <c r="J2958" i="18"/>
  <c r="A2959" i="18"/>
  <c r="B2959" i="18"/>
  <c r="C2959" i="18"/>
  <c r="D2959" i="18"/>
  <c r="E2959" i="18"/>
  <c r="F2959" i="18"/>
  <c r="G2959" i="18"/>
  <c r="H2959" i="18"/>
  <c r="I2959" i="18"/>
  <c r="J2959" i="18"/>
  <c r="A2960" i="18"/>
  <c r="B2960" i="18"/>
  <c r="C2960" i="18"/>
  <c r="D2960" i="18"/>
  <c r="E2960" i="18"/>
  <c r="F2960" i="18"/>
  <c r="G2960" i="18"/>
  <c r="H2960" i="18"/>
  <c r="I2960" i="18"/>
  <c r="J2960" i="18"/>
  <c r="A2961" i="18"/>
  <c r="B2961" i="18"/>
  <c r="C2961" i="18"/>
  <c r="D2961" i="18"/>
  <c r="E2961" i="18"/>
  <c r="F2961" i="18"/>
  <c r="G2961" i="18"/>
  <c r="H2961" i="18"/>
  <c r="I2961" i="18"/>
  <c r="J2961" i="18"/>
  <c r="A2962" i="18"/>
  <c r="B2962" i="18"/>
  <c r="C2962" i="18"/>
  <c r="D2962" i="18"/>
  <c r="E2962" i="18"/>
  <c r="F2962" i="18"/>
  <c r="G2962" i="18"/>
  <c r="H2962" i="18"/>
  <c r="I2962" i="18"/>
  <c r="J2962" i="18"/>
  <c r="A2963" i="18"/>
  <c r="B2963" i="18"/>
  <c r="C2963" i="18"/>
  <c r="D2963" i="18"/>
  <c r="E2963" i="18"/>
  <c r="F2963" i="18"/>
  <c r="G2963" i="18"/>
  <c r="H2963" i="18"/>
  <c r="I2963" i="18"/>
  <c r="J2963" i="18"/>
  <c r="A2964" i="18"/>
  <c r="B2964" i="18"/>
  <c r="C2964" i="18"/>
  <c r="D2964" i="18"/>
  <c r="E2964" i="18"/>
  <c r="F2964" i="18"/>
  <c r="G2964" i="18"/>
  <c r="H2964" i="18"/>
  <c r="I2964" i="18"/>
  <c r="J2964" i="18"/>
  <c r="A2965" i="18"/>
  <c r="B2965" i="18"/>
  <c r="C2965" i="18"/>
  <c r="D2965" i="18"/>
  <c r="E2965" i="18"/>
  <c r="F2965" i="18"/>
  <c r="G2965" i="18"/>
  <c r="H2965" i="18"/>
  <c r="I2965" i="18"/>
  <c r="J2965" i="18"/>
  <c r="A2966" i="18"/>
  <c r="B2966" i="18"/>
  <c r="C2966" i="18"/>
  <c r="D2966" i="18"/>
  <c r="E2966" i="18"/>
  <c r="F2966" i="18"/>
  <c r="G2966" i="18"/>
  <c r="H2966" i="18"/>
  <c r="I2966" i="18"/>
  <c r="J2966" i="18"/>
  <c r="A2967" i="18"/>
  <c r="B2967" i="18"/>
  <c r="C2967" i="18"/>
  <c r="D2967" i="18"/>
  <c r="E2967" i="18"/>
  <c r="F2967" i="18"/>
  <c r="G2967" i="18"/>
  <c r="H2967" i="18"/>
  <c r="I2967" i="18"/>
  <c r="J2967" i="18"/>
  <c r="A2968" i="18"/>
  <c r="B2968" i="18"/>
  <c r="C2968" i="18"/>
  <c r="D2968" i="18"/>
  <c r="E2968" i="18"/>
  <c r="F2968" i="18"/>
  <c r="G2968" i="18"/>
  <c r="H2968" i="18"/>
  <c r="I2968" i="18"/>
  <c r="J2968" i="18"/>
  <c r="A2969" i="18"/>
  <c r="B2969" i="18"/>
  <c r="C2969" i="18"/>
  <c r="D2969" i="18"/>
  <c r="E2969" i="18"/>
  <c r="F2969" i="18"/>
  <c r="G2969" i="18"/>
  <c r="H2969" i="18"/>
  <c r="I2969" i="18"/>
  <c r="J2969" i="18"/>
  <c r="A2970" i="18"/>
  <c r="B2970" i="18"/>
  <c r="C2970" i="18"/>
  <c r="D2970" i="18"/>
  <c r="E2970" i="18"/>
  <c r="F2970" i="18"/>
  <c r="G2970" i="18"/>
  <c r="H2970" i="18"/>
  <c r="I2970" i="18"/>
  <c r="J2970" i="18"/>
  <c r="A2971" i="18"/>
  <c r="B2971" i="18"/>
  <c r="C2971" i="18"/>
  <c r="D2971" i="18"/>
  <c r="E2971" i="18"/>
  <c r="F2971" i="18"/>
  <c r="G2971" i="18"/>
  <c r="H2971" i="18"/>
  <c r="I2971" i="18"/>
  <c r="J2971" i="18"/>
  <c r="A2972" i="18"/>
  <c r="B2972" i="18"/>
  <c r="C2972" i="18"/>
  <c r="D2972" i="18"/>
  <c r="E2972" i="18"/>
  <c r="F2972" i="18"/>
  <c r="G2972" i="18"/>
  <c r="H2972" i="18"/>
  <c r="I2972" i="18"/>
  <c r="J2972" i="18"/>
  <c r="A2973" i="18"/>
  <c r="B2973" i="18"/>
  <c r="C2973" i="18"/>
  <c r="D2973" i="18"/>
  <c r="E2973" i="18"/>
  <c r="F2973" i="18"/>
  <c r="G2973" i="18"/>
  <c r="H2973" i="18"/>
  <c r="I2973" i="18"/>
  <c r="J2973" i="18"/>
  <c r="A2974" i="18"/>
  <c r="B2974" i="18"/>
  <c r="C2974" i="18"/>
  <c r="D2974" i="18"/>
  <c r="E2974" i="18"/>
  <c r="F2974" i="18"/>
  <c r="G2974" i="18"/>
  <c r="H2974" i="18"/>
  <c r="I2974" i="18"/>
  <c r="J2974" i="18"/>
  <c r="A2975" i="18"/>
  <c r="B2975" i="18"/>
  <c r="C2975" i="18"/>
  <c r="D2975" i="18"/>
  <c r="E2975" i="18"/>
  <c r="F2975" i="18"/>
  <c r="G2975" i="18"/>
  <c r="H2975" i="18"/>
  <c r="I2975" i="18"/>
  <c r="J2975" i="18"/>
  <c r="A2976" i="18"/>
  <c r="B2976" i="18"/>
  <c r="C2976" i="18"/>
  <c r="D2976" i="18"/>
  <c r="E2976" i="18"/>
  <c r="F2976" i="18"/>
  <c r="G2976" i="18"/>
  <c r="H2976" i="18"/>
  <c r="I2976" i="18"/>
  <c r="J2976" i="18"/>
  <c r="A2977" i="18"/>
  <c r="B2977" i="18"/>
  <c r="C2977" i="18"/>
  <c r="D2977" i="18"/>
  <c r="E2977" i="18"/>
  <c r="F2977" i="18"/>
  <c r="G2977" i="18"/>
  <c r="H2977" i="18"/>
  <c r="I2977" i="18"/>
  <c r="J2977" i="18"/>
  <c r="A2978" i="18"/>
  <c r="B2978" i="18"/>
  <c r="C2978" i="18"/>
  <c r="D2978" i="18"/>
  <c r="E2978" i="18"/>
  <c r="F2978" i="18"/>
  <c r="G2978" i="18"/>
  <c r="H2978" i="18"/>
  <c r="I2978" i="18"/>
  <c r="J2978" i="18"/>
  <c r="A2979" i="18"/>
  <c r="B2979" i="18"/>
  <c r="C2979" i="18"/>
  <c r="D2979" i="18"/>
  <c r="E2979" i="18"/>
  <c r="F2979" i="18"/>
  <c r="G2979" i="18"/>
  <c r="H2979" i="18"/>
  <c r="I2979" i="18"/>
  <c r="J2979" i="18"/>
  <c r="A2980" i="18"/>
  <c r="B2980" i="18"/>
  <c r="C2980" i="18"/>
  <c r="D2980" i="18"/>
  <c r="E2980" i="18"/>
  <c r="F2980" i="18"/>
  <c r="G2980" i="18"/>
  <c r="H2980" i="18"/>
  <c r="I2980" i="18"/>
  <c r="J2980" i="18"/>
  <c r="A2981" i="18"/>
  <c r="B2981" i="18"/>
  <c r="C2981" i="18"/>
  <c r="D2981" i="18"/>
  <c r="E2981" i="18"/>
  <c r="F2981" i="18"/>
  <c r="G2981" i="18"/>
  <c r="H2981" i="18"/>
  <c r="I2981" i="18"/>
  <c r="J2981" i="18"/>
  <c r="A2982" i="18"/>
  <c r="B2982" i="18"/>
  <c r="C2982" i="18"/>
  <c r="D2982" i="18"/>
  <c r="E2982" i="18"/>
  <c r="F2982" i="18"/>
  <c r="G2982" i="18"/>
  <c r="H2982" i="18"/>
  <c r="I2982" i="18"/>
  <c r="J2982" i="18"/>
  <c r="A2983" i="18"/>
  <c r="B2983" i="18"/>
  <c r="C2983" i="18"/>
  <c r="D2983" i="18"/>
  <c r="E2983" i="18"/>
  <c r="F2983" i="18"/>
  <c r="G2983" i="18"/>
  <c r="H2983" i="18"/>
  <c r="I2983" i="18"/>
  <c r="J2983" i="18"/>
  <c r="A2984" i="18"/>
  <c r="B2984" i="18"/>
  <c r="C2984" i="18"/>
  <c r="D2984" i="18"/>
  <c r="E2984" i="18"/>
  <c r="F2984" i="18"/>
  <c r="G2984" i="18"/>
  <c r="H2984" i="18"/>
  <c r="I2984" i="18"/>
  <c r="J2984" i="18"/>
  <c r="A2985" i="18"/>
  <c r="B2985" i="18"/>
  <c r="C2985" i="18"/>
  <c r="D2985" i="18"/>
  <c r="E2985" i="18"/>
  <c r="F2985" i="18"/>
  <c r="G2985" i="18"/>
  <c r="H2985" i="18"/>
  <c r="I2985" i="18"/>
  <c r="J2985" i="18"/>
  <c r="A2986" i="18"/>
  <c r="B2986" i="18"/>
  <c r="C2986" i="18"/>
  <c r="D2986" i="18"/>
  <c r="E2986" i="18"/>
  <c r="F2986" i="18"/>
  <c r="G2986" i="18"/>
  <c r="H2986" i="18"/>
  <c r="I2986" i="18"/>
  <c r="J2986" i="18"/>
  <c r="A2987" i="18"/>
  <c r="B2987" i="18"/>
  <c r="C2987" i="18"/>
  <c r="D2987" i="18"/>
  <c r="E2987" i="18"/>
  <c r="F2987" i="18"/>
  <c r="G2987" i="18"/>
  <c r="H2987" i="18"/>
  <c r="I2987" i="18"/>
  <c r="J2987" i="18"/>
  <c r="A2988" i="18"/>
  <c r="B2988" i="18"/>
  <c r="C2988" i="18"/>
  <c r="D2988" i="18"/>
  <c r="E2988" i="18"/>
  <c r="F2988" i="18"/>
  <c r="G2988" i="18"/>
  <c r="H2988" i="18"/>
  <c r="I2988" i="18"/>
  <c r="J2988" i="18"/>
  <c r="A2989" i="18"/>
  <c r="B2989" i="18"/>
  <c r="C2989" i="18"/>
  <c r="D2989" i="18"/>
  <c r="E2989" i="18"/>
  <c r="F2989" i="18"/>
  <c r="G2989" i="18"/>
  <c r="H2989" i="18"/>
  <c r="I2989" i="18"/>
  <c r="J2989" i="18"/>
  <c r="A2990" i="18"/>
  <c r="B2990" i="18"/>
  <c r="C2990" i="18"/>
  <c r="D2990" i="18"/>
  <c r="E2990" i="18"/>
  <c r="F2990" i="18"/>
  <c r="G2990" i="18"/>
  <c r="H2990" i="18"/>
  <c r="I2990" i="18"/>
  <c r="J2990" i="18"/>
  <c r="A2991" i="18"/>
  <c r="B2991" i="18"/>
  <c r="C2991" i="18"/>
  <c r="D2991" i="18"/>
  <c r="E2991" i="18"/>
  <c r="F2991" i="18"/>
  <c r="G2991" i="18"/>
  <c r="H2991" i="18"/>
  <c r="I2991" i="18"/>
  <c r="J2991" i="18"/>
  <c r="A2992" i="18"/>
  <c r="B2992" i="18"/>
  <c r="C2992" i="18"/>
  <c r="D2992" i="18"/>
  <c r="E2992" i="18"/>
  <c r="F2992" i="18"/>
  <c r="G2992" i="18"/>
  <c r="H2992" i="18"/>
  <c r="I2992" i="18"/>
  <c r="J2992" i="18"/>
  <c r="A2993" i="18"/>
  <c r="B2993" i="18"/>
  <c r="C2993" i="18"/>
  <c r="D2993" i="18"/>
  <c r="E2993" i="18"/>
  <c r="F2993" i="18"/>
  <c r="G2993" i="18"/>
  <c r="H2993" i="18"/>
  <c r="I2993" i="18"/>
  <c r="J2993" i="18"/>
  <c r="A2994" i="18"/>
  <c r="B2994" i="18"/>
  <c r="C2994" i="18"/>
  <c r="D2994" i="18"/>
  <c r="E2994" i="18"/>
  <c r="F2994" i="18"/>
  <c r="G2994" i="18"/>
  <c r="H2994" i="18"/>
  <c r="I2994" i="18"/>
  <c r="J2994" i="18"/>
  <c r="A2995" i="18"/>
  <c r="B2995" i="18"/>
  <c r="C2995" i="18"/>
  <c r="D2995" i="18"/>
  <c r="E2995" i="18"/>
  <c r="F2995" i="18"/>
  <c r="G2995" i="18"/>
  <c r="H2995" i="18"/>
  <c r="I2995" i="18"/>
  <c r="J2995" i="18"/>
  <c r="A2996" i="18"/>
  <c r="B2996" i="18"/>
  <c r="C2996" i="18"/>
  <c r="D2996" i="18"/>
  <c r="E2996" i="18"/>
  <c r="F2996" i="18"/>
  <c r="G2996" i="18"/>
  <c r="H2996" i="18"/>
  <c r="I2996" i="18"/>
  <c r="J2996" i="18"/>
  <c r="A2997" i="18"/>
  <c r="B2997" i="18"/>
  <c r="C2997" i="18"/>
  <c r="D2997" i="18"/>
  <c r="E2997" i="18"/>
  <c r="F2997" i="18"/>
  <c r="G2997" i="18"/>
  <c r="H2997" i="18"/>
  <c r="I2997" i="18"/>
  <c r="J2997" i="18"/>
  <c r="A2998" i="18"/>
  <c r="B2998" i="18"/>
  <c r="C2998" i="18"/>
  <c r="D2998" i="18"/>
  <c r="E2998" i="18"/>
  <c r="F2998" i="18"/>
  <c r="G2998" i="18"/>
  <c r="H2998" i="18"/>
  <c r="I2998" i="18"/>
  <c r="J2998" i="18"/>
  <c r="A2999" i="18"/>
  <c r="B2999" i="18"/>
  <c r="C2999" i="18"/>
  <c r="D2999" i="18"/>
  <c r="E2999" i="18"/>
  <c r="F2999" i="18"/>
  <c r="G2999" i="18"/>
  <c r="H2999" i="18"/>
  <c r="I2999" i="18"/>
  <c r="J2999" i="18"/>
  <c r="A3000" i="18"/>
  <c r="B3000" i="18"/>
  <c r="C3000" i="18"/>
  <c r="D3000" i="18"/>
  <c r="E3000" i="18"/>
  <c r="F3000" i="18"/>
  <c r="G3000" i="18"/>
  <c r="H3000" i="18"/>
  <c r="I3000" i="18"/>
  <c r="J3000" i="18"/>
  <c r="A79" i="18"/>
  <c r="B79" i="18"/>
  <c r="C79" i="18"/>
  <c r="D79" i="18"/>
  <c r="E79" i="18"/>
  <c r="F79" i="18"/>
  <c r="G79" i="18"/>
  <c r="H79" i="18"/>
  <c r="I79" i="18"/>
  <c r="J79" i="18"/>
  <c r="A80" i="18"/>
  <c r="B80" i="18"/>
  <c r="C80" i="18"/>
  <c r="D80" i="18"/>
  <c r="E80" i="18"/>
  <c r="F80" i="18"/>
  <c r="G80" i="18"/>
  <c r="H80" i="18"/>
  <c r="I80" i="18"/>
  <c r="J80" i="18"/>
  <c r="A81" i="18"/>
  <c r="B81" i="18"/>
  <c r="C81" i="18"/>
  <c r="D81" i="18"/>
  <c r="E81" i="18"/>
  <c r="F81" i="18"/>
  <c r="G81" i="18"/>
  <c r="H81" i="18"/>
  <c r="I81" i="18"/>
  <c r="J81" i="18"/>
  <c r="A82" i="18"/>
  <c r="B82" i="18"/>
  <c r="C82" i="18"/>
  <c r="D82" i="18"/>
  <c r="E82" i="18"/>
  <c r="F82" i="18"/>
  <c r="G82" i="18"/>
  <c r="H82" i="18"/>
  <c r="I82" i="18"/>
  <c r="J82" i="18"/>
  <c r="A83" i="18"/>
  <c r="B83" i="18"/>
  <c r="C83" i="18"/>
  <c r="D83" i="18"/>
  <c r="E83" i="18"/>
  <c r="F83" i="18"/>
  <c r="G83" i="18"/>
  <c r="H83" i="18"/>
  <c r="I83" i="18"/>
  <c r="J83" i="18"/>
  <c r="A84" i="18"/>
  <c r="B84" i="18"/>
  <c r="C84" i="18"/>
  <c r="D84" i="18"/>
  <c r="E84" i="18"/>
  <c r="F84" i="18"/>
  <c r="G84" i="18"/>
  <c r="H84" i="18"/>
  <c r="I84" i="18"/>
  <c r="J84" i="18"/>
  <c r="A85" i="18"/>
  <c r="B85" i="18"/>
  <c r="C85" i="18"/>
  <c r="D85" i="18"/>
  <c r="E85" i="18"/>
  <c r="F85" i="18"/>
  <c r="G85" i="18"/>
  <c r="H85" i="18"/>
  <c r="I85" i="18"/>
  <c r="J85" i="18"/>
  <c r="A86" i="18"/>
  <c r="B86" i="18"/>
  <c r="C86" i="18"/>
  <c r="D86" i="18"/>
  <c r="E86" i="18"/>
  <c r="G86" i="18"/>
  <c r="H86" i="18"/>
  <c r="I86" i="18"/>
  <c r="J86" i="18"/>
  <c r="A87" i="18"/>
  <c r="B87" i="18"/>
  <c r="C87" i="18"/>
  <c r="D87" i="18"/>
  <c r="E87" i="18"/>
  <c r="F87" i="18"/>
  <c r="G87" i="18"/>
  <c r="H87" i="18"/>
  <c r="I87" i="18"/>
  <c r="J87" i="18"/>
  <c r="A88" i="18"/>
  <c r="B88" i="18"/>
  <c r="C88" i="18"/>
  <c r="D88" i="18"/>
  <c r="E88" i="18"/>
  <c r="F88" i="18"/>
  <c r="G88" i="18"/>
  <c r="H88" i="18"/>
  <c r="I88" i="18"/>
  <c r="J88" i="18"/>
  <c r="A89" i="18"/>
  <c r="B89" i="18"/>
  <c r="C89" i="18"/>
  <c r="D89" i="18"/>
  <c r="E89" i="18"/>
  <c r="F89" i="18"/>
  <c r="G89" i="18"/>
  <c r="H89" i="18"/>
  <c r="I89" i="18"/>
  <c r="J89" i="18"/>
  <c r="A90" i="18"/>
  <c r="B90" i="18"/>
  <c r="C90" i="18"/>
  <c r="D90" i="18"/>
  <c r="E90" i="18"/>
  <c r="F90" i="18"/>
  <c r="G90" i="18"/>
  <c r="H90" i="18"/>
  <c r="I90" i="18"/>
  <c r="J90" i="18"/>
  <c r="A91" i="18"/>
  <c r="B91" i="18"/>
  <c r="C91" i="18"/>
  <c r="D91" i="18"/>
  <c r="E91" i="18"/>
  <c r="F91" i="18"/>
  <c r="G91" i="18"/>
  <c r="H91" i="18"/>
  <c r="I91" i="18"/>
  <c r="J91" i="18"/>
  <c r="A92" i="18"/>
  <c r="B92" i="18"/>
  <c r="C92" i="18"/>
  <c r="D92" i="18"/>
  <c r="E92" i="18"/>
  <c r="F92" i="18"/>
  <c r="G92" i="18"/>
  <c r="H92" i="18"/>
  <c r="I92" i="18"/>
  <c r="J92" i="18"/>
  <c r="A93" i="18"/>
  <c r="B93" i="18"/>
  <c r="C93" i="18"/>
  <c r="D93" i="18"/>
  <c r="E93" i="18"/>
  <c r="F93" i="18"/>
  <c r="G93" i="18"/>
  <c r="H93" i="18"/>
  <c r="I93" i="18"/>
  <c r="J93" i="18"/>
  <c r="A94" i="18"/>
  <c r="B94" i="18"/>
  <c r="C94" i="18"/>
  <c r="D94" i="18"/>
  <c r="E94" i="18"/>
  <c r="F94" i="18"/>
  <c r="G94" i="18"/>
  <c r="H94" i="18"/>
  <c r="I94" i="18"/>
  <c r="J94" i="18"/>
  <c r="A95" i="18"/>
  <c r="B95" i="18"/>
  <c r="C95" i="18"/>
  <c r="D95" i="18"/>
  <c r="E95" i="18"/>
  <c r="F95" i="18"/>
  <c r="G95" i="18"/>
  <c r="H95" i="18"/>
  <c r="I95" i="18"/>
  <c r="J95" i="18"/>
  <c r="A96" i="18"/>
  <c r="B96" i="18"/>
  <c r="C96" i="18"/>
  <c r="D96" i="18"/>
  <c r="E96" i="18"/>
  <c r="F96" i="18"/>
  <c r="G96" i="18"/>
  <c r="H96" i="18"/>
  <c r="I96" i="18"/>
  <c r="J96" i="18"/>
  <c r="A97" i="18"/>
  <c r="B97" i="18"/>
  <c r="C97" i="18"/>
  <c r="D97" i="18"/>
  <c r="E97" i="18"/>
  <c r="F97" i="18"/>
  <c r="G97" i="18"/>
  <c r="H97" i="18"/>
  <c r="I97" i="18"/>
  <c r="J97" i="18"/>
  <c r="A98" i="18"/>
  <c r="B98" i="18"/>
  <c r="C98" i="18"/>
  <c r="D98" i="18"/>
  <c r="E98" i="18"/>
  <c r="F98" i="18"/>
  <c r="G98" i="18"/>
  <c r="H98" i="18"/>
  <c r="I98" i="18"/>
  <c r="J98" i="18"/>
  <c r="A99" i="18"/>
  <c r="B99" i="18"/>
  <c r="C99" i="18"/>
  <c r="D99" i="18"/>
  <c r="E99" i="18"/>
  <c r="F99" i="18"/>
  <c r="G99" i="18"/>
  <c r="H99" i="18"/>
  <c r="I99" i="18"/>
  <c r="J99" i="18"/>
  <c r="A100" i="18"/>
  <c r="B100" i="18"/>
  <c r="C100" i="18"/>
  <c r="D100" i="18"/>
  <c r="E100" i="18"/>
  <c r="F100" i="18"/>
  <c r="G100" i="18"/>
  <c r="H100" i="18"/>
  <c r="I100" i="18"/>
  <c r="J100" i="18"/>
  <c r="A101" i="18"/>
  <c r="B101" i="18"/>
  <c r="C101" i="18"/>
  <c r="D101" i="18"/>
  <c r="E101" i="18"/>
  <c r="F101" i="18"/>
  <c r="G101" i="18"/>
  <c r="H101" i="18"/>
  <c r="I101" i="18"/>
  <c r="J101" i="18"/>
  <c r="A102" i="18"/>
  <c r="B102" i="18"/>
  <c r="C102" i="18"/>
  <c r="D102" i="18"/>
  <c r="E102" i="18"/>
  <c r="F102" i="18"/>
  <c r="G102" i="18"/>
  <c r="H102" i="18"/>
  <c r="I102" i="18"/>
  <c r="J102" i="18"/>
  <c r="A103" i="18"/>
  <c r="B103" i="18"/>
  <c r="C103" i="18"/>
  <c r="D103" i="18"/>
  <c r="E103" i="18"/>
  <c r="F103" i="18"/>
  <c r="G103" i="18"/>
  <c r="H103" i="18"/>
  <c r="I103" i="18"/>
  <c r="J103" i="18"/>
  <c r="A104" i="18"/>
  <c r="B104" i="18"/>
  <c r="C104" i="18"/>
  <c r="D104" i="18"/>
  <c r="E104" i="18"/>
  <c r="F104" i="18"/>
  <c r="G104" i="18"/>
  <c r="H104" i="18"/>
  <c r="I104" i="18"/>
  <c r="J104" i="18"/>
  <c r="A105" i="18"/>
  <c r="B105" i="18"/>
  <c r="C105" i="18"/>
  <c r="D105" i="18"/>
  <c r="E105" i="18"/>
  <c r="F105" i="18"/>
  <c r="G105" i="18"/>
  <c r="H105" i="18"/>
  <c r="I105" i="18"/>
  <c r="J105" i="18"/>
  <c r="A106" i="18"/>
  <c r="B106" i="18"/>
  <c r="C106" i="18"/>
  <c r="D106" i="18"/>
  <c r="E106" i="18"/>
  <c r="F106" i="18"/>
  <c r="G106" i="18"/>
  <c r="H106" i="18"/>
  <c r="I106" i="18"/>
  <c r="J106" i="18"/>
  <c r="A107" i="18"/>
  <c r="B107" i="18"/>
  <c r="C107" i="18"/>
  <c r="D107" i="18"/>
  <c r="E107" i="18"/>
  <c r="F107" i="18"/>
  <c r="G107" i="18"/>
  <c r="H107" i="18"/>
  <c r="I107" i="18"/>
  <c r="J107" i="18"/>
  <c r="A108" i="18"/>
  <c r="B108" i="18"/>
  <c r="C108" i="18"/>
  <c r="D108" i="18"/>
  <c r="E108" i="18"/>
  <c r="F108" i="18"/>
  <c r="G108" i="18"/>
  <c r="H108" i="18"/>
  <c r="I108" i="18"/>
  <c r="J108" i="18"/>
  <c r="A109" i="18"/>
  <c r="B109" i="18"/>
  <c r="C109" i="18"/>
  <c r="D109" i="18"/>
  <c r="E109" i="18"/>
  <c r="F109" i="18"/>
  <c r="G109" i="18"/>
  <c r="H109" i="18"/>
  <c r="I109" i="18"/>
  <c r="J109" i="18"/>
  <c r="A110" i="18"/>
  <c r="B110" i="18"/>
  <c r="C110" i="18"/>
  <c r="D110" i="18"/>
  <c r="E110" i="18"/>
  <c r="F110" i="18"/>
  <c r="G110" i="18"/>
  <c r="H110" i="18"/>
  <c r="I110" i="18"/>
  <c r="J110" i="18"/>
  <c r="A111" i="18"/>
  <c r="B111" i="18"/>
  <c r="C111" i="18"/>
  <c r="D111" i="18"/>
  <c r="E111" i="18"/>
  <c r="G111" i="18"/>
  <c r="H111" i="18"/>
  <c r="I111" i="18"/>
  <c r="J111" i="18"/>
  <c r="A112" i="18"/>
  <c r="B112" i="18"/>
  <c r="C112" i="18"/>
  <c r="D112" i="18"/>
  <c r="E112" i="18"/>
  <c r="F112" i="18"/>
  <c r="G112" i="18"/>
  <c r="H112" i="18"/>
  <c r="I112" i="18"/>
  <c r="J112" i="18"/>
  <c r="A113" i="18"/>
  <c r="B113" i="18"/>
  <c r="C113" i="18"/>
  <c r="D113" i="18"/>
  <c r="E113" i="18"/>
  <c r="F113" i="18"/>
  <c r="G113" i="18"/>
  <c r="H113" i="18"/>
  <c r="I113" i="18"/>
  <c r="J113" i="18"/>
  <c r="A114" i="18"/>
  <c r="B114" i="18"/>
  <c r="C114" i="18"/>
  <c r="D114" i="18"/>
  <c r="E114" i="18"/>
  <c r="G114" i="18"/>
  <c r="H114" i="18"/>
  <c r="I114" i="18"/>
  <c r="J114" i="18"/>
  <c r="A115" i="18"/>
  <c r="B115" i="18"/>
  <c r="C115" i="18"/>
  <c r="D115" i="18"/>
  <c r="E115" i="18"/>
  <c r="F115" i="18"/>
  <c r="G115" i="18"/>
  <c r="H115" i="18"/>
  <c r="I115" i="18"/>
  <c r="J115" i="18"/>
  <c r="A116" i="18"/>
  <c r="B116" i="18"/>
  <c r="C116" i="18"/>
  <c r="D116" i="18"/>
  <c r="E116" i="18"/>
  <c r="F116" i="18"/>
  <c r="G116" i="18"/>
  <c r="H116" i="18"/>
  <c r="I116" i="18"/>
  <c r="J116" i="18"/>
  <c r="A117" i="18"/>
  <c r="B117" i="18"/>
  <c r="C117" i="18"/>
  <c r="D117" i="18"/>
  <c r="E117" i="18"/>
  <c r="F117" i="18"/>
  <c r="G117" i="18"/>
  <c r="H117" i="18"/>
  <c r="I117" i="18"/>
  <c r="J117" i="18"/>
  <c r="A118" i="18"/>
  <c r="B118" i="18"/>
  <c r="C118" i="18"/>
  <c r="D118" i="18"/>
  <c r="E118" i="18"/>
  <c r="F118" i="18"/>
  <c r="G118" i="18"/>
  <c r="H118" i="18"/>
  <c r="I118" i="18"/>
  <c r="J118" i="18"/>
  <c r="A119" i="18"/>
  <c r="B119" i="18"/>
  <c r="C119" i="18"/>
  <c r="D119" i="18"/>
  <c r="E119" i="18"/>
  <c r="F119" i="18"/>
  <c r="G119" i="18"/>
  <c r="H119" i="18"/>
  <c r="I119" i="18"/>
  <c r="J119" i="18"/>
  <c r="A120" i="18"/>
  <c r="B120" i="18"/>
  <c r="C120" i="18"/>
  <c r="D120" i="18"/>
  <c r="E120" i="18"/>
  <c r="F120" i="18"/>
  <c r="G120" i="18"/>
  <c r="H120" i="18"/>
  <c r="I120" i="18"/>
  <c r="J120" i="18"/>
  <c r="A121" i="18"/>
  <c r="B121" i="18"/>
  <c r="C121" i="18"/>
  <c r="D121" i="18"/>
  <c r="E121" i="18"/>
  <c r="F121" i="18"/>
  <c r="G121" i="18"/>
  <c r="H121" i="18"/>
  <c r="I121" i="18"/>
  <c r="J121" i="18"/>
  <c r="A122" i="18"/>
  <c r="B122" i="18"/>
  <c r="C122" i="18"/>
  <c r="D122" i="18"/>
  <c r="E122" i="18"/>
  <c r="F122" i="18"/>
  <c r="G122" i="18"/>
  <c r="H122" i="18"/>
  <c r="I122" i="18"/>
  <c r="J122" i="18"/>
  <c r="A123" i="18"/>
  <c r="B123" i="18"/>
  <c r="C123" i="18"/>
  <c r="D123" i="18"/>
  <c r="E123" i="18"/>
  <c r="F123" i="18"/>
  <c r="G123" i="18"/>
  <c r="H123" i="18"/>
  <c r="I123" i="18"/>
  <c r="J123" i="18"/>
  <c r="A124" i="18"/>
  <c r="B124" i="18"/>
  <c r="C124" i="18"/>
  <c r="D124" i="18"/>
  <c r="E124" i="18"/>
  <c r="F124" i="18"/>
  <c r="G124" i="18"/>
  <c r="H124" i="18"/>
  <c r="I124" i="18"/>
  <c r="J124" i="18"/>
  <c r="A125" i="18"/>
  <c r="B125" i="18"/>
  <c r="C125" i="18"/>
  <c r="D125" i="18"/>
  <c r="E125" i="18"/>
  <c r="F125" i="18"/>
  <c r="G125" i="18"/>
  <c r="H125" i="18"/>
  <c r="I125" i="18"/>
  <c r="J125" i="18"/>
  <c r="A126" i="18"/>
  <c r="B126" i="18"/>
  <c r="C126" i="18"/>
  <c r="D126" i="18"/>
  <c r="E126" i="18"/>
  <c r="F126" i="18"/>
  <c r="G126" i="18"/>
  <c r="H126" i="18"/>
  <c r="I126" i="18"/>
  <c r="J126" i="18"/>
  <c r="A127" i="18"/>
  <c r="B127" i="18"/>
  <c r="C127" i="18"/>
  <c r="D127" i="18"/>
  <c r="E127" i="18"/>
  <c r="F127" i="18"/>
  <c r="G127" i="18"/>
  <c r="H127" i="18"/>
  <c r="I127" i="18"/>
  <c r="J127" i="18"/>
  <c r="A128" i="18"/>
  <c r="B128" i="18"/>
  <c r="C128" i="18"/>
  <c r="D128" i="18"/>
  <c r="E128" i="18"/>
  <c r="F128" i="18"/>
  <c r="G128" i="18"/>
  <c r="H128" i="18"/>
  <c r="I128" i="18"/>
  <c r="J128" i="18"/>
  <c r="A129" i="18"/>
  <c r="B129" i="18"/>
  <c r="C129" i="18"/>
  <c r="D129" i="18"/>
  <c r="E129" i="18"/>
  <c r="F129" i="18"/>
  <c r="G129" i="18"/>
  <c r="H129" i="18"/>
  <c r="I129" i="18"/>
  <c r="J129" i="18"/>
  <c r="A130" i="18"/>
  <c r="B130" i="18"/>
  <c r="C130" i="18"/>
  <c r="D130" i="18"/>
  <c r="E130" i="18"/>
  <c r="F130" i="18"/>
  <c r="G130" i="18"/>
  <c r="H130" i="18"/>
  <c r="I130" i="18"/>
  <c r="J130" i="18"/>
  <c r="A131" i="18"/>
  <c r="B131" i="18"/>
  <c r="C131" i="18"/>
  <c r="D131" i="18"/>
  <c r="E131" i="18"/>
  <c r="F131" i="18"/>
  <c r="G131" i="18"/>
  <c r="H131" i="18"/>
  <c r="I131" i="18"/>
  <c r="J131" i="18"/>
  <c r="A132" i="18"/>
  <c r="B132" i="18"/>
  <c r="C132" i="18"/>
  <c r="D132" i="18"/>
  <c r="E132" i="18"/>
  <c r="F132" i="18"/>
  <c r="G132" i="18"/>
  <c r="H132" i="18"/>
  <c r="I132" i="18"/>
  <c r="J132" i="18"/>
  <c r="A133" i="18"/>
  <c r="B133" i="18"/>
  <c r="C133" i="18"/>
  <c r="D133" i="18"/>
  <c r="E133" i="18"/>
  <c r="F133" i="18"/>
  <c r="G133" i="18"/>
  <c r="H133" i="18"/>
  <c r="I133" i="18"/>
  <c r="J133" i="18"/>
  <c r="A134" i="18"/>
  <c r="B134" i="18"/>
  <c r="C134" i="18"/>
  <c r="D134" i="18"/>
  <c r="E134" i="18"/>
  <c r="F134" i="18"/>
  <c r="G134" i="18"/>
  <c r="H134" i="18"/>
  <c r="I134" i="18"/>
  <c r="J134" i="18"/>
  <c r="A135" i="18"/>
  <c r="B135" i="18"/>
  <c r="C135" i="18"/>
  <c r="D135" i="18"/>
  <c r="E135" i="18"/>
  <c r="F135" i="18"/>
  <c r="G135" i="18"/>
  <c r="H135" i="18"/>
  <c r="I135" i="18"/>
  <c r="J135" i="18"/>
  <c r="A136" i="18"/>
  <c r="B136" i="18"/>
  <c r="C136" i="18"/>
  <c r="D136" i="18"/>
  <c r="E136" i="18"/>
  <c r="F136" i="18"/>
  <c r="G136" i="18"/>
  <c r="H136" i="18"/>
  <c r="I136" i="18"/>
  <c r="J136" i="18"/>
  <c r="A137" i="18"/>
  <c r="B137" i="18"/>
  <c r="C137" i="18"/>
  <c r="D137" i="18"/>
  <c r="E137" i="18"/>
  <c r="F137" i="18"/>
  <c r="G137" i="18"/>
  <c r="H137" i="18"/>
  <c r="I137" i="18"/>
  <c r="J137" i="18"/>
  <c r="A138" i="18"/>
  <c r="B138" i="18"/>
  <c r="C138" i="18"/>
  <c r="D138" i="18"/>
  <c r="E138" i="18"/>
  <c r="F138" i="18"/>
  <c r="G138" i="18"/>
  <c r="H138" i="18"/>
  <c r="I138" i="18"/>
  <c r="J138" i="18"/>
  <c r="A139" i="18"/>
  <c r="B139" i="18"/>
  <c r="C139" i="18"/>
  <c r="D139" i="18"/>
  <c r="E139" i="18"/>
  <c r="F139" i="18"/>
  <c r="G139" i="18"/>
  <c r="H139" i="18"/>
  <c r="I139" i="18"/>
  <c r="J139" i="18"/>
  <c r="A140" i="18"/>
  <c r="B140" i="18"/>
  <c r="C140" i="18"/>
  <c r="D140" i="18"/>
  <c r="E140" i="18"/>
  <c r="F140" i="18"/>
  <c r="G140" i="18"/>
  <c r="H140" i="18"/>
  <c r="I140" i="18"/>
  <c r="J140" i="18"/>
  <c r="A141" i="18"/>
  <c r="B141" i="18"/>
  <c r="C141" i="18"/>
  <c r="D141" i="18"/>
  <c r="E141" i="18"/>
  <c r="F141" i="18"/>
  <c r="G141" i="18"/>
  <c r="H141" i="18"/>
  <c r="I141" i="18"/>
  <c r="J141" i="18"/>
  <c r="A142" i="18"/>
  <c r="B142" i="18"/>
  <c r="C142" i="18"/>
  <c r="D142" i="18"/>
  <c r="E142" i="18"/>
  <c r="F142" i="18"/>
  <c r="G142" i="18"/>
  <c r="H142" i="18"/>
  <c r="I142" i="18"/>
  <c r="J142" i="18"/>
  <c r="A143" i="18"/>
  <c r="B143" i="18"/>
  <c r="C143" i="18"/>
  <c r="D143" i="18"/>
  <c r="E143" i="18"/>
  <c r="F143" i="18"/>
  <c r="G143" i="18"/>
  <c r="H143" i="18"/>
  <c r="I143" i="18"/>
  <c r="J143" i="18"/>
  <c r="A144" i="18"/>
  <c r="B144" i="18"/>
  <c r="C144" i="18"/>
  <c r="D144" i="18"/>
  <c r="E144" i="18"/>
  <c r="F144" i="18"/>
  <c r="G144" i="18"/>
  <c r="H144" i="18"/>
  <c r="I144" i="18"/>
  <c r="J144" i="18"/>
  <c r="A145" i="18"/>
  <c r="B145" i="18"/>
  <c r="C145" i="18"/>
  <c r="D145" i="18"/>
  <c r="E145" i="18"/>
  <c r="F145" i="18"/>
  <c r="G145" i="18"/>
  <c r="H145" i="18"/>
  <c r="I145" i="18"/>
  <c r="J145" i="18"/>
  <c r="A146" i="18"/>
  <c r="B146" i="18"/>
  <c r="C146" i="18"/>
  <c r="D146" i="18"/>
  <c r="E146" i="18"/>
  <c r="F146" i="18"/>
  <c r="G146" i="18"/>
  <c r="H146" i="18"/>
  <c r="I146" i="18"/>
  <c r="J146" i="18"/>
  <c r="A147" i="18"/>
  <c r="B147" i="18"/>
  <c r="C147" i="18"/>
  <c r="D147" i="18"/>
  <c r="E147" i="18"/>
  <c r="F147" i="18"/>
  <c r="G147" i="18"/>
  <c r="H147" i="18"/>
  <c r="I147" i="18"/>
  <c r="J147" i="18"/>
  <c r="A148" i="18"/>
  <c r="B148" i="18"/>
  <c r="C148" i="18"/>
  <c r="D148" i="18"/>
  <c r="E148" i="18"/>
  <c r="F148" i="18"/>
  <c r="G148" i="18"/>
  <c r="H148" i="18"/>
  <c r="I148" i="18"/>
  <c r="J148" i="18"/>
  <c r="A149" i="18"/>
  <c r="B149" i="18"/>
  <c r="C149" i="18"/>
  <c r="D149" i="18"/>
  <c r="E149" i="18"/>
  <c r="F149" i="18"/>
  <c r="G149" i="18"/>
  <c r="H149" i="18"/>
  <c r="I149" i="18"/>
  <c r="J149" i="18"/>
  <c r="A150" i="18"/>
  <c r="B150" i="18"/>
  <c r="C150" i="18"/>
  <c r="D150" i="18"/>
  <c r="E150" i="18"/>
  <c r="F150" i="18"/>
  <c r="G150" i="18"/>
  <c r="H150" i="18"/>
  <c r="I150" i="18"/>
  <c r="J150" i="18"/>
  <c r="A151" i="18"/>
  <c r="B151" i="18"/>
  <c r="C151" i="18"/>
  <c r="D151" i="18"/>
  <c r="E151" i="18"/>
  <c r="F151" i="18"/>
  <c r="G151" i="18"/>
  <c r="H151" i="18"/>
  <c r="I151" i="18"/>
  <c r="J151" i="18"/>
  <c r="A152" i="18"/>
  <c r="B152" i="18"/>
  <c r="C152" i="18"/>
  <c r="D152" i="18"/>
  <c r="E152" i="18"/>
  <c r="F152" i="18"/>
  <c r="G152" i="18"/>
  <c r="H152" i="18"/>
  <c r="I152" i="18"/>
  <c r="J152" i="18"/>
  <c r="A153" i="18"/>
  <c r="B153" i="18"/>
  <c r="C153" i="18"/>
  <c r="D153" i="18"/>
  <c r="E153" i="18"/>
  <c r="F153" i="18"/>
  <c r="G153" i="18"/>
  <c r="H153" i="18"/>
  <c r="I153" i="18"/>
  <c r="J153" i="18"/>
  <c r="A154" i="18"/>
  <c r="B154" i="18"/>
  <c r="C154" i="18"/>
  <c r="D154" i="18"/>
  <c r="E154" i="18"/>
  <c r="F154" i="18"/>
  <c r="G154" i="18"/>
  <c r="H154" i="18"/>
  <c r="I154" i="18"/>
  <c r="J154" i="18"/>
  <c r="A155" i="18"/>
  <c r="B155" i="18"/>
  <c r="C155" i="18"/>
  <c r="D155" i="18"/>
  <c r="F155" i="18"/>
  <c r="G155" i="18"/>
  <c r="H155" i="18"/>
  <c r="I155" i="18"/>
  <c r="J155" i="18"/>
  <c r="A156" i="18"/>
  <c r="B156" i="18"/>
  <c r="C156" i="18"/>
  <c r="D156" i="18"/>
  <c r="F156" i="18"/>
  <c r="G156" i="18"/>
  <c r="H156" i="18"/>
  <c r="I156" i="18"/>
  <c r="J156" i="18"/>
  <c r="A157" i="18"/>
  <c r="B157" i="18"/>
  <c r="C157" i="18"/>
  <c r="D157" i="18"/>
  <c r="E157" i="18"/>
  <c r="F157" i="18"/>
  <c r="G157" i="18"/>
  <c r="H157" i="18"/>
  <c r="I157" i="18"/>
  <c r="J157" i="18"/>
  <c r="A158" i="18"/>
  <c r="B158" i="18"/>
  <c r="C158" i="18"/>
  <c r="D158" i="18"/>
  <c r="E158" i="18"/>
  <c r="F158" i="18"/>
  <c r="G158" i="18"/>
  <c r="H158" i="18"/>
  <c r="I158" i="18"/>
  <c r="J158" i="18"/>
  <c r="A159" i="18"/>
  <c r="B159" i="18"/>
  <c r="C159" i="18"/>
  <c r="D159" i="18"/>
  <c r="E159" i="18"/>
  <c r="F159" i="18"/>
  <c r="G159" i="18"/>
  <c r="H159" i="18"/>
  <c r="I159" i="18"/>
  <c r="J159" i="18"/>
  <c r="A160" i="18"/>
  <c r="B160" i="18"/>
  <c r="C160" i="18"/>
  <c r="D160" i="18"/>
  <c r="E160" i="18"/>
  <c r="F160" i="18"/>
  <c r="G160" i="18"/>
  <c r="H160" i="18"/>
  <c r="I160" i="18"/>
  <c r="J160" i="18"/>
  <c r="A161" i="18"/>
  <c r="B161" i="18"/>
  <c r="C161" i="18"/>
  <c r="D161" i="18"/>
  <c r="E161" i="18"/>
  <c r="F161" i="18"/>
  <c r="G161" i="18"/>
  <c r="H161" i="18"/>
  <c r="I161" i="18"/>
  <c r="J161" i="18"/>
  <c r="A162" i="18"/>
  <c r="B162" i="18"/>
  <c r="C162" i="18"/>
  <c r="D162" i="18"/>
  <c r="E162" i="18"/>
  <c r="F162" i="18"/>
  <c r="G162" i="18"/>
  <c r="H162" i="18"/>
  <c r="I162" i="18"/>
  <c r="J162" i="18"/>
  <c r="A163" i="18"/>
  <c r="B163" i="18"/>
  <c r="C163" i="18"/>
  <c r="D163" i="18"/>
  <c r="E163" i="18"/>
  <c r="F163" i="18"/>
  <c r="G163" i="18"/>
  <c r="H163" i="18"/>
  <c r="I163" i="18"/>
  <c r="J163" i="18"/>
  <c r="A164" i="18"/>
  <c r="B164" i="18"/>
  <c r="C164" i="18"/>
  <c r="D164" i="18"/>
  <c r="E164" i="18"/>
  <c r="F164" i="18"/>
  <c r="G164" i="18"/>
  <c r="H164" i="18"/>
  <c r="I164" i="18"/>
  <c r="J164" i="18"/>
  <c r="A165" i="18"/>
  <c r="B165" i="18"/>
  <c r="C165" i="18"/>
  <c r="D165" i="18"/>
  <c r="E165" i="18"/>
  <c r="F165" i="18"/>
  <c r="G165" i="18"/>
  <c r="H165" i="18"/>
  <c r="I165" i="18"/>
  <c r="J165" i="18"/>
  <c r="A166" i="18"/>
  <c r="B166" i="18"/>
  <c r="C166" i="18"/>
  <c r="D166" i="18"/>
  <c r="E166" i="18"/>
  <c r="F166" i="18"/>
  <c r="G166" i="18"/>
  <c r="H166" i="18"/>
  <c r="I166" i="18"/>
  <c r="J166" i="18"/>
  <c r="A167" i="18"/>
  <c r="B167" i="18"/>
  <c r="C167" i="18"/>
  <c r="D167" i="18"/>
  <c r="E167" i="18"/>
  <c r="F167" i="18"/>
  <c r="G167" i="18"/>
  <c r="H167" i="18"/>
  <c r="I167" i="18"/>
  <c r="J167" i="18"/>
  <c r="A168" i="18"/>
  <c r="B168" i="18"/>
  <c r="C168" i="18"/>
  <c r="D168" i="18"/>
  <c r="E168" i="18"/>
  <c r="F168" i="18"/>
  <c r="G168" i="18"/>
  <c r="H168" i="18"/>
  <c r="I168" i="18"/>
  <c r="J168" i="18"/>
  <c r="A169" i="18"/>
  <c r="B169" i="18"/>
  <c r="C169" i="18"/>
  <c r="D169" i="18"/>
  <c r="E169" i="18"/>
  <c r="F169" i="18"/>
  <c r="G169" i="18"/>
  <c r="H169" i="18"/>
  <c r="I169" i="18"/>
  <c r="J169" i="18"/>
  <c r="A170" i="18"/>
  <c r="B170" i="18"/>
  <c r="C170" i="18"/>
  <c r="D170" i="18"/>
  <c r="E170" i="18"/>
  <c r="F170" i="18"/>
  <c r="G170" i="18"/>
  <c r="H170" i="18"/>
  <c r="I170" i="18"/>
  <c r="J170" i="18"/>
  <c r="A171" i="18"/>
  <c r="B171" i="18"/>
  <c r="C171" i="18"/>
  <c r="D171" i="18"/>
  <c r="E171" i="18"/>
  <c r="F171" i="18"/>
  <c r="G171" i="18"/>
  <c r="H171" i="18"/>
  <c r="I171" i="18"/>
  <c r="J171" i="18"/>
  <c r="A172" i="18"/>
  <c r="B172" i="18"/>
  <c r="C172" i="18"/>
  <c r="D172" i="18"/>
  <c r="E172" i="18"/>
  <c r="F172" i="18"/>
  <c r="G172" i="18"/>
  <c r="H172" i="18"/>
  <c r="I172" i="18"/>
  <c r="J172" i="18"/>
  <c r="A173" i="18"/>
  <c r="B173" i="18"/>
  <c r="C173" i="18"/>
  <c r="D173" i="18"/>
  <c r="E173" i="18"/>
  <c r="F173" i="18"/>
  <c r="G173" i="18"/>
  <c r="H173" i="18"/>
  <c r="I173" i="18"/>
  <c r="J173" i="18"/>
  <c r="A174" i="18"/>
  <c r="B174" i="18"/>
  <c r="C174" i="18"/>
  <c r="D174" i="18"/>
  <c r="E174" i="18"/>
  <c r="F174" i="18"/>
  <c r="G174" i="18"/>
  <c r="H174" i="18"/>
  <c r="I174" i="18"/>
  <c r="J174" i="18"/>
  <c r="A175" i="18"/>
  <c r="B175" i="18"/>
  <c r="C175" i="18"/>
  <c r="D175" i="18"/>
  <c r="E175" i="18"/>
  <c r="F175" i="18"/>
  <c r="G175" i="18"/>
  <c r="H175" i="18"/>
  <c r="I175" i="18"/>
  <c r="J175" i="18"/>
  <c r="A176" i="18"/>
  <c r="B176" i="18"/>
  <c r="C176" i="18"/>
  <c r="D176" i="18"/>
  <c r="E176" i="18"/>
  <c r="F176" i="18"/>
  <c r="G176" i="18"/>
  <c r="H176" i="18"/>
  <c r="I176" i="18"/>
  <c r="J176" i="18"/>
  <c r="A177" i="18"/>
  <c r="B177" i="18"/>
  <c r="C177" i="18"/>
  <c r="D177" i="18"/>
  <c r="E177" i="18"/>
  <c r="F177" i="18"/>
  <c r="G177" i="18"/>
  <c r="H177" i="18"/>
  <c r="I177" i="18"/>
  <c r="J177" i="18"/>
  <c r="A178" i="18"/>
  <c r="B178" i="18"/>
  <c r="C178" i="18"/>
  <c r="D178" i="18"/>
  <c r="E178" i="18"/>
  <c r="F178" i="18"/>
  <c r="G178" i="18"/>
  <c r="H178" i="18"/>
  <c r="I178" i="18"/>
  <c r="J178" i="18"/>
  <c r="A179" i="18"/>
  <c r="B179" i="18"/>
  <c r="C179" i="18"/>
  <c r="D179" i="18"/>
  <c r="E179" i="18"/>
  <c r="F179" i="18"/>
  <c r="G179" i="18"/>
  <c r="H179" i="18"/>
  <c r="I179" i="18"/>
  <c r="J179" i="18"/>
  <c r="A180" i="18"/>
  <c r="B180" i="18"/>
  <c r="C180" i="18"/>
  <c r="D180" i="18"/>
  <c r="E180" i="18"/>
  <c r="F180" i="18"/>
  <c r="G180" i="18"/>
  <c r="H180" i="18"/>
  <c r="I180" i="18"/>
  <c r="J180" i="18"/>
  <c r="A181" i="18"/>
  <c r="B181" i="18"/>
  <c r="C181" i="18"/>
  <c r="D181" i="18"/>
  <c r="E181" i="18"/>
  <c r="F181" i="18"/>
  <c r="G181" i="18"/>
  <c r="H181" i="18"/>
  <c r="I181" i="18"/>
  <c r="J181" i="18"/>
  <c r="A182" i="18"/>
  <c r="B182" i="18"/>
  <c r="C182" i="18"/>
  <c r="D182" i="18"/>
  <c r="E182" i="18"/>
  <c r="F182" i="18"/>
  <c r="G182" i="18"/>
  <c r="H182" i="18"/>
  <c r="I182" i="18"/>
  <c r="J182" i="18"/>
  <c r="A183" i="18"/>
  <c r="B183" i="18"/>
  <c r="C183" i="18"/>
  <c r="D183" i="18"/>
  <c r="E183" i="18"/>
  <c r="F183" i="18"/>
  <c r="G183" i="18"/>
  <c r="H183" i="18"/>
  <c r="I183" i="18"/>
  <c r="J183" i="18"/>
  <c r="A184" i="18"/>
  <c r="B184" i="18"/>
  <c r="C184" i="18"/>
  <c r="D184" i="18"/>
  <c r="E184" i="18"/>
  <c r="F184" i="18"/>
  <c r="G184" i="18"/>
  <c r="H184" i="18"/>
  <c r="I184" i="18"/>
  <c r="J184" i="18"/>
  <c r="A185" i="18"/>
  <c r="B185" i="18"/>
  <c r="C185" i="18"/>
  <c r="D185" i="18"/>
  <c r="E185" i="18"/>
  <c r="F185" i="18"/>
  <c r="G185" i="18"/>
  <c r="H185" i="18"/>
  <c r="I185" i="18"/>
  <c r="J185" i="18"/>
  <c r="A186" i="18"/>
  <c r="B186" i="18"/>
  <c r="C186" i="18"/>
  <c r="D186" i="18"/>
  <c r="E186" i="18"/>
  <c r="F186" i="18"/>
  <c r="G186" i="18"/>
  <c r="H186" i="18"/>
  <c r="I186" i="18"/>
  <c r="J186" i="18"/>
  <c r="A187" i="18"/>
  <c r="B187" i="18"/>
  <c r="C187" i="18"/>
  <c r="D187" i="18"/>
  <c r="E187" i="18"/>
  <c r="F187" i="18"/>
  <c r="G187" i="18"/>
  <c r="H187" i="18"/>
  <c r="I187" i="18"/>
  <c r="J187" i="18"/>
  <c r="A188" i="18"/>
  <c r="B188" i="18"/>
  <c r="C188" i="18"/>
  <c r="D188" i="18"/>
  <c r="E188" i="18"/>
  <c r="F188" i="18"/>
  <c r="G188" i="18"/>
  <c r="H188" i="18"/>
  <c r="I188" i="18"/>
  <c r="J188" i="18"/>
  <c r="A189" i="18"/>
  <c r="B189" i="18"/>
  <c r="C189" i="18"/>
  <c r="D189" i="18"/>
  <c r="E189" i="18"/>
  <c r="F189" i="18"/>
  <c r="G189" i="18"/>
  <c r="H189" i="18"/>
  <c r="I189" i="18"/>
  <c r="J189" i="18"/>
  <c r="A190" i="18"/>
  <c r="B190" i="18"/>
  <c r="C190" i="18"/>
  <c r="D190" i="18"/>
  <c r="E190" i="18"/>
  <c r="F190" i="18"/>
  <c r="G190" i="18"/>
  <c r="H190" i="18"/>
  <c r="I190" i="18"/>
  <c r="J190" i="18"/>
  <c r="A191" i="18"/>
  <c r="B191" i="18"/>
  <c r="C191" i="18"/>
  <c r="D191" i="18"/>
  <c r="E191" i="18"/>
  <c r="F191" i="18"/>
  <c r="G191" i="18"/>
  <c r="H191" i="18"/>
  <c r="I191" i="18"/>
  <c r="J191" i="18"/>
  <c r="A192" i="18"/>
  <c r="B192" i="18"/>
  <c r="C192" i="18"/>
  <c r="D192" i="18"/>
  <c r="E192" i="18"/>
  <c r="F192" i="18"/>
  <c r="G192" i="18"/>
  <c r="H192" i="18"/>
  <c r="I192" i="18"/>
  <c r="J192" i="18"/>
  <c r="A193" i="18"/>
  <c r="B193" i="18"/>
  <c r="C193" i="18"/>
  <c r="D193" i="18"/>
  <c r="E193" i="18"/>
  <c r="F193" i="18"/>
  <c r="G193" i="18"/>
  <c r="H193" i="18"/>
  <c r="I193" i="18"/>
  <c r="J193" i="18"/>
  <c r="A194" i="18"/>
  <c r="B194" i="18"/>
  <c r="C194" i="18"/>
  <c r="D194" i="18"/>
  <c r="E194" i="18"/>
  <c r="F194" i="18"/>
  <c r="G194" i="18"/>
  <c r="H194" i="18"/>
  <c r="I194" i="18"/>
  <c r="J194" i="18"/>
  <c r="A195" i="18"/>
  <c r="B195" i="18"/>
  <c r="C195" i="18"/>
  <c r="D195" i="18"/>
  <c r="E195" i="18"/>
  <c r="F195" i="18"/>
  <c r="G195" i="18"/>
  <c r="H195" i="18"/>
  <c r="I195" i="18"/>
  <c r="J195" i="18"/>
  <c r="A196" i="18"/>
  <c r="B196" i="18"/>
  <c r="C196" i="18"/>
  <c r="D196" i="18"/>
  <c r="E196" i="18"/>
  <c r="F196" i="18"/>
  <c r="G196" i="18"/>
  <c r="H196" i="18"/>
  <c r="I196" i="18"/>
  <c r="J196" i="18"/>
  <c r="A197" i="18"/>
  <c r="B197" i="18"/>
  <c r="C197" i="18"/>
  <c r="D197" i="18"/>
  <c r="E197" i="18"/>
  <c r="F197" i="18"/>
  <c r="G197" i="18"/>
  <c r="H197" i="18"/>
  <c r="I197" i="18"/>
  <c r="J197" i="18"/>
  <c r="A198" i="18"/>
  <c r="B198" i="18"/>
  <c r="C198" i="18"/>
  <c r="D198" i="18"/>
  <c r="E198" i="18"/>
  <c r="F198" i="18"/>
  <c r="G198" i="18"/>
  <c r="H198" i="18"/>
  <c r="I198" i="18"/>
  <c r="J198" i="18"/>
  <c r="A199" i="18"/>
  <c r="B199" i="18"/>
  <c r="C199" i="18"/>
  <c r="D199" i="18"/>
  <c r="E199" i="18"/>
  <c r="F199" i="18"/>
  <c r="G199" i="18"/>
  <c r="H199" i="18"/>
  <c r="I199" i="18"/>
  <c r="J199" i="18"/>
  <c r="A200" i="18"/>
  <c r="B200" i="18"/>
  <c r="C200" i="18"/>
  <c r="D200" i="18"/>
  <c r="E200" i="18"/>
  <c r="F200" i="18"/>
  <c r="G200" i="18"/>
  <c r="H200" i="18"/>
  <c r="I200" i="18"/>
  <c r="J200" i="18"/>
  <c r="A201" i="18"/>
  <c r="B201" i="18"/>
  <c r="C201" i="18"/>
  <c r="D201" i="18"/>
  <c r="E201" i="18"/>
  <c r="F201" i="18"/>
  <c r="G201" i="18"/>
  <c r="H201" i="18"/>
  <c r="I201" i="18"/>
  <c r="J201" i="18"/>
  <c r="A202" i="18"/>
  <c r="B202" i="18"/>
  <c r="C202" i="18"/>
  <c r="D202" i="18"/>
  <c r="E202" i="18"/>
  <c r="F202" i="18"/>
  <c r="G202" i="18"/>
  <c r="H202" i="18"/>
  <c r="I202" i="18"/>
  <c r="J202" i="18"/>
  <c r="A203" i="18"/>
  <c r="B203" i="18"/>
  <c r="C203" i="18"/>
  <c r="D203" i="18"/>
  <c r="E203" i="18"/>
  <c r="F203" i="18"/>
  <c r="G203" i="18"/>
  <c r="H203" i="18"/>
  <c r="I203" i="18"/>
  <c r="J203" i="18"/>
  <c r="A204" i="18"/>
  <c r="B204" i="18"/>
  <c r="C204" i="18"/>
  <c r="D204" i="18"/>
  <c r="E204" i="18"/>
  <c r="F204" i="18"/>
  <c r="G204" i="18"/>
  <c r="H204" i="18"/>
  <c r="I204" i="18"/>
  <c r="J204" i="18"/>
  <c r="A205" i="18"/>
  <c r="B205" i="18"/>
  <c r="C205" i="18"/>
  <c r="D205" i="18"/>
  <c r="E205" i="18"/>
  <c r="G205" i="18"/>
  <c r="H205" i="18"/>
  <c r="I205" i="18"/>
  <c r="J205" i="18"/>
  <c r="A206" i="18"/>
  <c r="B206" i="18"/>
  <c r="C206" i="18"/>
  <c r="D206" i="18"/>
  <c r="E206" i="18"/>
  <c r="G206" i="18"/>
  <c r="H206" i="18"/>
  <c r="I206" i="18"/>
  <c r="J206" i="18"/>
  <c r="A207" i="18"/>
  <c r="B207" i="18"/>
  <c r="C207" i="18"/>
  <c r="D207" i="18"/>
  <c r="E207" i="18"/>
  <c r="F207" i="18"/>
  <c r="G207" i="18"/>
  <c r="H207" i="18"/>
  <c r="I207" i="18"/>
  <c r="J207" i="18"/>
  <c r="A208" i="18"/>
  <c r="B208" i="18"/>
  <c r="C208" i="18"/>
  <c r="D208" i="18"/>
  <c r="E208" i="18"/>
  <c r="F208" i="18"/>
  <c r="G208" i="18"/>
  <c r="H208" i="18"/>
  <c r="I208" i="18"/>
  <c r="J208" i="18"/>
  <c r="A209" i="18"/>
  <c r="B209" i="18"/>
  <c r="C209" i="18"/>
  <c r="D209" i="18"/>
  <c r="E209" i="18"/>
  <c r="F209" i="18"/>
  <c r="G209" i="18"/>
  <c r="H209" i="18"/>
  <c r="I209" i="18"/>
  <c r="J209" i="18"/>
  <c r="A210" i="18"/>
  <c r="B210" i="18"/>
  <c r="C210" i="18"/>
  <c r="D210" i="18"/>
  <c r="E210" i="18"/>
  <c r="F210" i="18"/>
  <c r="G210" i="18"/>
  <c r="H210" i="18"/>
  <c r="I210" i="18"/>
  <c r="J210" i="18"/>
  <c r="A211" i="18"/>
  <c r="B211" i="18"/>
  <c r="C211" i="18"/>
  <c r="D211" i="18"/>
  <c r="E211" i="18"/>
  <c r="F211" i="18"/>
  <c r="G211" i="18"/>
  <c r="H211" i="18"/>
  <c r="I211" i="18"/>
  <c r="J211" i="18"/>
  <c r="A212" i="18"/>
  <c r="B212" i="18"/>
  <c r="C212" i="18"/>
  <c r="D212" i="18"/>
  <c r="E212" i="18"/>
  <c r="F212" i="18"/>
  <c r="G212" i="18"/>
  <c r="H212" i="18"/>
  <c r="I212" i="18"/>
  <c r="J212" i="18"/>
  <c r="A213" i="18"/>
  <c r="B213" i="18"/>
  <c r="C213" i="18"/>
  <c r="D213" i="18"/>
  <c r="E213" i="18"/>
  <c r="F213" i="18"/>
  <c r="G213" i="18"/>
  <c r="H213" i="18"/>
  <c r="I213" i="18"/>
  <c r="J213" i="18"/>
  <c r="A214" i="18"/>
  <c r="B214" i="18"/>
  <c r="C214" i="18"/>
  <c r="D214" i="18"/>
  <c r="E214" i="18"/>
  <c r="F214" i="18"/>
  <c r="G214" i="18"/>
  <c r="H214" i="18"/>
  <c r="I214" i="18"/>
  <c r="J214" i="18"/>
  <c r="A215" i="18"/>
  <c r="B215" i="18"/>
  <c r="C215" i="18"/>
  <c r="D215" i="18"/>
  <c r="E215" i="18"/>
  <c r="F215" i="18"/>
  <c r="G215" i="18"/>
  <c r="H215" i="18"/>
  <c r="I215" i="18"/>
  <c r="J215" i="18"/>
  <c r="A216" i="18"/>
  <c r="B216" i="18"/>
  <c r="C216" i="18"/>
  <c r="D216" i="18"/>
  <c r="E216" i="18"/>
  <c r="F216" i="18"/>
  <c r="G216" i="18"/>
  <c r="H216" i="18"/>
  <c r="I216" i="18"/>
  <c r="J216" i="18"/>
  <c r="A217" i="18"/>
  <c r="B217" i="18"/>
  <c r="C217" i="18"/>
  <c r="D217" i="18"/>
  <c r="E217" i="18"/>
  <c r="F217" i="18"/>
  <c r="G217" i="18"/>
  <c r="H217" i="18"/>
  <c r="I217" i="18"/>
  <c r="J217" i="18"/>
  <c r="A218" i="18"/>
  <c r="B218" i="18"/>
  <c r="C218" i="18"/>
  <c r="D218" i="18"/>
  <c r="E218" i="18"/>
  <c r="F218" i="18"/>
  <c r="G218" i="18"/>
  <c r="H218" i="18"/>
  <c r="I218" i="18"/>
  <c r="J218" i="18"/>
  <c r="A219" i="18"/>
  <c r="B219" i="18"/>
  <c r="C219" i="18"/>
  <c r="D219" i="18"/>
  <c r="E219" i="18"/>
  <c r="F219" i="18"/>
  <c r="G219" i="18"/>
  <c r="H219" i="18"/>
  <c r="I219" i="18"/>
  <c r="J219" i="18"/>
  <c r="A220" i="18"/>
  <c r="B220" i="18"/>
  <c r="C220" i="18"/>
  <c r="D220" i="18"/>
  <c r="E220" i="18"/>
  <c r="F220" i="18"/>
  <c r="G220" i="18"/>
  <c r="H220" i="18"/>
  <c r="I220" i="18"/>
  <c r="J220" i="18"/>
  <c r="A221" i="18"/>
  <c r="B221" i="18"/>
  <c r="C221" i="18"/>
  <c r="D221" i="18"/>
  <c r="E221" i="18"/>
  <c r="F221" i="18"/>
  <c r="G221" i="18"/>
  <c r="H221" i="18"/>
  <c r="I221" i="18"/>
  <c r="J221" i="18"/>
  <c r="A222" i="18"/>
  <c r="B222" i="18"/>
  <c r="C222" i="18"/>
  <c r="D222" i="18"/>
  <c r="E222" i="18"/>
  <c r="F222" i="18"/>
  <c r="G222" i="18"/>
  <c r="H222" i="18"/>
  <c r="I222" i="18"/>
  <c r="J222" i="18"/>
  <c r="A223" i="18"/>
  <c r="B223" i="18"/>
  <c r="C223" i="18"/>
  <c r="D223" i="18"/>
  <c r="E223" i="18"/>
  <c r="F223" i="18"/>
  <c r="G223" i="18"/>
  <c r="H223" i="18"/>
  <c r="I223" i="18"/>
  <c r="J223" i="18"/>
  <c r="A224" i="18"/>
  <c r="B224" i="18"/>
  <c r="C224" i="18"/>
  <c r="D224" i="18"/>
  <c r="E224" i="18"/>
  <c r="F224" i="18"/>
  <c r="G224" i="18"/>
  <c r="H224" i="18"/>
  <c r="I224" i="18"/>
  <c r="J224" i="18"/>
  <c r="A225" i="18"/>
  <c r="B225" i="18"/>
  <c r="C225" i="18"/>
  <c r="D225" i="18"/>
  <c r="E225" i="18"/>
  <c r="F225" i="18"/>
  <c r="G225" i="18"/>
  <c r="H225" i="18"/>
  <c r="I225" i="18"/>
  <c r="J225" i="18"/>
  <c r="A226" i="18"/>
  <c r="B226" i="18"/>
  <c r="C226" i="18"/>
  <c r="D226" i="18"/>
  <c r="E226" i="18"/>
  <c r="F226" i="18"/>
  <c r="G226" i="18"/>
  <c r="H226" i="18"/>
  <c r="I226" i="18"/>
  <c r="J226" i="18"/>
  <c r="A227" i="18"/>
  <c r="B227" i="18"/>
  <c r="C227" i="18"/>
  <c r="D227" i="18"/>
  <c r="E227" i="18"/>
  <c r="F227" i="18"/>
  <c r="G227" i="18"/>
  <c r="H227" i="18"/>
  <c r="I227" i="18"/>
  <c r="J227" i="18"/>
  <c r="A228" i="18"/>
  <c r="B228" i="18"/>
  <c r="C228" i="18"/>
  <c r="D228" i="18"/>
  <c r="E228" i="18"/>
  <c r="F228" i="18"/>
  <c r="G228" i="18"/>
  <c r="H228" i="18"/>
  <c r="I228" i="18"/>
  <c r="J228" i="18"/>
  <c r="A229" i="18"/>
  <c r="B229" i="18"/>
  <c r="C229" i="18"/>
  <c r="D229" i="18"/>
  <c r="E229" i="18"/>
  <c r="F229" i="18"/>
  <c r="G229" i="18"/>
  <c r="H229" i="18"/>
  <c r="I229" i="18"/>
  <c r="J229" i="18"/>
  <c r="A230" i="18"/>
  <c r="B230" i="18"/>
  <c r="C230" i="18"/>
  <c r="D230" i="18"/>
  <c r="E230" i="18"/>
  <c r="F230" i="18"/>
  <c r="G230" i="18"/>
  <c r="H230" i="18"/>
  <c r="I230" i="18"/>
  <c r="J230" i="18"/>
  <c r="A231" i="18"/>
  <c r="B231" i="18"/>
  <c r="C231" i="18"/>
  <c r="D231" i="18"/>
  <c r="E231" i="18"/>
  <c r="F231" i="18"/>
  <c r="G231" i="18"/>
  <c r="H231" i="18"/>
  <c r="I231" i="18"/>
  <c r="J231" i="18"/>
  <c r="A232" i="18"/>
  <c r="B232" i="18"/>
  <c r="C232" i="18"/>
  <c r="D232" i="18"/>
  <c r="E232" i="18"/>
  <c r="F232" i="18"/>
  <c r="G232" i="18"/>
  <c r="H232" i="18"/>
  <c r="I232" i="18"/>
  <c r="J232" i="18"/>
  <c r="A233" i="18"/>
  <c r="B233" i="18"/>
  <c r="C233" i="18"/>
  <c r="D233" i="18"/>
  <c r="E233" i="18"/>
  <c r="F233" i="18"/>
  <c r="G233" i="18"/>
  <c r="H233" i="18"/>
  <c r="I233" i="18"/>
  <c r="J233" i="18"/>
  <c r="A234" i="18"/>
  <c r="B234" i="18"/>
  <c r="C234" i="18"/>
  <c r="D234" i="18"/>
  <c r="E234" i="18"/>
  <c r="F234" i="18"/>
  <c r="G234" i="18"/>
  <c r="H234" i="18"/>
  <c r="I234" i="18"/>
  <c r="J234" i="18"/>
  <c r="A235" i="18"/>
  <c r="B235" i="18"/>
  <c r="C235" i="18"/>
  <c r="D235" i="18"/>
  <c r="E235" i="18"/>
  <c r="F235" i="18"/>
  <c r="G235" i="18"/>
  <c r="H235" i="18"/>
  <c r="I235" i="18"/>
  <c r="J235" i="18"/>
  <c r="A236" i="18"/>
  <c r="B236" i="18"/>
  <c r="C236" i="18"/>
  <c r="D236" i="18"/>
  <c r="E236" i="18"/>
  <c r="F236" i="18"/>
  <c r="G236" i="18"/>
  <c r="H236" i="18"/>
  <c r="I236" i="18"/>
  <c r="J236" i="18"/>
  <c r="A237" i="18"/>
  <c r="B237" i="18"/>
  <c r="C237" i="18"/>
  <c r="D237" i="18"/>
  <c r="E237" i="18"/>
  <c r="F237" i="18"/>
  <c r="G237" i="18"/>
  <c r="H237" i="18"/>
  <c r="I237" i="18"/>
  <c r="J237" i="18"/>
  <c r="A238" i="18"/>
  <c r="B238" i="18"/>
  <c r="C238" i="18"/>
  <c r="D238" i="18"/>
  <c r="E238" i="18"/>
  <c r="F238" i="18"/>
  <c r="G238" i="18"/>
  <c r="H238" i="18"/>
  <c r="I238" i="18"/>
  <c r="J238" i="18"/>
  <c r="A239" i="18"/>
  <c r="B239" i="18"/>
  <c r="C239" i="18"/>
  <c r="D239" i="18"/>
  <c r="E239" i="18"/>
  <c r="F239" i="18"/>
  <c r="G239" i="18"/>
  <c r="H239" i="18"/>
  <c r="I239" i="18"/>
  <c r="J239" i="18"/>
  <c r="A240" i="18"/>
  <c r="B240" i="18"/>
  <c r="C240" i="18"/>
  <c r="D240" i="18"/>
  <c r="E240" i="18"/>
  <c r="F240" i="18"/>
  <c r="G240" i="18"/>
  <c r="H240" i="18"/>
  <c r="I240" i="18"/>
  <c r="J240" i="18"/>
  <c r="A241" i="18"/>
  <c r="B241" i="18"/>
  <c r="C241" i="18"/>
  <c r="D241" i="18"/>
  <c r="E241" i="18"/>
  <c r="F241" i="18"/>
  <c r="G241" i="18"/>
  <c r="H241" i="18"/>
  <c r="I241" i="18"/>
  <c r="J241" i="18"/>
  <c r="A242" i="18"/>
  <c r="B242" i="18"/>
  <c r="C242" i="18"/>
  <c r="D242" i="18"/>
  <c r="E242" i="18"/>
  <c r="F242" i="18"/>
  <c r="G242" i="18"/>
  <c r="H242" i="18"/>
  <c r="I242" i="18"/>
  <c r="J242" i="18"/>
  <c r="A243" i="18"/>
  <c r="B243" i="18"/>
  <c r="C243" i="18"/>
  <c r="D243" i="18"/>
  <c r="E243" i="18"/>
  <c r="F243" i="18"/>
  <c r="G243" i="18"/>
  <c r="H243" i="18"/>
  <c r="I243" i="18"/>
  <c r="J243" i="18"/>
  <c r="A244" i="18"/>
  <c r="B244" i="18"/>
  <c r="C244" i="18"/>
  <c r="D244" i="18"/>
  <c r="E244" i="18"/>
  <c r="F244" i="18"/>
  <c r="G244" i="18"/>
  <c r="H244" i="18"/>
  <c r="I244" i="18"/>
  <c r="J244" i="18"/>
  <c r="A245" i="18"/>
  <c r="B245" i="18"/>
  <c r="C245" i="18"/>
  <c r="D245" i="18"/>
  <c r="E245" i="18"/>
  <c r="F245" i="18"/>
  <c r="G245" i="18"/>
  <c r="H245" i="18"/>
  <c r="I245" i="18"/>
  <c r="J245" i="18"/>
  <c r="A246" i="18"/>
  <c r="B246" i="18"/>
  <c r="C246" i="18"/>
  <c r="D246" i="18"/>
  <c r="E246" i="18"/>
  <c r="F246" i="18"/>
  <c r="G246" i="18"/>
  <c r="H246" i="18"/>
  <c r="I246" i="18"/>
  <c r="J246" i="18"/>
  <c r="A247" i="18"/>
  <c r="B247" i="18"/>
  <c r="C247" i="18"/>
  <c r="D247" i="18"/>
  <c r="E247" i="18"/>
  <c r="F247" i="18"/>
  <c r="G247" i="18"/>
  <c r="H247" i="18"/>
  <c r="I247" i="18"/>
  <c r="J247" i="18"/>
  <c r="A248" i="18"/>
  <c r="B248" i="18"/>
  <c r="C248" i="18"/>
  <c r="D248" i="18"/>
  <c r="E248" i="18"/>
  <c r="F248" i="18"/>
  <c r="G248" i="18"/>
  <c r="H248" i="18"/>
  <c r="I248" i="18"/>
  <c r="J248" i="18"/>
  <c r="A249" i="18"/>
  <c r="B249" i="18"/>
  <c r="C249" i="18"/>
  <c r="D249" i="18"/>
  <c r="E249" i="18"/>
  <c r="F249" i="18"/>
  <c r="G249" i="18"/>
  <c r="H249" i="18"/>
  <c r="I249" i="18"/>
  <c r="J249" i="18"/>
  <c r="A250" i="18"/>
  <c r="B250" i="18"/>
  <c r="C250" i="18"/>
  <c r="D250" i="18"/>
  <c r="E250" i="18"/>
  <c r="F250" i="18"/>
  <c r="G250" i="18"/>
  <c r="H250" i="18"/>
  <c r="I250" i="18"/>
  <c r="J250" i="18"/>
  <c r="A251" i="18"/>
  <c r="B251" i="18"/>
  <c r="C251" i="18"/>
  <c r="D251" i="18"/>
  <c r="E251" i="18"/>
  <c r="F251" i="18"/>
  <c r="G251" i="18"/>
  <c r="H251" i="18"/>
  <c r="I251" i="18"/>
  <c r="J251" i="18"/>
  <c r="A252" i="18"/>
  <c r="B252" i="18"/>
  <c r="C252" i="18"/>
  <c r="D252" i="18"/>
  <c r="E252" i="18"/>
  <c r="F252" i="18"/>
  <c r="G252" i="18"/>
  <c r="H252" i="18"/>
  <c r="I252" i="18"/>
  <c r="J252" i="18"/>
  <c r="A253" i="18"/>
  <c r="B253" i="18"/>
  <c r="C253" i="18"/>
  <c r="D253" i="18"/>
  <c r="E253" i="18"/>
  <c r="F253" i="18"/>
  <c r="G253" i="18"/>
  <c r="H253" i="18"/>
  <c r="I253" i="18"/>
  <c r="J253" i="18"/>
  <c r="A254" i="18"/>
  <c r="B254" i="18"/>
  <c r="C254" i="18"/>
  <c r="D254" i="18"/>
  <c r="E254" i="18"/>
  <c r="F254" i="18"/>
  <c r="G254" i="18"/>
  <c r="H254" i="18"/>
  <c r="I254" i="18"/>
  <c r="J254" i="18"/>
  <c r="A255" i="18"/>
  <c r="B255" i="18"/>
  <c r="C255" i="18"/>
  <c r="D255" i="18"/>
  <c r="E255" i="18"/>
  <c r="F255" i="18"/>
  <c r="G255" i="18"/>
  <c r="H255" i="18"/>
  <c r="I255" i="18"/>
  <c r="J255" i="18"/>
  <c r="A256" i="18"/>
  <c r="B256" i="18"/>
  <c r="C256" i="18"/>
  <c r="D256" i="18"/>
  <c r="E256" i="18"/>
  <c r="F256" i="18"/>
  <c r="G256" i="18"/>
  <c r="H256" i="18"/>
  <c r="I256" i="18"/>
  <c r="J256" i="18"/>
  <c r="A257" i="18"/>
  <c r="B257" i="18"/>
  <c r="C257" i="18"/>
  <c r="D257" i="18"/>
  <c r="E257" i="18"/>
  <c r="F257" i="18"/>
  <c r="G257" i="18"/>
  <c r="H257" i="18"/>
  <c r="I257" i="18"/>
  <c r="J257" i="18"/>
  <c r="A258" i="18"/>
  <c r="B258" i="18"/>
  <c r="C258" i="18"/>
  <c r="D258" i="18"/>
  <c r="E258" i="18"/>
  <c r="F258" i="18"/>
  <c r="G258" i="18"/>
  <c r="H258" i="18"/>
  <c r="I258" i="18"/>
  <c r="J258" i="18"/>
  <c r="A259" i="18"/>
  <c r="B259" i="18"/>
  <c r="C259" i="18"/>
  <c r="D259" i="18"/>
  <c r="E259" i="18"/>
  <c r="F259" i="18"/>
  <c r="G259" i="18"/>
  <c r="H259" i="18"/>
  <c r="I259" i="18"/>
  <c r="J259" i="18"/>
  <c r="A260" i="18"/>
  <c r="B260" i="18"/>
  <c r="C260" i="18"/>
  <c r="D260" i="18"/>
  <c r="E260" i="18"/>
  <c r="F260" i="18"/>
  <c r="G260" i="18"/>
  <c r="H260" i="18"/>
  <c r="I260" i="18"/>
  <c r="J260" i="18"/>
  <c r="A261" i="18"/>
  <c r="B261" i="18"/>
  <c r="C261" i="18"/>
  <c r="D261" i="18"/>
  <c r="E261" i="18"/>
  <c r="F261" i="18"/>
  <c r="G261" i="18"/>
  <c r="H261" i="18"/>
  <c r="I261" i="18"/>
  <c r="J261" i="18"/>
  <c r="A262" i="18"/>
  <c r="B262" i="18"/>
  <c r="C262" i="18"/>
  <c r="D262" i="18"/>
  <c r="E262" i="18"/>
  <c r="F262" i="18"/>
  <c r="G262" i="18"/>
  <c r="H262" i="18"/>
  <c r="I262" i="18"/>
  <c r="J262" i="18"/>
  <c r="A263" i="18"/>
  <c r="B263" i="18"/>
  <c r="C263" i="18"/>
  <c r="D263" i="18"/>
  <c r="E263" i="18"/>
  <c r="F263" i="18"/>
  <c r="G263" i="18"/>
  <c r="H263" i="18"/>
  <c r="I263" i="18"/>
  <c r="J263" i="18"/>
  <c r="A264" i="18"/>
  <c r="B264" i="18"/>
  <c r="C264" i="18"/>
  <c r="D264" i="18"/>
  <c r="E264" i="18"/>
  <c r="F264" i="18"/>
  <c r="G264" i="18"/>
  <c r="H264" i="18"/>
  <c r="I264" i="18"/>
  <c r="J264" i="18"/>
  <c r="A265" i="18"/>
  <c r="B265" i="18"/>
  <c r="C265" i="18"/>
  <c r="D265" i="18"/>
  <c r="E265" i="18"/>
  <c r="F265" i="18"/>
  <c r="G265" i="18"/>
  <c r="H265" i="18"/>
  <c r="I265" i="18"/>
  <c r="J265" i="18"/>
  <c r="A266" i="18"/>
  <c r="B266" i="18"/>
  <c r="C266" i="18"/>
  <c r="D266" i="18"/>
  <c r="E266" i="18"/>
  <c r="F266" i="18"/>
  <c r="G266" i="18"/>
  <c r="H266" i="18"/>
  <c r="I266" i="18"/>
  <c r="J266" i="18"/>
  <c r="A267" i="18"/>
  <c r="B267" i="18"/>
  <c r="C267" i="18"/>
  <c r="D267" i="18"/>
  <c r="E267" i="18"/>
  <c r="F267" i="18"/>
  <c r="G267" i="18"/>
  <c r="H267" i="18"/>
  <c r="I267" i="18"/>
  <c r="J267" i="18"/>
  <c r="A268" i="18"/>
  <c r="B268" i="18"/>
  <c r="C268" i="18"/>
  <c r="D268" i="18"/>
  <c r="E268" i="18"/>
  <c r="F268" i="18"/>
  <c r="G268" i="18"/>
  <c r="H268" i="18"/>
  <c r="I268" i="18"/>
  <c r="J268" i="18"/>
  <c r="A269" i="18"/>
  <c r="B269" i="18"/>
  <c r="C269" i="18"/>
  <c r="D269" i="18"/>
  <c r="E269" i="18"/>
  <c r="F269" i="18"/>
  <c r="G269" i="18"/>
  <c r="H269" i="18"/>
  <c r="I269" i="18"/>
  <c r="J269" i="18"/>
  <c r="A270" i="18"/>
  <c r="B270" i="18"/>
  <c r="C270" i="18"/>
  <c r="D270" i="18"/>
  <c r="E270" i="18"/>
  <c r="F270" i="18"/>
  <c r="G270" i="18"/>
  <c r="H270" i="18"/>
  <c r="I270" i="18"/>
  <c r="J270" i="18"/>
  <c r="A271" i="18"/>
  <c r="B271" i="18"/>
  <c r="C271" i="18"/>
  <c r="D271" i="18"/>
  <c r="E271" i="18"/>
  <c r="F271" i="18"/>
  <c r="G271" i="18"/>
  <c r="H271" i="18"/>
  <c r="I271" i="18"/>
  <c r="J271" i="18"/>
  <c r="A272" i="18"/>
  <c r="B272" i="18"/>
  <c r="C272" i="18"/>
  <c r="D272" i="18"/>
  <c r="E272" i="18"/>
  <c r="F272" i="18"/>
  <c r="G272" i="18"/>
  <c r="H272" i="18"/>
  <c r="I272" i="18"/>
  <c r="J272" i="18"/>
  <c r="A273" i="18"/>
  <c r="B273" i="18"/>
  <c r="C273" i="18"/>
  <c r="D273" i="18"/>
  <c r="E273" i="18"/>
  <c r="F273" i="18"/>
  <c r="G273" i="18"/>
  <c r="H273" i="18"/>
  <c r="I273" i="18"/>
  <c r="J273" i="18"/>
  <c r="A274" i="18"/>
  <c r="B274" i="18"/>
  <c r="C274" i="18"/>
  <c r="D274" i="18"/>
  <c r="E274" i="18"/>
  <c r="F274" i="18"/>
  <c r="G274" i="18"/>
  <c r="H274" i="18"/>
  <c r="I274" i="18"/>
  <c r="J274" i="18"/>
  <c r="A275" i="18"/>
  <c r="B275" i="18"/>
  <c r="C275" i="18"/>
  <c r="D275" i="18"/>
  <c r="E275" i="18"/>
  <c r="F275" i="18"/>
  <c r="G275" i="18"/>
  <c r="H275" i="18"/>
  <c r="I275" i="18"/>
  <c r="J275" i="18"/>
  <c r="A276" i="18"/>
  <c r="B276" i="18"/>
  <c r="C276" i="18"/>
  <c r="D276" i="18"/>
  <c r="E276" i="18"/>
  <c r="F276" i="18"/>
  <c r="G276" i="18"/>
  <c r="H276" i="18"/>
  <c r="I276" i="18"/>
  <c r="J276" i="18"/>
  <c r="A277" i="18"/>
  <c r="B277" i="18"/>
  <c r="C277" i="18"/>
  <c r="D277" i="18"/>
  <c r="E277" i="18"/>
  <c r="F277" i="18"/>
  <c r="G277" i="18"/>
  <c r="H277" i="18"/>
  <c r="I277" i="18"/>
  <c r="J277" i="18"/>
  <c r="A278" i="18"/>
  <c r="B278" i="18"/>
  <c r="C278" i="18"/>
  <c r="D278" i="18"/>
  <c r="E278" i="18"/>
  <c r="F278" i="18"/>
  <c r="G278" i="18"/>
  <c r="H278" i="18"/>
  <c r="I278" i="18"/>
  <c r="J278" i="18"/>
  <c r="A279" i="18"/>
  <c r="B279" i="18"/>
  <c r="C279" i="18"/>
  <c r="D279" i="18"/>
  <c r="E279" i="18"/>
  <c r="F279" i="18"/>
  <c r="G279" i="18"/>
  <c r="H279" i="18"/>
  <c r="I279" i="18"/>
  <c r="J279" i="18"/>
  <c r="A280" i="18"/>
  <c r="B280" i="18"/>
  <c r="C280" i="18"/>
  <c r="D280" i="18"/>
  <c r="E280" i="18"/>
  <c r="F280" i="18"/>
  <c r="G280" i="18"/>
  <c r="H280" i="18"/>
  <c r="I280" i="18"/>
  <c r="J280" i="18"/>
  <c r="A281" i="18"/>
  <c r="B281" i="18"/>
  <c r="C281" i="18"/>
  <c r="D281" i="18"/>
  <c r="E281" i="18"/>
  <c r="F281" i="18"/>
  <c r="G281" i="18"/>
  <c r="H281" i="18"/>
  <c r="I281" i="18"/>
  <c r="J281" i="18"/>
  <c r="A282" i="18"/>
  <c r="B282" i="18"/>
  <c r="C282" i="18"/>
  <c r="D282" i="18"/>
  <c r="E282" i="18"/>
  <c r="F282" i="18"/>
  <c r="G282" i="18"/>
  <c r="H282" i="18"/>
  <c r="I282" i="18"/>
  <c r="J282" i="18"/>
  <c r="A283" i="18"/>
  <c r="B283" i="18"/>
  <c r="C283" i="18"/>
  <c r="D283" i="18"/>
  <c r="E283" i="18"/>
  <c r="F283" i="18"/>
  <c r="G283" i="18"/>
  <c r="H283" i="18"/>
  <c r="I283" i="18"/>
  <c r="J283" i="18"/>
  <c r="A284" i="18"/>
  <c r="B284" i="18"/>
  <c r="C284" i="18"/>
  <c r="D284" i="18"/>
  <c r="E284" i="18"/>
  <c r="F284" i="18"/>
  <c r="G284" i="18"/>
  <c r="H284" i="18"/>
  <c r="I284" i="18"/>
  <c r="J284" i="18"/>
  <c r="A285" i="18"/>
  <c r="B285" i="18"/>
  <c r="C285" i="18"/>
  <c r="D285" i="18"/>
  <c r="E285" i="18"/>
  <c r="F285" i="18"/>
  <c r="G285" i="18"/>
  <c r="H285" i="18"/>
  <c r="I285" i="18"/>
  <c r="J285" i="18"/>
  <c r="A286" i="18"/>
  <c r="B286" i="18"/>
  <c r="C286" i="18"/>
  <c r="D286" i="18"/>
  <c r="E286" i="18"/>
  <c r="F286" i="18"/>
  <c r="G286" i="18"/>
  <c r="H286" i="18"/>
  <c r="I286" i="18"/>
  <c r="J286" i="18"/>
  <c r="A287" i="18"/>
  <c r="B287" i="18"/>
  <c r="C287" i="18"/>
  <c r="D287" i="18"/>
  <c r="E287" i="18"/>
  <c r="F287" i="18"/>
  <c r="G287" i="18"/>
  <c r="H287" i="18"/>
  <c r="I287" i="18"/>
  <c r="J287" i="18"/>
  <c r="A288" i="18"/>
  <c r="B288" i="18"/>
  <c r="C288" i="18"/>
  <c r="D288" i="18"/>
  <c r="E288" i="18"/>
  <c r="F288" i="18"/>
  <c r="G288" i="18"/>
  <c r="H288" i="18"/>
  <c r="I288" i="18"/>
  <c r="J288" i="18"/>
  <c r="A289" i="18"/>
  <c r="B289" i="18"/>
  <c r="C289" i="18"/>
  <c r="D289" i="18"/>
  <c r="E289" i="18"/>
  <c r="F289" i="18"/>
  <c r="G289" i="18"/>
  <c r="H289" i="18"/>
  <c r="I289" i="18"/>
  <c r="J289" i="18"/>
  <c r="A290" i="18"/>
  <c r="B290" i="18"/>
  <c r="C290" i="18"/>
  <c r="D290" i="18"/>
  <c r="E290" i="18"/>
  <c r="F290" i="18"/>
  <c r="G290" i="18"/>
  <c r="H290" i="18"/>
  <c r="I290" i="18"/>
  <c r="J290" i="18"/>
  <c r="A291" i="18"/>
  <c r="B291" i="18"/>
  <c r="C291" i="18"/>
  <c r="D291" i="18"/>
  <c r="E291" i="18"/>
  <c r="F291" i="18"/>
  <c r="G291" i="18"/>
  <c r="H291" i="18"/>
  <c r="I291" i="18"/>
  <c r="J291" i="18"/>
  <c r="A292" i="18"/>
  <c r="B292" i="18"/>
  <c r="C292" i="18"/>
  <c r="D292" i="18"/>
  <c r="E292" i="18"/>
  <c r="F292" i="18"/>
  <c r="G292" i="18"/>
  <c r="H292" i="18"/>
  <c r="I292" i="18"/>
  <c r="J292" i="18"/>
  <c r="A293" i="18"/>
  <c r="B293" i="18"/>
  <c r="C293" i="18"/>
  <c r="D293" i="18"/>
  <c r="E293" i="18"/>
  <c r="F293" i="18"/>
  <c r="G293" i="18"/>
  <c r="H293" i="18"/>
  <c r="I293" i="18"/>
  <c r="J293" i="18"/>
  <c r="A294" i="18"/>
  <c r="B294" i="18"/>
  <c r="C294" i="18"/>
  <c r="D294" i="18"/>
  <c r="E294" i="18"/>
  <c r="F294" i="18"/>
  <c r="G294" i="18"/>
  <c r="H294" i="18"/>
  <c r="I294" i="18"/>
  <c r="J294" i="18"/>
  <c r="A295" i="18"/>
  <c r="B295" i="18"/>
  <c r="C295" i="18"/>
  <c r="D295" i="18"/>
  <c r="E295" i="18"/>
  <c r="F295" i="18"/>
  <c r="G295" i="18"/>
  <c r="H295" i="18"/>
  <c r="I295" i="18"/>
  <c r="J295" i="18"/>
  <c r="A296" i="18"/>
  <c r="B296" i="18"/>
  <c r="C296" i="18"/>
  <c r="D296" i="18"/>
  <c r="E296" i="18"/>
  <c r="F296" i="18"/>
  <c r="G296" i="18"/>
  <c r="H296" i="18"/>
  <c r="I296" i="18"/>
  <c r="J296" i="18"/>
  <c r="A297" i="18"/>
  <c r="B297" i="18"/>
  <c r="C297" i="18"/>
  <c r="D297" i="18"/>
  <c r="E297" i="18"/>
  <c r="F297" i="18"/>
  <c r="G297" i="18"/>
  <c r="H297" i="18"/>
  <c r="I297" i="18"/>
  <c r="J297" i="18"/>
  <c r="A298" i="18"/>
  <c r="B298" i="18"/>
  <c r="C298" i="18"/>
  <c r="D298" i="18"/>
  <c r="E298" i="18"/>
  <c r="F298" i="18"/>
  <c r="G298" i="18"/>
  <c r="H298" i="18"/>
  <c r="I298" i="18"/>
  <c r="J298" i="18"/>
  <c r="A299" i="18"/>
  <c r="B299" i="18"/>
  <c r="C299" i="18"/>
  <c r="D299" i="18"/>
  <c r="E299" i="18"/>
  <c r="F299" i="18"/>
  <c r="G299" i="18"/>
  <c r="H299" i="18"/>
  <c r="I299" i="18"/>
  <c r="J299" i="18"/>
  <c r="A300" i="18"/>
  <c r="B300" i="18"/>
  <c r="C300" i="18"/>
  <c r="D300" i="18"/>
  <c r="E300" i="18"/>
  <c r="F300" i="18"/>
  <c r="G300" i="18"/>
  <c r="H300" i="18"/>
  <c r="I300" i="18"/>
  <c r="J300" i="18"/>
  <c r="A301" i="18"/>
  <c r="B301" i="18"/>
  <c r="C301" i="18"/>
  <c r="D301" i="18"/>
  <c r="E301" i="18"/>
  <c r="F301" i="18"/>
  <c r="G301" i="18"/>
  <c r="H301" i="18"/>
  <c r="I301" i="18"/>
  <c r="J301" i="18"/>
  <c r="A302" i="18"/>
  <c r="B302" i="18"/>
  <c r="C302" i="18"/>
  <c r="D302" i="18"/>
  <c r="E302" i="18"/>
  <c r="F302" i="18"/>
  <c r="G302" i="18"/>
  <c r="H302" i="18"/>
  <c r="I302" i="18"/>
  <c r="J302" i="18"/>
  <c r="A303" i="18"/>
  <c r="B303" i="18"/>
  <c r="C303" i="18"/>
  <c r="D303" i="18"/>
  <c r="E303" i="18"/>
  <c r="F303" i="18"/>
  <c r="G303" i="18"/>
  <c r="H303" i="18"/>
  <c r="I303" i="18"/>
  <c r="J303" i="18"/>
  <c r="A304" i="18"/>
  <c r="B304" i="18"/>
  <c r="C304" i="18"/>
  <c r="D304" i="18"/>
  <c r="E304" i="18"/>
  <c r="F304" i="18"/>
  <c r="G304" i="18"/>
  <c r="H304" i="18"/>
  <c r="I304" i="18"/>
  <c r="J304" i="18"/>
  <c r="A305" i="18"/>
  <c r="B305" i="18"/>
  <c r="C305" i="18"/>
  <c r="D305" i="18"/>
  <c r="E305" i="18"/>
  <c r="F305" i="18"/>
  <c r="G305" i="18"/>
  <c r="H305" i="18"/>
  <c r="I305" i="18"/>
  <c r="J305" i="18"/>
  <c r="A306" i="18"/>
  <c r="B306" i="18"/>
  <c r="C306" i="18"/>
  <c r="D306" i="18"/>
  <c r="E306" i="18"/>
  <c r="F306" i="18"/>
  <c r="G306" i="18"/>
  <c r="H306" i="18"/>
  <c r="I306" i="18"/>
  <c r="J306" i="18"/>
  <c r="A307" i="18"/>
  <c r="B307" i="18"/>
  <c r="C307" i="18"/>
  <c r="D307" i="18"/>
  <c r="E307" i="18"/>
  <c r="F307" i="18"/>
  <c r="G307" i="18"/>
  <c r="H307" i="18"/>
  <c r="I307" i="18"/>
  <c r="J307" i="18"/>
  <c r="A308" i="18"/>
  <c r="B308" i="18"/>
  <c r="C308" i="18"/>
  <c r="D308" i="18"/>
  <c r="E308" i="18"/>
  <c r="F308" i="18"/>
  <c r="G308" i="18"/>
  <c r="H308" i="18"/>
  <c r="I308" i="18"/>
  <c r="J308" i="18"/>
  <c r="A309" i="18"/>
  <c r="B309" i="18"/>
  <c r="C309" i="18"/>
  <c r="D309" i="18"/>
  <c r="E309" i="18"/>
  <c r="F309" i="18"/>
  <c r="G309" i="18"/>
  <c r="H309" i="18"/>
  <c r="I309" i="18"/>
  <c r="J309" i="18"/>
  <c r="A310" i="18"/>
  <c r="B310" i="18"/>
  <c r="C310" i="18"/>
  <c r="D310" i="18"/>
  <c r="E310" i="18"/>
  <c r="F310" i="18"/>
  <c r="G310" i="18"/>
  <c r="H310" i="18"/>
  <c r="I310" i="18"/>
  <c r="J310" i="18"/>
  <c r="A311" i="18"/>
  <c r="B311" i="18"/>
  <c r="C311" i="18"/>
  <c r="D311" i="18"/>
  <c r="E311" i="18"/>
  <c r="F311" i="18"/>
  <c r="G311" i="18"/>
  <c r="H311" i="18"/>
  <c r="I311" i="18"/>
  <c r="J311" i="18"/>
  <c r="A312" i="18"/>
  <c r="B312" i="18"/>
  <c r="C312" i="18"/>
  <c r="D312" i="18"/>
  <c r="E312" i="18"/>
  <c r="F312" i="18"/>
  <c r="G312" i="18"/>
  <c r="H312" i="18"/>
  <c r="I312" i="18"/>
  <c r="J312" i="18"/>
  <c r="A313" i="18"/>
  <c r="B313" i="18"/>
  <c r="C313" i="18"/>
  <c r="D313" i="18"/>
  <c r="E313" i="18"/>
  <c r="F313" i="18"/>
  <c r="G313" i="18"/>
  <c r="H313" i="18"/>
  <c r="I313" i="18"/>
  <c r="J313" i="18"/>
  <c r="A314" i="18"/>
  <c r="B314" i="18"/>
  <c r="C314" i="18"/>
  <c r="D314" i="18"/>
  <c r="E314" i="18"/>
  <c r="F314" i="18"/>
  <c r="G314" i="18"/>
  <c r="H314" i="18"/>
  <c r="I314" i="18"/>
  <c r="J314" i="18"/>
  <c r="A315" i="18"/>
  <c r="B315" i="18"/>
  <c r="C315" i="18"/>
  <c r="D315" i="18"/>
  <c r="E315" i="18"/>
  <c r="F315" i="18"/>
  <c r="G315" i="18"/>
  <c r="H315" i="18"/>
  <c r="I315" i="18"/>
  <c r="J315" i="18"/>
  <c r="A316" i="18"/>
  <c r="B316" i="18"/>
  <c r="C316" i="18"/>
  <c r="D316" i="18"/>
  <c r="E316" i="18"/>
  <c r="F316" i="18"/>
  <c r="G316" i="18"/>
  <c r="H316" i="18"/>
  <c r="I316" i="18"/>
  <c r="J316" i="18"/>
  <c r="A317" i="18"/>
  <c r="B317" i="18"/>
  <c r="C317" i="18"/>
  <c r="D317" i="18"/>
  <c r="E317" i="18"/>
  <c r="F317" i="18"/>
  <c r="G317" i="18"/>
  <c r="H317" i="18"/>
  <c r="I317" i="18"/>
  <c r="J317" i="18"/>
  <c r="A318" i="18"/>
  <c r="B318" i="18"/>
  <c r="C318" i="18"/>
  <c r="D318" i="18"/>
  <c r="E318" i="18"/>
  <c r="F318" i="18"/>
  <c r="G318" i="18"/>
  <c r="H318" i="18"/>
  <c r="I318" i="18"/>
  <c r="J318" i="18"/>
  <c r="A319" i="18"/>
  <c r="B319" i="18"/>
  <c r="C319" i="18"/>
  <c r="D319" i="18"/>
  <c r="E319" i="18"/>
  <c r="F319" i="18"/>
  <c r="G319" i="18"/>
  <c r="H319" i="18"/>
  <c r="I319" i="18"/>
  <c r="J319" i="18"/>
  <c r="A320" i="18"/>
  <c r="B320" i="18"/>
  <c r="C320" i="18"/>
  <c r="D320" i="18"/>
  <c r="E320" i="18"/>
  <c r="F320" i="18"/>
  <c r="G320" i="18"/>
  <c r="H320" i="18"/>
  <c r="I320" i="18"/>
  <c r="J320" i="18"/>
  <c r="A321" i="18"/>
  <c r="B321" i="18"/>
  <c r="C321" i="18"/>
  <c r="D321" i="18"/>
  <c r="E321" i="18"/>
  <c r="F321" i="18"/>
  <c r="G321" i="18"/>
  <c r="H321" i="18"/>
  <c r="I321" i="18"/>
  <c r="J321" i="18"/>
  <c r="A322" i="18"/>
  <c r="B322" i="18"/>
  <c r="C322" i="18"/>
  <c r="D322" i="18"/>
  <c r="E322" i="18"/>
  <c r="F322" i="18"/>
  <c r="G322" i="18"/>
  <c r="H322" i="18"/>
  <c r="I322" i="18"/>
  <c r="J322" i="18"/>
  <c r="A323" i="18"/>
  <c r="B323" i="18"/>
  <c r="C323" i="18"/>
  <c r="D323" i="18"/>
  <c r="E323" i="18"/>
  <c r="F323" i="18"/>
  <c r="G323" i="18"/>
  <c r="H323" i="18"/>
  <c r="I323" i="18"/>
  <c r="J323" i="18"/>
  <c r="A324" i="18"/>
  <c r="B324" i="18"/>
  <c r="C324" i="18"/>
  <c r="D324" i="18"/>
  <c r="E324" i="18"/>
  <c r="F324" i="18"/>
  <c r="G324" i="18"/>
  <c r="H324" i="18"/>
  <c r="I324" i="18"/>
  <c r="J324" i="18"/>
  <c r="A325" i="18"/>
  <c r="B325" i="18"/>
  <c r="C325" i="18"/>
  <c r="D325" i="18"/>
  <c r="E325" i="18"/>
  <c r="F325" i="18"/>
  <c r="G325" i="18"/>
  <c r="H325" i="18"/>
  <c r="I325" i="18"/>
  <c r="J325" i="18"/>
  <c r="A326" i="18"/>
  <c r="B326" i="18"/>
  <c r="C326" i="18"/>
  <c r="D326" i="18"/>
  <c r="E326" i="18"/>
  <c r="F326" i="18"/>
  <c r="G326" i="18"/>
  <c r="H326" i="18"/>
  <c r="I326" i="18"/>
  <c r="J326" i="18"/>
  <c r="A327" i="18"/>
  <c r="B327" i="18"/>
  <c r="C327" i="18"/>
  <c r="D327" i="18"/>
  <c r="E327" i="18"/>
  <c r="F327" i="18"/>
  <c r="G327" i="18"/>
  <c r="H327" i="18"/>
  <c r="I327" i="18"/>
  <c r="J327" i="18"/>
  <c r="A328" i="18"/>
  <c r="B328" i="18"/>
  <c r="C328" i="18"/>
  <c r="D328" i="18"/>
  <c r="E328" i="18"/>
  <c r="F328" i="18"/>
  <c r="G328" i="18"/>
  <c r="H328" i="18"/>
  <c r="I328" i="18"/>
  <c r="J328" i="18"/>
  <c r="A329" i="18"/>
  <c r="B329" i="18"/>
  <c r="C329" i="18"/>
  <c r="D329" i="18"/>
  <c r="E329" i="18"/>
  <c r="F329" i="18"/>
  <c r="G329" i="18"/>
  <c r="H329" i="18"/>
  <c r="I329" i="18"/>
  <c r="J329" i="18"/>
  <c r="A330" i="18"/>
  <c r="B330" i="18"/>
  <c r="C330" i="18"/>
  <c r="D330" i="18"/>
  <c r="E330" i="18"/>
  <c r="F330" i="18"/>
  <c r="G330" i="18"/>
  <c r="H330" i="18"/>
  <c r="I330" i="18"/>
  <c r="J330" i="18"/>
  <c r="A331" i="18"/>
  <c r="B331" i="18"/>
  <c r="C331" i="18"/>
  <c r="D331" i="18"/>
  <c r="E331" i="18"/>
  <c r="F331" i="18"/>
  <c r="G331" i="18"/>
  <c r="H331" i="18"/>
  <c r="I331" i="18"/>
  <c r="J331" i="18"/>
  <c r="A332" i="18"/>
  <c r="B332" i="18"/>
  <c r="C332" i="18"/>
  <c r="D332" i="18"/>
  <c r="E332" i="18"/>
  <c r="F332" i="18"/>
  <c r="G332" i="18"/>
  <c r="H332" i="18"/>
  <c r="I332" i="18"/>
  <c r="J332" i="18"/>
  <c r="A333" i="18"/>
  <c r="B333" i="18"/>
  <c r="C333" i="18"/>
  <c r="D333" i="18"/>
  <c r="E333" i="18"/>
  <c r="F333" i="18"/>
  <c r="G333" i="18"/>
  <c r="H333" i="18"/>
  <c r="I333" i="18"/>
  <c r="J333" i="18"/>
  <c r="A334" i="18"/>
  <c r="B334" i="18"/>
  <c r="C334" i="18"/>
  <c r="D334" i="18"/>
  <c r="E334" i="18"/>
  <c r="F334" i="18"/>
  <c r="G334" i="18"/>
  <c r="H334" i="18"/>
  <c r="I334" i="18"/>
  <c r="J334" i="18"/>
  <c r="A335" i="18"/>
  <c r="B335" i="18"/>
  <c r="C335" i="18"/>
  <c r="D335" i="18"/>
  <c r="E335" i="18"/>
  <c r="F335" i="18"/>
  <c r="G335" i="18"/>
  <c r="H335" i="18"/>
  <c r="I335" i="18"/>
  <c r="J335" i="18"/>
  <c r="A336" i="18"/>
  <c r="B336" i="18"/>
  <c r="C336" i="18"/>
  <c r="D336" i="18"/>
  <c r="E336" i="18"/>
  <c r="F336" i="18"/>
  <c r="G336" i="18"/>
  <c r="H336" i="18"/>
  <c r="I336" i="18"/>
  <c r="J336" i="18"/>
  <c r="A337" i="18"/>
  <c r="B337" i="18"/>
  <c r="C337" i="18"/>
  <c r="D337" i="18"/>
  <c r="E337" i="18"/>
  <c r="F337" i="18"/>
  <c r="G337" i="18"/>
  <c r="H337" i="18"/>
  <c r="I337" i="18"/>
  <c r="J337" i="18"/>
  <c r="A338" i="18"/>
  <c r="B338" i="18"/>
  <c r="C338" i="18"/>
  <c r="D338" i="18"/>
  <c r="E338" i="18"/>
  <c r="F338" i="18"/>
  <c r="G338" i="18"/>
  <c r="H338" i="18"/>
  <c r="I338" i="18"/>
  <c r="J338" i="18"/>
  <c r="A339" i="18"/>
  <c r="B339" i="18"/>
  <c r="C339" i="18"/>
  <c r="D339" i="18"/>
  <c r="E339" i="18"/>
  <c r="F339" i="18"/>
  <c r="G339" i="18"/>
  <c r="H339" i="18"/>
  <c r="I339" i="18"/>
  <c r="J339" i="18"/>
  <c r="A340" i="18"/>
  <c r="B340" i="18"/>
  <c r="C340" i="18"/>
  <c r="D340" i="18"/>
  <c r="E340" i="18"/>
  <c r="F340" i="18"/>
  <c r="G340" i="18"/>
  <c r="H340" i="18"/>
  <c r="I340" i="18"/>
  <c r="J340" i="18"/>
  <c r="A341" i="18"/>
  <c r="B341" i="18"/>
  <c r="C341" i="18"/>
  <c r="D341" i="18"/>
  <c r="E341" i="18"/>
  <c r="F341" i="18"/>
  <c r="G341" i="18"/>
  <c r="H341" i="18"/>
  <c r="I341" i="18"/>
  <c r="J341" i="18"/>
  <c r="A342" i="18"/>
  <c r="B342" i="18"/>
  <c r="C342" i="18"/>
  <c r="D342" i="18"/>
  <c r="E342" i="18"/>
  <c r="F342" i="18"/>
  <c r="G342" i="18"/>
  <c r="H342" i="18"/>
  <c r="I342" i="18"/>
  <c r="J342" i="18"/>
  <c r="A343" i="18"/>
  <c r="B343" i="18"/>
  <c r="C343" i="18"/>
  <c r="D343" i="18"/>
  <c r="E343" i="18"/>
  <c r="F343" i="18"/>
  <c r="G343" i="18"/>
  <c r="H343" i="18"/>
  <c r="I343" i="18"/>
  <c r="J343" i="18"/>
  <c r="A344" i="18"/>
  <c r="B344" i="18"/>
  <c r="C344" i="18"/>
  <c r="D344" i="18"/>
  <c r="E344" i="18"/>
  <c r="F344" i="18"/>
  <c r="G344" i="18"/>
  <c r="H344" i="18"/>
  <c r="I344" i="18"/>
  <c r="J344" i="18"/>
  <c r="A345" i="18"/>
  <c r="B345" i="18"/>
  <c r="C345" i="18"/>
  <c r="D345" i="18"/>
  <c r="E345" i="18"/>
  <c r="F345" i="18"/>
  <c r="G345" i="18"/>
  <c r="H345" i="18"/>
  <c r="I345" i="18"/>
  <c r="J345" i="18"/>
  <c r="A346" i="18"/>
  <c r="B346" i="18"/>
  <c r="C346" i="18"/>
  <c r="D346" i="18"/>
  <c r="E346" i="18"/>
  <c r="F346" i="18"/>
  <c r="G346" i="18"/>
  <c r="H346" i="18"/>
  <c r="I346" i="18"/>
  <c r="J346" i="18"/>
  <c r="A347" i="18"/>
  <c r="B347" i="18"/>
  <c r="C347" i="18"/>
  <c r="D347" i="18"/>
  <c r="E347" i="18"/>
  <c r="F347" i="18"/>
  <c r="G347" i="18"/>
  <c r="H347" i="18"/>
  <c r="I347" i="18"/>
  <c r="J347" i="18"/>
  <c r="A348" i="18"/>
  <c r="B348" i="18"/>
  <c r="C348" i="18"/>
  <c r="D348" i="18"/>
  <c r="E348" i="18"/>
  <c r="F348" i="18"/>
  <c r="G348" i="18"/>
  <c r="H348" i="18"/>
  <c r="I348" i="18"/>
  <c r="J348" i="18"/>
  <c r="A349" i="18"/>
  <c r="B349" i="18"/>
  <c r="C349" i="18"/>
  <c r="D349" i="18"/>
  <c r="E349" i="18"/>
  <c r="F349" i="18"/>
  <c r="G349" i="18"/>
  <c r="H349" i="18"/>
  <c r="I349" i="18"/>
  <c r="J349" i="18"/>
  <c r="A350" i="18"/>
  <c r="B350" i="18"/>
  <c r="C350" i="18"/>
  <c r="D350" i="18"/>
  <c r="E350" i="18"/>
  <c r="F350" i="18"/>
  <c r="G350" i="18"/>
  <c r="H350" i="18"/>
  <c r="I350" i="18"/>
  <c r="J350" i="18"/>
  <c r="A351" i="18"/>
  <c r="B351" i="18"/>
  <c r="C351" i="18"/>
  <c r="D351" i="18"/>
  <c r="E351" i="18"/>
  <c r="F351" i="18"/>
  <c r="G351" i="18"/>
  <c r="H351" i="18"/>
  <c r="I351" i="18"/>
  <c r="J351" i="18"/>
  <c r="A352" i="18"/>
  <c r="B352" i="18"/>
  <c r="C352" i="18"/>
  <c r="D352" i="18"/>
  <c r="E352" i="18"/>
  <c r="F352" i="18"/>
  <c r="G352" i="18"/>
  <c r="H352" i="18"/>
  <c r="I352" i="18"/>
  <c r="J352" i="18"/>
  <c r="A353" i="18"/>
  <c r="B353" i="18"/>
  <c r="C353" i="18"/>
  <c r="D353" i="18"/>
  <c r="E353" i="18"/>
  <c r="F353" i="18"/>
  <c r="G353" i="18"/>
  <c r="H353" i="18"/>
  <c r="I353" i="18"/>
  <c r="J353" i="18"/>
  <c r="A354" i="18"/>
  <c r="B354" i="18"/>
  <c r="C354" i="18"/>
  <c r="D354" i="18"/>
  <c r="E354" i="18"/>
  <c r="F354" i="18"/>
  <c r="G354" i="18"/>
  <c r="H354" i="18"/>
  <c r="I354" i="18"/>
  <c r="J354" i="18"/>
  <c r="A355" i="18"/>
  <c r="B355" i="18"/>
  <c r="C355" i="18"/>
  <c r="D355" i="18"/>
  <c r="E355" i="18"/>
  <c r="F355" i="18"/>
  <c r="G355" i="18"/>
  <c r="H355" i="18"/>
  <c r="I355" i="18"/>
  <c r="J355" i="18"/>
  <c r="A356" i="18"/>
  <c r="B356" i="18"/>
  <c r="C356" i="18"/>
  <c r="D356" i="18"/>
  <c r="E356" i="18"/>
  <c r="F356" i="18"/>
  <c r="G356" i="18"/>
  <c r="H356" i="18"/>
  <c r="I356" i="18"/>
  <c r="J356" i="18"/>
  <c r="A357" i="18"/>
  <c r="B357" i="18"/>
  <c r="C357" i="18"/>
  <c r="D357" i="18"/>
  <c r="E357" i="18"/>
  <c r="F357" i="18"/>
  <c r="G357" i="18"/>
  <c r="H357" i="18"/>
  <c r="I357" i="18"/>
  <c r="J357" i="18"/>
  <c r="A358" i="18"/>
  <c r="B358" i="18"/>
  <c r="C358" i="18"/>
  <c r="D358" i="18"/>
  <c r="E358" i="18"/>
  <c r="F358" i="18"/>
  <c r="G358" i="18"/>
  <c r="H358" i="18"/>
  <c r="I358" i="18"/>
  <c r="J358" i="18"/>
  <c r="A359" i="18"/>
  <c r="B359" i="18"/>
  <c r="C359" i="18"/>
  <c r="D359" i="18"/>
  <c r="E359" i="18"/>
  <c r="F359" i="18"/>
  <c r="G359" i="18"/>
  <c r="H359" i="18"/>
  <c r="I359" i="18"/>
  <c r="J359" i="18"/>
  <c r="A360" i="18"/>
  <c r="B360" i="18"/>
  <c r="C360" i="18"/>
  <c r="D360" i="18"/>
  <c r="E360" i="18"/>
  <c r="F360" i="18"/>
  <c r="G360" i="18"/>
  <c r="H360" i="18"/>
  <c r="I360" i="18"/>
  <c r="J360" i="18"/>
  <c r="A361" i="18"/>
  <c r="B361" i="18"/>
  <c r="C361" i="18"/>
  <c r="D361" i="18"/>
  <c r="E361" i="18"/>
  <c r="F361" i="18"/>
  <c r="G361" i="18"/>
  <c r="H361" i="18"/>
  <c r="I361" i="18"/>
  <c r="J361" i="18"/>
  <c r="A362" i="18"/>
  <c r="B362" i="18"/>
  <c r="C362" i="18"/>
  <c r="D362" i="18"/>
  <c r="E362" i="18"/>
  <c r="F362" i="18"/>
  <c r="G362" i="18"/>
  <c r="H362" i="18"/>
  <c r="I362" i="18"/>
  <c r="J362" i="18"/>
  <c r="A363" i="18"/>
  <c r="B363" i="18"/>
  <c r="C363" i="18"/>
  <c r="D363" i="18"/>
  <c r="E363" i="18"/>
  <c r="F363" i="18"/>
  <c r="G363" i="18"/>
  <c r="H363" i="18"/>
  <c r="I363" i="18"/>
  <c r="J363" i="18"/>
  <c r="A364" i="18"/>
  <c r="B364" i="18"/>
  <c r="C364" i="18"/>
  <c r="D364" i="18"/>
  <c r="E364" i="18"/>
  <c r="F364" i="18"/>
  <c r="G364" i="18"/>
  <c r="H364" i="18"/>
  <c r="I364" i="18"/>
  <c r="J364" i="18"/>
  <c r="A365" i="18"/>
  <c r="B365" i="18"/>
  <c r="C365" i="18"/>
  <c r="D365" i="18"/>
  <c r="E365" i="18"/>
  <c r="F365" i="18"/>
  <c r="G365" i="18"/>
  <c r="H365" i="18"/>
  <c r="I365" i="18"/>
  <c r="J365" i="18"/>
  <c r="A366" i="18"/>
  <c r="B366" i="18"/>
  <c r="C366" i="18"/>
  <c r="D366" i="18"/>
  <c r="E366" i="18"/>
  <c r="F366" i="18"/>
  <c r="G366" i="18"/>
  <c r="H366" i="18"/>
  <c r="I366" i="18"/>
  <c r="J366" i="18"/>
  <c r="A367" i="18"/>
  <c r="B367" i="18"/>
  <c r="C367" i="18"/>
  <c r="D367" i="18"/>
  <c r="E367" i="18"/>
  <c r="F367" i="18"/>
  <c r="G367" i="18"/>
  <c r="H367" i="18"/>
  <c r="I367" i="18"/>
  <c r="J367" i="18"/>
  <c r="A368" i="18"/>
  <c r="B368" i="18"/>
  <c r="C368" i="18"/>
  <c r="D368" i="18"/>
  <c r="E368" i="18"/>
  <c r="F368" i="18"/>
  <c r="G368" i="18"/>
  <c r="H368" i="18"/>
  <c r="I368" i="18"/>
  <c r="J368" i="18"/>
  <c r="A369" i="18"/>
  <c r="B369" i="18"/>
  <c r="C369" i="18"/>
  <c r="D369" i="18"/>
  <c r="E369" i="18"/>
  <c r="F369" i="18"/>
  <c r="G369" i="18"/>
  <c r="H369" i="18"/>
  <c r="I369" i="18"/>
  <c r="J369" i="18"/>
  <c r="A370" i="18"/>
  <c r="B370" i="18"/>
  <c r="C370" i="18"/>
  <c r="D370" i="18"/>
  <c r="E370" i="18"/>
  <c r="F370" i="18"/>
  <c r="G370" i="18"/>
  <c r="H370" i="18"/>
  <c r="I370" i="18"/>
  <c r="J370" i="18"/>
  <c r="A371" i="18"/>
  <c r="B371" i="18"/>
  <c r="C371" i="18"/>
  <c r="D371" i="18"/>
  <c r="E371" i="18"/>
  <c r="F371" i="18"/>
  <c r="G371" i="18"/>
  <c r="H371" i="18"/>
  <c r="I371" i="18"/>
  <c r="J371" i="18"/>
  <c r="A372" i="18"/>
  <c r="B372" i="18"/>
  <c r="C372" i="18"/>
  <c r="D372" i="18"/>
  <c r="E372" i="18"/>
  <c r="F372" i="18"/>
  <c r="G372" i="18"/>
  <c r="H372" i="18"/>
  <c r="I372" i="18"/>
  <c r="J372" i="18"/>
  <c r="A373" i="18"/>
  <c r="B373" i="18"/>
  <c r="C373" i="18"/>
  <c r="D373" i="18"/>
  <c r="E373" i="18"/>
  <c r="F373" i="18"/>
  <c r="G373" i="18"/>
  <c r="H373" i="18"/>
  <c r="I373" i="18"/>
  <c r="J373" i="18"/>
  <c r="A374" i="18"/>
  <c r="B374" i="18"/>
  <c r="C374" i="18"/>
  <c r="D374" i="18"/>
  <c r="E374" i="18"/>
  <c r="F374" i="18"/>
  <c r="G374" i="18"/>
  <c r="H374" i="18"/>
  <c r="I374" i="18"/>
  <c r="J374" i="18"/>
  <c r="A375" i="18"/>
  <c r="B375" i="18"/>
  <c r="C375" i="18"/>
  <c r="D375" i="18"/>
  <c r="E375" i="18"/>
  <c r="F375" i="18"/>
  <c r="G375" i="18"/>
  <c r="H375" i="18"/>
  <c r="I375" i="18"/>
  <c r="J375" i="18"/>
  <c r="A376" i="18"/>
  <c r="B376" i="18"/>
  <c r="C376" i="18"/>
  <c r="D376" i="18"/>
  <c r="E376" i="18"/>
  <c r="F376" i="18"/>
  <c r="G376" i="18"/>
  <c r="H376" i="18"/>
  <c r="I376" i="18"/>
  <c r="J376" i="18"/>
  <c r="A377" i="18"/>
  <c r="B377" i="18"/>
  <c r="C377" i="18"/>
  <c r="D377" i="18"/>
  <c r="E377" i="18"/>
  <c r="F377" i="18"/>
  <c r="G377" i="18"/>
  <c r="H377" i="18"/>
  <c r="I377" i="18"/>
  <c r="J377" i="18"/>
  <c r="A378" i="18"/>
  <c r="B378" i="18"/>
  <c r="C378" i="18"/>
  <c r="D378" i="18"/>
  <c r="E378" i="18"/>
  <c r="F378" i="18"/>
  <c r="G378" i="18"/>
  <c r="H378" i="18"/>
  <c r="I378" i="18"/>
  <c r="J378" i="18"/>
  <c r="A379" i="18"/>
  <c r="B379" i="18"/>
  <c r="C379" i="18"/>
  <c r="D379" i="18"/>
  <c r="E379" i="18"/>
  <c r="F379" i="18"/>
  <c r="G379" i="18"/>
  <c r="H379" i="18"/>
  <c r="I379" i="18"/>
  <c r="J379" i="18"/>
  <c r="A380" i="18"/>
  <c r="B380" i="18"/>
  <c r="C380" i="18"/>
  <c r="D380" i="18"/>
  <c r="E380" i="18"/>
  <c r="F380" i="18"/>
  <c r="G380" i="18"/>
  <c r="H380" i="18"/>
  <c r="I380" i="18"/>
  <c r="J380" i="18"/>
  <c r="A381" i="18"/>
  <c r="B381" i="18"/>
  <c r="C381" i="18"/>
  <c r="D381" i="18"/>
  <c r="E381" i="18"/>
  <c r="F381" i="18"/>
  <c r="G381" i="18"/>
  <c r="H381" i="18"/>
  <c r="I381" i="18"/>
  <c r="J381" i="18"/>
  <c r="A382" i="18"/>
  <c r="B382" i="18"/>
  <c r="C382" i="18"/>
  <c r="D382" i="18"/>
  <c r="E382" i="18"/>
  <c r="F382" i="18"/>
  <c r="G382" i="18"/>
  <c r="H382" i="18"/>
  <c r="I382" i="18"/>
  <c r="J382" i="18"/>
  <c r="A383" i="18"/>
  <c r="B383" i="18"/>
  <c r="C383" i="18"/>
  <c r="D383" i="18"/>
  <c r="E383" i="18"/>
  <c r="F383" i="18"/>
  <c r="G383" i="18"/>
  <c r="H383" i="18"/>
  <c r="I383" i="18"/>
  <c r="J383" i="18"/>
  <c r="A384" i="18"/>
  <c r="B384" i="18"/>
  <c r="C384" i="18"/>
  <c r="D384" i="18"/>
  <c r="E384" i="18"/>
  <c r="F384" i="18"/>
  <c r="G384" i="18"/>
  <c r="H384" i="18"/>
  <c r="I384" i="18"/>
  <c r="J384" i="18"/>
  <c r="A385" i="18"/>
  <c r="B385" i="18"/>
  <c r="C385" i="18"/>
  <c r="D385" i="18"/>
  <c r="E385" i="18"/>
  <c r="F385" i="18"/>
  <c r="G385" i="18"/>
  <c r="H385" i="18"/>
  <c r="I385" i="18"/>
  <c r="J385" i="18"/>
  <c r="A386" i="18"/>
  <c r="B386" i="18"/>
  <c r="C386" i="18"/>
  <c r="D386" i="18"/>
  <c r="E386" i="18"/>
  <c r="F386" i="18"/>
  <c r="G386" i="18"/>
  <c r="H386" i="18"/>
  <c r="I386" i="18"/>
  <c r="J386" i="18"/>
  <c r="A387" i="18"/>
  <c r="B387" i="18"/>
  <c r="C387" i="18"/>
  <c r="D387" i="18"/>
  <c r="E387" i="18"/>
  <c r="F387" i="18"/>
  <c r="G387" i="18"/>
  <c r="H387" i="18"/>
  <c r="I387" i="18"/>
  <c r="J387" i="18"/>
  <c r="A388" i="18"/>
  <c r="B388" i="18"/>
  <c r="C388" i="18"/>
  <c r="D388" i="18"/>
  <c r="E388" i="18"/>
  <c r="F388" i="18"/>
  <c r="G388" i="18"/>
  <c r="H388" i="18"/>
  <c r="I388" i="18"/>
  <c r="J388" i="18"/>
  <c r="A389" i="18"/>
  <c r="B389" i="18"/>
  <c r="C389" i="18"/>
  <c r="D389" i="18"/>
  <c r="E389" i="18"/>
  <c r="F389" i="18"/>
  <c r="G389" i="18"/>
  <c r="H389" i="18"/>
  <c r="I389" i="18"/>
  <c r="J389" i="18"/>
  <c r="A390" i="18"/>
  <c r="B390" i="18"/>
  <c r="C390" i="18"/>
  <c r="D390" i="18"/>
  <c r="E390" i="18"/>
  <c r="F390" i="18"/>
  <c r="G390" i="18"/>
  <c r="H390" i="18"/>
  <c r="I390" i="18"/>
  <c r="J390" i="18"/>
  <c r="A391" i="18"/>
  <c r="B391" i="18"/>
  <c r="C391" i="18"/>
  <c r="D391" i="18"/>
  <c r="E391" i="18"/>
  <c r="F391" i="18"/>
  <c r="G391" i="18"/>
  <c r="H391" i="18"/>
  <c r="I391" i="18"/>
  <c r="J391" i="18"/>
  <c r="A392" i="18"/>
  <c r="B392" i="18"/>
  <c r="C392" i="18"/>
  <c r="D392" i="18"/>
  <c r="E392" i="18"/>
  <c r="F392" i="18"/>
  <c r="G392" i="18"/>
  <c r="H392" i="18"/>
  <c r="I392" i="18"/>
  <c r="J392" i="18"/>
  <c r="A393" i="18"/>
  <c r="B393" i="18"/>
  <c r="C393" i="18"/>
  <c r="D393" i="18"/>
  <c r="E393" i="18"/>
  <c r="F393" i="18"/>
  <c r="G393" i="18"/>
  <c r="H393" i="18"/>
  <c r="I393" i="18"/>
  <c r="J393" i="18"/>
  <c r="A394" i="18"/>
  <c r="B394" i="18"/>
  <c r="C394" i="18"/>
  <c r="D394" i="18"/>
  <c r="E394" i="18"/>
  <c r="F394" i="18"/>
  <c r="G394" i="18"/>
  <c r="H394" i="18"/>
  <c r="I394" i="18"/>
  <c r="J394" i="18"/>
  <c r="A395" i="18"/>
  <c r="B395" i="18"/>
  <c r="C395" i="18"/>
  <c r="D395" i="18"/>
  <c r="E395" i="18"/>
  <c r="F395" i="18"/>
  <c r="G395" i="18"/>
  <c r="H395" i="18"/>
  <c r="I395" i="18"/>
  <c r="J395" i="18"/>
  <c r="A396" i="18"/>
  <c r="B396" i="18"/>
  <c r="C396" i="18"/>
  <c r="D396" i="18"/>
  <c r="E396" i="18"/>
  <c r="F396" i="18"/>
  <c r="G396" i="18"/>
  <c r="H396" i="18"/>
  <c r="I396" i="18"/>
  <c r="J396" i="18"/>
  <c r="A397" i="18"/>
  <c r="B397" i="18"/>
  <c r="C397" i="18"/>
  <c r="D397" i="18"/>
  <c r="E397" i="18"/>
  <c r="F397" i="18"/>
  <c r="G397" i="18"/>
  <c r="H397" i="18"/>
  <c r="I397" i="18"/>
  <c r="J397" i="18"/>
  <c r="A398" i="18"/>
  <c r="B398" i="18"/>
  <c r="C398" i="18"/>
  <c r="D398" i="18"/>
  <c r="E398" i="18"/>
  <c r="F398" i="18"/>
  <c r="G398" i="18"/>
  <c r="H398" i="18"/>
  <c r="I398" i="18"/>
  <c r="J398" i="18"/>
  <c r="A399" i="18"/>
  <c r="B399" i="18"/>
  <c r="C399" i="18"/>
  <c r="D399" i="18"/>
  <c r="E399" i="18"/>
  <c r="F399" i="18"/>
  <c r="G399" i="18"/>
  <c r="H399" i="18"/>
  <c r="I399" i="18"/>
  <c r="J399" i="18"/>
  <c r="A400" i="18"/>
  <c r="B400" i="18"/>
  <c r="C400" i="18"/>
  <c r="D400" i="18"/>
  <c r="E400" i="18"/>
  <c r="F400" i="18"/>
  <c r="G400" i="18"/>
  <c r="H400" i="18"/>
  <c r="I400" i="18"/>
  <c r="J400" i="18"/>
  <c r="A401" i="18"/>
  <c r="B401" i="18"/>
  <c r="C401" i="18"/>
  <c r="D401" i="18"/>
  <c r="E401" i="18"/>
  <c r="F401" i="18"/>
  <c r="G401" i="18"/>
  <c r="H401" i="18"/>
  <c r="I401" i="18"/>
  <c r="J401" i="18"/>
  <c r="A402" i="18"/>
  <c r="B402" i="18"/>
  <c r="C402" i="18"/>
  <c r="D402" i="18"/>
  <c r="E402" i="18"/>
  <c r="F402" i="18"/>
  <c r="G402" i="18"/>
  <c r="H402" i="18"/>
  <c r="I402" i="18"/>
  <c r="J402" i="18"/>
  <c r="A403" i="18"/>
  <c r="B403" i="18"/>
  <c r="C403" i="18"/>
  <c r="D403" i="18"/>
  <c r="E403" i="18"/>
  <c r="F403" i="18"/>
  <c r="G403" i="18"/>
  <c r="H403" i="18"/>
  <c r="I403" i="18"/>
  <c r="J403" i="18"/>
  <c r="A404" i="18"/>
  <c r="B404" i="18"/>
  <c r="C404" i="18"/>
  <c r="D404" i="18"/>
  <c r="E404" i="18"/>
  <c r="F404" i="18"/>
  <c r="G404" i="18"/>
  <c r="H404" i="18"/>
  <c r="I404" i="18"/>
  <c r="J404" i="18"/>
  <c r="A405" i="18"/>
  <c r="B405" i="18"/>
  <c r="C405" i="18"/>
  <c r="D405" i="18"/>
  <c r="E405" i="18"/>
  <c r="F405" i="18"/>
  <c r="G405" i="18"/>
  <c r="H405" i="18"/>
  <c r="I405" i="18"/>
  <c r="J405" i="18"/>
  <c r="A406" i="18"/>
  <c r="B406" i="18"/>
  <c r="C406" i="18"/>
  <c r="D406" i="18"/>
  <c r="E406" i="18"/>
  <c r="F406" i="18"/>
  <c r="G406" i="18"/>
  <c r="H406" i="18"/>
  <c r="I406" i="18"/>
  <c r="J406" i="18"/>
  <c r="A407" i="18"/>
  <c r="B407" i="18"/>
  <c r="C407" i="18"/>
  <c r="D407" i="18"/>
  <c r="E407" i="18"/>
  <c r="F407" i="18"/>
  <c r="G407" i="18"/>
  <c r="H407" i="18"/>
  <c r="I407" i="18"/>
  <c r="J407" i="18"/>
  <c r="A408" i="18"/>
  <c r="B408" i="18"/>
  <c r="C408" i="18"/>
  <c r="D408" i="18"/>
  <c r="E408" i="18"/>
  <c r="F408" i="18"/>
  <c r="G408" i="18"/>
  <c r="H408" i="18"/>
  <c r="I408" i="18"/>
  <c r="J408" i="18"/>
  <c r="A409" i="18"/>
  <c r="B409" i="18"/>
  <c r="C409" i="18"/>
  <c r="D409" i="18"/>
  <c r="E409" i="18"/>
  <c r="F409" i="18"/>
  <c r="G409" i="18"/>
  <c r="H409" i="18"/>
  <c r="I409" i="18"/>
  <c r="J409" i="18"/>
  <c r="A410" i="18"/>
  <c r="B410" i="18"/>
  <c r="C410" i="18"/>
  <c r="D410" i="18"/>
  <c r="E410" i="18"/>
  <c r="F410" i="18"/>
  <c r="G410" i="18"/>
  <c r="H410" i="18"/>
  <c r="I410" i="18"/>
  <c r="J410" i="18"/>
  <c r="A411" i="18"/>
  <c r="B411" i="18"/>
  <c r="C411" i="18"/>
  <c r="D411" i="18"/>
  <c r="E411" i="18"/>
  <c r="F411" i="18"/>
  <c r="G411" i="18"/>
  <c r="H411" i="18"/>
  <c r="I411" i="18"/>
  <c r="J411" i="18"/>
  <c r="A412" i="18"/>
  <c r="B412" i="18"/>
  <c r="C412" i="18"/>
  <c r="D412" i="18"/>
  <c r="E412" i="18"/>
  <c r="F412" i="18"/>
  <c r="G412" i="18"/>
  <c r="H412" i="18"/>
  <c r="I412" i="18"/>
  <c r="J412" i="18"/>
  <c r="A413" i="18"/>
  <c r="B413" i="18"/>
  <c r="C413" i="18"/>
  <c r="D413" i="18"/>
  <c r="E413" i="18"/>
  <c r="F413" i="18"/>
  <c r="G413" i="18"/>
  <c r="H413" i="18"/>
  <c r="I413" i="18"/>
  <c r="J413" i="18"/>
  <c r="A414" i="18"/>
  <c r="B414" i="18"/>
  <c r="C414" i="18"/>
  <c r="D414" i="18"/>
  <c r="E414" i="18"/>
  <c r="F414" i="18"/>
  <c r="G414" i="18"/>
  <c r="H414" i="18"/>
  <c r="I414" i="18"/>
  <c r="J414" i="18"/>
  <c r="A415" i="18"/>
  <c r="B415" i="18"/>
  <c r="C415" i="18"/>
  <c r="D415" i="18"/>
  <c r="E415" i="18"/>
  <c r="F415" i="18"/>
  <c r="G415" i="18"/>
  <c r="H415" i="18"/>
  <c r="I415" i="18"/>
  <c r="J415" i="18"/>
  <c r="A416" i="18"/>
  <c r="B416" i="18"/>
  <c r="C416" i="18"/>
  <c r="D416" i="18"/>
  <c r="E416" i="18"/>
  <c r="F416" i="18"/>
  <c r="G416" i="18"/>
  <c r="H416" i="18"/>
  <c r="I416" i="18"/>
  <c r="J416" i="18"/>
  <c r="A417" i="18"/>
  <c r="B417" i="18"/>
  <c r="C417" i="18"/>
  <c r="D417" i="18"/>
  <c r="E417" i="18"/>
  <c r="F417" i="18"/>
  <c r="G417" i="18"/>
  <c r="H417" i="18"/>
  <c r="I417" i="18"/>
  <c r="J417" i="18"/>
  <c r="A418" i="18"/>
  <c r="B418" i="18"/>
  <c r="C418" i="18"/>
  <c r="D418" i="18"/>
  <c r="E418" i="18"/>
  <c r="F418" i="18"/>
  <c r="G418" i="18"/>
  <c r="H418" i="18"/>
  <c r="I418" i="18"/>
  <c r="J418" i="18"/>
  <c r="A419" i="18"/>
  <c r="B419" i="18"/>
  <c r="C419" i="18"/>
  <c r="D419" i="18"/>
  <c r="E419" i="18"/>
  <c r="F419" i="18"/>
  <c r="G419" i="18"/>
  <c r="H419" i="18"/>
  <c r="I419" i="18"/>
  <c r="J419" i="18"/>
  <c r="A420" i="18"/>
  <c r="B420" i="18"/>
  <c r="C420" i="18"/>
  <c r="D420" i="18"/>
  <c r="E420" i="18"/>
  <c r="F420" i="18"/>
  <c r="G420" i="18"/>
  <c r="H420" i="18"/>
  <c r="I420" i="18"/>
  <c r="J420" i="18"/>
  <c r="A421" i="18"/>
  <c r="B421" i="18"/>
  <c r="C421" i="18"/>
  <c r="D421" i="18"/>
  <c r="E421" i="18"/>
  <c r="F421" i="18"/>
  <c r="G421" i="18"/>
  <c r="H421" i="18"/>
  <c r="I421" i="18"/>
  <c r="J421" i="18"/>
  <c r="A422" i="18"/>
  <c r="B422" i="18"/>
  <c r="C422" i="18"/>
  <c r="D422" i="18"/>
  <c r="E422" i="18"/>
  <c r="F422" i="18"/>
  <c r="G422" i="18"/>
  <c r="H422" i="18"/>
  <c r="I422" i="18"/>
  <c r="J422" i="18"/>
  <c r="A423" i="18"/>
  <c r="B423" i="18"/>
  <c r="C423" i="18"/>
  <c r="D423" i="18"/>
  <c r="E423" i="18"/>
  <c r="F423" i="18"/>
  <c r="G423" i="18"/>
  <c r="H423" i="18"/>
  <c r="I423" i="18"/>
  <c r="J423" i="18"/>
  <c r="A424" i="18"/>
  <c r="B424" i="18"/>
  <c r="C424" i="18"/>
  <c r="D424" i="18"/>
  <c r="E424" i="18"/>
  <c r="F424" i="18"/>
  <c r="G424" i="18"/>
  <c r="H424" i="18"/>
  <c r="I424" i="18"/>
  <c r="J424" i="18"/>
  <c r="A425" i="18"/>
  <c r="B425" i="18"/>
  <c r="C425" i="18"/>
  <c r="D425" i="18"/>
  <c r="E425" i="18"/>
  <c r="F425" i="18"/>
  <c r="G425" i="18"/>
  <c r="H425" i="18"/>
  <c r="I425" i="18"/>
  <c r="J425" i="18"/>
  <c r="A426" i="18"/>
  <c r="B426" i="18"/>
  <c r="C426" i="18"/>
  <c r="D426" i="18"/>
  <c r="E426" i="18"/>
  <c r="F426" i="18"/>
  <c r="G426" i="18"/>
  <c r="H426" i="18"/>
  <c r="I426" i="18"/>
  <c r="J426" i="18"/>
  <c r="A427" i="18"/>
  <c r="B427" i="18"/>
  <c r="C427" i="18"/>
  <c r="D427" i="18"/>
  <c r="E427" i="18"/>
  <c r="F427" i="18"/>
  <c r="G427" i="18"/>
  <c r="H427" i="18"/>
  <c r="I427" i="18"/>
  <c r="J427" i="18"/>
  <c r="A428" i="18"/>
  <c r="B428" i="18"/>
  <c r="C428" i="18"/>
  <c r="D428" i="18"/>
  <c r="E428" i="18"/>
  <c r="F428" i="18"/>
  <c r="G428" i="18"/>
  <c r="H428" i="18"/>
  <c r="I428" i="18"/>
  <c r="J428" i="18"/>
  <c r="A429" i="18"/>
  <c r="B429" i="18"/>
  <c r="C429" i="18"/>
  <c r="D429" i="18"/>
  <c r="E429" i="18"/>
  <c r="F429" i="18"/>
  <c r="G429" i="18"/>
  <c r="H429" i="18"/>
  <c r="I429" i="18"/>
  <c r="J429" i="18"/>
  <c r="A430" i="18"/>
  <c r="B430" i="18"/>
  <c r="C430" i="18"/>
  <c r="D430" i="18"/>
  <c r="E430" i="18"/>
  <c r="F430" i="18"/>
  <c r="G430" i="18"/>
  <c r="H430" i="18"/>
  <c r="I430" i="18"/>
  <c r="J430" i="18"/>
  <c r="A431" i="18"/>
  <c r="B431" i="18"/>
  <c r="C431" i="18"/>
  <c r="D431" i="18"/>
  <c r="E431" i="18"/>
  <c r="F431" i="18"/>
  <c r="G431" i="18"/>
  <c r="H431" i="18"/>
  <c r="I431" i="18"/>
  <c r="J431" i="18"/>
  <c r="A432" i="18"/>
  <c r="B432" i="18"/>
  <c r="C432" i="18"/>
  <c r="D432" i="18"/>
  <c r="E432" i="18"/>
  <c r="F432" i="18"/>
  <c r="G432" i="18"/>
  <c r="H432" i="18"/>
  <c r="I432" i="18"/>
  <c r="J432" i="18"/>
  <c r="A433" i="18"/>
  <c r="B433" i="18"/>
  <c r="C433" i="18"/>
  <c r="D433" i="18"/>
  <c r="E433" i="18"/>
  <c r="F433" i="18"/>
  <c r="G433" i="18"/>
  <c r="H433" i="18"/>
  <c r="I433" i="18"/>
  <c r="J433" i="18"/>
  <c r="A434" i="18"/>
  <c r="B434" i="18"/>
  <c r="C434" i="18"/>
  <c r="D434" i="18"/>
  <c r="E434" i="18"/>
  <c r="F434" i="18"/>
  <c r="G434" i="18"/>
  <c r="H434" i="18"/>
  <c r="I434" i="18"/>
  <c r="J434" i="18"/>
  <c r="A435" i="18"/>
  <c r="B435" i="18"/>
  <c r="C435" i="18"/>
  <c r="D435" i="18"/>
  <c r="E435" i="18"/>
  <c r="F435" i="18"/>
  <c r="G435" i="18"/>
  <c r="H435" i="18"/>
  <c r="I435" i="18"/>
  <c r="J435" i="18"/>
  <c r="A436" i="18"/>
  <c r="B436" i="18"/>
  <c r="C436" i="18"/>
  <c r="D436" i="18"/>
  <c r="E436" i="18"/>
  <c r="F436" i="18"/>
  <c r="G436" i="18"/>
  <c r="H436" i="18"/>
  <c r="I436" i="18"/>
  <c r="J436" i="18"/>
  <c r="A437" i="18"/>
  <c r="B437" i="18"/>
  <c r="C437" i="18"/>
  <c r="D437" i="18"/>
  <c r="E437" i="18"/>
  <c r="F437" i="18"/>
  <c r="G437" i="18"/>
  <c r="H437" i="18"/>
  <c r="I437" i="18"/>
  <c r="J437" i="18"/>
  <c r="A438" i="18"/>
  <c r="B438" i="18"/>
  <c r="C438" i="18"/>
  <c r="D438" i="18"/>
  <c r="E438" i="18"/>
  <c r="F438" i="18"/>
  <c r="G438" i="18"/>
  <c r="H438" i="18"/>
  <c r="I438" i="18"/>
  <c r="J438" i="18"/>
  <c r="A439" i="18"/>
  <c r="B439" i="18"/>
  <c r="C439" i="18"/>
  <c r="D439" i="18"/>
  <c r="E439" i="18"/>
  <c r="F439" i="18"/>
  <c r="G439" i="18"/>
  <c r="H439" i="18"/>
  <c r="I439" i="18"/>
  <c r="J439" i="18"/>
  <c r="A440" i="18"/>
  <c r="B440" i="18"/>
  <c r="C440" i="18"/>
  <c r="D440" i="18"/>
  <c r="E440" i="18"/>
  <c r="F440" i="18"/>
  <c r="G440" i="18"/>
  <c r="H440" i="18"/>
  <c r="I440" i="18"/>
  <c r="J440" i="18"/>
  <c r="A441" i="18"/>
  <c r="B441" i="18"/>
  <c r="C441" i="18"/>
  <c r="D441" i="18"/>
  <c r="E441" i="18"/>
  <c r="F441" i="18"/>
  <c r="G441" i="18"/>
  <c r="H441" i="18"/>
  <c r="I441" i="18"/>
  <c r="J441" i="18"/>
  <c r="A442" i="18"/>
  <c r="B442" i="18"/>
  <c r="C442" i="18"/>
  <c r="D442" i="18"/>
  <c r="E442" i="18"/>
  <c r="F442" i="18"/>
  <c r="G442" i="18"/>
  <c r="H442" i="18"/>
  <c r="I442" i="18"/>
  <c r="J442" i="18"/>
  <c r="A443" i="18"/>
  <c r="B443" i="18"/>
  <c r="C443" i="18"/>
  <c r="D443" i="18"/>
  <c r="E443" i="18"/>
  <c r="F443" i="18"/>
  <c r="G443" i="18"/>
  <c r="H443" i="18"/>
  <c r="I443" i="18"/>
  <c r="J443" i="18"/>
  <c r="A444" i="18"/>
  <c r="B444" i="18"/>
  <c r="C444" i="18"/>
  <c r="D444" i="18"/>
  <c r="E444" i="18"/>
  <c r="F444" i="18"/>
  <c r="G444" i="18"/>
  <c r="H444" i="18"/>
  <c r="I444" i="18"/>
  <c r="J444" i="18"/>
  <c r="A445" i="18"/>
  <c r="B445" i="18"/>
  <c r="C445" i="18"/>
  <c r="D445" i="18"/>
  <c r="E445" i="18"/>
  <c r="F445" i="18"/>
  <c r="G445" i="18"/>
  <c r="H445" i="18"/>
  <c r="I445" i="18"/>
  <c r="J445" i="18"/>
  <c r="A446" i="18"/>
  <c r="B446" i="18"/>
  <c r="C446" i="18"/>
  <c r="D446" i="18"/>
  <c r="E446" i="18"/>
  <c r="F446" i="18"/>
  <c r="G446" i="18"/>
  <c r="H446" i="18"/>
  <c r="I446" i="18"/>
  <c r="J446" i="18"/>
  <c r="A447" i="18"/>
  <c r="B447" i="18"/>
  <c r="C447" i="18"/>
  <c r="D447" i="18"/>
  <c r="E447" i="18"/>
  <c r="F447" i="18"/>
  <c r="G447" i="18"/>
  <c r="H447" i="18"/>
  <c r="I447" i="18"/>
  <c r="J447" i="18"/>
  <c r="A448" i="18"/>
  <c r="B448" i="18"/>
  <c r="C448" i="18"/>
  <c r="D448" i="18"/>
  <c r="E448" i="18"/>
  <c r="F448" i="18"/>
  <c r="G448" i="18"/>
  <c r="H448" i="18"/>
  <c r="I448" i="18"/>
  <c r="J448" i="18"/>
  <c r="A449" i="18"/>
  <c r="B449" i="18"/>
  <c r="C449" i="18"/>
  <c r="D449" i="18"/>
  <c r="E449" i="18"/>
  <c r="F449" i="18"/>
  <c r="G449" i="18"/>
  <c r="H449" i="18"/>
  <c r="I449" i="18"/>
  <c r="J449" i="18"/>
  <c r="A450" i="18"/>
  <c r="B450" i="18"/>
  <c r="C450" i="18"/>
  <c r="D450" i="18"/>
  <c r="E450" i="18"/>
  <c r="F450" i="18"/>
  <c r="G450" i="18"/>
  <c r="H450" i="18"/>
  <c r="I450" i="18"/>
  <c r="J450" i="18"/>
  <c r="A451" i="18"/>
  <c r="B451" i="18"/>
  <c r="C451" i="18"/>
  <c r="D451" i="18"/>
  <c r="E451" i="18"/>
  <c r="F451" i="18"/>
  <c r="G451" i="18"/>
  <c r="H451" i="18"/>
  <c r="I451" i="18"/>
  <c r="J451" i="18"/>
  <c r="A452" i="18"/>
  <c r="B452" i="18"/>
  <c r="C452" i="18"/>
  <c r="D452" i="18"/>
  <c r="E452" i="18"/>
  <c r="F452" i="18"/>
  <c r="G452" i="18"/>
  <c r="H452" i="18"/>
  <c r="I452" i="18"/>
  <c r="J452" i="18"/>
  <c r="A453" i="18"/>
  <c r="B453" i="18"/>
  <c r="C453" i="18"/>
  <c r="D453" i="18"/>
  <c r="E453" i="18"/>
  <c r="F453" i="18"/>
  <c r="G453" i="18"/>
  <c r="H453" i="18"/>
  <c r="I453" i="18"/>
  <c r="J453" i="18"/>
  <c r="A454" i="18"/>
  <c r="B454" i="18"/>
  <c r="C454" i="18"/>
  <c r="D454" i="18"/>
  <c r="E454" i="18"/>
  <c r="F454" i="18"/>
  <c r="G454" i="18"/>
  <c r="H454" i="18"/>
  <c r="I454" i="18"/>
  <c r="J454" i="18"/>
  <c r="A455" i="18"/>
  <c r="B455" i="18"/>
  <c r="C455" i="18"/>
  <c r="D455" i="18"/>
  <c r="E455" i="18"/>
  <c r="F455" i="18"/>
  <c r="G455" i="18"/>
  <c r="H455" i="18"/>
  <c r="I455" i="18"/>
  <c r="J455" i="18"/>
  <c r="A456" i="18"/>
  <c r="B456" i="18"/>
  <c r="C456" i="18"/>
  <c r="D456" i="18"/>
  <c r="E456" i="18"/>
  <c r="F456" i="18"/>
  <c r="G456" i="18"/>
  <c r="H456" i="18"/>
  <c r="I456" i="18"/>
  <c r="J456" i="18"/>
  <c r="A457" i="18"/>
  <c r="B457" i="18"/>
  <c r="C457" i="18"/>
  <c r="D457" i="18"/>
  <c r="E457" i="18"/>
  <c r="F457" i="18"/>
  <c r="G457" i="18"/>
  <c r="H457" i="18"/>
  <c r="I457" i="18"/>
  <c r="J457" i="18"/>
  <c r="A458" i="18"/>
  <c r="B458" i="18"/>
  <c r="C458" i="18"/>
  <c r="D458" i="18"/>
  <c r="E458" i="18"/>
  <c r="F458" i="18"/>
  <c r="G458" i="18"/>
  <c r="H458" i="18"/>
  <c r="I458" i="18"/>
  <c r="J458" i="18"/>
  <c r="A459" i="18"/>
  <c r="B459" i="18"/>
  <c r="C459" i="18"/>
  <c r="D459" i="18"/>
  <c r="E459" i="18"/>
  <c r="F459" i="18"/>
  <c r="G459" i="18"/>
  <c r="H459" i="18"/>
  <c r="I459" i="18"/>
  <c r="J459" i="18"/>
  <c r="A460" i="18"/>
  <c r="B460" i="18"/>
  <c r="C460" i="18"/>
  <c r="D460" i="18"/>
  <c r="E460" i="18"/>
  <c r="F460" i="18"/>
  <c r="G460" i="18"/>
  <c r="H460" i="18"/>
  <c r="I460" i="18"/>
  <c r="J460" i="18"/>
  <c r="A461" i="18"/>
  <c r="B461" i="18"/>
  <c r="C461" i="18"/>
  <c r="D461" i="18"/>
  <c r="E461" i="18"/>
  <c r="F461" i="18"/>
  <c r="G461" i="18"/>
  <c r="H461" i="18"/>
  <c r="I461" i="18"/>
  <c r="J461" i="18"/>
  <c r="A462" i="18"/>
  <c r="B462" i="18"/>
  <c r="C462" i="18"/>
  <c r="D462" i="18"/>
  <c r="E462" i="18"/>
  <c r="F462" i="18"/>
  <c r="G462" i="18"/>
  <c r="H462" i="18"/>
  <c r="I462" i="18"/>
  <c r="J462" i="18"/>
  <c r="A463" i="18"/>
  <c r="B463" i="18"/>
  <c r="C463" i="18"/>
  <c r="D463" i="18"/>
  <c r="E463" i="18"/>
  <c r="F463" i="18"/>
  <c r="G463" i="18"/>
  <c r="H463" i="18"/>
  <c r="I463" i="18"/>
  <c r="J463" i="18"/>
  <c r="A464" i="18"/>
  <c r="B464" i="18"/>
  <c r="C464" i="18"/>
  <c r="D464" i="18"/>
  <c r="E464" i="18"/>
  <c r="F464" i="18"/>
  <c r="G464" i="18"/>
  <c r="H464" i="18"/>
  <c r="I464" i="18"/>
  <c r="J464" i="18"/>
  <c r="A465" i="18"/>
  <c r="B465" i="18"/>
  <c r="C465" i="18"/>
  <c r="D465" i="18"/>
  <c r="E465" i="18"/>
  <c r="F465" i="18"/>
  <c r="G465" i="18"/>
  <c r="H465" i="18"/>
  <c r="I465" i="18"/>
  <c r="J465" i="18"/>
  <c r="A466" i="18"/>
  <c r="B466" i="18"/>
  <c r="C466" i="18"/>
  <c r="D466" i="18"/>
  <c r="E466" i="18"/>
  <c r="F466" i="18"/>
  <c r="G466" i="18"/>
  <c r="H466" i="18"/>
  <c r="I466" i="18"/>
  <c r="J466" i="18"/>
  <c r="A467" i="18"/>
  <c r="B467" i="18"/>
  <c r="C467" i="18"/>
  <c r="D467" i="18"/>
  <c r="E467" i="18"/>
  <c r="F467" i="18"/>
  <c r="G467" i="18"/>
  <c r="H467" i="18"/>
  <c r="I467" i="18"/>
  <c r="J467" i="18"/>
  <c r="A468" i="18"/>
  <c r="B468" i="18"/>
  <c r="C468" i="18"/>
  <c r="D468" i="18"/>
  <c r="E468" i="18"/>
  <c r="F468" i="18"/>
  <c r="G468" i="18"/>
  <c r="H468" i="18"/>
  <c r="I468" i="18"/>
  <c r="J468" i="18"/>
  <c r="A469" i="18"/>
  <c r="B469" i="18"/>
  <c r="C469" i="18"/>
  <c r="D469" i="18"/>
  <c r="E469" i="18"/>
  <c r="F469" i="18"/>
  <c r="G469" i="18"/>
  <c r="H469" i="18"/>
  <c r="I469" i="18"/>
  <c r="J469" i="18"/>
  <c r="A470" i="18"/>
  <c r="B470" i="18"/>
  <c r="C470" i="18"/>
  <c r="D470" i="18"/>
  <c r="E470" i="18"/>
  <c r="F470" i="18"/>
  <c r="G470" i="18"/>
  <c r="H470" i="18"/>
  <c r="I470" i="18"/>
  <c r="J470" i="18"/>
  <c r="A471" i="18"/>
  <c r="B471" i="18"/>
  <c r="C471" i="18"/>
  <c r="D471" i="18"/>
  <c r="E471" i="18"/>
  <c r="F471" i="18"/>
  <c r="G471" i="18"/>
  <c r="H471" i="18"/>
  <c r="I471" i="18"/>
  <c r="J471" i="18"/>
  <c r="A472" i="18"/>
  <c r="B472" i="18"/>
  <c r="C472" i="18"/>
  <c r="D472" i="18"/>
  <c r="E472" i="18"/>
  <c r="F472" i="18"/>
  <c r="G472" i="18"/>
  <c r="H472" i="18"/>
  <c r="I472" i="18"/>
  <c r="J472" i="18"/>
  <c r="A473" i="18"/>
  <c r="B473" i="18"/>
  <c r="C473" i="18"/>
  <c r="D473" i="18"/>
  <c r="E473" i="18"/>
  <c r="F473" i="18"/>
  <c r="G473" i="18"/>
  <c r="H473" i="18"/>
  <c r="I473" i="18"/>
  <c r="J473" i="18"/>
  <c r="A474" i="18"/>
  <c r="B474" i="18"/>
  <c r="C474" i="18"/>
  <c r="D474" i="18"/>
  <c r="E474" i="18"/>
  <c r="F474" i="18"/>
  <c r="G474" i="18"/>
  <c r="H474" i="18"/>
  <c r="I474" i="18"/>
  <c r="J474" i="18"/>
  <c r="A475" i="18"/>
  <c r="B475" i="18"/>
  <c r="C475" i="18"/>
  <c r="D475" i="18"/>
  <c r="E475" i="18"/>
  <c r="F475" i="18"/>
  <c r="G475" i="18"/>
  <c r="H475" i="18"/>
  <c r="I475" i="18"/>
  <c r="J475" i="18"/>
  <c r="A476" i="18"/>
  <c r="B476" i="18"/>
  <c r="C476" i="18"/>
  <c r="D476" i="18"/>
  <c r="E476" i="18"/>
  <c r="F476" i="18"/>
  <c r="G476" i="18"/>
  <c r="H476" i="18"/>
  <c r="I476" i="18"/>
  <c r="J476" i="18"/>
  <c r="A477" i="18"/>
  <c r="B477" i="18"/>
  <c r="C477" i="18"/>
  <c r="D477" i="18"/>
  <c r="E477" i="18"/>
  <c r="F477" i="18"/>
  <c r="G477" i="18"/>
  <c r="H477" i="18"/>
  <c r="I477" i="18"/>
  <c r="J477" i="18"/>
  <c r="A478" i="18"/>
  <c r="B478" i="18"/>
  <c r="C478" i="18"/>
  <c r="D478" i="18"/>
  <c r="E478" i="18"/>
  <c r="F478" i="18"/>
  <c r="G478" i="18"/>
  <c r="H478" i="18"/>
  <c r="I478" i="18"/>
  <c r="J478" i="18"/>
  <c r="A479" i="18"/>
  <c r="B479" i="18"/>
  <c r="C479" i="18"/>
  <c r="D479" i="18"/>
  <c r="E479" i="18"/>
  <c r="F479" i="18"/>
  <c r="G479" i="18"/>
  <c r="H479" i="18"/>
  <c r="I479" i="18"/>
  <c r="J479" i="18"/>
  <c r="A480" i="18"/>
  <c r="B480" i="18"/>
  <c r="C480" i="18"/>
  <c r="D480" i="18"/>
  <c r="E480" i="18"/>
  <c r="F480" i="18"/>
  <c r="G480" i="18"/>
  <c r="H480" i="18"/>
  <c r="I480" i="18"/>
  <c r="J480" i="18"/>
  <c r="A481" i="18"/>
  <c r="B481" i="18"/>
  <c r="C481" i="18"/>
  <c r="D481" i="18"/>
  <c r="E481" i="18"/>
  <c r="F481" i="18"/>
  <c r="G481" i="18"/>
  <c r="H481" i="18"/>
  <c r="I481" i="18"/>
  <c r="J481" i="18"/>
  <c r="A482" i="18"/>
  <c r="B482" i="18"/>
  <c r="C482" i="18"/>
  <c r="D482" i="18"/>
  <c r="E482" i="18"/>
  <c r="F482" i="18"/>
  <c r="G482" i="18"/>
  <c r="H482" i="18"/>
  <c r="I482" i="18"/>
  <c r="J482" i="18"/>
  <c r="A483" i="18"/>
  <c r="B483" i="18"/>
  <c r="C483" i="18"/>
  <c r="D483" i="18"/>
  <c r="E483" i="18"/>
  <c r="F483" i="18"/>
  <c r="G483" i="18"/>
  <c r="H483" i="18"/>
  <c r="I483" i="18"/>
  <c r="J483" i="18"/>
  <c r="A484" i="18"/>
  <c r="B484" i="18"/>
  <c r="C484" i="18"/>
  <c r="D484" i="18"/>
  <c r="E484" i="18"/>
  <c r="F484" i="18"/>
  <c r="G484" i="18"/>
  <c r="H484" i="18"/>
  <c r="I484" i="18"/>
  <c r="J484" i="18"/>
  <c r="A485" i="18"/>
  <c r="B485" i="18"/>
  <c r="C485" i="18"/>
  <c r="D485" i="18"/>
  <c r="E485" i="18"/>
  <c r="F485" i="18"/>
  <c r="G485" i="18"/>
  <c r="H485" i="18"/>
  <c r="I485" i="18"/>
  <c r="J485" i="18"/>
  <c r="A486" i="18"/>
  <c r="B486" i="18"/>
  <c r="C486" i="18"/>
  <c r="D486" i="18"/>
  <c r="E486" i="18"/>
  <c r="F486" i="18"/>
  <c r="G486" i="18"/>
  <c r="H486" i="18"/>
  <c r="I486" i="18"/>
  <c r="J486" i="18"/>
  <c r="A487" i="18"/>
  <c r="B487" i="18"/>
  <c r="C487" i="18"/>
  <c r="D487" i="18"/>
  <c r="E487" i="18"/>
  <c r="F487" i="18"/>
  <c r="G487" i="18"/>
  <c r="H487" i="18"/>
  <c r="I487" i="18"/>
  <c r="J487" i="18"/>
  <c r="A488" i="18"/>
  <c r="B488" i="18"/>
  <c r="C488" i="18"/>
  <c r="D488" i="18"/>
  <c r="E488" i="18"/>
  <c r="F488" i="18"/>
  <c r="G488" i="18"/>
  <c r="H488" i="18"/>
  <c r="I488" i="18"/>
  <c r="J488" i="18"/>
  <c r="A489" i="18"/>
  <c r="B489" i="18"/>
  <c r="C489" i="18"/>
  <c r="D489" i="18"/>
  <c r="E489" i="18"/>
  <c r="F489" i="18"/>
  <c r="G489" i="18"/>
  <c r="H489" i="18"/>
  <c r="I489" i="18"/>
  <c r="J489" i="18"/>
  <c r="A490" i="18"/>
  <c r="B490" i="18"/>
  <c r="C490" i="18"/>
  <c r="D490" i="18"/>
  <c r="E490" i="18"/>
  <c r="F490" i="18"/>
  <c r="G490" i="18"/>
  <c r="H490" i="18"/>
  <c r="I490" i="18"/>
  <c r="J490" i="18"/>
  <c r="A491" i="18"/>
  <c r="B491" i="18"/>
  <c r="C491" i="18"/>
  <c r="D491" i="18"/>
  <c r="E491" i="18"/>
  <c r="F491" i="18"/>
  <c r="G491" i="18"/>
  <c r="H491" i="18"/>
  <c r="I491" i="18"/>
  <c r="J491" i="18"/>
  <c r="A492" i="18"/>
  <c r="B492" i="18"/>
  <c r="C492" i="18"/>
  <c r="D492" i="18"/>
  <c r="E492" i="18"/>
  <c r="F492" i="18"/>
  <c r="G492" i="18"/>
  <c r="H492" i="18"/>
  <c r="I492" i="18"/>
  <c r="J492" i="18"/>
  <c r="A493" i="18"/>
  <c r="B493" i="18"/>
  <c r="C493" i="18"/>
  <c r="D493" i="18"/>
  <c r="E493" i="18"/>
  <c r="F493" i="18"/>
  <c r="G493" i="18"/>
  <c r="H493" i="18"/>
  <c r="I493" i="18"/>
  <c r="J493" i="18"/>
  <c r="A494" i="18"/>
  <c r="B494" i="18"/>
  <c r="C494" i="18"/>
  <c r="D494" i="18"/>
  <c r="E494" i="18"/>
  <c r="F494" i="18"/>
  <c r="G494" i="18"/>
  <c r="H494" i="18"/>
  <c r="I494" i="18"/>
  <c r="J494" i="18"/>
  <c r="A495" i="18"/>
  <c r="B495" i="18"/>
  <c r="C495" i="18"/>
  <c r="D495" i="18"/>
  <c r="E495" i="18"/>
  <c r="F495" i="18"/>
  <c r="G495" i="18"/>
  <c r="H495" i="18"/>
  <c r="I495" i="18"/>
  <c r="J495" i="18"/>
  <c r="A496" i="18"/>
  <c r="B496" i="18"/>
  <c r="C496" i="18"/>
  <c r="D496" i="18"/>
  <c r="E496" i="18"/>
  <c r="F496" i="18"/>
  <c r="G496" i="18"/>
  <c r="H496" i="18"/>
  <c r="I496" i="18"/>
  <c r="J496" i="18"/>
  <c r="A497" i="18"/>
  <c r="B497" i="18"/>
  <c r="C497" i="18"/>
  <c r="D497" i="18"/>
  <c r="E497" i="18"/>
  <c r="F497" i="18"/>
  <c r="G497" i="18"/>
  <c r="H497" i="18"/>
  <c r="I497" i="18"/>
  <c r="J497" i="18"/>
  <c r="A498" i="18"/>
  <c r="B498" i="18"/>
  <c r="C498" i="18"/>
  <c r="D498" i="18"/>
  <c r="E498" i="18"/>
  <c r="F498" i="18"/>
  <c r="G498" i="18"/>
  <c r="H498" i="18"/>
  <c r="I498" i="18"/>
  <c r="J498" i="18"/>
  <c r="A499" i="18"/>
  <c r="B499" i="18"/>
  <c r="C499" i="18"/>
  <c r="D499" i="18"/>
  <c r="E499" i="18"/>
  <c r="F499" i="18"/>
  <c r="G499" i="18"/>
  <c r="H499" i="18"/>
  <c r="I499" i="18"/>
  <c r="J499" i="18"/>
  <c r="A500" i="18"/>
  <c r="B500" i="18"/>
  <c r="C500" i="18"/>
  <c r="D500" i="18"/>
  <c r="E500" i="18"/>
  <c r="F500" i="18"/>
  <c r="G500" i="18"/>
  <c r="H500" i="18"/>
  <c r="I500" i="18"/>
  <c r="J500" i="18"/>
  <c r="A501" i="18"/>
  <c r="B501" i="18"/>
  <c r="C501" i="18"/>
  <c r="D501" i="18"/>
  <c r="E501" i="18"/>
  <c r="F501" i="18"/>
  <c r="G501" i="18"/>
  <c r="H501" i="18"/>
  <c r="I501" i="18"/>
  <c r="J501" i="18"/>
  <c r="A502" i="18"/>
  <c r="B502" i="18"/>
  <c r="C502" i="18"/>
  <c r="D502" i="18"/>
  <c r="E502" i="18"/>
  <c r="F502" i="18"/>
  <c r="G502" i="18"/>
  <c r="H502" i="18"/>
  <c r="I502" i="18"/>
  <c r="J502" i="18"/>
  <c r="A503" i="18"/>
  <c r="B503" i="18"/>
  <c r="C503" i="18"/>
  <c r="D503" i="18"/>
  <c r="E503" i="18"/>
  <c r="F503" i="18"/>
  <c r="G503" i="18"/>
  <c r="H503" i="18"/>
  <c r="I503" i="18"/>
  <c r="J503" i="18"/>
  <c r="A504" i="18"/>
  <c r="B504" i="18"/>
  <c r="C504" i="18"/>
  <c r="D504" i="18"/>
  <c r="E504" i="18"/>
  <c r="F504" i="18"/>
  <c r="G504" i="18"/>
  <c r="H504" i="18"/>
  <c r="I504" i="18"/>
  <c r="J504" i="18"/>
  <c r="A505" i="18"/>
  <c r="B505" i="18"/>
  <c r="C505" i="18"/>
  <c r="D505" i="18"/>
  <c r="E505" i="18"/>
  <c r="F505" i="18"/>
  <c r="G505" i="18"/>
  <c r="H505" i="18"/>
  <c r="I505" i="18"/>
  <c r="J505" i="18"/>
  <c r="A506" i="18"/>
  <c r="B506" i="18"/>
  <c r="C506" i="18"/>
  <c r="D506" i="18"/>
  <c r="E506" i="18"/>
  <c r="F506" i="18"/>
  <c r="G506" i="18"/>
  <c r="H506" i="18"/>
  <c r="I506" i="18"/>
  <c r="J506" i="18"/>
  <c r="A507" i="18"/>
  <c r="B507" i="18"/>
  <c r="C507" i="18"/>
  <c r="D507" i="18"/>
  <c r="E507" i="18"/>
  <c r="F507" i="18"/>
  <c r="G507" i="18"/>
  <c r="H507" i="18"/>
  <c r="I507" i="18"/>
  <c r="J507" i="18"/>
  <c r="A508" i="18"/>
  <c r="B508" i="18"/>
  <c r="C508" i="18"/>
  <c r="D508" i="18"/>
  <c r="E508" i="18"/>
  <c r="F508" i="18"/>
  <c r="G508" i="18"/>
  <c r="H508" i="18"/>
  <c r="I508" i="18"/>
  <c r="J508" i="18"/>
  <c r="A509" i="18"/>
  <c r="B509" i="18"/>
  <c r="C509" i="18"/>
  <c r="D509" i="18"/>
  <c r="E509" i="18"/>
  <c r="F509" i="18"/>
  <c r="G509" i="18"/>
  <c r="H509" i="18"/>
  <c r="I509" i="18"/>
  <c r="J509" i="18"/>
  <c r="A510" i="18"/>
  <c r="B510" i="18"/>
  <c r="C510" i="18"/>
  <c r="D510" i="18"/>
  <c r="E510" i="18"/>
  <c r="F510" i="18"/>
  <c r="G510" i="18"/>
  <c r="H510" i="18"/>
  <c r="I510" i="18"/>
  <c r="J510" i="18"/>
  <c r="A511" i="18"/>
  <c r="B511" i="18"/>
  <c r="C511" i="18"/>
  <c r="D511" i="18"/>
  <c r="E511" i="18"/>
  <c r="F511" i="18"/>
  <c r="G511" i="18"/>
  <c r="H511" i="18"/>
  <c r="I511" i="18"/>
  <c r="J511" i="18"/>
  <c r="A512" i="18"/>
  <c r="B512" i="18"/>
  <c r="C512" i="18"/>
  <c r="D512" i="18"/>
  <c r="E512" i="18"/>
  <c r="F512" i="18"/>
  <c r="G512" i="18"/>
  <c r="H512" i="18"/>
  <c r="I512" i="18"/>
  <c r="J512" i="18"/>
  <c r="A513" i="18"/>
  <c r="B513" i="18"/>
  <c r="C513" i="18"/>
  <c r="D513" i="18"/>
  <c r="E513" i="18"/>
  <c r="F513" i="18"/>
  <c r="G513" i="18"/>
  <c r="H513" i="18"/>
  <c r="I513" i="18"/>
  <c r="J513" i="18"/>
  <c r="A514" i="18"/>
  <c r="B514" i="18"/>
  <c r="C514" i="18"/>
  <c r="D514" i="18"/>
  <c r="E514" i="18"/>
  <c r="F514" i="18"/>
  <c r="G514" i="18"/>
  <c r="H514" i="18"/>
  <c r="I514" i="18"/>
  <c r="J514" i="18"/>
  <c r="A515" i="18"/>
  <c r="B515" i="18"/>
  <c r="C515" i="18"/>
  <c r="D515" i="18"/>
  <c r="E515" i="18"/>
  <c r="F515" i="18"/>
  <c r="G515" i="18"/>
  <c r="H515" i="18"/>
  <c r="I515" i="18"/>
  <c r="J515" i="18"/>
  <c r="A516" i="18"/>
  <c r="B516" i="18"/>
  <c r="C516" i="18"/>
  <c r="D516" i="18"/>
  <c r="E516" i="18"/>
  <c r="F516" i="18"/>
  <c r="G516" i="18"/>
  <c r="H516" i="18"/>
  <c r="I516" i="18"/>
  <c r="J516" i="18"/>
  <c r="A517" i="18"/>
  <c r="B517" i="18"/>
  <c r="C517" i="18"/>
  <c r="D517" i="18"/>
  <c r="E517" i="18"/>
  <c r="F517" i="18"/>
  <c r="G517" i="18"/>
  <c r="H517" i="18"/>
  <c r="I517" i="18"/>
  <c r="J517" i="18"/>
  <c r="A518" i="18"/>
  <c r="B518" i="18"/>
  <c r="C518" i="18"/>
  <c r="D518" i="18"/>
  <c r="E518" i="18"/>
  <c r="F518" i="18"/>
  <c r="G518" i="18"/>
  <c r="H518" i="18"/>
  <c r="I518" i="18"/>
  <c r="J518" i="18"/>
  <c r="A519" i="18"/>
  <c r="B519" i="18"/>
  <c r="C519" i="18"/>
  <c r="D519" i="18"/>
  <c r="E519" i="18"/>
  <c r="F519" i="18"/>
  <c r="G519" i="18"/>
  <c r="H519" i="18"/>
  <c r="I519" i="18"/>
  <c r="J519" i="18"/>
  <c r="A520" i="18"/>
  <c r="B520" i="18"/>
  <c r="C520" i="18"/>
  <c r="D520" i="18"/>
  <c r="E520" i="18"/>
  <c r="F520" i="18"/>
  <c r="G520" i="18"/>
  <c r="H520" i="18"/>
  <c r="I520" i="18"/>
  <c r="J520" i="18"/>
  <c r="A521" i="18"/>
  <c r="B521" i="18"/>
  <c r="C521" i="18"/>
  <c r="D521" i="18"/>
  <c r="E521" i="18"/>
  <c r="F521" i="18"/>
  <c r="G521" i="18"/>
  <c r="H521" i="18"/>
  <c r="I521" i="18"/>
  <c r="J521" i="18"/>
  <c r="A522" i="18"/>
  <c r="B522" i="18"/>
  <c r="C522" i="18"/>
  <c r="D522" i="18"/>
  <c r="E522" i="18"/>
  <c r="F522" i="18"/>
  <c r="G522" i="18"/>
  <c r="H522" i="18"/>
  <c r="I522" i="18"/>
  <c r="J522" i="18"/>
  <c r="A523" i="18"/>
  <c r="B523" i="18"/>
  <c r="C523" i="18"/>
  <c r="D523" i="18"/>
  <c r="E523" i="18"/>
  <c r="F523" i="18"/>
  <c r="G523" i="18"/>
  <c r="H523" i="18"/>
  <c r="I523" i="18"/>
  <c r="J523" i="18"/>
  <c r="A524" i="18"/>
  <c r="B524" i="18"/>
  <c r="C524" i="18"/>
  <c r="D524" i="18"/>
  <c r="E524" i="18"/>
  <c r="F524" i="18"/>
  <c r="G524" i="18"/>
  <c r="H524" i="18"/>
  <c r="I524" i="18"/>
  <c r="J524" i="18"/>
  <c r="A525" i="18"/>
  <c r="B525" i="18"/>
  <c r="C525" i="18"/>
  <c r="D525" i="18"/>
  <c r="E525" i="18"/>
  <c r="F525" i="18"/>
  <c r="G525" i="18"/>
  <c r="H525" i="18"/>
  <c r="I525" i="18"/>
  <c r="J525" i="18"/>
  <c r="A526" i="18"/>
  <c r="B526" i="18"/>
  <c r="C526" i="18"/>
  <c r="D526" i="18"/>
  <c r="E526" i="18"/>
  <c r="F526" i="18"/>
  <c r="G526" i="18"/>
  <c r="H526" i="18"/>
  <c r="I526" i="18"/>
  <c r="J526" i="18"/>
  <c r="A527" i="18"/>
  <c r="B527" i="18"/>
  <c r="C527" i="18"/>
  <c r="D527" i="18"/>
  <c r="E527" i="18"/>
  <c r="F527" i="18"/>
  <c r="G527" i="18"/>
  <c r="H527" i="18"/>
  <c r="I527" i="18"/>
  <c r="J527" i="18"/>
  <c r="A528" i="18"/>
  <c r="B528" i="18"/>
  <c r="C528" i="18"/>
  <c r="D528" i="18"/>
  <c r="E528" i="18"/>
  <c r="F528" i="18"/>
  <c r="G528" i="18"/>
  <c r="H528" i="18"/>
  <c r="I528" i="18"/>
  <c r="J528" i="18"/>
  <c r="A529" i="18"/>
  <c r="B529" i="18"/>
  <c r="C529" i="18"/>
  <c r="D529" i="18"/>
  <c r="E529" i="18"/>
  <c r="F529" i="18"/>
  <c r="G529" i="18"/>
  <c r="H529" i="18"/>
  <c r="I529" i="18"/>
  <c r="J529" i="18"/>
  <c r="A530" i="18"/>
  <c r="B530" i="18"/>
  <c r="C530" i="18"/>
  <c r="D530" i="18"/>
  <c r="E530" i="18"/>
  <c r="F530" i="18"/>
  <c r="G530" i="18"/>
  <c r="H530" i="18"/>
  <c r="I530" i="18"/>
  <c r="J530" i="18"/>
  <c r="A531" i="18"/>
  <c r="B531" i="18"/>
  <c r="C531" i="18"/>
  <c r="D531" i="18"/>
  <c r="E531" i="18"/>
  <c r="F531" i="18"/>
  <c r="G531" i="18"/>
  <c r="H531" i="18"/>
  <c r="I531" i="18"/>
  <c r="J531" i="18"/>
  <c r="A532" i="18"/>
  <c r="B532" i="18"/>
  <c r="C532" i="18"/>
  <c r="D532" i="18"/>
  <c r="E532" i="18"/>
  <c r="F532" i="18"/>
  <c r="G532" i="18"/>
  <c r="H532" i="18"/>
  <c r="I532" i="18"/>
  <c r="J532" i="18"/>
  <c r="A533" i="18"/>
  <c r="B533" i="18"/>
  <c r="C533" i="18"/>
  <c r="D533" i="18"/>
  <c r="E533" i="18"/>
  <c r="F533" i="18"/>
  <c r="G533" i="18"/>
  <c r="H533" i="18"/>
  <c r="I533" i="18"/>
  <c r="J533" i="18"/>
  <c r="A534" i="18"/>
  <c r="B534" i="18"/>
  <c r="C534" i="18"/>
  <c r="D534" i="18"/>
  <c r="E534" i="18"/>
  <c r="F534" i="18"/>
  <c r="G534" i="18"/>
  <c r="H534" i="18"/>
  <c r="I534" i="18"/>
  <c r="J534" i="18"/>
  <c r="A535" i="18"/>
  <c r="B535" i="18"/>
  <c r="C535" i="18"/>
  <c r="D535" i="18"/>
  <c r="E535" i="18"/>
  <c r="F535" i="18"/>
  <c r="G535" i="18"/>
  <c r="H535" i="18"/>
  <c r="I535" i="18"/>
  <c r="J535" i="18"/>
  <c r="A536" i="18"/>
  <c r="B536" i="18"/>
  <c r="C536" i="18"/>
  <c r="D536" i="18"/>
  <c r="E536" i="18"/>
  <c r="F536" i="18"/>
  <c r="G536" i="18"/>
  <c r="H536" i="18"/>
  <c r="I536" i="18"/>
  <c r="J536" i="18"/>
  <c r="A537" i="18"/>
  <c r="B537" i="18"/>
  <c r="C537" i="18"/>
  <c r="D537" i="18"/>
  <c r="E537" i="18"/>
  <c r="F537" i="18"/>
  <c r="G537" i="18"/>
  <c r="H537" i="18"/>
  <c r="I537" i="18"/>
  <c r="J537" i="18"/>
  <c r="A538" i="18"/>
  <c r="B538" i="18"/>
  <c r="C538" i="18"/>
  <c r="D538" i="18"/>
  <c r="E538" i="18"/>
  <c r="F538" i="18"/>
  <c r="G538" i="18"/>
  <c r="H538" i="18"/>
  <c r="I538" i="18"/>
  <c r="J538" i="18"/>
  <c r="A539" i="18"/>
  <c r="B539" i="18"/>
  <c r="C539" i="18"/>
  <c r="D539" i="18"/>
  <c r="E539" i="18"/>
  <c r="F539" i="18"/>
  <c r="G539" i="18"/>
  <c r="H539" i="18"/>
  <c r="I539" i="18"/>
  <c r="J539" i="18"/>
  <c r="A540" i="18"/>
  <c r="B540" i="18"/>
  <c r="C540" i="18"/>
  <c r="D540" i="18"/>
  <c r="E540" i="18"/>
  <c r="F540" i="18"/>
  <c r="G540" i="18"/>
  <c r="H540" i="18"/>
  <c r="I540" i="18"/>
  <c r="J540" i="18"/>
  <c r="A541" i="18"/>
  <c r="B541" i="18"/>
  <c r="C541" i="18"/>
  <c r="D541" i="18"/>
  <c r="E541" i="18"/>
  <c r="F541" i="18"/>
  <c r="G541" i="18"/>
  <c r="H541" i="18"/>
  <c r="I541" i="18"/>
  <c r="J541" i="18"/>
  <c r="A542" i="18"/>
  <c r="B542" i="18"/>
  <c r="C542" i="18"/>
  <c r="D542" i="18"/>
  <c r="E542" i="18"/>
  <c r="F542" i="18"/>
  <c r="G542" i="18"/>
  <c r="H542" i="18"/>
  <c r="I542" i="18"/>
  <c r="J542" i="18"/>
  <c r="A543" i="18"/>
  <c r="B543" i="18"/>
  <c r="C543" i="18"/>
  <c r="D543" i="18"/>
  <c r="E543" i="18"/>
  <c r="F543" i="18"/>
  <c r="G543" i="18"/>
  <c r="H543" i="18"/>
  <c r="I543" i="18"/>
  <c r="J543" i="18"/>
  <c r="A544" i="18"/>
  <c r="B544" i="18"/>
  <c r="C544" i="18"/>
  <c r="D544" i="18"/>
  <c r="E544" i="18"/>
  <c r="F544" i="18"/>
  <c r="G544" i="18"/>
  <c r="H544" i="18"/>
  <c r="I544" i="18"/>
  <c r="J544" i="18"/>
  <c r="A545" i="18"/>
  <c r="B545" i="18"/>
  <c r="C545" i="18"/>
  <c r="D545" i="18"/>
  <c r="E545" i="18"/>
  <c r="F545" i="18"/>
  <c r="G545" i="18"/>
  <c r="H545" i="18"/>
  <c r="I545" i="18"/>
  <c r="J545" i="18"/>
  <c r="A546" i="18"/>
  <c r="B546" i="18"/>
  <c r="C546" i="18"/>
  <c r="D546" i="18"/>
  <c r="E546" i="18"/>
  <c r="F546" i="18"/>
  <c r="G546" i="18"/>
  <c r="H546" i="18"/>
  <c r="I546" i="18"/>
  <c r="J546" i="18"/>
  <c r="A547" i="18"/>
  <c r="B547" i="18"/>
  <c r="C547" i="18"/>
  <c r="D547" i="18"/>
  <c r="E547" i="18"/>
  <c r="F547" i="18"/>
  <c r="G547" i="18"/>
  <c r="H547" i="18"/>
  <c r="I547" i="18"/>
  <c r="J547" i="18"/>
  <c r="A548" i="18"/>
  <c r="B548" i="18"/>
  <c r="C548" i="18"/>
  <c r="D548" i="18"/>
  <c r="E548" i="18"/>
  <c r="F548" i="18"/>
  <c r="G548" i="18"/>
  <c r="H548" i="18"/>
  <c r="I548" i="18"/>
  <c r="J548" i="18"/>
  <c r="A549" i="18"/>
  <c r="B549" i="18"/>
  <c r="C549" i="18"/>
  <c r="D549" i="18"/>
  <c r="E549" i="18"/>
  <c r="F549" i="18"/>
  <c r="G549" i="18"/>
  <c r="H549" i="18"/>
  <c r="I549" i="18"/>
  <c r="J549" i="18"/>
  <c r="A550" i="18"/>
  <c r="B550" i="18"/>
  <c r="C550" i="18"/>
  <c r="D550" i="18"/>
  <c r="E550" i="18"/>
  <c r="F550" i="18"/>
  <c r="G550" i="18"/>
  <c r="H550" i="18"/>
  <c r="I550" i="18"/>
  <c r="J550" i="18"/>
  <c r="A551" i="18"/>
  <c r="B551" i="18"/>
  <c r="C551" i="18"/>
  <c r="D551" i="18"/>
  <c r="E551" i="18"/>
  <c r="F551" i="18"/>
  <c r="G551" i="18"/>
  <c r="H551" i="18"/>
  <c r="I551" i="18"/>
  <c r="J551" i="18"/>
  <c r="A552" i="18"/>
  <c r="B552" i="18"/>
  <c r="C552" i="18"/>
  <c r="D552" i="18"/>
  <c r="E552" i="18"/>
  <c r="F552" i="18"/>
  <c r="G552" i="18"/>
  <c r="H552" i="18"/>
  <c r="I552" i="18"/>
  <c r="J552" i="18"/>
  <c r="A553" i="18"/>
  <c r="B553" i="18"/>
  <c r="C553" i="18"/>
  <c r="D553" i="18"/>
  <c r="E553" i="18"/>
  <c r="F553" i="18"/>
  <c r="G553" i="18"/>
  <c r="H553" i="18"/>
  <c r="I553" i="18"/>
  <c r="J553" i="18"/>
  <c r="A554" i="18"/>
  <c r="B554" i="18"/>
  <c r="C554" i="18"/>
  <c r="D554" i="18"/>
  <c r="E554" i="18"/>
  <c r="F554" i="18"/>
  <c r="G554" i="18"/>
  <c r="H554" i="18"/>
  <c r="I554" i="18"/>
  <c r="J554" i="18"/>
  <c r="A555" i="18"/>
  <c r="B555" i="18"/>
  <c r="C555" i="18"/>
  <c r="D555" i="18"/>
  <c r="E555" i="18"/>
  <c r="F555" i="18"/>
  <c r="G555" i="18"/>
  <c r="H555" i="18"/>
  <c r="I555" i="18"/>
  <c r="J555" i="18"/>
  <c r="A556" i="18"/>
  <c r="B556" i="18"/>
  <c r="C556" i="18"/>
  <c r="D556" i="18"/>
  <c r="E556" i="18"/>
  <c r="F556" i="18"/>
  <c r="G556" i="18"/>
  <c r="H556" i="18"/>
  <c r="I556" i="18"/>
  <c r="J556" i="18"/>
  <c r="A557" i="18"/>
  <c r="B557" i="18"/>
  <c r="C557" i="18"/>
  <c r="D557" i="18"/>
  <c r="E557" i="18"/>
  <c r="F557" i="18"/>
  <c r="G557" i="18"/>
  <c r="H557" i="18"/>
  <c r="I557" i="18"/>
  <c r="J557" i="18"/>
  <c r="A558" i="18"/>
  <c r="B558" i="18"/>
  <c r="C558" i="18"/>
  <c r="D558" i="18"/>
  <c r="E558" i="18"/>
  <c r="F558" i="18"/>
  <c r="G558" i="18"/>
  <c r="H558" i="18"/>
  <c r="I558" i="18"/>
  <c r="J558" i="18"/>
  <c r="A559" i="18"/>
  <c r="B559" i="18"/>
  <c r="C559" i="18"/>
  <c r="D559" i="18"/>
  <c r="E559" i="18"/>
  <c r="F559" i="18"/>
  <c r="G559" i="18"/>
  <c r="H559" i="18"/>
  <c r="I559" i="18"/>
  <c r="J559" i="18"/>
  <c r="A560" i="18"/>
  <c r="B560" i="18"/>
  <c r="C560" i="18"/>
  <c r="D560" i="18"/>
  <c r="E560" i="18"/>
  <c r="F560" i="18"/>
  <c r="G560" i="18"/>
  <c r="H560" i="18"/>
  <c r="I560" i="18"/>
  <c r="J560" i="18"/>
  <c r="A561" i="18"/>
  <c r="B561" i="18"/>
  <c r="C561" i="18"/>
  <c r="D561" i="18"/>
  <c r="E561" i="18"/>
  <c r="F561" i="18"/>
  <c r="G561" i="18"/>
  <c r="H561" i="18"/>
  <c r="I561" i="18"/>
  <c r="J561" i="18"/>
  <c r="A562" i="18"/>
  <c r="B562" i="18"/>
  <c r="C562" i="18"/>
  <c r="D562" i="18"/>
  <c r="E562" i="18"/>
  <c r="F562" i="18"/>
  <c r="G562" i="18"/>
  <c r="H562" i="18"/>
  <c r="I562" i="18"/>
  <c r="J562" i="18"/>
  <c r="A563" i="18"/>
  <c r="B563" i="18"/>
  <c r="C563" i="18"/>
  <c r="D563" i="18"/>
  <c r="E563" i="18"/>
  <c r="F563" i="18"/>
  <c r="G563" i="18"/>
  <c r="H563" i="18"/>
  <c r="I563" i="18"/>
  <c r="J563" i="18"/>
  <c r="A564" i="18"/>
  <c r="B564" i="18"/>
  <c r="C564" i="18"/>
  <c r="D564" i="18"/>
  <c r="E564" i="18"/>
  <c r="F564" i="18"/>
  <c r="G564" i="18"/>
  <c r="H564" i="18"/>
  <c r="I564" i="18"/>
  <c r="J564" i="18"/>
  <c r="A565" i="18"/>
  <c r="B565" i="18"/>
  <c r="C565" i="18"/>
  <c r="D565" i="18"/>
  <c r="E565" i="18"/>
  <c r="F565" i="18"/>
  <c r="G565" i="18"/>
  <c r="H565" i="18"/>
  <c r="I565" i="18"/>
  <c r="J565" i="18"/>
  <c r="A566" i="18"/>
  <c r="B566" i="18"/>
  <c r="C566" i="18"/>
  <c r="D566" i="18"/>
  <c r="E566" i="18"/>
  <c r="F566" i="18"/>
  <c r="G566" i="18"/>
  <c r="H566" i="18"/>
  <c r="I566" i="18"/>
  <c r="J566" i="18"/>
  <c r="A567" i="18"/>
  <c r="B567" i="18"/>
  <c r="C567" i="18"/>
  <c r="D567" i="18"/>
  <c r="E567" i="18"/>
  <c r="F567" i="18"/>
  <c r="G567" i="18"/>
  <c r="H567" i="18"/>
  <c r="I567" i="18"/>
  <c r="J567" i="18"/>
  <c r="A568" i="18"/>
  <c r="B568" i="18"/>
  <c r="C568" i="18"/>
  <c r="D568" i="18"/>
  <c r="E568" i="18"/>
  <c r="F568" i="18"/>
  <c r="G568" i="18"/>
  <c r="H568" i="18"/>
  <c r="I568" i="18"/>
  <c r="J568" i="18"/>
  <c r="A569" i="18"/>
  <c r="B569" i="18"/>
  <c r="C569" i="18"/>
  <c r="D569" i="18"/>
  <c r="E569" i="18"/>
  <c r="F569" i="18"/>
  <c r="G569" i="18"/>
  <c r="H569" i="18"/>
  <c r="I569" i="18"/>
  <c r="J569" i="18"/>
  <c r="A570" i="18"/>
  <c r="B570" i="18"/>
  <c r="C570" i="18"/>
  <c r="D570" i="18"/>
  <c r="E570" i="18"/>
  <c r="F570" i="18"/>
  <c r="G570" i="18"/>
  <c r="H570" i="18"/>
  <c r="I570" i="18"/>
  <c r="J570" i="18"/>
  <c r="A571" i="18"/>
  <c r="B571" i="18"/>
  <c r="C571" i="18"/>
  <c r="D571" i="18"/>
  <c r="E571" i="18"/>
  <c r="F571" i="18"/>
  <c r="G571" i="18"/>
  <c r="H571" i="18"/>
  <c r="I571" i="18"/>
  <c r="J571" i="18"/>
  <c r="A572" i="18"/>
  <c r="B572" i="18"/>
  <c r="C572" i="18"/>
  <c r="D572" i="18"/>
  <c r="E572" i="18"/>
  <c r="F572" i="18"/>
  <c r="G572" i="18"/>
  <c r="H572" i="18"/>
  <c r="I572" i="18"/>
  <c r="J572" i="18"/>
  <c r="A573" i="18"/>
  <c r="B573" i="18"/>
  <c r="C573" i="18"/>
  <c r="D573" i="18"/>
  <c r="E573" i="18"/>
  <c r="F573" i="18"/>
  <c r="G573" i="18"/>
  <c r="H573" i="18"/>
  <c r="I573" i="18"/>
  <c r="J573" i="18"/>
  <c r="A574" i="18"/>
  <c r="B574" i="18"/>
  <c r="C574" i="18"/>
  <c r="D574" i="18"/>
  <c r="E574" i="18"/>
  <c r="F574" i="18"/>
  <c r="G574" i="18"/>
  <c r="H574" i="18"/>
  <c r="I574" i="18"/>
  <c r="J574" i="18"/>
  <c r="A575" i="18"/>
  <c r="B575" i="18"/>
  <c r="C575" i="18"/>
  <c r="D575" i="18"/>
  <c r="E575" i="18"/>
  <c r="F575" i="18"/>
  <c r="G575" i="18"/>
  <c r="H575" i="18"/>
  <c r="I575" i="18"/>
  <c r="J575" i="18"/>
  <c r="A576" i="18"/>
  <c r="B576" i="18"/>
  <c r="C576" i="18"/>
  <c r="D576" i="18"/>
  <c r="E576" i="18"/>
  <c r="F576" i="18"/>
  <c r="G576" i="18"/>
  <c r="H576" i="18"/>
  <c r="I576" i="18"/>
  <c r="J576" i="18"/>
  <c r="A577" i="18"/>
  <c r="B577" i="18"/>
  <c r="C577" i="18"/>
  <c r="D577" i="18"/>
  <c r="E577" i="18"/>
  <c r="F577" i="18"/>
  <c r="G577" i="18"/>
  <c r="H577" i="18"/>
  <c r="I577" i="18"/>
  <c r="J577" i="18"/>
  <c r="A578" i="18"/>
  <c r="B578" i="18"/>
  <c r="C578" i="18"/>
  <c r="D578" i="18"/>
  <c r="E578" i="18"/>
  <c r="F578" i="18"/>
  <c r="G578" i="18"/>
  <c r="H578" i="18"/>
  <c r="I578" i="18"/>
  <c r="J578" i="18"/>
  <c r="A579" i="18"/>
  <c r="B579" i="18"/>
  <c r="C579" i="18"/>
  <c r="D579" i="18"/>
  <c r="E579" i="18"/>
  <c r="F579" i="18"/>
  <c r="G579" i="18"/>
  <c r="H579" i="18"/>
  <c r="I579" i="18"/>
  <c r="J579" i="18"/>
  <c r="A580" i="18"/>
  <c r="B580" i="18"/>
  <c r="C580" i="18"/>
  <c r="D580" i="18"/>
  <c r="E580" i="18"/>
  <c r="F580" i="18"/>
  <c r="G580" i="18"/>
  <c r="H580" i="18"/>
  <c r="I580" i="18"/>
  <c r="J580" i="18"/>
  <c r="A581" i="18"/>
  <c r="B581" i="18"/>
  <c r="C581" i="18"/>
  <c r="D581" i="18"/>
  <c r="E581" i="18"/>
  <c r="F581" i="18"/>
  <c r="G581" i="18"/>
  <c r="H581" i="18"/>
  <c r="I581" i="18"/>
  <c r="J581" i="18"/>
  <c r="A582" i="18"/>
  <c r="B582" i="18"/>
  <c r="C582" i="18"/>
  <c r="D582" i="18"/>
  <c r="E582" i="18"/>
  <c r="F582" i="18"/>
  <c r="G582" i="18"/>
  <c r="H582" i="18"/>
  <c r="I582" i="18"/>
  <c r="J582" i="18"/>
  <c r="A583" i="18"/>
  <c r="B583" i="18"/>
  <c r="C583" i="18"/>
  <c r="D583" i="18"/>
  <c r="E583" i="18"/>
  <c r="F583" i="18"/>
  <c r="G583" i="18"/>
  <c r="H583" i="18"/>
  <c r="I583" i="18"/>
  <c r="J583" i="18"/>
  <c r="A584" i="18"/>
  <c r="B584" i="18"/>
  <c r="C584" i="18"/>
  <c r="D584" i="18"/>
  <c r="E584" i="18"/>
  <c r="F584" i="18"/>
  <c r="G584" i="18"/>
  <c r="H584" i="18"/>
  <c r="I584" i="18"/>
  <c r="J584" i="18"/>
  <c r="A585" i="18"/>
  <c r="B585" i="18"/>
  <c r="C585" i="18"/>
  <c r="D585" i="18"/>
  <c r="E585" i="18"/>
  <c r="F585" i="18"/>
  <c r="G585" i="18"/>
  <c r="H585" i="18"/>
  <c r="I585" i="18"/>
  <c r="J585" i="18"/>
  <c r="A586" i="18"/>
  <c r="B586" i="18"/>
  <c r="C586" i="18"/>
  <c r="D586" i="18"/>
  <c r="E586" i="18"/>
  <c r="F586" i="18"/>
  <c r="G586" i="18"/>
  <c r="H586" i="18"/>
  <c r="I586" i="18"/>
  <c r="J586" i="18"/>
  <c r="A587" i="18"/>
  <c r="B587" i="18"/>
  <c r="C587" i="18"/>
  <c r="D587" i="18"/>
  <c r="E587" i="18"/>
  <c r="F587" i="18"/>
  <c r="G587" i="18"/>
  <c r="H587" i="18"/>
  <c r="I587" i="18"/>
  <c r="J587" i="18"/>
  <c r="A588" i="18"/>
  <c r="B588" i="18"/>
  <c r="C588" i="18"/>
  <c r="D588" i="18"/>
  <c r="E588" i="18"/>
  <c r="F588" i="18"/>
  <c r="G588" i="18"/>
  <c r="H588" i="18"/>
  <c r="I588" i="18"/>
  <c r="J588" i="18"/>
  <c r="A589" i="18"/>
  <c r="B589" i="18"/>
  <c r="C589" i="18"/>
  <c r="D589" i="18"/>
  <c r="E589" i="18"/>
  <c r="F589" i="18"/>
  <c r="G589" i="18"/>
  <c r="H589" i="18"/>
  <c r="I589" i="18"/>
  <c r="J589" i="18"/>
  <c r="A590" i="18"/>
  <c r="B590" i="18"/>
  <c r="C590" i="18"/>
  <c r="D590" i="18"/>
  <c r="E590" i="18"/>
  <c r="F590" i="18"/>
  <c r="G590" i="18"/>
  <c r="H590" i="18"/>
  <c r="I590" i="18"/>
  <c r="J590" i="18"/>
  <c r="A591" i="18"/>
  <c r="B591" i="18"/>
  <c r="C591" i="18"/>
  <c r="D591" i="18"/>
  <c r="E591" i="18"/>
  <c r="F591" i="18"/>
  <c r="G591" i="18"/>
  <c r="H591" i="18"/>
  <c r="I591" i="18"/>
  <c r="J591" i="18"/>
  <c r="A592" i="18"/>
  <c r="B592" i="18"/>
  <c r="C592" i="18"/>
  <c r="D592" i="18"/>
  <c r="E592" i="18"/>
  <c r="F592" i="18"/>
  <c r="G592" i="18"/>
  <c r="H592" i="18"/>
  <c r="I592" i="18"/>
  <c r="J592" i="18"/>
  <c r="A593" i="18"/>
  <c r="B593" i="18"/>
  <c r="C593" i="18"/>
  <c r="D593" i="18"/>
  <c r="E593" i="18"/>
  <c r="F593" i="18"/>
  <c r="G593" i="18"/>
  <c r="H593" i="18"/>
  <c r="I593" i="18"/>
  <c r="J593" i="18"/>
  <c r="A594" i="18"/>
  <c r="B594" i="18"/>
  <c r="C594" i="18"/>
  <c r="D594" i="18"/>
  <c r="E594" i="18"/>
  <c r="F594" i="18"/>
  <c r="G594" i="18"/>
  <c r="H594" i="18"/>
  <c r="I594" i="18"/>
  <c r="J594" i="18"/>
  <c r="A595" i="18"/>
  <c r="B595" i="18"/>
  <c r="C595" i="18"/>
  <c r="D595" i="18"/>
  <c r="E595" i="18"/>
  <c r="F595" i="18"/>
  <c r="G595" i="18"/>
  <c r="H595" i="18"/>
  <c r="I595" i="18"/>
  <c r="J595" i="18"/>
  <c r="A596" i="18"/>
  <c r="B596" i="18"/>
  <c r="C596" i="18"/>
  <c r="D596" i="18"/>
  <c r="E596" i="18"/>
  <c r="F596" i="18"/>
  <c r="G596" i="18"/>
  <c r="H596" i="18"/>
  <c r="I596" i="18"/>
  <c r="J596" i="18"/>
  <c r="A597" i="18"/>
  <c r="B597" i="18"/>
  <c r="C597" i="18"/>
  <c r="D597" i="18"/>
  <c r="E597" i="18"/>
  <c r="F597" i="18"/>
  <c r="G597" i="18"/>
  <c r="H597" i="18"/>
  <c r="I597" i="18"/>
  <c r="J597" i="18"/>
  <c r="A598" i="18"/>
  <c r="B598" i="18"/>
  <c r="C598" i="18"/>
  <c r="D598" i="18"/>
  <c r="E598" i="18"/>
  <c r="F598" i="18"/>
  <c r="G598" i="18"/>
  <c r="H598" i="18"/>
  <c r="I598" i="18"/>
  <c r="J598" i="18"/>
  <c r="A599" i="18"/>
  <c r="B599" i="18"/>
  <c r="C599" i="18"/>
  <c r="D599" i="18"/>
  <c r="E599" i="18"/>
  <c r="F599" i="18"/>
  <c r="G599" i="18"/>
  <c r="H599" i="18"/>
  <c r="I599" i="18"/>
  <c r="J599" i="18"/>
  <c r="A600" i="18"/>
  <c r="B600" i="18"/>
  <c r="C600" i="18"/>
  <c r="D600" i="18"/>
  <c r="E600" i="18"/>
  <c r="F600" i="18"/>
  <c r="G600" i="18"/>
  <c r="H600" i="18"/>
  <c r="I600" i="18"/>
  <c r="J600" i="18"/>
  <c r="A601" i="18"/>
  <c r="B601" i="18"/>
  <c r="C601" i="18"/>
  <c r="D601" i="18"/>
  <c r="E601" i="18"/>
  <c r="F601" i="18"/>
  <c r="G601" i="18"/>
  <c r="H601" i="18"/>
  <c r="I601" i="18"/>
  <c r="J601" i="18"/>
  <c r="A602" i="18"/>
  <c r="B602" i="18"/>
  <c r="C602" i="18"/>
  <c r="D602" i="18"/>
  <c r="E602" i="18"/>
  <c r="F602" i="18"/>
  <c r="G602" i="18"/>
  <c r="H602" i="18"/>
  <c r="I602" i="18"/>
  <c r="J602" i="18"/>
  <c r="A603" i="18"/>
  <c r="B603" i="18"/>
  <c r="C603" i="18"/>
  <c r="D603" i="18"/>
  <c r="E603" i="18"/>
  <c r="F603" i="18"/>
  <c r="G603" i="18"/>
  <c r="H603" i="18"/>
  <c r="I603" i="18"/>
  <c r="J603" i="18"/>
  <c r="A604" i="18"/>
  <c r="B604" i="18"/>
  <c r="C604" i="18"/>
  <c r="D604" i="18"/>
  <c r="E604" i="18"/>
  <c r="F604" i="18"/>
  <c r="G604" i="18"/>
  <c r="H604" i="18"/>
  <c r="I604" i="18"/>
  <c r="J604" i="18"/>
  <c r="A605" i="18"/>
  <c r="B605" i="18"/>
  <c r="C605" i="18"/>
  <c r="D605" i="18"/>
  <c r="E605" i="18"/>
  <c r="F605" i="18"/>
  <c r="G605" i="18"/>
  <c r="H605" i="18"/>
  <c r="I605" i="18"/>
  <c r="J605" i="18"/>
  <c r="A606" i="18"/>
  <c r="B606" i="18"/>
  <c r="C606" i="18"/>
  <c r="D606" i="18"/>
  <c r="E606" i="18"/>
  <c r="F606" i="18"/>
  <c r="G606" i="18"/>
  <c r="H606" i="18"/>
  <c r="I606" i="18"/>
  <c r="J606" i="18"/>
  <c r="A607" i="18"/>
  <c r="B607" i="18"/>
  <c r="C607" i="18"/>
  <c r="D607" i="18"/>
  <c r="E607" i="18"/>
  <c r="F607" i="18"/>
  <c r="G607" i="18"/>
  <c r="H607" i="18"/>
  <c r="I607" i="18"/>
  <c r="J607" i="18"/>
  <c r="A608" i="18"/>
  <c r="B608" i="18"/>
  <c r="C608" i="18"/>
  <c r="D608" i="18"/>
  <c r="E608" i="18"/>
  <c r="F608" i="18"/>
  <c r="G608" i="18"/>
  <c r="H608" i="18"/>
  <c r="I608" i="18"/>
  <c r="J608" i="18"/>
  <c r="A609" i="18"/>
  <c r="B609" i="18"/>
  <c r="C609" i="18"/>
  <c r="D609" i="18"/>
  <c r="E609" i="18"/>
  <c r="F609" i="18"/>
  <c r="G609" i="18"/>
  <c r="H609" i="18"/>
  <c r="I609" i="18"/>
  <c r="J609" i="18"/>
  <c r="A610" i="18"/>
  <c r="B610" i="18"/>
  <c r="C610" i="18"/>
  <c r="D610" i="18"/>
  <c r="E610" i="18"/>
  <c r="F610" i="18"/>
  <c r="G610" i="18"/>
  <c r="H610" i="18"/>
  <c r="I610" i="18"/>
  <c r="J610" i="18"/>
  <c r="A611" i="18"/>
  <c r="B611" i="18"/>
  <c r="C611" i="18"/>
  <c r="D611" i="18"/>
  <c r="E611" i="18"/>
  <c r="F611" i="18"/>
  <c r="G611" i="18"/>
  <c r="H611" i="18"/>
  <c r="I611" i="18"/>
  <c r="J611" i="18"/>
  <c r="A612" i="18"/>
  <c r="B612" i="18"/>
  <c r="C612" i="18"/>
  <c r="D612" i="18"/>
  <c r="E612" i="18"/>
  <c r="F612" i="18"/>
  <c r="G612" i="18"/>
  <c r="H612" i="18"/>
  <c r="I612" i="18"/>
  <c r="J612" i="18"/>
  <c r="A613" i="18"/>
  <c r="B613" i="18"/>
  <c r="C613" i="18"/>
  <c r="D613" i="18"/>
  <c r="E613" i="18"/>
  <c r="F613" i="18"/>
  <c r="G613" i="18"/>
  <c r="H613" i="18"/>
  <c r="I613" i="18"/>
  <c r="J613" i="18"/>
  <c r="A614" i="18"/>
  <c r="B614" i="18"/>
  <c r="C614" i="18"/>
  <c r="D614" i="18"/>
  <c r="E614" i="18"/>
  <c r="F614" i="18"/>
  <c r="G614" i="18"/>
  <c r="H614" i="18"/>
  <c r="I614" i="18"/>
  <c r="J614" i="18"/>
  <c r="A615" i="18"/>
  <c r="B615" i="18"/>
  <c r="C615" i="18"/>
  <c r="D615" i="18"/>
  <c r="E615" i="18"/>
  <c r="F615" i="18"/>
  <c r="G615" i="18"/>
  <c r="H615" i="18"/>
  <c r="I615" i="18"/>
  <c r="J615" i="18"/>
  <c r="A616" i="18"/>
  <c r="B616" i="18"/>
  <c r="C616" i="18"/>
  <c r="D616" i="18"/>
  <c r="E616" i="18"/>
  <c r="F616" i="18"/>
  <c r="G616" i="18"/>
  <c r="H616" i="18"/>
  <c r="I616" i="18"/>
  <c r="J616" i="18"/>
  <c r="A617" i="18"/>
  <c r="B617" i="18"/>
  <c r="C617" i="18"/>
  <c r="D617" i="18"/>
  <c r="E617" i="18"/>
  <c r="F617" i="18"/>
  <c r="G617" i="18"/>
  <c r="H617" i="18"/>
  <c r="I617" i="18"/>
  <c r="J617" i="18"/>
  <c r="A618" i="18"/>
  <c r="B618" i="18"/>
  <c r="C618" i="18"/>
  <c r="D618" i="18"/>
  <c r="E618" i="18"/>
  <c r="F618" i="18"/>
  <c r="G618" i="18"/>
  <c r="H618" i="18"/>
  <c r="I618" i="18"/>
  <c r="J618" i="18"/>
  <c r="A619" i="18"/>
  <c r="B619" i="18"/>
  <c r="C619" i="18"/>
  <c r="D619" i="18"/>
  <c r="E619" i="18"/>
  <c r="F619" i="18"/>
  <c r="G619" i="18"/>
  <c r="H619" i="18"/>
  <c r="I619" i="18"/>
  <c r="J619" i="18"/>
  <c r="A620" i="18"/>
  <c r="B620" i="18"/>
  <c r="C620" i="18"/>
  <c r="D620" i="18"/>
  <c r="E620" i="18"/>
  <c r="F620" i="18"/>
  <c r="G620" i="18"/>
  <c r="H620" i="18"/>
  <c r="I620" i="18"/>
  <c r="J620" i="18"/>
  <c r="A621" i="18"/>
  <c r="B621" i="18"/>
  <c r="C621" i="18"/>
  <c r="D621" i="18"/>
  <c r="E621" i="18"/>
  <c r="F621" i="18"/>
  <c r="G621" i="18"/>
  <c r="H621" i="18"/>
  <c r="I621" i="18"/>
  <c r="J621" i="18"/>
  <c r="A622" i="18"/>
  <c r="B622" i="18"/>
  <c r="C622" i="18"/>
  <c r="D622" i="18"/>
  <c r="E622" i="18"/>
  <c r="F622" i="18"/>
  <c r="G622" i="18"/>
  <c r="H622" i="18"/>
  <c r="I622" i="18"/>
  <c r="J622" i="18"/>
  <c r="A623" i="18"/>
  <c r="B623" i="18"/>
  <c r="C623" i="18"/>
  <c r="D623" i="18"/>
  <c r="E623" i="18"/>
  <c r="F623" i="18"/>
  <c r="G623" i="18"/>
  <c r="H623" i="18"/>
  <c r="I623" i="18"/>
  <c r="J623" i="18"/>
  <c r="A624" i="18"/>
  <c r="B624" i="18"/>
  <c r="C624" i="18"/>
  <c r="D624" i="18"/>
  <c r="E624" i="18"/>
  <c r="F624" i="18"/>
  <c r="G624" i="18"/>
  <c r="H624" i="18"/>
  <c r="I624" i="18"/>
  <c r="J624" i="18"/>
  <c r="A625" i="18"/>
  <c r="B625" i="18"/>
  <c r="C625" i="18"/>
  <c r="D625" i="18"/>
  <c r="E625" i="18"/>
  <c r="F625" i="18"/>
  <c r="G625" i="18"/>
  <c r="H625" i="18"/>
  <c r="I625" i="18"/>
  <c r="J625" i="18"/>
  <c r="A626" i="18"/>
  <c r="B626" i="18"/>
  <c r="C626" i="18"/>
  <c r="D626" i="18"/>
  <c r="E626" i="18"/>
  <c r="F626" i="18"/>
  <c r="G626" i="18"/>
  <c r="H626" i="18"/>
  <c r="I626" i="18"/>
  <c r="J626" i="18"/>
  <c r="A627" i="18"/>
  <c r="B627" i="18"/>
  <c r="C627" i="18"/>
  <c r="D627" i="18"/>
  <c r="E627" i="18"/>
  <c r="F627" i="18"/>
  <c r="G627" i="18"/>
  <c r="H627" i="18"/>
  <c r="I627" i="18"/>
  <c r="J627" i="18"/>
  <c r="A628" i="18"/>
  <c r="B628" i="18"/>
  <c r="C628" i="18"/>
  <c r="D628" i="18"/>
  <c r="E628" i="18"/>
  <c r="F628" i="18"/>
  <c r="G628" i="18"/>
  <c r="H628" i="18"/>
  <c r="I628" i="18"/>
  <c r="J628" i="18"/>
  <c r="A629" i="18"/>
  <c r="B629" i="18"/>
  <c r="C629" i="18"/>
  <c r="D629" i="18"/>
  <c r="E629" i="18"/>
  <c r="F629" i="18"/>
  <c r="G629" i="18"/>
  <c r="H629" i="18"/>
  <c r="I629" i="18"/>
  <c r="J629" i="18"/>
  <c r="A630" i="18"/>
  <c r="B630" i="18"/>
  <c r="C630" i="18"/>
  <c r="D630" i="18"/>
  <c r="E630" i="18"/>
  <c r="F630" i="18"/>
  <c r="G630" i="18"/>
  <c r="H630" i="18"/>
  <c r="I630" i="18"/>
  <c r="J630" i="18"/>
  <c r="A631" i="18"/>
  <c r="B631" i="18"/>
  <c r="C631" i="18"/>
  <c r="D631" i="18"/>
  <c r="E631" i="18"/>
  <c r="F631" i="18"/>
  <c r="G631" i="18"/>
  <c r="H631" i="18"/>
  <c r="I631" i="18"/>
  <c r="J631" i="18"/>
  <c r="A632" i="18"/>
  <c r="B632" i="18"/>
  <c r="C632" i="18"/>
  <c r="D632" i="18"/>
  <c r="E632" i="18"/>
  <c r="F632" i="18"/>
  <c r="G632" i="18"/>
  <c r="H632" i="18"/>
  <c r="I632" i="18"/>
  <c r="J632" i="18"/>
  <c r="A633" i="18"/>
  <c r="B633" i="18"/>
  <c r="C633" i="18"/>
  <c r="D633" i="18"/>
  <c r="E633" i="18"/>
  <c r="F633" i="18"/>
  <c r="G633" i="18"/>
  <c r="H633" i="18"/>
  <c r="I633" i="18"/>
  <c r="J633" i="18"/>
  <c r="A634" i="18"/>
  <c r="B634" i="18"/>
  <c r="C634" i="18"/>
  <c r="D634" i="18"/>
  <c r="E634" i="18"/>
  <c r="F634" i="18"/>
  <c r="G634" i="18"/>
  <c r="H634" i="18"/>
  <c r="I634" i="18"/>
  <c r="J634" i="18"/>
  <c r="A635" i="18"/>
  <c r="B635" i="18"/>
  <c r="C635" i="18"/>
  <c r="D635" i="18"/>
  <c r="E635" i="18"/>
  <c r="F635" i="18"/>
  <c r="G635" i="18"/>
  <c r="H635" i="18"/>
  <c r="I635" i="18"/>
  <c r="J635" i="18"/>
  <c r="A636" i="18"/>
  <c r="B636" i="18"/>
  <c r="C636" i="18"/>
  <c r="D636" i="18"/>
  <c r="E636" i="18"/>
  <c r="F636" i="18"/>
  <c r="G636" i="18"/>
  <c r="H636" i="18"/>
  <c r="I636" i="18"/>
  <c r="J636" i="18"/>
  <c r="A637" i="18"/>
  <c r="B637" i="18"/>
  <c r="C637" i="18"/>
  <c r="D637" i="18"/>
  <c r="E637" i="18"/>
  <c r="F637" i="18"/>
  <c r="G637" i="18"/>
  <c r="H637" i="18"/>
  <c r="I637" i="18"/>
  <c r="J637" i="18"/>
  <c r="A638" i="18"/>
  <c r="B638" i="18"/>
  <c r="C638" i="18"/>
  <c r="D638" i="18"/>
  <c r="E638" i="18"/>
  <c r="F638" i="18"/>
  <c r="G638" i="18"/>
  <c r="H638" i="18"/>
  <c r="I638" i="18"/>
  <c r="J638" i="18"/>
  <c r="A639" i="18"/>
  <c r="B639" i="18"/>
  <c r="C639" i="18"/>
  <c r="D639" i="18"/>
  <c r="E639" i="18"/>
  <c r="F639" i="18"/>
  <c r="G639" i="18"/>
  <c r="H639" i="18"/>
  <c r="I639" i="18"/>
  <c r="J639" i="18"/>
  <c r="A640" i="18"/>
  <c r="B640" i="18"/>
  <c r="C640" i="18"/>
  <c r="D640" i="18"/>
  <c r="E640" i="18"/>
  <c r="F640" i="18"/>
  <c r="G640" i="18"/>
  <c r="H640" i="18"/>
  <c r="I640" i="18"/>
  <c r="J640" i="18"/>
  <c r="A641" i="18"/>
  <c r="B641" i="18"/>
  <c r="C641" i="18"/>
  <c r="D641" i="18"/>
  <c r="E641" i="18"/>
  <c r="F641" i="18"/>
  <c r="G641" i="18"/>
  <c r="H641" i="18"/>
  <c r="I641" i="18"/>
  <c r="J641" i="18"/>
  <c r="A642" i="18"/>
  <c r="B642" i="18"/>
  <c r="C642" i="18"/>
  <c r="D642" i="18"/>
  <c r="E642" i="18"/>
  <c r="F642" i="18"/>
  <c r="G642" i="18"/>
  <c r="H642" i="18"/>
  <c r="I642" i="18"/>
  <c r="J642" i="18"/>
  <c r="A643" i="18"/>
  <c r="B643" i="18"/>
  <c r="C643" i="18"/>
  <c r="D643" i="18"/>
  <c r="E643" i="18"/>
  <c r="F643" i="18"/>
  <c r="G643" i="18"/>
  <c r="H643" i="18"/>
  <c r="I643" i="18"/>
  <c r="J643" i="18"/>
  <c r="A644" i="18"/>
  <c r="B644" i="18"/>
  <c r="C644" i="18"/>
  <c r="D644" i="18"/>
  <c r="E644" i="18"/>
  <c r="F644" i="18"/>
  <c r="G644" i="18"/>
  <c r="H644" i="18"/>
  <c r="I644" i="18"/>
  <c r="J644" i="18"/>
  <c r="A645" i="18"/>
  <c r="B645" i="18"/>
  <c r="C645" i="18"/>
  <c r="D645" i="18"/>
  <c r="E645" i="18"/>
  <c r="F645" i="18"/>
  <c r="G645" i="18"/>
  <c r="H645" i="18"/>
  <c r="I645" i="18"/>
  <c r="J645" i="18"/>
  <c r="A646" i="18"/>
  <c r="B646" i="18"/>
  <c r="C646" i="18"/>
  <c r="D646" i="18"/>
  <c r="E646" i="18"/>
  <c r="F646" i="18"/>
  <c r="G646" i="18"/>
  <c r="H646" i="18"/>
  <c r="I646" i="18"/>
  <c r="J646" i="18"/>
  <c r="A647" i="18"/>
  <c r="B647" i="18"/>
  <c r="C647" i="18"/>
  <c r="D647" i="18"/>
  <c r="E647" i="18"/>
  <c r="F647" i="18"/>
  <c r="G647" i="18"/>
  <c r="H647" i="18"/>
  <c r="I647" i="18"/>
  <c r="J647" i="18"/>
  <c r="A648" i="18"/>
  <c r="B648" i="18"/>
  <c r="C648" i="18"/>
  <c r="D648" i="18"/>
  <c r="E648" i="18"/>
  <c r="F648" i="18"/>
  <c r="G648" i="18"/>
  <c r="H648" i="18"/>
  <c r="I648" i="18"/>
  <c r="J648" i="18"/>
  <c r="A649" i="18"/>
  <c r="B649" i="18"/>
  <c r="C649" i="18"/>
  <c r="D649" i="18"/>
  <c r="E649" i="18"/>
  <c r="F649" i="18"/>
  <c r="G649" i="18"/>
  <c r="H649" i="18"/>
  <c r="I649" i="18"/>
  <c r="J649" i="18"/>
  <c r="A650" i="18"/>
  <c r="B650" i="18"/>
  <c r="C650" i="18"/>
  <c r="D650" i="18"/>
  <c r="E650" i="18"/>
  <c r="F650" i="18"/>
  <c r="G650" i="18"/>
  <c r="H650" i="18"/>
  <c r="I650" i="18"/>
  <c r="J650" i="18"/>
  <c r="A651" i="18"/>
  <c r="B651" i="18"/>
  <c r="C651" i="18"/>
  <c r="D651" i="18"/>
  <c r="E651" i="18"/>
  <c r="F651" i="18"/>
  <c r="G651" i="18"/>
  <c r="H651" i="18"/>
  <c r="I651" i="18"/>
  <c r="J651" i="18"/>
  <c r="A652" i="18"/>
  <c r="B652" i="18"/>
  <c r="C652" i="18"/>
  <c r="D652" i="18"/>
  <c r="E652" i="18"/>
  <c r="F652" i="18"/>
  <c r="G652" i="18"/>
  <c r="H652" i="18"/>
  <c r="I652" i="18"/>
  <c r="J652" i="18"/>
  <c r="A653" i="18"/>
  <c r="B653" i="18"/>
  <c r="C653" i="18"/>
  <c r="D653" i="18"/>
  <c r="E653" i="18"/>
  <c r="F653" i="18"/>
  <c r="G653" i="18"/>
  <c r="H653" i="18"/>
  <c r="I653" i="18"/>
  <c r="J653" i="18"/>
  <c r="A654" i="18"/>
  <c r="B654" i="18"/>
  <c r="C654" i="18"/>
  <c r="D654" i="18"/>
  <c r="E654" i="18"/>
  <c r="F654" i="18"/>
  <c r="G654" i="18"/>
  <c r="H654" i="18"/>
  <c r="I654" i="18"/>
  <c r="J654" i="18"/>
  <c r="A655" i="18"/>
  <c r="B655" i="18"/>
  <c r="C655" i="18"/>
  <c r="D655" i="18"/>
  <c r="E655" i="18"/>
  <c r="F655" i="18"/>
  <c r="G655" i="18"/>
  <c r="H655" i="18"/>
  <c r="I655" i="18"/>
  <c r="J655" i="18"/>
  <c r="A656" i="18"/>
  <c r="B656" i="18"/>
  <c r="C656" i="18"/>
  <c r="D656" i="18"/>
  <c r="E656" i="18"/>
  <c r="F656" i="18"/>
  <c r="G656" i="18"/>
  <c r="H656" i="18"/>
  <c r="I656" i="18"/>
  <c r="J656" i="18"/>
  <c r="A657" i="18"/>
  <c r="B657" i="18"/>
  <c r="C657" i="18"/>
  <c r="D657" i="18"/>
  <c r="E657" i="18"/>
  <c r="F657" i="18"/>
  <c r="G657" i="18"/>
  <c r="H657" i="18"/>
  <c r="I657" i="18"/>
  <c r="J657" i="18"/>
  <c r="A658" i="18"/>
  <c r="B658" i="18"/>
  <c r="C658" i="18"/>
  <c r="D658" i="18"/>
  <c r="E658" i="18"/>
  <c r="F658" i="18"/>
  <c r="G658" i="18"/>
  <c r="H658" i="18"/>
  <c r="I658" i="18"/>
  <c r="J658" i="18"/>
  <c r="A659" i="18"/>
  <c r="B659" i="18"/>
  <c r="C659" i="18"/>
  <c r="D659" i="18"/>
  <c r="E659" i="18"/>
  <c r="F659" i="18"/>
  <c r="G659" i="18"/>
  <c r="H659" i="18"/>
  <c r="I659" i="18"/>
  <c r="J659" i="18"/>
  <c r="A660" i="18"/>
  <c r="B660" i="18"/>
  <c r="C660" i="18"/>
  <c r="D660" i="18"/>
  <c r="E660" i="18"/>
  <c r="F660" i="18"/>
  <c r="G660" i="18"/>
  <c r="H660" i="18"/>
  <c r="I660" i="18"/>
  <c r="J660" i="18"/>
  <c r="A661" i="18"/>
  <c r="B661" i="18"/>
  <c r="C661" i="18"/>
  <c r="D661" i="18"/>
  <c r="E661" i="18"/>
  <c r="F661" i="18"/>
  <c r="G661" i="18"/>
  <c r="H661" i="18"/>
  <c r="I661" i="18"/>
  <c r="J661" i="18"/>
  <c r="A662" i="18"/>
  <c r="B662" i="18"/>
  <c r="C662" i="18"/>
  <c r="D662" i="18"/>
  <c r="E662" i="18"/>
  <c r="F662" i="18"/>
  <c r="G662" i="18"/>
  <c r="H662" i="18"/>
  <c r="I662" i="18"/>
  <c r="J662" i="18"/>
  <c r="A663" i="18"/>
  <c r="B663" i="18"/>
  <c r="C663" i="18"/>
  <c r="D663" i="18"/>
  <c r="E663" i="18"/>
  <c r="F663" i="18"/>
  <c r="G663" i="18"/>
  <c r="H663" i="18"/>
  <c r="I663" i="18"/>
  <c r="J663" i="18"/>
  <c r="A664" i="18"/>
  <c r="B664" i="18"/>
  <c r="C664" i="18"/>
  <c r="D664" i="18"/>
  <c r="E664" i="18"/>
  <c r="F664" i="18"/>
  <c r="G664" i="18"/>
  <c r="H664" i="18"/>
  <c r="I664" i="18"/>
  <c r="J664" i="18"/>
  <c r="A665" i="18"/>
  <c r="B665" i="18"/>
  <c r="C665" i="18"/>
  <c r="D665" i="18"/>
  <c r="E665" i="18"/>
  <c r="F665" i="18"/>
  <c r="G665" i="18"/>
  <c r="H665" i="18"/>
  <c r="I665" i="18"/>
  <c r="J665" i="18"/>
  <c r="A666" i="18"/>
  <c r="B666" i="18"/>
  <c r="C666" i="18"/>
  <c r="D666" i="18"/>
  <c r="E666" i="18"/>
  <c r="F666" i="18"/>
  <c r="G666" i="18"/>
  <c r="H666" i="18"/>
  <c r="I666" i="18"/>
  <c r="J666" i="18"/>
  <c r="A667" i="18"/>
  <c r="B667" i="18"/>
  <c r="C667" i="18"/>
  <c r="D667" i="18"/>
  <c r="E667" i="18"/>
  <c r="F667" i="18"/>
  <c r="G667" i="18"/>
  <c r="H667" i="18"/>
  <c r="I667" i="18"/>
  <c r="J667" i="18"/>
  <c r="A668" i="18"/>
  <c r="B668" i="18"/>
  <c r="C668" i="18"/>
  <c r="D668" i="18"/>
  <c r="E668" i="18"/>
  <c r="F668" i="18"/>
  <c r="G668" i="18"/>
  <c r="H668" i="18"/>
  <c r="I668" i="18"/>
  <c r="J668" i="18"/>
  <c r="A669" i="18"/>
  <c r="B669" i="18"/>
  <c r="C669" i="18"/>
  <c r="D669" i="18"/>
  <c r="E669" i="18"/>
  <c r="F669" i="18"/>
  <c r="G669" i="18"/>
  <c r="H669" i="18"/>
  <c r="I669" i="18"/>
  <c r="J669" i="18"/>
  <c r="A670" i="18"/>
  <c r="B670" i="18"/>
  <c r="C670" i="18"/>
  <c r="D670" i="18"/>
  <c r="E670" i="18"/>
  <c r="F670" i="18"/>
  <c r="G670" i="18"/>
  <c r="H670" i="18"/>
  <c r="I670" i="18"/>
  <c r="J670" i="18"/>
  <c r="A671" i="18"/>
  <c r="B671" i="18"/>
  <c r="C671" i="18"/>
  <c r="D671" i="18"/>
  <c r="E671" i="18"/>
  <c r="F671" i="18"/>
  <c r="G671" i="18"/>
  <c r="H671" i="18"/>
  <c r="I671" i="18"/>
  <c r="J671" i="18"/>
  <c r="A672" i="18"/>
  <c r="B672" i="18"/>
  <c r="C672" i="18"/>
  <c r="D672" i="18"/>
  <c r="E672" i="18"/>
  <c r="F672" i="18"/>
  <c r="G672" i="18"/>
  <c r="H672" i="18"/>
  <c r="I672" i="18"/>
  <c r="J672" i="18"/>
  <c r="A673" i="18"/>
  <c r="B673" i="18"/>
  <c r="C673" i="18"/>
  <c r="D673" i="18"/>
  <c r="E673" i="18"/>
  <c r="F673" i="18"/>
  <c r="G673" i="18"/>
  <c r="H673" i="18"/>
  <c r="I673" i="18"/>
  <c r="J673" i="18"/>
  <c r="A674" i="18"/>
  <c r="B674" i="18"/>
  <c r="C674" i="18"/>
  <c r="D674" i="18"/>
  <c r="E674" i="18"/>
  <c r="F674" i="18"/>
  <c r="G674" i="18"/>
  <c r="H674" i="18"/>
  <c r="I674" i="18"/>
  <c r="J674" i="18"/>
  <c r="A675" i="18"/>
  <c r="B675" i="18"/>
  <c r="C675" i="18"/>
  <c r="D675" i="18"/>
  <c r="E675" i="18"/>
  <c r="F675" i="18"/>
  <c r="G675" i="18"/>
  <c r="H675" i="18"/>
  <c r="I675" i="18"/>
  <c r="J675" i="18"/>
  <c r="A676" i="18"/>
  <c r="B676" i="18"/>
  <c r="C676" i="18"/>
  <c r="D676" i="18"/>
  <c r="E676" i="18"/>
  <c r="F676" i="18"/>
  <c r="G676" i="18"/>
  <c r="H676" i="18"/>
  <c r="I676" i="18"/>
  <c r="J676" i="18"/>
  <c r="A677" i="18"/>
  <c r="B677" i="18"/>
  <c r="C677" i="18"/>
  <c r="D677" i="18"/>
  <c r="E677" i="18"/>
  <c r="F677" i="18"/>
  <c r="G677" i="18"/>
  <c r="H677" i="18"/>
  <c r="I677" i="18"/>
  <c r="J677" i="18"/>
  <c r="A678" i="18"/>
  <c r="B678" i="18"/>
  <c r="C678" i="18"/>
  <c r="D678" i="18"/>
  <c r="E678" i="18"/>
  <c r="F678" i="18"/>
  <c r="G678" i="18"/>
  <c r="H678" i="18"/>
  <c r="I678" i="18"/>
  <c r="J678" i="18"/>
  <c r="A679" i="18"/>
  <c r="B679" i="18"/>
  <c r="C679" i="18"/>
  <c r="D679" i="18"/>
  <c r="E679" i="18"/>
  <c r="F679" i="18"/>
  <c r="G679" i="18"/>
  <c r="H679" i="18"/>
  <c r="I679" i="18"/>
  <c r="J679" i="18"/>
  <c r="A680" i="18"/>
  <c r="B680" i="18"/>
  <c r="C680" i="18"/>
  <c r="D680" i="18"/>
  <c r="E680" i="18"/>
  <c r="F680" i="18"/>
  <c r="G680" i="18"/>
  <c r="H680" i="18"/>
  <c r="I680" i="18"/>
  <c r="J680" i="18"/>
  <c r="A681" i="18"/>
  <c r="B681" i="18"/>
  <c r="C681" i="18"/>
  <c r="D681" i="18"/>
  <c r="E681" i="18"/>
  <c r="F681" i="18"/>
  <c r="G681" i="18"/>
  <c r="H681" i="18"/>
  <c r="I681" i="18"/>
  <c r="J681" i="18"/>
  <c r="A682" i="18"/>
  <c r="B682" i="18"/>
  <c r="C682" i="18"/>
  <c r="D682" i="18"/>
  <c r="E682" i="18"/>
  <c r="F682" i="18"/>
  <c r="G682" i="18"/>
  <c r="H682" i="18"/>
  <c r="I682" i="18"/>
  <c r="J682" i="18"/>
  <c r="A683" i="18"/>
  <c r="B683" i="18"/>
  <c r="C683" i="18"/>
  <c r="D683" i="18"/>
  <c r="E683" i="18"/>
  <c r="F683" i="18"/>
  <c r="G683" i="18"/>
  <c r="H683" i="18"/>
  <c r="I683" i="18"/>
  <c r="J683" i="18"/>
  <c r="A684" i="18"/>
  <c r="B684" i="18"/>
  <c r="C684" i="18"/>
  <c r="D684" i="18"/>
  <c r="E684" i="18"/>
  <c r="F684" i="18"/>
  <c r="G684" i="18"/>
  <c r="H684" i="18"/>
  <c r="I684" i="18"/>
  <c r="J684" i="18"/>
  <c r="A685" i="18"/>
  <c r="B685" i="18"/>
  <c r="C685" i="18"/>
  <c r="D685" i="18"/>
  <c r="E685" i="18"/>
  <c r="F685" i="18"/>
  <c r="G685" i="18"/>
  <c r="H685" i="18"/>
  <c r="I685" i="18"/>
  <c r="J685" i="18"/>
  <c r="A686" i="18"/>
  <c r="B686" i="18"/>
  <c r="C686" i="18"/>
  <c r="D686" i="18"/>
  <c r="E686" i="18"/>
  <c r="F686" i="18"/>
  <c r="G686" i="18"/>
  <c r="H686" i="18"/>
  <c r="I686" i="18"/>
  <c r="J686" i="18"/>
  <c r="A687" i="18"/>
  <c r="B687" i="18"/>
  <c r="C687" i="18"/>
  <c r="D687" i="18"/>
  <c r="E687" i="18"/>
  <c r="F687" i="18"/>
  <c r="G687" i="18"/>
  <c r="H687" i="18"/>
  <c r="I687" i="18"/>
  <c r="J687" i="18"/>
  <c r="A688" i="18"/>
  <c r="B688" i="18"/>
  <c r="C688" i="18"/>
  <c r="D688" i="18"/>
  <c r="E688" i="18"/>
  <c r="F688" i="18"/>
  <c r="G688" i="18"/>
  <c r="H688" i="18"/>
  <c r="I688" i="18"/>
  <c r="J688" i="18"/>
  <c r="A689" i="18"/>
  <c r="B689" i="18"/>
  <c r="C689" i="18"/>
  <c r="D689" i="18"/>
  <c r="E689" i="18"/>
  <c r="F689" i="18"/>
  <c r="G689" i="18"/>
  <c r="H689" i="18"/>
  <c r="I689" i="18"/>
  <c r="J689" i="18"/>
  <c r="A690" i="18"/>
  <c r="B690" i="18"/>
  <c r="C690" i="18"/>
  <c r="D690" i="18"/>
  <c r="E690" i="18"/>
  <c r="F690" i="18"/>
  <c r="G690" i="18"/>
  <c r="H690" i="18"/>
  <c r="I690" i="18"/>
  <c r="J690" i="18"/>
  <c r="A691" i="18"/>
  <c r="B691" i="18"/>
  <c r="C691" i="18"/>
  <c r="D691" i="18"/>
  <c r="E691" i="18"/>
  <c r="F691" i="18"/>
  <c r="G691" i="18"/>
  <c r="H691" i="18"/>
  <c r="I691" i="18"/>
  <c r="J691" i="18"/>
  <c r="A692" i="18"/>
  <c r="B692" i="18"/>
  <c r="C692" i="18"/>
  <c r="D692" i="18"/>
  <c r="E692" i="18"/>
  <c r="F692" i="18"/>
  <c r="G692" i="18"/>
  <c r="H692" i="18"/>
  <c r="I692" i="18"/>
  <c r="J692" i="18"/>
  <c r="A693" i="18"/>
  <c r="B693" i="18"/>
  <c r="C693" i="18"/>
  <c r="D693" i="18"/>
  <c r="E693" i="18"/>
  <c r="F693" i="18"/>
  <c r="G693" i="18"/>
  <c r="H693" i="18"/>
  <c r="I693" i="18"/>
  <c r="J693" i="18"/>
  <c r="A694" i="18"/>
  <c r="B694" i="18"/>
  <c r="C694" i="18"/>
  <c r="D694" i="18"/>
  <c r="E694" i="18"/>
  <c r="F694" i="18"/>
  <c r="G694" i="18"/>
  <c r="H694" i="18"/>
  <c r="I694" i="18"/>
  <c r="J694" i="18"/>
  <c r="A695" i="18"/>
  <c r="B695" i="18"/>
  <c r="C695" i="18"/>
  <c r="D695" i="18"/>
  <c r="E695" i="18"/>
  <c r="F695" i="18"/>
  <c r="G695" i="18"/>
  <c r="H695" i="18"/>
  <c r="I695" i="18"/>
  <c r="J695" i="18"/>
  <c r="A696" i="18"/>
  <c r="B696" i="18"/>
  <c r="C696" i="18"/>
  <c r="D696" i="18"/>
  <c r="E696" i="18"/>
  <c r="F696" i="18"/>
  <c r="G696" i="18"/>
  <c r="H696" i="18"/>
  <c r="I696" i="18"/>
  <c r="J696" i="18"/>
  <c r="A697" i="18"/>
  <c r="B697" i="18"/>
  <c r="C697" i="18"/>
  <c r="D697" i="18"/>
  <c r="E697" i="18"/>
  <c r="F697" i="18"/>
  <c r="G697" i="18"/>
  <c r="H697" i="18"/>
  <c r="I697" i="18"/>
  <c r="J697" i="18"/>
  <c r="A698" i="18"/>
  <c r="B698" i="18"/>
  <c r="C698" i="18"/>
  <c r="D698" i="18"/>
  <c r="E698" i="18"/>
  <c r="F698" i="18"/>
  <c r="G698" i="18"/>
  <c r="H698" i="18"/>
  <c r="I698" i="18"/>
  <c r="J698" i="18"/>
  <c r="A699" i="18"/>
  <c r="B699" i="18"/>
  <c r="C699" i="18"/>
  <c r="D699" i="18"/>
  <c r="E699" i="18"/>
  <c r="F699" i="18"/>
  <c r="G699" i="18"/>
  <c r="H699" i="18"/>
  <c r="I699" i="18"/>
  <c r="J699" i="18"/>
  <c r="A700" i="18"/>
  <c r="B700" i="18"/>
  <c r="C700" i="18"/>
  <c r="D700" i="18"/>
  <c r="E700" i="18"/>
  <c r="F700" i="18"/>
  <c r="G700" i="18"/>
  <c r="H700" i="18"/>
  <c r="I700" i="18"/>
  <c r="J700" i="18"/>
  <c r="A701" i="18"/>
  <c r="B701" i="18"/>
  <c r="C701" i="18"/>
  <c r="D701" i="18"/>
  <c r="E701" i="18"/>
  <c r="F701" i="18"/>
  <c r="G701" i="18"/>
  <c r="H701" i="18"/>
  <c r="I701" i="18"/>
  <c r="J701" i="18"/>
  <c r="A702" i="18"/>
  <c r="B702" i="18"/>
  <c r="C702" i="18"/>
  <c r="D702" i="18"/>
  <c r="E702" i="18"/>
  <c r="F702" i="18"/>
  <c r="G702" i="18"/>
  <c r="H702" i="18"/>
  <c r="I702" i="18"/>
  <c r="J702" i="18"/>
  <c r="A703" i="18"/>
  <c r="B703" i="18"/>
  <c r="C703" i="18"/>
  <c r="D703" i="18"/>
  <c r="E703" i="18"/>
  <c r="F703" i="18"/>
  <c r="G703" i="18"/>
  <c r="H703" i="18"/>
  <c r="I703" i="18"/>
  <c r="J703" i="18"/>
  <c r="A704" i="18"/>
  <c r="B704" i="18"/>
  <c r="C704" i="18"/>
  <c r="D704" i="18"/>
  <c r="E704" i="18"/>
  <c r="F704" i="18"/>
  <c r="G704" i="18"/>
  <c r="H704" i="18"/>
  <c r="I704" i="18"/>
  <c r="J704" i="18"/>
  <c r="A705" i="18"/>
  <c r="B705" i="18"/>
  <c r="C705" i="18"/>
  <c r="D705" i="18"/>
  <c r="E705" i="18"/>
  <c r="F705" i="18"/>
  <c r="G705" i="18"/>
  <c r="H705" i="18"/>
  <c r="I705" i="18"/>
  <c r="J705" i="18"/>
  <c r="A706" i="18"/>
  <c r="B706" i="18"/>
  <c r="C706" i="18"/>
  <c r="D706" i="18"/>
  <c r="E706" i="18"/>
  <c r="F706" i="18"/>
  <c r="G706" i="18"/>
  <c r="H706" i="18"/>
  <c r="I706" i="18"/>
  <c r="J706" i="18"/>
  <c r="A707" i="18"/>
  <c r="B707" i="18"/>
  <c r="C707" i="18"/>
  <c r="D707" i="18"/>
  <c r="E707" i="18"/>
  <c r="F707" i="18"/>
  <c r="G707" i="18"/>
  <c r="H707" i="18"/>
  <c r="I707" i="18"/>
  <c r="J707" i="18"/>
  <c r="A708" i="18"/>
  <c r="B708" i="18"/>
  <c r="C708" i="18"/>
  <c r="D708" i="18"/>
  <c r="E708" i="18"/>
  <c r="F708" i="18"/>
  <c r="G708" i="18"/>
  <c r="H708" i="18"/>
  <c r="I708" i="18"/>
  <c r="J708" i="18"/>
  <c r="A709" i="18"/>
  <c r="B709" i="18"/>
  <c r="C709" i="18"/>
  <c r="D709" i="18"/>
  <c r="E709" i="18"/>
  <c r="F709" i="18"/>
  <c r="G709" i="18"/>
  <c r="H709" i="18"/>
  <c r="I709" i="18"/>
  <c r="J709" i="18"/>
  <c r="A710" i="18"/>
  <c r="B710" i="18"/>
  <c r="C710" i="18"/>
  <c r="D710" i="18"/>
  <c r="E710" i="18"/>
  <c r="F710" i="18"/>
  <c r="G710" i="18"/>
  <c r="H710" i="18"/>
  <c r="I710" i="18"/>
  <c r="J710" i="18"/>
  <c r="A711" i="18"/>
  <c r="B711" i="18"/>
  <c r="C711" i="18"/>
  <c r="D711" i="18"/>
  <c r="E711" i="18"/>
  <c r="F711" i="18"/>
  <c r="G711" i="18"/>
  <c r="H711" i="18"/>
  <c r="I711" i="18"/>
  <c r="J711" i="18"/>
  <c r="A712" i="18"/>
  <c r="B712" i="18"/>
  <c r="C712" i="18"/>
  <c r="D712" i="18"/>
  <c r="E712" i="18"/>
  <c r="F712" i="18"/>
  <c r="G712" i="18"/>
  <c r="H712" i="18"/>
  <c r="I712" i="18"/>
  <c r="J712" i="18"/>
  <c r="A713" i="18"/>
  <c r="B713" i="18"/>
  <c r="C713" i="18"/>
  <c r="D713" i="18"/>
  <c r="E713" i="18"/>
  <c r="F713" i="18"/>
  <c r="G713" i="18"/>
  <c r="H713" i="18"/>
  <c r="I713" i="18"/>
  <c r="J713" i="18"/>
  <c r="A714" i="18"/>
  <c r="B714" i="18"/>
  <c r="C714" i="18"/>
  <c r="D714" i="18"/>
  <c r="E714" i="18"/>
  <c r="F714" i="18"/>
  <c r="G714" i="18"/>
  <c r="H714" i="18"/>
  <c r="I714" i="18"/>
  <c r="J714" i="18"/>
  <c r="A715" i="18"/>
  <c r="B715" i="18"/>
  <c r="C715" i="18"/>
  <c r="D715" i="18"/>
  <c r="E715" i="18"/>
  <c r="F715" i="18"/>
  <c r="G715" i="18"/>
  <c r="H715" i="18"/>
  <c r="I715" i="18"/>
  <c r="J715" i="18"/>
  <c r="A716" i="18"/>
  <c r="B716" i="18"/>
  <c r="C716" i="18"/>
  <c r="D716" i="18"/>
  <c r="E716" i="18"/>
  <c r="F716" i="18"/>
  <c r="G716" i="18"/>
  <c r="H716" i="18"/>
  <c r="I716" i="18"/>
  <c r="J716" i="18"/>
  <c r="A717" i="18"/>
  <c r="B717" i="18"/>
  <c r="C717" i="18"/>
  <c r="D717" i="18"/>
  <c r="E717" i="18"/>
  <c r="F717" i="18"/>
  <c r="G717" i="18"/>
  <c r="H717" i="18"/>
  <c r="I717" i="18"/>
  <c r="J717" i="18"/>
  <c r="A718" i="18"/>
  <c r="B718" i="18"/>
  <c r="C718" i="18"/>
  <c r="D718" i="18"/>
  <c r="E718" i="18"/>
  <c r="F718" i="18"/>
  <c r="G718" i="18"/>
  <c r="H718" i="18"/>
  <c r="I718" i="18"/>
  <c r="J718" i="18"/>
  <c r="A719" i="18"/>
  <c r="B719" i="18"/>
  <c r="C719" i="18"/>
  <c r="D719" i="18"/>
  <c r="E719" i="18"/>
  <c r="F719" i="18"/>
  <c r="G719" i="18"/>
  <c r="H719" i="18"/>
  <c r="I719" i="18"/>
  <c r="J719" i="18"/>
  <c r="A720" i="18"/>
  <c r="B720" i="18"/>
  <c r="C720" i="18"/>
  <c r="D720" i="18"/>
  <c r="E720" i="18"/>
  <c r="F720" i="18"/>
  <c r="G720" i="18"/>
  <c r="H720" i="18"/>
  <c r="I720" i="18"/>
  <c r="J720" i="18"/>
  <c r="A721" i="18"/>
  <c r="B721" i="18"/>
  <c r="C721" i="18"/>
  <c r="D721" i="18"/>
  <c r="E721" i="18"/>
  <c r="F721" i="18"/>
  <c r="G721" i="18"/>
  <c r="H721" i="18"/>
  <c r="I721" i="18"/>
  <c r="J721" i="18"/>
  <c r="A722" i="18"/>
  <c r="B722" i="18"/>
  <c r="C722" i="18"/>
  <c r="D722" i="18"/>
  <c r="E722" i="18"/>
  <c r="F722" i="18"/>
  <c r="G722" i="18"/>
  <c r="H722" i="18"/>
  <c r="I722" i="18"/>
  <c r="J722" i="18"/>
  <c r="A723" i="18"/>
  <c r="B723" i="18"/>
  <c r="C723" i="18"/>
  <c r="D723" i="18"/>
  <c r="E723" i="18"/>
  <c r="F723" i="18"/>
  <c r="G723" i="18"/>
  <c r="H723" i="18"/>
  <c r="I723" i="18"/>
  <c r="J723" i="18"/>
  <c r="A724" i="18"/>
  <c r="B724" i="18"/>
  <c r="C724" i="18"/>
  <c r="D724" i="18"/>
  <c r="E724" i="18"/>
  <c r="F724" i="18"/>
  <c r="G724" i="18"/>
  <c r="H724" i="18"/>
  <c r="I724" i="18"/>
  <c r="J724" i="18"/>
  <c r="A725" i="18"/>
  <c r="B725" i="18"/>
  <c r="C725" i="18"/>
  <c r="D725" i="18"/>
  <c r="E725" i="18"/>
  <c r="F725" i="18"/>
  <c r="G725" i="18"/>
  <c r="H725" i="18"/>
  <c r="I725" i="18"/>
  <c r="J725" i="18"/>
  <c r="A726" i="18"/>
  <c r="B726" i="18"/>
  <c r="C726" i="18"/>
  <c r="D726" i="18"/>
  <c r="E726" i="18"/>
  <c r="F726" i="18"/>
  <c r="G726" i="18"/>
  <c r="H726" i="18"/>
  <c r="I726" i="18"/>
  <c r="J726" i="18"/>
  <c r="A727" i="18"/>
  <c r="B727" i="18"/>
  <c r="C727" i="18"/>
  <c r="D727" i="18"/>
  <c r="E727" i="18"/>
  <c r="F727" i="18"/>
  <c r="G727" i="18"/>
  <c r="H727" i="18"/>
  <c r="I727" i="18"/>
  <c r="J727" i="18"/>
  <c r="A728" i="18"/>
  <c r="B728" i="18"/>
  <c r="C728" i="18"/>
  <c r="D728" i="18"/>
  <c r="E728" i="18"/>
  <c r="F728" i="18"/>
  <c r="G728" i="18"/>
  <c r="H728" i="18"/>
  <c r="I728" i="18"/>
  <c r="J728" i="18"/>
  <c r="A729" i="18"/>
  <c r="B729" i="18"/>
  <c r="C729" i="18"/>
  <c r="D729" i="18"/>
  <c r="E729" i="18"/>
  <c r="F729" i="18"/>
  <c r="G729" i="18"/>
  <c r="H729" i="18"/>
  <c r="I729" i="18"/>
  <c r="J729" i="18"/>
  <c r="A730" i="18"/>
  <c r="B730" i="18"/>
  <c r="C730" i="18"/>
  <c r="D730" i="18"/>
  <c r="E730" i="18"/>
  <c r="F730" i="18"/>
  <c r="G730" i="18"/>
  <c r="H730" i="18"/>
  <c r="I730" i="18"/>
  <c r="J730" i="18"/>
  <c r="A731" i="18"/>
  <c r="B731" i="18"/>
  <c r="C731" i="18"/>
  <c r="D731" i="18"/>
  <c r="E731" i="18"/>
  <c r="F731" i="18"/>
  <c r="G731" i="18"/>
  <c r="H731" i="18"/>
  <c r="I731" i="18"/>
  <c r="J731" i="18"/>
  <c r="A732" i="18"/>
  <c r="B732" i="18"/>
  <c r="C732" i="18"/>
  <c r="D732" i="18"/>
  <c r="E732" i="18"/>
  <c r="F732" i="18"/>
  <c r="G732" i="18"/>
  <c r="H732" i="18"/>
  <c r="I732" i="18"/>
  <c r="J732" i="18"/>
  <c r="A733" i="18"/>
  <c r="B733" i="18"/>
  <c r="C733" i="18"/>
  <c r="D733" i="18"/>
  <c r="E733" i="18"/>
  <c r="F733" i="18"/>
  <c r="G733" i="18"/>
  <c r="H733" i="18"/>
  <c r="I733" i="18"/>
  <c r="J733" i="18"/>
  <c r="A734" i="18"/>
  <c r="B734" i="18"/>
  <c r="C734" i="18"/>
  <c r="D734" i="18"/>
  <c r="E734" i="18"/>
  <c r="F734" i="18"/>
  <c r="G734" i="18"/>
  <c r="H734" i="18"/>
  <c r="I734" i="18"/>
  <c r="J734" i="18"/>
  <c r="A735" i="18"/>
  <c r="B735" i="18"/>
  <c r="C735" i="18"/>
  <c r="D735" i="18"/>
  <c r="E735" i="18"/>
  <c r="F735" i="18"/>
  <c r="G735" i="18"/>
  <c r="H735" i="18"/>
  <c r="I735" i="18"/>
  <c r="J735" i="18"/>
  <c r="A736" i="18"/>
  <c r="B736" i="18"/>
  <c r="C736" i="18"/>
  <c r="D736" i="18"/>
  <c r="E736" i="18"/>
  <c r="F736" i="18"/>
  <c r="G736" i="18"/>
  <c r="H736" i="18"/>
  <c r="I736" i="18"/>
  <c r="J736" i="18"/>
  <c r="A737" i="18"/>
  <c r="B737" i="18"/>
  <c r="C737" i="18"/>
  <c r="D737" i="18"/>
  <c r="E737" i="18"/>
  <c r="F737" i="18"/>
  <c r="G737" i="18"/>
  <c r="H737" i="18"/>
  <c r="I737" i="18"/>
  <c r="J737" i="18"/>
  <c r="A738" i="18"/>
  <c r="B738" i="18"/>
  <c r="C738" i="18"/>
  <c r="D738" i="18"/>
  <c r="E738" i="18"/>
  <c r="F738" i="18"/>
  <c r="G738" i="18"/>
  <c r="H738" i="18"/>
  <c r="I738" i="18"/>
  <c r="J738" i="18"/>
  <c r="A739" i="18"/>
  <c r="B739" i="18"/>
  <c r="C739" i="18"/>
  <c r="D739" i="18"/>
  <c r="E739" i="18"/>
  <c r="F739" i="18"/>
  <c r="G739" i="18"/>
  <c r="H739" i="18"/>
  <c r="I739" i="18"/>
  <c r="J739" i="18"/>
  <c r="A740" i="18"/>
  <c r="B740" i="18"/>
  <c r="C740" i="18"/>
  <c r="D740" i="18"/>
  <c r="E740" i="18"/>
  <c r="F740" i="18"/>
  <c r="G740" i="18"/>
  <c r="H740" i="18"/>
  <c r="I740" i="18"/>
  <c r="J740" i="18"/>
  <c r="A741" i="18"/>
  <c r="B741" i="18"/>
  <c r="C741" i="18"/>
  <c r="D741" i="18"/>
  <c r="E741" i="18"/>
  <c r="F741" i="18"/>
  <c r="G741" i="18"/>
  <c r="H741" i="18"/>
  <c r="I741" i="18"/>
  <c r="J741" i="18"/>
  <c r="A742" i="18"/>
  <c r="B742" i="18"/>
  <c r="C742" i="18"/>
  <c r="D742" i="18"/>
  <c r="E742" i="18"/>
  <c r="F742" i="18"/>
  <c r="G742" i="18"/>
  <c r="H742" i="18"/>
  <c r="I742" i="18"/>
  <c r="J742" i="18"/>
  <c r="A743" i="18"/>
  <c r="B743" i="18"/>
  <c r="C743" i="18"/>
  <c r="D743" i="18"/>
  <c r="E743" i="18"/>
  <c r="F743" i="18"/>
  <c r="G743" i="18"/>
  <c r="H743" i="18"/>
  <c r="I743" i="18"/>
  <c r="J743" i="18"/>
  <c r="A744" i="18"/>
  <c r="B744" i="18"/>
  <c r="C744" i="18"/>
  <c r="D744" i="18"/>
  <c r="E744" i="18"/>
  <c r="F744" i="18"/>
  <c r="G744" i="18"/>
  <c r="H744" i="18"/>
  <c r="I744" i="18"/>
  <c r="J744" i="18"/>
  <c r="A745" i="18"/>
  <c r="B745" i="18"/>
  <c r="C745" i="18"/>
  <c r="D745" i="18"/>
  <c r="E745" i="18"/>
  <c r="F745" i="18"/>
  <c r="G745" i="18"/>
  <c r="H745" i="18"/>
  <c r="I745" i="18"/>
  <c r="J745" i="18"/>
  <c r="A746" i="18"/>
  <c r="B746" i="18"/>
  <c r="C746" i="18"/>
  <c r="D746" i="18"/>
  <c r="E746" i="18"/>
  <c r="F746" i="18"/>
  <c r="G746" i="18"/>
  <c r="H746" i="18"/>
  <c r="I746" i="18"/>
  <c r="J746" i="18"/>
  <c r="A747" i="18"/>
  <c r="B747" i="18"/>
  <c r="C747" i="18"/>
  <c r="D747" i="18"/>
  <c r="E747" i="18"/>
  <c r="F747" i="18"/>
  <c r="G747" i="18"/>
  <c r="H747" i="18"/>
  <c r="I747" i="18"/>
  <c r="J747" i="18"/>
  <c r="A748" i="18"/>
  <c r="B748" i="18"/>
  <c r="C748" i="18"/>
  <c r="D748" i="18"/>
  <c r="E748" i="18"/>
  <c r="F748" i="18"/>
  <c r="G748" i="18"/>
  <c r="H748" i="18"/>
  <c r="I748" i="18"/>
  <c r="J748" i="18"/>
  <c r="A749" i="18"/>
  <c r="B749" i="18"/>
  <c r="C749" i="18"/>
  <c r="D749" i="18"/>
  <c r="E749" i="18"/>
  <c r="F749" i="18"/>
  <c r="G749" i="18"/>
  <c r="H749" i="18"/>
  <c r="I749" i="18"/>
  <c r="J749" i="18"/>
  <c r="A750" i="18"/>
  <c r="B750" i="18"/>
  <c r="C750" i="18"/>
  <c r="D750" i="18"/>
  <c r="E750" i="18"/>
  <c r="F750" i="18"/>
  <c r="G750" i="18"/>
  <c r="H750" i="18"/>
  <c r="I750" i="18"/>
  <c r="J750" i="18"/>
  <c r="A751" i="18"/>
  <c r="B751" i="18"/>
  <c r="C751" i="18"/>
  <c r="D751" i="18"/>
  <c r="E751" i="18"/>
  <c r="F751" i="18"/>
  <c r="G751" i="18"/>
  <c r="H751" i="18"/>
  <c r="I751" i="18"/>
  <c r="J751" i="18"/>
  <c r="A752" i="18"/>
  <c r="B752" i="18"/>
  <c r="C752" i="18"/>
  <c r="D752" i="18"/>
  <c r="E752" i="18"/>
  <c r="F752" i="18"/>
  <c r="G752" i="18"/>
  <c r="H752" i="18"/>
  <c r="I752" i="18"/>
  <c r="J752" i="18"/>
  <c r="A753" i="18"/>
  <c r="B753" i="18"/>
  <c r="C753" i="18"/>
  <c r="D753" i="18"/>
  <c r="E753" i="18"/>
  <c r="F753" i="18"/>
  <c r="G753" i="18"/>
  <c r="H753" i="18"/>
  <c r="I753" i="18"/>
  <c r="J753" i="18"/>
  <c r="A754" i="18"/>
  <c r="B754" i="18"/>
  <c r="C754" i="18"/>
  <c r="D754" i="18"/>
  <c r="E754" i="18"/>
  <c r="F754" i="18"/>
  <c r="G754" i="18"/>
  <c r="H754" i="18"/>
  <c r="I754" i="18"/>
  <c r="J754" i="18"/>
  <c r="A755" i="18"/>
  <c r="B755" i="18"/>
  <c r="C755" i="18"/>
  <c r="D755" i="18"/>
  <c r="E755" i="18"/>
  <c r="F755" i="18"/>
  <c r="G755" i="18"/>
  <c r="H755" i="18"/>
  <c r="I755" i="18"/>
  <c r="J755" i="18"/>
  <c r="A756" i="18"/>
  <c r="B756" i="18"/>
  <c r="C756" i="18"/>
  <c r="D756" i="18"/>
  <c r="E756" i="18"/>
  <c r="F756" i="18"/>
  <c r="G756" i="18"/>
  <c r="H756" i="18"/>
  <c r="I756" i="18"/>
  <c r="J756" i="18"/>
  <c r="A757" i="18"/>
  <c r="B757" i="18"/>
  <c r="C757" i="18"/>
  <c r="D757" i="18"/>
  <c r="E757" i="18"/>
  <c r="F757" i="18"/>
  <c r="G757" i="18"/>
  <c r="H757" i="18"/>
  <c r="I757" i="18"/>
  <c r="J757" i="18"/>
  <c r="A758" i="18"/>
  <c r="B758" i="18"/>
  <c r="C758" i="18"/>
  <c r="D758" i="18"/>
  <c r="E758" i="18"/>
  <c r="F758" i="18"/>
  <c r="G758" i="18"/>
  <c r="H758" i="18"/>
  <c r="I758" i="18"/>
  <c r="J758" i="18"/>
  <c r="A759" i="18"/>
  <c r="B759" i="18"/>
  <c r="C759" i="18"/>
  <c r="D759" i="18"/>
  <c r="E759" i="18"/>
  <c r="F759" i="18"/>
  <c r="G759" i="18"/>
  <c r="H759" i="18"/>
  <c r="I759" i="18"/>
  <c r="J759" i="18"/>
  <c r="A760" i="18"/>
  <c r="B760" i="18"/>
  <c r="C760" i="18"/>
  <c r="D760" i="18"/>
  <c r="E760" i="18"/>
  <c r="F760" i="18"/>
  <c r="G760" i="18"/>
  <c r="H760" i="18"/>
  <c r="I760" i="18"/>
  <c r="J760" i="18"/>
  <c r="A761" i="18"/>
  <c r="B761" i="18"/>
  <c r="C761" i="18"/>
  <c r="D761" i="18"/>
  <c r="E761" i="18"/>
  <c r="F761" i="18"/>
  <c r="G761" i="18"/>
  <c r="H761" i="18"/>
  <c r="I761" i="18"/>
  <c r="J761" i="18"/>
  <c r="A762" i="18"/>
  <c r="B762" i="18"/>
  <c r="C762" i="18"/>
  <c r="D762" i="18"/>
  <c r="E762" i="18"/>
  <c r="F762" i="18"/>
  <c r="G762" i="18"/>
  <c r="H762" i="18"/>
  <c r="I762" i="18"/>
  <c r="J762" i="18"/>
  <c r="A763" i="18"/>
  <c r="B763" i="18"/>
  <c r="C763" i="18"/>
  <c r="D763" i="18"/>
  <c r="E763" i="18"/>
  <c r="F763" i="18"/>
  <c r="G763" i="18"/>
  <c r="H763" i="18"/>
  <c r="I763" i="18"/>
  <c r="J763" i="18"/>
  <c r="A764" i="18"/>
  <c r="B764" i="18"/>
  <c r="C764" i="18"/>
  <c r="D764" i="18"/>
  <c r="E764" i="18"/>
  <c r="F764" i="18"/>
  <c r="G764" i="18"/>
  <c r="H764" i="18"/>
  <c r="I764" i="18"/>
  <c r="J764" i="18"/>
  <c r="A765" i="18"/>
  <c r="B765" i="18"/>
  <c r="C765" i="18"/>
  <c r="D765" i="18"/>
  <c r="E765" i="18"/>
  <c r="F765" i="18"/>
  <c r="G765" i="18"/>
  <c r="H765" i="18"/>
  <c r="I765" i="18"/>
  <c r="J765" i="18"/>
  <c r="A766" i="18"/>
  <c r="B766" i="18"/>
  <c r="C766" i="18"/>
  <c r="D766" i="18"/>
  <c r="E766" i="18"/>
  <c r="F766" i="18"/>
  <c r="G766" i="18"/>
  <c r="H766" i="18"/>
  <c r="I766" i="18"/>
  <c r="J766" i="18"/>
  <c r="A767" i="18"/>
  <c r="B767" i="18"/>
  <c r="C767" i="18"/>
  <c r="D767" i="18"/>
  <c r="E767" i="18"/>
  <c r="F767" i="18"/>
  <c r="G767" i="18"/>
  <c r="H767" i="18"/>
  <c r="I767" i="18"/>
  <c r="J767" i="18"/>
  <c r="A768" i="18"/>
  <c r="B768" i="18"/>
  <c r="C768" i="18"/>
  <c r="D768" i="18"/>
  <c r="E768" i="18"/>
  <c r="F768" i="18"/>
  <c r="G768" i="18"/>
  <c r="H768" i="18"/>
  <c r="I768" i="18"/>
  <c r="J768" i="18"/>
  <c r="A769" i="18"/>
  <c r="B769" i="18"/>
  <c r="C769" i="18"/>
  <c r="D769" i="18"/>
  <c r="E769" i="18"/>
  <c r="F769" i="18"/>
  <c r="G769" i="18"/>
  <c r="H769" i="18"/>
  <c r="I769" i="18"/>
  <c r="J769" i="18"/>
  <c r="A770" i="18"/>
  <c r="B770" i="18"/>
  <c r="C770" i="18"/>
  <c r="D770" i="18"/>
  <c r="E770" i="18"/>
  <c r="F770" i="18"/>
  <c r="G770" i="18"/>
  <c r="H770" i="18"/>
  <c r="I770" i="18"/>
  <c r="J770" i="18"/>
  <c r="A771" i="18"/>
  <c r="B771" i="18"/>
  <c r="C771" i="18"/>
  <c r="D771" i="18"/>
  <c r="E771" i="18"/>
  <c r="F771" i="18"/>
  <c r="G771" i="18"/>
  <c r="H771" i="18"/>
  <c r="I771" i="18"/>
  <c r="J771" i="18"/>
  <c r="A772" i="18"/>
  <c r="B772" i="18"/>
  <c r="C772" i="18"/>
  <c r="D772" i="18"/>
  <c r="E772" i="18"/>
  <c r="F772" i="18"/>
  <c r="G772" i="18"/>
  <c r="H772" i="18"/>
  <c r="I772" i="18"/>
  <c r="J772" i="18"/>
  <c r="A773" i="18"/>
  <c r="B773" i="18"/>
  <c r="C773" i="18"/>
  <c r="D773" i="18"/>
  <c r="E773" i="18"/>
  <c r="F773" i="18"/>
  <c r="G773" i="18"/>
  <c r="H773" i="18"/>
  <c r="I773" i="18"/>
  <c r="J773" i="18"/>
  <c r="A774" i="18"/>
  <c r="B774" i="18"/>
  <c r="C774" i="18"/>
  <c r="D774" i="18"/>
  <c r="E774" i="18"/>
  <c r="F774" i="18"/>
  <c r="G774" i="18"/>
  <c r="H774" i="18"/>
  <c r="I774" i="18"/>
  <c r="J774" i="18"/>
  <c r="A775" i="18"/>
  <c r="B775" i="18"/>
  <c r="C775" i="18"/>
  <c r="D775" i="18"/>
  <c r="E775" i="18"/>
  <c r="F775" i="18"/>
  <c r="G775" i="18"/>
  <c r="H775" i="18"/>
  <c r="I775" i="18"/>
  <c r="J775" i="18"/>
  <c r="A776" i="18"/>
  <c r="B776" i="18"/>
  <c r="C776" i="18"/>
  <c r="D776" i="18"/>
  <c r="E776" i="18"/>
  <c r="F776" i="18"/>
  <c r="G776" i="18"/>
  <c r="H776" i="18"/>
  <c r="I776" i="18"/>
  <c r="J776" i="18"/>
  <c r="A777" i="18"/>
  <c r="B777" i="18"/>
  <c r="C777" i="18"/>
  <c r="D777" i="18"/>
  <c r="E777" i="18"/>
  <c r="F777" i="18"/>
  <c r="G777" i="18"/>
  <c r="H777" i="18"/>
  <c r="I777" i="18"/>
  <c r="J777" i="18"/>
  <c r="A778" i="18"/>
  <c r="B778" i="18"/>
  <c r="C778" i="18"/>
  <c r="D778" i="18"/>
  <c r="E778" i="18"/>
  <c r="F778" i="18"/>
  <c r="G778" i="18"/>
  <c r="H778" i="18"/>
  <c r="I778" i="18"/>
  <c r="J778" i="18"/>
  <c r="A779" i="18"/>
  <c r="B779" i="18"/>
  <c r="C779" i="18"/>
  <c r="D779" i="18"/>
  <c r="E779" i="18"/>
  <c r="F779" i="18"/>
  <c r="G779" i="18"/>
  <c r="H779" i="18"/>
  <c r="I779" i="18"/>
  <c r="J779" i="18"/>
  <c r="A780" i="18"/>
  <c r="B780" i="18"/>
  <c r="C780" i="18"/>
  <c r="D780" i="18"/>
  <c r="E780" i="18"/>
  <c r="F780" i="18"/>
  <c r="G780" i="18"/>
  <c r="H780" i="18"/>
  <c r="I780" i="18"/>
  <c r="J780" i="18"/>
  <c r="A781" i="18"/>
  <c r="B781" i="18"/>
  <c r="C781" i="18"/>
  <c r="D781" i="18"/>
  <c r="E781" i="18"/>
  <c r="F781" i="18"/>
  <c r="G781" i="18"/>
  <c r="H781" i="18"/>
  <c r="I781" i="18"/>
  <c r="J781" i="18"/>
  <c r="A782" i="18"/>
  <c r="B782" i="18"/>
  <c r="C782" i="18"/>
  <c r="D782" i="18"/>
  <c r="E782" i="18"/>
  <c r="F782" i="18"/>
  <c r="G782" i="18"/>
  <c r="H782" i="18"/>
  <c r="I782" i="18"/>
  <c r="J782" i="18"/>
  <c r="A783" i="18"/>
  <c r="B783" i="18"/>
  <c r="C783" i="18"/>
  <c r="D783" i="18"/>
  <c r="E783" i="18"/>
  <c r="F783" i="18"/>
  <c r="G783" i="18"/>
  <c r="H783" i="18"/>
  <c r="I783" i="18"/>
  <c r="J783" i="18"/>
  <c r="A784" i="18"/>
  <c r="B784" i="18"/>
  <c r="C784" i="18"/>
  <c r="D784" i="18"/>
  <c r="E784" i="18"/>
  <c r="F784" i="18"/>
  <c r="G784" i="18"/>
  <c r="H784" i="18"/>
  <c r="I784" i="18"/>
  <c r="J784" i="18"/>
  <c r="A785" i="18"/>
  <c r="B785" i="18"/>
  <c r="C785" i="18"/>
  <c r="D785" i="18"/>
  <c r="E785" i="18"/>
  <c r="F785" i="18"/>
  <c r="G785" i="18"/>
  <c r="H785" i="18"/>
  <c r="I785" i="18"/>
  <c r="J785" i="18"/>
  <c r="A786" i="18"/>
  <c r="B786" i="18"/>
  <c r="C786" i="18"/>
  <c r="D786" i="18"/>
  <c r="E786" i="18"/>
  <c r="F786" i="18"/>
  <c r="G786" i="18"/>
  <c r="H786" i="18"/>
  <c r="I786" i="18"/>
  <c r="J786" i="18"/>
  <c r="A787" i="18"/>
  <c r="B787" i="18"/>
  <c r="C787" i="18"/>
  <c r="D787" i="18"/>
  <c r="E787" i="18"/>
  <c r="F787" i="18"/>
  <c r="G787" i="18"/>
  <c r="H787" i="18"/>
  <c r="I787" i="18"/>
  <c r="J787" i="18"/>
  <c r="A788" i="18"/>
  <c r="B788" i="18"/>
  <c r="C788" i="18"/>
  <c r="D788" i="18"/>
  <c r="E788" i="18"/>
  <c r="F788" i="18"/>
  <c r="G788" i="18"/>
  <c r="H788" i="18"/>
  <c r="I788" i="18"/>
  <c r="J788" i="18"/>
  <c r="A789" i="18"/>
  <c r="B789" i="18"/>
  <c r="C789" i="18"/>
  <c r="D789" i="18"/>
  <c r="E789" i="18"/>
  <c r="F789" i="18"/>
  <c r="G789" i="18"/>
  <c r="H789" i="18"/>
  <c r="I789" i="18"/>
  <c r="J789" i="18"/>
  <c r="A790" i="18"/>
  <c r="B790" i="18"/>
  <c r="C790" i="18"/>
  <c r="D790" i="18"/>
  <c r="E790" i="18"/>
  <c r="F790" i="18"/>
  <c r="G790" i="18"/>
  <c r="H790" i="18"/>
  <c r="I790" i="18"/>
  <c r="J790" i="18"/>
  <c r="A791" i="18"/>
  <c r="B791" i="18"/>
  <c r="C791" i="18"/>
  <c r="D791" i="18"/>
  <c r="E791" i="18"/>
  <c r="F791" i="18"/>
  <c r="G791" i="18"/>
  <c r="H791" i="18"/>
  <c r="I791" i="18"/>
  <c r="J791" i="18"/>
  <c r="A792" i="18"/>
  <c r="B792" i="18"/>
  <c r="C792" i="18"/>
  <c r="D792" i="18"/>
  <c r="E792" i="18"/>
  <c r="F792" i="18"/>
  <c r="G792" i="18"/>
  <c r="H792" i="18"/>
  <c r="I792" i="18"/>
  <c r="J792" i="18"/>
  <c r="A793" i="18"/>
  <c r="B793" i="18"/>
  <c r="C793" i="18"/>
  <c r="D793" i="18"/>
  <c r="E793" i="18"/>
  <c r="F793" i="18"/>
  <c r="G793" i="18"/>
  <c r="H793" i="18"/>
  <c r="I793" i="18"/>
  <c r="J793" i="18"/>
  <c r="A794" i="18"/>
  <c r="B794" i="18"/>
  <c r="C794" i="18"/>
  <c r="D794" i="18"/>
  <c r="E794" i="18"/>
  <c r="F794" i="18"/>
  <c r="G794" i="18"/>
  <c r="H794" i="18"/>
  <c r="I794" i="18"/>
  <c r="J794" i="18"/>
  <c r="A795" i="18"/>
  <c r="B795" i="18"/>
  <c r="C795" i="18"/>
  <c r="D795" i="18"/>
  <c r="E795" i="18"/>
  <c r="F795" i="18"/>
  <c r="G795" i="18"/>
  <c r="H795" i="18"/>
  <c r="I795" i="18"/>
  <c r="J795" i="18"/>
  <c r="A796" i="18"/>
  <c r="B796" i="18"/>
  <c r="C796" i="18"/>
  <c r="D796" i="18"/>
  <c r="E796" i="18"/>
  <c r="F796" i="18"/>
  <c r="G796" i="18"/>
  <c r="H796" i="18"/>
  <c r="I796" i="18"/>
  <c r="J796" i="18"/>
  <c r="A797" i="18"/>
  <c r="B797" i="18"/>
  <c r="C797" i="18"/>
  <c r="D797" i="18"/>
  <c r="E797" i="18"/>
  <c r="F797" i="18"/>
  <c r="G797" i="18"/>
  <c r="H797" i="18"/>
  <c r="I797" i="18"/>
  <c r="J797" i="18"/>
  <c r="A798" i="18"/>
  <c r="B798" i="18"/>
  <c r="C798" i="18"/>
  <c r="D798" i="18"/>
  <c r="E798" i="18"/>
  <c r="F798" i="18"/>
  <c r="G798" i="18"/>
  <c r="H798" i="18"/>
  <c r="I798" i="18"/>
  <c r="J798" i="18"/>
  <c r="A799" i="18"/>
  <c r="B799" i="18"/>
  <c r="C799" i="18"/>
  <c r="D799" i="18"/>
  <c r="E799" i="18"/>
  <c r="F799" i="18"/>
  <c r="G799" i="18"/>
  <c r="H799" i="18"/>
  <c r="I799" i="18"/>
  <c r="J799" i="18"/>
  <c r="A800" i="18"/>
  <c r="B800" i="18"/>
  <c r="C800" i="18"/>
  <c r="D800" i="18"/>
  <c r="E800" i="18"/>
  <c r="F800" i="18"/>
  <c r="G800" i="18"/>
  <c r="H800" i="18"/>
  <c r="I800" i="18"/>
  <c r="J800" i="18"/>
  <c r="A801" i="18"/>
  <c r="B801" i="18"/>
  <c r="C801" i="18"/>
  <c r="D801" i="18"/>
  <c r="E801" i="18"/>
  <c r="F801" i="18"/>
  <c r="G801" i="18"/>
  <c r="H801" i="18"/>
  <c r="I801" i="18"/>
  <c r="J801" i="18"/>
  <c r="A802" i="18"/>
  <c r="B802" i="18"/>
  <c r="C802" i="18"/>
  <c r="D802" i="18"/>
  <c r="E802" i="18"/>
  <c r="F802" i="18"/>
  <c r="G802" i="18"/>
  <c r="H802" i="18"/>
  <c r="I802" i="18"/>
  <c r="J802" i="18"/>
  <c r="A803" i="18"/>
  <c r="B803" i="18"/>
  <c r="C803" i="18"/>
  <c r="D803" i="18"/>
  <c r="E803" i="18"/>
  <c r="F803" i="18"/>
  <c r="G803" i="18"/>
  <c r="H803" i="18"/>
  <c r="I803" i="18"/>
  <c r="J803" i="18"/>
  <c r="A804" i="18"/>
  <c r="B804" i="18"/>
  <c r="C804" i="18"/>
  <c r="D804" i="18"/>
  <c r="E804" i="18"/>
  <c r="F804" i="18"/>
  <c r="G804" i="18"/>
  <c r="H804" i="18"/>
  <c r="I804" i="18"/>
  <c r="J804" i="18"/>
  <c r="A805" i="18"/>
  <c r="B805" i="18"/>
  <c r="C805" i="18"/>
  <c r="D805" i="18"/>
  <c r="E805" i="18"/>
  <c r="F805" i="18"/>
  <c r="G805" i="18"/>
  <c r="H805" i="18"/>
  <c r="I805" i="18"/>
  <c r="J805" i="18"/>
  <c r="A806" i="18"/>
  <c r="B806" i="18"/>
  <c r="C806" i="18"/>
  <c r="D806" i="18"/>
  <c r="E806" i="18"/>
  <c r="F806" i="18"/>
  <c r="G806" i="18"/>
  <c r="H806" i="18"/>
  <c r="I806" i="18"/>
  <c r="J806" i="18"/>
  <c r="A807" i="18"/>
  <c r="B807" i="18"/>
  <c r="C807" i="18"/>
  <c r="D807" i="18"/>
  <c r="E807" i="18"/>
  <c r="F807" i="18"/>
  <c r="G807" i="18"/>
  <c r="H807" i="18"/>
  <c r="I807" i="18"/>
  <c r="J807" i="18"/>
  <c r="A808" i="18"/>
  <c r="B808" i="18"/>
  <c r="C808" i="18"/>
  <c r="D808" i="18"/>
  <c r="E808" i="18"/>
  <c r="F808" i="18"/>
  <c r="G808" i="18"/>
  <c r="H808" i="18"/>
  <c r="I808" i="18"/>
  <c r="J808" i="18"/>
  <c r="A809" i="18"/>
  <c r="B809" i="18"/>
  <c r="C809" i="18"/>
  <c r="D809" i="18"/>
  <c r="E809" i="18"/>
  <c r="F809" i="18"/>
  <c r="G809" i="18"/>
  <c r="H809" i="18"/>
  <c r="I809" i="18"/>
  <c r="J809" i="18"/>
  <c r="A810" i="18"/>
  <c r="B810" i="18"/>
  <c r="C810" i="18"/>
  <c r="D810" i="18"/>
  <c r="E810" i="18"/>
  <c r="F810" i="18"/>
  <c r="G810" i="18"/>
  <c r="H810" i="18"/>
  <c r="I810" i="18"/>
  <c r="J810" i="18"/>
  <c r="A811" i="18"/>
  <c r="B811" i="18"/>
  <c r="C811" i="18"/>
  <c r="D811" i="18"/>
  <c r="E811" i="18"/>
  <c r="F811" i="18"/>
  <c r="G811" i="18"/>
  <c r="H811" i="18"/>
  <c r="I811" i="18"/>
  <c r="J811" i="18"/>
  <c r="A812" i="18"/>
  <c r="B812" i="18"/>
  <c r="C812" i="18"/>
  <c r="D812" i="18"/>
  <c r="E812" i="18"/>
  <c r="F812" i="18"/>
  <c r="G812" i="18"/>
  <c r="H812" i="18"/>
  <c r="I812" i="18"/>
  <c r="J812" i="18"/>
  <c r="A813" i="18"/>
  <c r="B813" i="18"/>
  <c r="C813" i="18"/>
  <c r="D813" i="18"/>
  <c r="E813" i="18"/>
  <c r="F813" i="18"/>
  <c r="G813" i="18"/>
  <c r="H813" i="18"/>
  <c r="I813" i="18"/>
  <c r="J813" i="18"/>
  <c r="A814" i="18"/>
  <c r="B814" i="18"/>
  <c r="C814" i="18"/>
  <c r="D814" i="18"/>
  <c r="E814" i="18"/>
  <c r="F814" i="18"/>
  <c r="G814" i="18"/>
  <c r="H814" i="18"/>
  <c r="I814" i="18"/>
  <c r="J814" i="18"/>
  <c r="A815" i="18"/>
  <c r="B815" i="18"/>
  <c r="C815" i="18"/>
  <c r="D815" i="18"/>
  <c r="E815" i="18"/>
  <c r="F815" i="18"/>
  <c r="G815" i="18"/>
  <c r="H815" i="18"/>
  <c r="I815" i="18"/>
  <c r="J815" i="18"/>
  <c r="A816" i="18"/>
  <c r="B816" i="18"/>
  <c r="C816" i="18"/>
  <c r="D816" i="18"/>
  <c r="E816" i="18"/>
  <c r="F816" i="18"/>
  <c r="G816" i="18"/>
  <c r="H816" i="18"/>
  <c r="I816" i="18"/>
  <c r="J816" i="18"/>
  <c r="A817" i="18"/>
  <c r="B817" i="18"/>
  <c r="C817" i="18"/>
  <c r="D817" i="18"/>
  <c r="E817" i="18"/>
  <c r="F817" i="18"/>
  <c r="G817" i="18"/>
  <c r="H817" i="18"/>
  <c r="I817" i="18"/>
  <c r="J817" i="18"/>
  <c r="A818" i="18"/>
  <c r="B818" i="18"/>
  <c r="C818" i="18"/>
  <c r="D818" i="18"/>
  <c r="E818" i="18"/>
  <c r="F818" i="18"/>
  <c r="G818" i="18"/>
  <c r="H818" i="18"/>
  <c r="I818" i="18"/>
  <c r="J818" i="18"/>
  <c r="A819" i="18"/>
  <c r="B819" i="18"/>
  <c r="C819" i="18"/>
  <c r="D819" i="18"/>
  <c r="E819" i="18"/>
  <c r="F819" i="18"/>
  <c r="G819" i="18"/>
  <c r="H819" i="18"/>
  <c r="I819" i="18"/>
  <c r="J819" i="18"/>
  <c r="A820" i="18"/>
  <c r="B820" i="18"/>
  <c r="C820" i="18"/>
  <c r="D820" i="18"/>
  <c r="E820" i="18"/>
  <c r="F820" i="18"/>
  <c r="G820" i="18"/>
  <c r="H820" i="18"/>
  <c r="I820" i="18"/>
  <c r="J820" i="18"/>
  <c r="A821" i="18"/>
  <c r="B821" i="18"/>
  <c r="C821" i="18"/>
  <c r="D821" i="18"/>
  <c r="E821" i="18"/>
  <c r="F821" i="18"/>
  <c r="G821" i="18"/>
  <c r="H821" i="18"/>
  <c r="I821" i="18"/>
  <c r="J821" i="18"/>
  <c r="A822" i="18"/>
  <c r="B822" i="18"/>
  <c r="C822" i="18"/>
  <c r="D822" i="18"/>
  <c r="E822" i="18"/>
  <c r="F822" i="18"/>
  <c r="G822" i="18"/>
  <c r="H822" i="18"/>
  <c r="I822" i="18"/>
  <c r="J822" i="18"/>
  <c r="A823" i="18"/>
  <c r="B823" i="18"/>
  <c r="C823" i="18"/>
  <c r="D823" i="18"/>
  <c r="E823" i="18"/>
  <c r="F823" i="18"/>
  <c r="G823" i="18"/>
  <c r="H823" i="18"/>
  <c r="I823" i="18"/>
  <c r="J823" i="18"/>
  <c r="A824" i="18"/>
  <c r="B824" i="18"/>
  <c r="C824" i="18"/>
  <c r="D824" i="18"/>
  <c r="E824" i="18"/>
  <c r="F824" i="18"/>
  <c r="G824" i="18"/>
  <c r="H824" i="18"/>
  <c r="I824" i="18"/>
  <c r="J824" i="18"/>
  <c r="A825" i="18"/>
  <c r="B825" i="18"/>
  <c r="C825" i="18"/>
  <c r="D825" i="18"/>
  <c r="E825" i="18"/>
  <c r="F825" i="18"/>
  <c r="G825" i="18"/>
  <c r="H825" i="18"/>
  <c r="I825" i="18"/>
  <c r="J825" i="18"/>
  <c r="A826" i="18"/>
  <c r="B826" i="18"/>
  <c r="C826" i="18"/>
  <c r="D826" i="18"/>
  <c r="E826" i="18"/>
  <c r="F826" i="18"/>
  <c r="G826" i="18"/>
  <c r="H826" i="18"/>
  <c r="I826" i="18"/>
  <c r="J826" i="18"/>
  <c r="A827" i="18"/>
  <c r="B827" i="18"/>
  <c r="C827" i="18"/>
  <c r="D827" i="18"/>
  <c r="E827" i="18"/>
  <c r="F827" i="18"/>
  <c r="G827" i="18"/>
  <c r="H827" i="18"/>
  <c r="I827" i="18"/>
  <c r="J827" i="18"/>
  <c r="A828" i="18"/>
  <c r="B828" i="18"/>
  <c r="C828" i="18"/>
  <c r="D828" i="18"/>
  <c r="E828" i="18"/>
  <c r="F828" i="18"/>
  <c r="G828" i="18"/>
  <c r="H828" i="18"/>
  <c r="I828" i="18"/>
  <c r="J828" i="18"/>
  <c r="A829" i="18"/>
  <c r="B829" i="18"/>
  <c r="C829" i="18"/>
  <c r="D829" i="18"/>
  <c r="E829" i="18"/>
  <c r="F829" i="18"/>
  <c r="G829" i="18"/>
  <c r="H829" i="18"/>
  <c r="I829" i="18"/>
  <c r="J829" i="18"/>
  <c r="A830" i="18"/>
  <c r="B830" i="18"/>
  <c r="C830" i="18"/>
  <c r="D830" i="18"/>
  <c r="E830" i="18"/>
  <c r="F830" i="18"/>
  <c r="G830" i="18"/>
  <c r="H830" i="18"/>
  <c r="I830" i="18"/>
  <c r="J830" i="18"/>
  <c r="A831" i="18"/>
  <c r="B831" i="18"/>
  <c r="C831" i="18"/>
  <c r="D831" i="18"/>
  <c r="E831" i="18"/>
  <c r="F831" i="18"/>
  <c r="G831" i="18"/>
  <c r="H831" i="18"/>
  <c r="I831" i="18"/>
  <c r="J831" i="18"/>
  <c r="A832" i="18"/>
  <c r="B832" i="18"/>
  <c r="C832" i="18"/>
  <c r="D832" i="18"/>
  <c r="E832" i="18"/>
  <c r="F832" i="18"/>
  <c r="G832" i="18"/>
  <c r="H832" i="18"/>
  <c r="I832" i="18"/>
  <c r="J832" i="18"/>
  <c r="A833" i="18"/>
  <c r="B833" i="18"/>
  <c r="C833" i="18"/>
  <c r="D833" i="18"/>
  <c r="E833" i="18"/>
  <c r="F833" i="18"/>
  <c r="G833" i="18"/>
  <c r="H833" i="18"/>
  <c r="I833" i="18"/>
  <c r="J833" i="18"/>
  <c r="A834" i="18"/>
  <c r="B834" i="18"/>
  <c r="C834" i="18"/>
  <c r="D834" i="18"/>
  <c r="E834" i="18"/>
  <c r="F834" i="18"/>
  <c r="G834" i="18"/>
  <c r="H834" i="18"/>
  <c r="I834" i="18"/>
  <c r="J834" i="18"/>
  <c r="A835" i="18"/>
  <c r="B835" i="18"/>
  <c r="C835" i="18"/>
  <c r="D835" i="18"/>
  <c r="E835" i="18"/>
  <c r="F835" i="18"/>
  <c r="G835" i="18"/>
  <c r="H835" i="18"/>
  <c r="I835" i="18"/>
  <c r="J835" i="18"/>
  <c r="A836" i="18"/>
  <c r="B836" i="18"/>
  <c r="C836" i="18"/>
  <c r="D836" i="18"/>
  <c r="E836" i="18"/>
  <c r="F836" i="18"/>
  <c r="G836" i="18"/>
  <c r="H836" i="18"/>
  <c r="I836" i="18"/>
  <c r="J836" i="18"/>
  <c r="A837" i="18"/>
  <c r="B837" i="18"/>
  <c r="C837" i="18"/>
  <c r="D837" i="18"/>
  <c r="E837" i="18"/>
  <c r="F837" i="18"/>
  <c r="G837" i="18"/>
  <c r="H837" i="18"/>
  <c r="I837" i="18"/>
  <c r="J837" i="18"/>
  <c r="A838" i="18"/>
  <c r="B838" i="18"/>
  <c r="C838" i="18"/>
  <c r="D838" i="18"/>
  <c r="E838" i="18"/>
  <c r="F838" i="18"/>
  <c r="G838" i="18"/>
  <c r="H838" i="18"/>
  <c r="I838" i="18"/>
  <c r="J838" i="18"/>
  <c r="A839" i="18"/>
  <c r="B839" i="18"/>
  <c r="C839" i="18"/>
  <c r="D839" i="18"/>
  <c r="E839" i="18"/>
  <c r="F839" i="18"/>
  <c r="G839" i="18"/>
  <c r="H839" i="18"/>
  <c r="I839" i="18"/>
  <c r="J839" i="18"/>
  <c r="A840" i="18"/>
  <c r="B840" i="18"/>
  <c r="C840" i="18"/>
  <c r="D840" i="18"/>
  <c r="E840" i="18"/>
  <c r="F840" i="18"/>
  <c r="G840" i="18"/>
  <c r="H840" i="18"/>
  <c r="I840" i="18"/>
  <c r="J840" i="18"/>
  <c r="A841" i="18"/>
  <c r="B841" i="18"/>
  <c r="C841" i="18"/>
  <c r="D841" i="18"/>
  <c r="E841" i="18"/>
  <c r="F841" i="18"/>
  <c r="G841" i="18"/>
  <c r="H841" i="18"/>
  <c r="I841" i="18"/>
  <c r="J841" i="18"/>
  <c r="A842" i="18"/>
  <c r="B842" i="18"/>
  <c r="C842" i="18"/>
  <c r="D842" i="18"/>
  <c r="E842" i="18"/>
  <c r="F842" i="18"/>
  <c r="G842" i="18"/>
  <c r="H842" i="18"/>
  <c r="I842" i="18"/>
  <c r="J842" i="18"/>
  <c r="A843" i="18"/>
  <c r="B843" i="18"/>
  <c r="C843" i="18"/>
  <c r="D843" i="18"/>
  <c r="E843" i="18"/>
  <c r="F843" i="18"/>
  <c r="G843" i="18"/>
  <c r="H843" i="18"/>
  <c r="I843" i="18"/>
  <c r="J843" i="18"/>
  <c r="A844" i="18"/>
  <c r="B844" i="18"/>
  <c r="C844" i="18"/>
  <c r="D844" i="18"/>
  <c r="E844" i="18"/>
  <c r="F844" i="18"/>
  <c r="G844" i="18"/>
  <c r="H844" i="18"/>
  <c r="I844" i="18"/>
  <c r="J844" i="18"/>
  <c r="A845" i="18"/>
  <c r="B845" i="18"/>
  <c r="C845" i="18"/>
  <c r="D845" i="18"/>
  <c r="E845" i="18"/>
  <c r="F845" i="18"/>
  <c r="G845" i="18"/>
  <c r="H845" i="18"/>
  <c r="I845" i="18"/>
  <c r="J845" i="18"/>
  <c r="A846" i="18"/>
  <c r="B846" i="18"/>
  <c r="C846" i="18"/>
  <c r="D846" i="18"/>
  <c r="E846" i="18"/>
  <c r="F846" i="18"/>
  <c r="G846" i="18"/>
  <c r="H846" i="18"/>
  <c r="I846" i="18"/>
  <c r="J846" i="18"/>
  <c r="A847" i="18"/>
  <c r="B847" i="18"/>
  <c r="C847" i="18"/>
  <c r="D847" i="18"/>
  <c r="E847" i="18"/>
  <c r="F847" i="18"/>
  <c r="G847" i="18"/>
  <c r="H847" i="18"/>
  <c r="I847" i="18"/>
  <c r="J847" i="18"/>
  <c r="A848" i="18"/>
  <c r="B848" i="18"/>
  <c r="C848" i="18"/>
  <c r="D848" i="18"/>
  <c r="E848" i="18"/>
  <c r="F848" i="18"/>
  <c r="G848" i="18"/>
  <c r="H848" i="18"/>
  <c r="I848" i="18"/>
  <c r="J848" i="18"/>
  <c r="A849" i="18"/>
  <c r="B849" i="18"/>
  <c r="C849" i="18"/>
  <c r="D849" i="18"/>
  <c r="E849" i="18"/>
  <c r="F849" i="18"/>
  <c r="G849" i="18"/>
  <c r="H849" i="18"/>
  <c r="I849" i="18"/>
  <c r="J849" i="18"/>
  <c r="A850" i="18"/>
  <c r="B850" i="18"/>
  <c r="C850" i="18"/>
  <c r="D850" i="18"/>
  <c r="E850" i="18"/>
  <c r="F850" i="18"/>
  <c r="G850" i="18"/>
  <c r="H850" i="18"/>
  <c r="I850" i="18"/>
  <c r="J850" i="18"/>
  <c r="A851" i="18"/>
  <c r="B851" i="18"/>
  <c r="C851" i="18"/>
  <c r="D851" i="18"/>
  <c r="E851" i="18"/>
  <c r="F851" i="18"/>
  <c r="G851" i="18"/>
  <c r="H851" i="18"/>
  <c r="I851" i="18"/>
  <c r="J851" i="18"/>
  <c r="A852" i="18"/>
  <c r="B852" i="18"/>
  <c r="C852" i="18"/>
  <c r="D852" i="18"/>
  <c r="E852" i="18"/>
  <c r="F852" i="18"/>
  <c r="G852" i="18"/>
  <c r="H852" i="18"/>
  <c r="I852" i="18"/>
  <c r="J852" i="18"/>
  <c r="A853" i="18"/>
  <c r="B853" i="18"/>
  <c r="C853" i="18"/>
  <c r="D853" i="18"/>
  <c r="E853" i="18"/>
  <c r="F853" i="18"/>
  <c r="G853" i="18"/>
  <c r="H853" i="18"/>
  <c r="I853" i="18"/>
  <c r="J853" i="18"/>
  <c r="A854" i="18"/>
  <c r="B854" i="18"/>
  <c r="C854" i="18"/>
  <c r="D854" i="18"/>
  <c r="E854" i="18"/>
  <c r="F854" i="18"/>
  <c r="G854" i="18"/>
  <c r="H854" i="18"/>
  <c r="I854" i="18"/>
  <c r="J854" i="18"/>
  <c r="A855" i="18"/>
  <c r="B855" i="18"/>
  <c r="C855" i="18"/>
  <c r="D855" i="18"/>
  <c r="E855" i="18"/>
  <c r="F855" i="18"/>
  <c r="G855" i="18"/>
  <c r="H855" i="18"/>
  <c r="I855" i="18"/>
  <c r="J855" i="18"/>
  <c r="A856" i="18"/>
  <c r="B856" i="18"/>
  <c r="C856" i="18"/>
  <c r="D856" i="18"/>
  <c r="E856" i="18"/>
  <c r="F856" i="18"/>
  <c r="G856" i="18"/>
  <c r="H856" i="18"/>
  <c r="I856" i="18"/>
  <c r="J856" i="18"/>
  <c r="A857" i="18"/>
  <c r="B857" i="18"/>
  <c r="C857" i="18"/>
  <c r="D857" i="18"/>
  <c r="E857" i="18"/>
  <c r="F857" i="18"/>
  <c r="G857" i="18"/>
  <c r="H857" i="18"/>
  <c r="I857" i="18"/>
  <c r="J857" i="18"/>
  <c r="A858" i="18"/>
  <c r="B858" i="18"/>
  <c r="C858" i="18"/>
  <c r="D858" i="18"/>
  <c r="E858" i="18"/>
  <c r="F858" i="18"/>
  <c r="G858" i="18"/>
  <c r="H858" i="18"/>
  <c r="I858" i="18"/>
  <c r="J858" i="18"/>
  <c r="A859" i="18"/>
  <c r="B859" i="18"/>
  <c r="C859" i="18"/>
  <c r="D859" i="18"/>
  <c r="E859" i="18"/>
  <c r="F859" i="18"/>
  <c r="G859" i="18"/>
  <c r="H859" i="18"/>
  <c r="I859" i="18"/>
  <c r="J859" i="18"/>
  <c r="A860" i="18"/>
  <c r="B860" i="18"/>
  <c r="C860" i="18"/>
  <c r="D860" i="18"/>
  <c r="E860" i="18"/>
  <c r="F860" i="18"/>
  <c r="G860" i="18"/>
  <c r="H860" i="18"/>
  <c r="I860" i="18"/>
  <c r="J860" i="18"/>
  <c r="A861" i="18"/>
  <c r="B861" i="18"/>
  <c r="C861" i="18"/>
  <c r="D861" i="18"/>
  <c r="E861" i="18"/>
  <c r="F861" i="18"/>
  <c r="G861" i="18"/>
  <c r="H861" i="18"/>
  <c r="I861" i="18"/>
  <c r="J861" i="18"/>
  <c r="A862" i="18"/>
  <c r="B862" i="18"/>
  <c r="C862" i="18"/>
  <c r="D862" i="18"/>
  <c r="E862" i="18"/>
  <c r="F862" i="18"/>
  <c r="G862" i="18"/>
  <c r="H862" i="18"/>
  <c r="I862" i="18"/>
  <c r="J862" i="18"/>
  <c r="A863" i="18"/>
  <c r="B863" i="18"/>
  <c r="C863" i="18"/>
  <c r="D863" i="18"/>
  <c r="E863" i="18"/>
  <c r="F863" i="18"/>
  <c r="G863" i="18"/>
  <c r="H863" i="18"/>
  <c r="I863" i="18"/>
  <c r="J863" i="18"/>
  <c r="A864" i="18"/>
  <c r="B864" i="18"/>
  <c r="C864" i="18"/>
  <c r="D864" i="18"/>
  <c r="E864" i="18"/>
  <c r="F864" i="18"/>
  <c r="G864" i="18"/>
  <c r="H864" i="18"/>
  <c r="I864" i="18"/>
  <c r="J864" i="18"/>
  <c r="A865" i="18"/>
  <c r="B865" i="18"/>
  <c r="C865" i="18"/>
  <c r="D865" i="18"/>
  <c r="E865" i="18"/>
  <c r="F865" i="18"/>
  <c r="G865" i="18"/>
  <c r="H865" i="18"/>
  <c r="I865" i="18"/>
  <c r="J865" i="18"/>
  <c r="A866" i="18"/>
  <c r="B866" i="18"/>
  <c r="C866" i="18"/>
  <c r="D866" i="18"/>
  <c r="E866" i="18"/>
  <c r="F866" i="18"/>
  <c r="G866" i="18"/>
  <c r="H866" i="18"/>
  <c r="I866" i="18"/>
  <c r="J866" i="18"/>
  <c r="A867" i="18"/>
  <c r="B867" i="18"/>
  <c r="C867" i="18"/>
  <c r="D867" i="18"/>
  <c r="E867" i="18"/>
  <c r="F867" i="18"/>
  <c r="G867" i="18"/>
  <c r="H867" i="18"/>
  <c r="I867" i="18"/>
  <c r="J867" i="18"/>
  <c r="A868" i="18"/>
  <c r="B868" i="18"/>
  <c r="C868" i="18"/>
  <c r="D868" i="18"/>
  <c r="E868" i="18"/>
  <c r="F868" i="18"/>
  <c r="G868" i="18"/>
  <c r="H868" i="18"/>
  <c r="I868" i="18"/>
  <c r="J868" i="18"/>
  <c r="A869" i="18"/>
  <c r="B869" i="18"/>
  <c r="C869" i="18"/>
  <c r="D869" i="18"/>
  <c r="E869" i="18"/>
  <c r="F869" i="18"/>
  <c r="G869" i="18"/>
  <c r="H869" i="18"/>
  <c r="I869" i="18"/>
  <c r="J869" i="18"/>
  <c r="A870" i="18"/>
  <c r="B870" i="18"/>
  <c r="C870" i="18"/>
  <c r="D870" i="18"/>
  <c r="E870" i="18"/>
  <c r="F870" i="18"/>
  <c r="G870" i="18"/>
  <c r="H870" i="18"/>
  <c r="I870" i="18"/>
  <c r="J870" i="18"/>
  <c r="A871" i="18"/>
  <c r="B871" i="18"/>
  <c r="C871" i="18"/>
  <c r="D871" i="18"/>
  <c r="E871" i="18"/>
  <c r="F871" i="18"/>
  <c r="G871" i="18"/>
  <c r="H871" i="18"/>
  <c r="I871" i="18"/>
  <c r="J871" i="18"/>
  <c r="A872" i="18"/>
  <c r="B872" i="18"/>
  <c r="C872" i="18"/>
  <c r="D872" i="18"/>
  <c r="E872" i="18"/>
  <c r="F872" i="18"/>
  <c r="G872" i="18"/>
  <c r="H872" i="18"/>
  <c r="I872" i="18"/>
  <c r="J872" i="18"/>
  <c r="A873" i="18"/>
  <c r="B873" i="18"/>
  <c r="C873" i="18"/>
  <c r="D873" i="18"/>
  <c r="E873" i="18"/>
  <c r="F873" i="18"/>
  <c r="G873" i="18"/>
  <c r="H873" i="18"/>
  <c r="I873" i="18"/>
  <c r="J873" i="18"/>
  <c r="A874" i="18"/>
  <c r="B874" i="18"/>
  <c r="C874" i="18"/>
  <c r="D874" i="18"/>
  <c r="E874" i="18"/>
  <c r="F874" i="18"/>
  <c r="G874" i="18"/>
  <c r="H874" i="18"/>
  <c r="I874" i="18"/>
  <c r="J874" i="18"/>
  <c r="A875" i="18"/>
  <c r="B875" i="18"/>
  <c r="C875" i="18"/>
  <c r="D875" i="18"/>
  <c r="E875" i="18"/>
  <c r="F875" i="18"/>
  <c r="G875" i="18"/>
  <c r="H875" i="18"/>
  <c r="I875" i="18"/>
  <c r="J875" i="18"/>
  <c r="A876" i="18"/>
  <c r="B876" i="18"/>
  <c r="C876" i="18"/>
  <c r="D876" i="18"/>
  <c r="E876" i="18"/>
  <c r="F876" i="18"/>
  <c r="G876" i="18"/>
  <c r="H876" i="18"/>
  <c r="I876" i="18"/>
  <c r="J876" i="18"/>
  <c r="A877" i="18"/>
  <c r="B877" i="18"/>
  <c r="C877" i="18"/>
  <c r="D877" i="18"/>
  <c r="E877" i="18"/>
  <c r="F877" i="18"/>
  <c r="G877" i="18"/>
  <c r="H877" i="18"/>
  <c r="I877" i="18"/>
  <c r="J877" i="18"/>
  <c r="A878" i="18"/>
  <c r="B878" i="18"/>
  <c r="C878" i="18"/>
  <c r="D878" i="18"/>
  <c r="E878" i="18"/>
  <c r="F878" i="18"/>
  <c r="G878" i="18"/>
  <c r="H878" i="18"/>
  <c r="I878" i="18"/>
  <c r="J878" i="18"/>
  <c r="A879" i="18"/>
  <c r="B879" i="18"/>
  <c r="C879" i="18"/>
  <c r="D879" i="18"/>
  <c r="E879" i="18"/>
  <c r="F879" i="18"/>
  <c r="G879" i="18"/>
  <c r="H879" i="18"/>
  <c r="I879" i="18"/>
  <c r="J879" i="18"/>
  <c r="A880" i="18"/>
  <c r="B880" i="18"/>
  <c r="C880" i="18"/>
  <c r="D880" i="18"/>
  <c r="E880" i="18"/>
  <c r="F880" i="18"/>
  <c r="G880" i="18"/>
  <c r="H880" i="18"/>
  <c r="I880" i="18"/>
  <c r="J880" i="18"/>
  <c r="A881" i="18"/>
  <c r="B881" i="18"/>
  <c r="C881" i="18"/>
  <c r="D881" i="18"/>
  <c r="E881" i="18"/>
  <c r="F881" i="18"/>
  <c r="G881" i="18"/>
  <c r="H881" i="18"/>
  <c r="I881" i="18"/>
  <c r="J881" i="18"/>
  <c r="A882" i="18"/>
  <c r="B882" i="18"/>
  <c r="C882" i="18"/>
  <c r="D882" i="18"/>
  <c r="E882" i="18"/>
  <c r="F882" i="18"/>
  <c r="G882" i="18"/>
  <c r="H882" i="18"/>
  <c r="I882" i="18"/>
  <c r="J882" i="18"/>
  <c r="A883" i="18"/>
  <c r="B883" i="18"/>
  <c r="C883" i="18"/>
  <c r="D883" i="18"/>
  <c r="E883" i="18"/>
  <c r="F883" i="18"/>
  <c r="G883" i="18"/>
  <c r="H883" i="18"/>
  <c r="I883" i="18"/>
  <c r="J883" i="18"/>
  <c r="A884" i="18"/>
  <c r="B884" i="18"/>
  <c r="C884" i="18"/>
  <c r="D884" i="18"/>
  <c r="E884" i="18"/>
  <c r="F884" i="18"/>
  <c r="G884" i="18"/>
  <c r="H884" i="18"/>
  <c r="I884" i="18"/>
  <c r="J884" i="18"/>
  <c r="A885" i="18"/>
  <c r="B885" i="18"/>
  <c r="C885" i="18"/>
  <c r="D885" i="18"/>
  <c r="E885" i="18"/>
  <c r="F885" i="18"/>
  <c r="G885" i="18"/>
  <c r="H885" i="18"/>
  <c r="I885" i="18"/>
  <c r="J885" i="18"/>
  <c r="A886" i="18"/>
  <c r="B886" i="18"/>
  <c r="C886" i="18"/>
  <c r="D886" i="18"/>
  <c r="E886" i="18"/>
  <c r="F886" i="18"/>
  <c r="G886" i="18"/>
  <c r="H886" i="18"/>
  <c r="I886" i="18"/>
  <c r="J886" i="18"/>
  <c r="A887" i="18"/>
  <c r="B887" i="18"/>
  <c r="C887" i="18"/>
  <c r="D887" i="18"/>
  <c r="E887" i="18"/>
  <c r="F887" i="18"/>
  <c r="G887" i="18"/>
  <c r="H887" i="18"/>
  <c r="I887" i="18"/>
  <c r="J887" i="18"/>
  <c r="A888" i="18"/>
  <c r="B888" i="18"/>
  <c r="C888" i="18"/>
  <c r="D888" i="18"/>
  <c r="E888" i="18"/>
  <c r="F888" i="18"/>
  <c r="G888" i="18"/>
  <c r="H888" i="18"/>
  <c r="I888" i="18"/>
  <c r="J888" i="18"/>
  <c r="A889" i="18"/>
  <c r="B889" i="18"/>
  <c r="C889" i="18"/>
  <c r="D889" i="18"/>
  <c r="E889" i="18"/>
  <c r="F889" i="18"/>
  <c r="G889" i="18"/>
  <c r="H889" i="18"/>
  <c r="I889" i="18"/>
  <c r="J889" i="18"/>
  <c r="A890" i="18"/>
  <c r="B890" i="18"/>
  <c r="C890" i="18"/>
  <c r="D890" i="18"/>
  <c r="E890" i="18"/>
  <c r="F890" i="18"/>
  <c r="G890" i="18"/>
  <c r="H890" i="18"/>
  <c r="I890" i="18"/>
  <c r="J890" i="18"/>
  <c r="A891" i="18"/>
  <c r="B891" i="18"/>
  <c r="C891" i="18"/>
  <c r="D891" i="18"/>
  <c r="E891" i="18"/>
  <c r="F891" i="18"/>
  <c r="G891" i="18"/>
  <c r="H891" i="18"/>
  <c r="I891" i="18"/>
  <c r="J891" i="18"/>
  <c r="A892" i="18"/>
  <c r="B892" i="18"/>
  <c r="C892" i="18"/>
  <c r="D892" i="18"/>
  <c r="E892" i="18"/>
  <c r="F892" i="18"/>
  <c r="G892" i="18"/>
  <c r="H892" i="18"/>
  <c r="I892" i="18"/>
  <c r="J892" i="18"/>
  <c r="A893" i="18"/>
  <c r="B893" i="18"/>
  <c r="C893" i="18"/>
  <c r="D893" i="18"/>
  <c r="E893" i="18"/>
  <c r="F893" i="18"/>
  <c r="G893" i="18"/>
  <c r="H893" i="18"/>
  <c r="I893" i="18"/>
  <c r="J893" i="18"/>
  <c r="A894" i="18"/>
  <c r="B894" i="18"/>
  <c r="C894" i="18"/>
  <c r="D894" i="18"/>
  <c r="E894" i="18"/>
  <c r="F894" i="18"/>
  <c r="G894" i="18"/>
  <c r="H894" i="18"/>
  <c r="I894" i="18"/>
  <c r="J894" i="18"/>
  <c r="A895" i="18"/>
  <c r="B895" i="18"/>
  <c r="C895" i="18"/>
  <c r="D895" i="18"/>
  <c r="E895" i="18"/>
  <c r="F895" i="18"/>
  <c r="G895" i="18"/>
  <c r="H895" i="18"/>
  <c r="I895" i="18"/>
  <c r="J895" i="18"/>
  <c r="A896" i="18"/>
  <c r="B896" i="18"/>
  <c r="C896" i="18"/>
  <c r="D896" i="18"/>
  <c r="E896" i="18"/>
  <c r="F896" i="18"/>
  <c r="G896" i="18"/>
  <c r="H896" i="18"/>
  <c r="I896" i="18"/>
  <c r="J896" i="18"/>
  <c r="A897" i="18"/>
  <c r="B897" i="18"/>
  <c r="C897" i="18"/>
  <c r="D897" i="18"/>
  <c r="E897" i="18"/>
  <c r="F897" i="18"/>
  <c r="G897" i="18"/>
  <c r="H897" i="18"/>
  <c r="I897" i="18"/>
  <c r="J897" i="18"/>
  <c r="A898" i="18"/>
  <c r="B898" i="18"/>
  <c r="C898" i="18"/>
  <c r="D898" i="18"/>
  <c r="E898" i="18"/>
  <c r="F898" i="18"/>
  <c r="G898" i="18"/>
  <c r="H898" i="18"/>
  <c r="I898" i="18"/>
  <c r="J898" i="18"/>
  <c r="A899" i="18"/>
  <c r="B899" i="18"/>
  <c r="C899" i="18"/>
  <c r="D899" i="18"/>
  <c r="E899" i="18"/>
  <c r="F899" i="18"/>
  <c r="G899" i="18"/>
  <c r="H899" i="18"/>
  <c r="I899" i="18"/>
  <c r="J899" i="18"/>
  <c r="A900" i="18"/>
  <c r="B900" i="18"/>
  <c r="C900" i="18"/>
  <c r="D900" i="18"/>
  <c r="E900" i="18"/>
  <c r="F900" i="18"/>
  <c r="G900" i="18"/>
  <c r="H900" i="18"/>
  <c r="I900" i="18"/>
  <c r="J900" i="18"/>
  <c r="A901" i="18"/>
  <c r="B901" i="18"/>
  <c r="C901" i="18"/>
  <c r="D901" i="18"/>
  <c r="E901" i="18"/>
  <c r="F901" i="18"/>
  <c r="G901" i="18"/>
  <c r="H901" i="18"/>
  <c r="I901" i="18"/>
  <c r="J901" i="18"/>
  <c r="A902" i="18"/>
  <c r="B902" i="18"/>
  <c r="C902" i="18"/>
  <c r="D902" i="18"/>
  <c r="E902" i="18"/>
  <c r="F902" i="18"/>
  <c r="G902" i="18"/>
  <c r="H902" i="18"/>
  <c r="I902" i="18"/>
  <c r="J902" i="18"/>
  <c r="A903" i="18"/>
  <c r="B903" i="18"/>
  <c r="C903" i="18"/>
  <c r="D903" i="18"/>
  <c r="E903" i="18"/>
  <c r="F903" i="18"/>
  <c r="G903" i="18"/>
  <c r="H903" i="18"/>
  <c r="I903" i="18"/>
  <c r="J903" i="18"/>
  <c r="A904" i="18"/>
  <c r="B904" i="18"/>
  <c r="C904" i="18"/>
  <c r="D904" i="18"/>
  <c r="E904" i="18"/>
  <c r="F904" i="18"/>
  <c r="G904" i="18"/>
  <c r="H904" i="18"/>
  <c r="I904" i="18"/>
  <c r="J904" i="18"/>
  <c r="A905" i="18"/>
  <c r="B905" i="18"/>
  <c r="C905" i="18"/>
  <c r="D905" i="18"/>
  <c r="E905" i="18"/>
  <c r="F905" i="18"/>
  <c r="G905" i="18"/>
  <c r="H905" i="18"/>
  <c r="I905" i="18"/>
  <c r="J905" i="18"/>
  <c r="A906" i="18"/>
  <c r="B906" i="18"/>
  <c r="C906" i="18"/>
  <c r="D906" i="18"/>
  <c r="E906" i="18"/>
  <c r="F906" i="18"/>
  <c r="G906" i="18"/>
  <c r="H906" i="18"/>
  <c r="I906" i="18"/>
  <c r="J906" i="18"/>
  <c r="A907" i="18"/>
  <c r="B907" i="18"/>
  <c r="C907" i="18"/>
  <c r="D907" i="18"/>
  <c r="E907" i="18"/>
  <c r="F907" i="18"/>
  <c r="G907" i="18"/>
  <c r="H907" i="18"/>
  <c r="I907" i="18"/>
  <c r="J907" i="18"/>
  <c r="A908" i="18"/>
  <c r="B908" i="18"/>
  <c r="C908" i="18"/>
  <c r="D908" i="18"/>
  <c r="E908" i="18"/>
  <c r="F908" i="18"/>
  <c r="G908" i="18"/>
  <c r="H908" i="18"/>
  <c r="I908" i="18"/>
  <c r="J908" i="18"/>
  <c r="A909" i="18"/>
  <c r="B909" i="18"/>
  <c r="C909" i="18"/>
  <c r="D909" i="18"/>
  <c r="E909" i="18"/>
  <c r="F909" i="18"/>
  <c r="G909" i="18"/>
  <c r="H909" i="18"/>
  <c r="I909" i="18"/>
  <c r="J909" i="18"/>
  <c r="A910" i="18"/>
  <c r="B910" i="18"/>
  <c r="C910" i="18"/>
  <c r="D910" i="18"/>
  <c r="E910" i="18"/>
  <c r="F910" i="18"/>
  <c r="G910" i="18"/>
  <c r="H910" i="18"/>
  <c r="I910" i="18"/>
  <c r="J910" i="18"/>
  <c r="A911" i="18"/>
  <c r="B911" i="18"/>
  <c r="C911" i="18"/>
  <c r="D911" i="18"/>
  <c r="E911" i="18"/>
  <c r="F911" i="18"/>
  <c r="G911" i="18"/>
  <c r="H911" i="18"/>
  <c r="I911" i="18"/>
  <c r="J911" i="18"/>
  <c r="A912" i="18"/>
  <c r="B912" i="18"/>
  <c r="C912" i="18"/>
  <c r="D912" i="18"/>
  <c r="E912" i="18"/>
  <c r="F912" i="18"/>
  <c r="G912" i="18"/>
  <c r="H912" i="18"/>
  <c r="I912" i="18"/>
  <c r="J912" i="18"/>
  <c r="A913" i="18"/>
  <c r="B913" i="18"/>
  <c r="C913" i="18"/>
  <c r="D913" i="18"/>
  <c r="E913" i="18"/>
  <c r="F913" i="18"/>
  <c r="G913" i="18"/>
  <c r="H913" i="18"/>
  <c r="I913" i="18"/>
  <c r="J913" i="18"/>
  <c r="A914" i="18"/>
  <c r="B914" i="18"/>
  <c r="C914" i="18"/>
  <c r="D914" i="18"/>
  <c r="E914" i="18"/>
  <c r="F914" i="18"/>
  <c r="G914" i="18"/>
  <c r="H914" i="18"/>
  <c r="I914" i="18"/>
  <c r="J914" i="18"/>
  <c r="A915" i="18"/>
  <c r="B915" i="18"/>
  <c r="C915" i="18"/>
  <c r="D915" i="18"/>
  <c r="E915" i="18"/>
  <c r="F915" i="18"/>
  <c r="G915" i="18"/>
  <c r="H915" i="18"/>
  <c r="I915" i="18"/>
  <c r="J915" i="18"/>
  <c r="A916" i="18"/>
  <c r="B916" i="18"/>
  <c r="C916" i="18"/>
  <c r="D916" i="18"/>
  <c r="E916" i="18"/>
  <c r="F916" i="18"/>
  <c r="G916" i="18"/>
  <c r="H916" i="18"/>
  <c r="I916" i="18"/>
  <c r="J916" i="18"/>
  <c r="A917" i="18"/>
  <c r="B917" i="18"/>
  <c r="C917" i="18"/>
  <c r="D917" i="18"/>
  <c r="E917" i="18"/>
  <c r="F917" i="18"/>
  <c r="G917" i="18"/>
  <c r="H917" i="18"/>
  <c r="I917" i="18"/>
  <c r="J917" i="18"/>
  <c r="A918" i="18"/>
  <c r="B918" i="18"/>
  <c r="C918" i="18"/>
  <c r="D918" i="18"/>
  <c r="E918" i="18"/>
  <c r="F918" i="18"/>
  <c r="G918" i="18"/>
  <c r="H918" i="18"/>
  <c r="I918" i="18"/>
  <c r="J918" i="18"/>
  <c r="A919" i="18"/>
  <c r="B919" i="18"/>
  <c r="C919" i="18"/>
  <c r="D919" i="18"/>
  <c r="E919" i="18"/>
  <c r="F919" i="18"/>
  <c r="G919" i="18"/>
  <c r="H919" i="18"/>
  <c r="I919" i="18"/>
  <c r="J919" i="18"/>
  <c r="A920" i="18"/>
  <c r="B920" i="18"/>
  <c r="C920" i="18"/>
  <c r="D920" i="18"/>
  <c r="E920" i="18"/>
  <c r="F920" i="18"/>
  <c r="G920" i="18"/>
  <c r="H920" i="18"/>
  <c r="I920" i="18"/>
  <c r="J920" i="18"/>
  <c r="A921" i="18"/>
  <c r="B921" i="18"/>
  <c r="C921" i="18"/>
  <c r="D921" i="18"/>
  <c r="E921" i="18"/>
  <c r="F921" i="18"/>
  <c r="G921" i="18"/>
  <c r="H921" i="18"/>
  <c r="I921" i="18"/>
  <c r="J921" i="18"/>
  <c r="A922" i="18"/>
  <c r="B922" i="18"/>
  <c r="C922" i="18"/>
  <c r="D922" i="18"/>
  <c r="E922" i="18"/>
  <c r="F922" i="18"/>
  <c r="G922" i="18"/>
  <c r="H922" i="18"/>
  <c r="I922" i="18"/>
  <c r="J922" i="18"/>
  <c r="A923" i="18"/>
  <c r="B923" i="18"/>
  <c r="C923" i="18"/>
  <c r="D923" i="18"/>
  <c r="E923" i="18"/>
  <c r="F923" i="18"/>
  <c r="G923" i="18"/>
  <c r="H923" i="18"/>
  <c r="I923" i="18"/>
  <c r="J923" i="18"/>
  <c r="A924" i="18"/>
  <c r="B924" i="18"/>
  <c r="C924" i="18"/>
  <c r="D924" i="18"/>
  <c r="E924" i="18"/>
  <c r="F924" i="18"/>
  <c r="G924" i="18"/>
  <c r="H924" i="18"/>
  <c r="I924" i="18"/>
  <c r="J924" i="18"/>
  <c r="A925" i="18"/>
  <c r="B925" i="18"/>
  <c r="C925" i="18"/>
  <c r="D925" i="18"/>
  <c r="E925" i="18"/>
  <c r="F925" i="18"/>
  <c r="G925" i="18"/>
  <c r="H925" i="18"/>
  <c r="I925" i="18"/>
  <c r="J925" i="18"/>
  <c r="A926" i="18"/>
  <c r="B926" i="18"/>
  <c r="C926" i="18"/>
  <c r="D926" i="18"/>
  <c r="E926" i="18"/>
  <c r="F926" i="18"/>
  <c r="G926" i="18"/>
  <c r="H926" i="18"/>
  <c r="I926" i="18"/>
  <c r="J926" i="18"/>
  <c r="A927" i="18"/>
  <c r="B927" i="18"/>
  <c r="C927" i="18"/>
  <c r="D927" i="18"/>
  <c r="E927" i="18"/>
  <c r="F927" i="18"/>
  <c r="G927" i="18"/>
  <c r="H927" i="18"/>
  <c r="I927" i="18"/>
  <c r="J927" i="18"/>
  <c r="A928" i="18"/>
  <c r="B928" i="18"/>
  <c r="C928" i="18"/>
  <c r="D928" i="18"/>
  <c r="E928" i="18"/>
  <c r="F928" i="18"/>
  <c r="G928" i="18"/>
  <c r="H928" i="18"/>
  <c r="I928" i="18"/>
  <c r="J928" i="18"/>
  <c r="A929" i="18"/>
  <c r="B929" i="18"/>
  <c r="C929" i="18"/>
  <c r="D929" i="18"/>
  <c r="E929" i="18"/>
  <c r="F929" i="18"/>
  <c r="G929" i="18"/>
  <c r="H929" i="18"/>
  <c r="I929" i="18"/>
  <c r="J929" i="18"/>
  <c r="A930" i="18"/>
  <c r="B930" i="18"/>
  <c r="C930" i="18"/>
  <c r="D930" i="18"/>
  <c r="E930" i="18"/>
  <c r="F930" i="18"/>
  <c r="G930" i="18"/>
  <c r="H930" i="18"/>
  <c r="I930" i="18"/>
  <c r="J930" i="18"/>
  <c r="A931" i="18"/>
  <c r="B931" i="18"/>
  <c r="C931" i="18"/>
  <c r="D931" i="18"/>
  <c r="E931" i="18"/>
  <c r="F931" i="18"/>
  <c r="G931" i="18"/>
  <c r="H931" i="18"/>
  <c r="I931" i="18"/>
  <c r="J931" i="18"/>
  <c r="A932" i="18"/>
  <c r="B932" i="18"/>
  <c r="C932" i="18"/>
  <c r="D932" i="18"/>
  <c r="E932" i="18"/>
  <c r="F932" i="18"/>
  <c r="G932" i="18"/>
  <c r="H932" i="18"/>
  <c r="I932" i="18"/>
  <c r="J932" i="18"/>
  <c r="A933" i="18"/>
  <c r="B933" i="18"/>
  <c r="C933" i="18"/>
  <c r="D933" i="18"/>
  <c r="E933" i="18"/>
  <c r="F933" i="18"/>
  <c r="G933" i="18"/>
  <c r="H933" i="18"/>
  <c r="I933" i="18"/>
  <c r="J933" i="18"/>
  <c r="A934" i="18"/>
  <c r="B934" i="18"/>
  <c r="C934" i="18"/>
  <c r="D934" i="18"/>
  <c r="E934" i="18"/>
  <c r="F934" i="18"/>
  <c r="G934" i="18"/>
  <c r="H934" i="18"/>
  <c r="I934" i="18"/>
  <c r="J934" i="18"/>
  <c r="A935" i="18"/>
  <c r="B935" i="18"/>
  <c r="C935" i="18"/>
  <c r="D935" i="18"/>
  <c r="E935" i="18"/>
  <c r="F935" i="18"/>
  <c r="G935" i="18"/>
  <c r="H935" i="18"/>
  <c r="I935" i="18"/>
  <c r="J935" i="18"/>
  <c r="A936" i="18"/>
  <c r="B936" i="18"/>
  <c r="C936" i="18"/>
  <c r="D936" i="18"/>
  <c r="E936" i="18"/>
  <c r="F936" i="18"/>
  <c r="G936" i="18"/>
  <c r="H936" i="18"/>
  <c r="I936" i="18"/>
  <c r="J936" i="18"/>
  <c r="A937" i="18"/>
  <c r="B937" i="18"/>
  <c r="C937" i="18"/>
  <c r="D937" i="18"/>
  <c r="E937" i="18"/>
  <c r="F937" i="18"/>
  <c r="G937" i="18"/>
  <c r="H937" i="18"/>
  <c r="I937" i="18"/>
  <c r="J937" i="18"/>
  <c r="A938" i="18"/>
  <c r="B938" i="18"/>
  <c r="C938" i="18"/>
  <c r="D938" i="18"/>
  <c r="E938" i="18"/>
  <c r="F938" i="18"/>
  <c r="G938" i="18"/>
  <c r="H938" i="18"/>
  <c r="I938" i="18"/>
  <c r="J938" i="18"/>
  <c r="A939" i="18"/>
  <c r="B939" i="18"/>
  <c r="C939" i="18"/>
  <c r="D939" i="18"/>
  <c r="E939" i="18"/>
  <c r="F939" i="18"/>
  <c r="G939" i="18"/>
  <c r="H939" i="18"/>
  <c r="I939" i="18"/>
  <c r="J939" i="18"/>
  <c r="A940" i="18"/>
  <c r="B940" i="18"/>
  <c r="C940" i="18"/>
  <c r="D940" i="18"/>
  <c r="E940" i="18"/>
  <c r="F940" i="18"/>
  <c r="G940" i="18"/>
  <c r="H940" i="18"/>
  <c r="I940" i="18"/>
  <c r="J940" i="18"/>
  <c r="A941" i="18"/>
  <c r="B941" i="18"/>
  <c r="C941" i="18"/>
  <c r="D941" i="18"/>
  <c r="E941" i="18"/>
  <c r="F941" i="18"/>
  <c r="G941" i="18"/>
  <c r="H941" i="18"/>
  <c r="I941" i="18"/>
  <c r="J941" i="18"/>
  <c r="A942" i="18"/>
  <c r="B942" i="18"/>
  <c r="C942" i="18"/>
  <c r="D942" i="18"/>
  <c r="E942" i="18"/>
  <c r="F942" i="18"/>
  <c r="G942" i="18"/>
  <c r="H942" i="18"/>
  <c r="I942" i="18"/>
  <c r="J942" i="18"/>
  <c r="A943" i="18"/>
  <c r="B943" i="18"/>
  <c r="C943" i="18"/>
  <c r="D943" i="18"/>
  <c r="E943" i="18"/>
  <c r="F943" i="18"/>
  <c r="G943" i="18"/>
  <c r="H943" i="18"/>
  <c r="I943" i="18"/>
  <c r="J943" i="18"/>
  <c r="A944" i="18"/>
  <c r="B944" i="18"/>
  <c r="C944" i="18"/>
  <c r="D944" i="18"/>
  <c r="E944" i="18"/>
  <c r="F944" i="18"/>
  <c r="G944" i="18"/>
  <c r="H944" i="18"/>
  <c r="I944" i="18"/>
  <c r="J944" i="18"/>
  <c r="A945" i="18"/>
  <c r="B945" i="18"/>
  <c r="C945" i="18"/>
  <c r="D945" i="18"/>
  <c r="E945" i="18"/>
  <c r="F945" i="18"/>
  <c r="G945" i="18"/>
  <c r="H945" i="18"/>
  <c r="I945" i="18"/>
  <c r="J945" i="18"/>
  <c r="A946" i="18"/>
  <c r="B946" i="18"/>
  <c r="C946" i="18"/>
  <c r="D946" i="18"/>
  <c r="E946" i="18"/>
  <c r="F946" i="18"/>
  <c r="G946" i="18"/>
  <c r="H946" i="18"/>
  <c r="I946" i="18"/>
  <c r="J946" i="18"/>
  <c r="A947" i="18"/>
  <c r="B947" i="18"/>
  <c r="C947" i="18"/>
  <c r="D947" i="18"/>
  <c r="E947" i="18"/>
  <c r="F947" i="18"/>
  <c r="G947" i="18"/>
  <c r="H947" i="18"/>
  <c r="I947" i="18"/>
  <c r="J947" i="18"/>
  <c r="A948" i="18"/>
  <c r="B948" i="18"/>
  <c r="C948" i="18"/>
  <c r="D948" i="18"/>
  <c r="E948" i="18"/>
  <c r="F948" i="18"/>
  <c r="G948" i="18"/>
  <c r="H948" i="18"/>
  <c r="I948" i="18"/>
  <c r="J948" i="18"/>
  <c r="A949" i="18"/>
  <c r="B949" i="18"/>
  <c r="C949" i="18"/>
  <c r="D949" i="18"/>
  <c r="E949" i="18"/>
  <c r="F949" i="18"/>
  <c r="G949" i="18"/>
  <c r="H949" i="18"/>
  <c r="I949" i="18"/>
  <c r="J949" i="18"/>
  <c r="A950" i="18"/>
  <c r="B950" i="18"/>
  <c r="C950" i="18"/>
  <c r="D950" i="18"/>
  <c r="E950" i="18"/>
  <c r="F950" i="18"/>
  <c r="G950" i="18"/>
  <c r="H950" i="18"/>
  <c r="I950" i="18"/>
  <c r="J950" i="18"/>
  <c r="A951" i="18"/>
  <c r="B951" i="18"/>
  <c r="C951" i="18"/>
  <c r="D951" i="18"/>
  <c r="E951" i="18"/>
  <c r="F951" i="18"/>
  <c r="G951" i="18"/>
  <c r="H951" i="18"/>
  <c r="I951" i="18"/>
  <c r="J951" i="18"/>
  <c r="A952" i="18"/>
  <c r="B952" i="18"/>
  <c r="C952" i="18"/>
  <c r="D952" i="18"/>
  <c r="E952" i="18"/>
  <c r="F952" i="18"/>
  <c r="G952" i="18"/>
  <c r="H952" i="18"/>
  <c r="I952" i="18"/>
  <c r="J952" i="18"/>
  <c r="A953" i="18"/>
  <c r="B953" i="18"/>
  <c r="C953" i="18"/>
  <c r="D953" i="18"/>
  <c r="E953" i="18"/>
  <c r="F953" i="18"/>
  <c r="G953" i="18"/>
  <c r="H953" i="18"/>
  <c r="I953" i="18"/>
  <c r="J953" i="18"/>
  <c r="A954" i="18"/>
  <c r="B954" i="18"/>
  <c r="C954" i="18"/>
  <c r="D954" i="18"/>
  <c r="E954" i="18"/>
  <c r="F954" i="18"/>
  <c r="G954" i="18"/>
  <c r="H954" i="18"/>
  <c r="I954" i="18"/>
  <c r="J954" i="18"/>
  <c r="A955" i="18"/>
  <c r="B955" i="18"/>
  <c r="C955" i="18"/>
  <c r="D955" i="18"/>
  <c r="E955" i="18"/>
  <c r="F955" i="18"/>
  <c r="G955" i="18"/>
  <c r="H955" i="18"/>
  <c r="I955" i="18"/>
  <c r="J955" i="18"/>
  <c r="A956" i="18"/>
  <c r="B956" i="18"/>
  <c r="C956" i="18"/>
  <c r="D956" i="18"/>
  <c r="E956" i="18"/>
  <c r="F956" i="18"/>
  <c r="G956" i="18"/>
  <c r="H956" i="18"/>
  <c r="I956" i="18"/>
  <c r="J956" i="18"/>
  <c r="A957" i="18"/>
  <c r="B957" i="18"/>
  <c r="C957" i="18"/>
  <c r="D957" i="18"/>
  <c r="E957" i="18"/>
  <c r="F957" i="18"/>
  <c r="G957" i="18"/>
  <c r="H957" i="18"/>
  <c r="I957" i="18"/>
  <c r="J957" i="18"/>
  <c r="A958" i="18"/>
  <c r="B958" i="18"/>
  <c r="C958" i="18"/>
  <c r="D958" i="18"/>
  <c r="E958" i="18"/>
  <c r="F958" i="18"/>
  <c r="G958" i="18"/>
  <c r="H958" i="18"/>
  <c r="I958" i="18"/>
  <c r="J958" i="18"/>
  <c r="A959" i="18"/>
  <c r="B959" i="18"/>
  <c r="C959" i="18"/>
  <c r="D959" i="18"/>
  <c r="E959" i="18"/>
  <c r="F959" i="18"/>
  <c r="G959" i="18"/>
  <c r="H959" i="18"/>
  <c r="I959" i="18"/>
  <c r="J959" i="18"/>
  <c r="A960" i="18"/>
  <c r="B960" i="18"/>
  <c r="C960" i="18"/>
  <c r="D960" i="18"/>
  <c r="E960" i="18"/>
  <c r="F960" i="18"/>
  <c r="G960" i="18"/>
  <c r="H960" i="18"/>
  <c r="I960" i="18"/>
  <c r="J960" i="18"/>
  <c r="A961" i="18"/>
  <c r="B961" i="18"/>
  <c r="C961" i="18"/>
  <c r="D961" i="18"/>
  <c r="E961" i="18"/>
  <c r="F961" i="18"/>
  <c r="G961" i="18"/>
  <c r="H961" i="18"/>
  <c r="I961" i="18"/>
  <c r="J961" i="18"/>
  <c r="A962" i="18"/>
  <c r="B962" i="18"/>
  <c r="C962" i="18"/>
  <c r="D962" i="18"/>
  <c r="E962" i="18"/>
  <c r="F962" i="18"/>
  <c r="G962" i="18"/>
  <c r="H962" i="18"/>
  <c r="I962" i="18"/>
  <c r="J962" i="18"/>
  <c r="A963" i="18"/>
  <c r="B963" i="18"/>
  <c r="C963" i="18"/>
  <c r="D963" i="18"/>
  <c r="E963" i="18"/>
  <c r="F963" i="18"/>
  <c r="G963" i="18"/>
  <c r="H963" i="18"/>
  <c r="I963" i="18"/>
  <c r="J963" i="18"/>
  <c r="A964" i="18"/>
  <c r="B964" i="18"/>
  <c r="C964" i="18"/>
  <c r="D964" i="18"/>
  <c r="E964" i="18"/>
  <c r="F964" i="18"/>
  <c r="G964" i="18"/>
  <c r="H964" i="18"/>
  <c r="I964" i="18"/>
  <c r="J964" i="18"/>
  <c r="A965" i="18"/>
  <c r="B965" i="18"/>
  <c r="C965" i="18"/>
  <c r="D965" i="18"/>
  <c r="E965" i="18"/>
  <c r="F965" i="18"/>
  <c r="G965" i="18"/>
  <c r="H965" i="18"/>
  <c r="I965" i="18"/>
  <c r="J965" i="18"/>
  <c r="A966" i="18"/>
  <c r="B966" i="18"/>
  <c r="C966" i="18"/>
  <c r="D966" i="18"/>
  <c r="E966" i="18"/>
  <c r="F966" i="18"/>
  <c r="G966" i="18"/>
  <c r="H966" i="18"/>
  <c r="I966" i="18"/>
  <c r="J966" i="18"/>
  <c r="A967" i="18"/>
  <c r="B967" i="18"/>
  <c r="C967" i="18"/>
  <c r="D967" i="18"/>
  <c r="E967" i="18"/>
  <c r="F967" i="18"/>
  <c r="G967" i="18"/>
  <c r="H967" i="18"/>
  <c r="I967" i="18"/>
  <c r="J967" i="18"/>
  <c r="A968" i="18"/>
  <c r="B968" i="18"/>
  <c r="C968" i="18"/>
  <c r="D968" i="18"/>
  <c r="E968" i="18"/>
  <c r="F968" i="18"/>
  <c r="G968" i="18"/>
  <c r="H968" i="18"/>
  <c r="I968" i="18"/>
  <c r="J968" i="18"/>
  <c r="A969" i="18"/>
  <c r="B969" i="18"/>
  <c r="C969" i="18"/>
  <c r="D969" i="18"/>
  <c r="E969" i="18"/>
  <c r="F969" i="18"/>
  <c r="G969" i="18"/>
  <c r="H969" i="18"/>
  <c r="I969" i="18"/>
  <c r="J969" i="18"/>
  <c r="A970" i="18"/>
  <c r="B970" i="18"/>
  <c r="C970" i="18"/>
  <c r="D970" i="18"/>
  <c r="E970" i="18"/>
  <c r="F970" i="18"/>
  <c r="G970" i="18"/>
  <c r="H970" i="18"/>
  <c r="I970" i="18"/>
  <c r="J970" i="18"/>
  <c r="A971" i="18"/>
  <c r="B971" i="18"/>
  <c r="C971" i="18"/>
  <c r="D971" i="18"/>
  <c r="E971" i="18"/>
  <c r="F971" i="18"/>
  <c r="G971" i="18"/>
  <c r="H971" i="18"/>
  <c r="I971" i="18"/>
  <c r="J971" i="18"/>
  <c r="A972" i="18"/>
  <c r="B972" i="18"/>
  <c r="C972" i="18"/>
  <c r="D972" i="18"/>
  <c r="E972" i="18"/>
  <c r="F972" i="18"/>
  <c r="G972" i="18"/>
  <c r="H972" i="18"/>
  <c r="I972" i="18"/>
  <c r="J972" i="18"/>
  <c r="A973" i="18"/>
  <c r="B973" i="18"/>
  <c r="C973" i="18"/>
  <c r="D973" i="18"/>
  <c r="E973" i="18"/>
  <c r="F973" i="18"/>
  <c r="G973" i="18"/>
  <c r="H973" i="18"/>
  <c r="I973" i="18"/>
  <c r="J973" i="18"/>
  <c r="A974" i="18"/>
  <c r="B974" i="18"/>
  <c r="C974" i="18"/>
  <c r="D974" i="18"/>
  <c r="E974" i="18"/>
  <c r="F974" i="18"/>
  <c r="G974" i="18"/>
  <c r="H974" i="18"/>
  <c r="I974" i="18"/>
  <c r="J974" i="18"/>
  <c r="A975" i="18"/>
  <c r="B975" i="18"/>
  <c r="C975" i="18"/>
  <c r="D975" i="18"/>
  <c r="E975" i="18"/>
  <c r="F975" i="18"/>
  <c r="G975" i="18"/>
  <c r="H975" i="18"/>
  <c r="I975" i="18"/>
  <c r="J975" i="18"/>
  <c r="A976" i="18"/>
  <c r="B976" i="18"/>
  <c r="C976" i="18"/>
  <c r="D976" i="18"/>
  <c r="E976" i="18"/>
  <c r="F976" i="18"/>
  <c r="G976" i="18"/>
  <c r="H976" i="18"/>
  <c r="I976" i="18"/>
  <c r="J976" i="18"/>
  <c r="A977" i="18"/>
  <c r="B977" i="18"/>
  <c r="C977" i="18"/>
  <c r="D977" i="18"/>
  <c r="E977" i="18"/>
  <c r="F977" i="18"/>
  <c r="G977" i="18"/>
  <c r="H977" i="18"/>
  <c r="I977" i="18"/>
  <c r="J977" i="18"/>
  <c r="A978" i="18"/>
  <c r="B978" i="18"/>
  <c r="C978" i="18"/>
  <c r="D978" i="18"/>
  <c r="E978" i="18"/>
  <c r="F978" i="18"/>
  <c r="G978" i="18"/>
  <c r="H978" i="18"/>
  <c r="I978" i="18"/>
  <c r="J978" i="18"/>
  <c r="A979" i="18"/>
  <c r="B979" i="18"/>
  <c r="C979" i="18"/>
  <c r="D979" i="18"/>
  <c r="E979" i="18"/>
  <c r="F979" i="18"/>
  <c r="G979" i="18"/>
  <c r="H979" i="18"/>
  <c r="I979" i="18"/>
  <c r="J979" i="18"/>
  <c r="A980" i="18"/>
  <c r="B980" i="18"/>
  <c r="C980" i="18"/>
  <c r="D980" i="18"/>
  <c r="E980" i="18"/>
  <c r="F980" i="18"/>
  <c r="G980" i="18"/>
  <c r="H980" i="18"/>
  <c r="I980" i="18"/>
  <c r="J980" i="18"/>
  <c r="A981" i="18"/>
  <c r="B981" i="18"/>
  <c r="C981" i="18"/>
  <c r="D981" i="18"/>
  <c r="E981" i="18"/>
  <c r="F981" i="18"/>
  <c r="G981" i="18"/>
  <c r="H981" i="18"/>
  <c r="I981" i="18"/>
  <c r="J981" i="18"/>
  <c r="A982" i="18"/>
  <c r="B982" i="18"/>
  <c r="C982" i="18"/>
  <c r="D982" i="18"/>
  <c r="E982" i="18"/>
  <c r="F982" i="18"/>
  <c r="G982" i="18"/>
  <c r="H982" i="18"/>
  <c r="I982" i="18"/>
  <c r="J982" i="18"/>
  <c r="A983" i="18"/>
  <c r="B983" i="18"/>
  <c r="C983" i="18"/>
  <c r="D983" i="18"/>
  <c r="E983" i="18"/>
  <c r="F983" i="18"/>
  <c r="G983" i="18"/>
  <c r="H983" i="18"/>
  <c r="I983" i="18"/>
  <c r="J983" i="18"/>
  <c r="A984" i="18"/>
  <c r="B984" i="18"/>
  <c r="C984" i="18"/>
  <c r="D984" i="18"/>
  <c r="E984" i="18"/>
  <c r="F984" i="18"/>
  <c r="G984" i="18"/>
  <c r="H984" i="18"/>
  <c r="I984" i="18"/>
  <c r="J984" i="18"/>
  <c r="A985" i="18"/>
  <c r="B985" i="18"/>
  <c r="C985" i="18"/>
  <c r="D985" i="18"/>
  <c r="E985" i="18"/>
  <c r="F985" i="18"/>
  <c r="G985" i="18"/>
  <c r="H985" i="18"/>
  <c r="I985" i="18"/>
  <c r="J985" i="18"/>
  <c r="A986" i="18"/>
  <c r="B986" i="18"/>
  <c r="C986" i="18"/>
  <c r="D986" i="18"/>
  <c r="E986" i="18"/>
  <c r="F986" i="18"/>
  <c r="G986" i="18"/>
  <c r="H986" i="18"/>
  <c r="I986" i="18"/>
  <c r="J986" i="18"/>
  <c r="A987" i="18"/>
  <c r="B987" i="18"/>
  <c r="C987" i="18"/>
  <c r="D987" i="18"/>
  <c r="E987" i="18"/>
  <c r="F987" i="18"/>
  <c r="G987" i="18"/>
  <c r="H987" i="18"/>
  <c r="I987" i="18"/>
  <c r="J987" i="18"/>
  <c r="A988" i="18"/>
  <c r="B988" i="18"/>
  <c r="C988" i="18"/>
  <c r="D988" i="18"/>
  <c r="E988" i="18"/>
  <c r="F988" i="18"/>
  <c r="G988" i="18"/>
  <c r="H988" i="18"/>
  <c r="I988" i="18"/>
  <c r="J988" i="18"/>
  <c r="A989" i="18"/>
  <c r="B989" i="18"/>
  <c r="C989" i="18"/>
  <c r="D989" i="18"/>
  <c r="E989" i="18"/>
  <c r="F989" i="18"/>
  <c r="G989" i="18"/>
  <c r="H989" i="18"/>
  <c r="I989" i="18"/>
  <c r="J989" i="18"/>
  <c r="A990" i="18"/>
  <c r="B990" i="18"/>
  <c r="C990" i="18"/>
  <c r="D990" i="18"/>
  <c r="E990" i="18"/>
  <c r="F990" i="18"/>
  <c r="G990" i="18"/>
  <c r="H990" i="18"/>
  <c r="I990" i="18"/>
  <c r="J990" i="18"/>
  <c r="A991" i="18"/>
  <c r="B991" i="18"/>
  <c r="C991" i="18"/>
  <c r="D991" i="18"/>
  <c r="E991" i="18"/>
  <c r="F991" i="18"/>
  <c r="G991" i="18"/>
  <c r="H991" i="18"/>
  <c r="I991" i="18"/>
  <c r="J991" i="18"/>
  <c r="A992" i="18"/>
  <c r="B992" i="18"/>
  <c r="C992" i="18"/>
  <c r="D992" i="18"/>
  <c r="E992" i="18"/>
  <c r="F992" i="18"/>
  <c r="G992" i="18"/>
  <c r="H992" i="18"/>
  <c r="I992" i="18"/>
  <c r="J992" i="18"/>
  <c r="A993" i="18"/>
  <c r="B993" i="18"/>
  <c r="C993" i="18"/>
  <c r="D993" i="18"/>
  <c r="E993" i="18"/>
  <c r="F993" i="18"/>
  <c r="G993" i="18"/>
  <c r="H993" i="18"/>
  <c r="I993" i="18"/>
  <c r="J993" i="18"/>
  <c r="A994" i="18"/>
  <c r="B994" i="18"/>
  <c r="C994" i="18"/>
  <c r="D994" i="18"/>
  <c r="E994" i="18"/>
  <c r="F994" i="18"/>
  <c r="G994" i="18"/>
  <c r="H994" i="18"/>
  <c r="I994" i="18"/>
  <c r="J994" i="18"/>
  <c r="A995" i="18"/>
  <c r="B995" i="18"/>
  <c r="C995" i="18"/>
  <c r="D995" i="18"/>
  <c r="E995" i="18"/>
  <c r="F995" i="18"/>
  <c r="G995" i="18"/>
  <c r="H995" i="18"/>
  <c r="I995" i="18"/>
  <c r="J995" i="18"/>
  <c r="A996" i="18"/>
  <c r="B996" i="18"/>
  <c r="C996" i="18"/>
  <c r="D996" i="18"/>
  <c r="E996" i="18"/>
  <c r="F996" i="18"/>
  <c r="G996" i="18"/>
  <c r="H996" i="18"/>
  <c r="I996" i="18"/>
  <c r="J996" i="18"/>
  <c r="A997" i="18"/>
  <c r="B997" i="18"/>
  <c r="C997" i="18"/>
  <c r="D997" i="18"/>
  <c r="E997" i="18"/>
  <c r="F997" i="18"/>
  <c r="G997" i="18"/>
  <c r="H997" i="18"/>
  <c r="I997" i="18"/>
  <c r="J997" i="18"/>
  <c r="A998" i="18"/>
  <c r="B998" i="18"/>
  <c r="C998" i="18"/>
  <c r="D998" i="18"/>
  <c r="E998" i="18"/>
  <c r="F998" i="18"/>
  <c r="G998" i="18"/>
  <c r="H998" i="18"/>
  <c r="I998" i="18"/>
  <c r="J998" i="18"/>
  <c r="A999" i="18"/>
  <c r="B999" i="18"/>
  <c r="C999" i="18"/>
  <c r="D999" i="18"/>
  <c r="E999" i="18"/>
  <c r="F999" i="18"/>
  <c r="G999" i="18"/>
  <c r="H999" i="18"/>
  <c r="I999" i="18"/>
  <c r="J999" i="18"/>
  <c r="A1000" i="18"/>
  <c r="B1000" i="18"/>
  <c r="C1000" i="18"/>
  <c r="D1000" i="18"/>
  <c r="E1000" i="18"/>
  <c r="F1000" i="18"/>
  <c r="G1000" i="18"/>
  <c r="H1000" i="18"/>
  <c r="I1000" i="18"/>
  <c r="J1000" i="18"/>
  <c r="A1001" i="18"/>
  <c r="B1001" i="18"/>
  <c r="C1001" i="18"/>
  <c r="D1001" i="18"/>
  <c r="E1001" i="18"/>
  <c r="F1001" i="18"/>
  <c r="G1001" i="18"/>
  <c r="H1001" i="18"/>
  <c r="I1001" i="18"/>
  <c r="J1001" i="18"/>
  <c r="A1002" i="18"/>
  <c r="B1002" i="18"/>
  <c r="C1002" i="18"/>
  <c r="D1002" i="18"/>
  <c r="E1002" i="18"/>
  <c r="F1002" i="18"/>
  <c r="G1002" i="18"/>
  <c r="H1002" i="18"/>
  <c r="I1002" i="18"/>
  <c r="J1002" i="18"/>
  <c r="A1003" i="18"/>
  <c r="B1003" i="18"/>
  <c r="C1003" i="18"/>
  <c r="D1003" i="18"/>
  <c r="E1003" i="18"/>
  <c r="F1003" i="18"/>
  <c r="G1003" i="18"/>
  <c r="H1003" i="18"/>
  <c r="I1003" i="18"/>
  <c r="J1003" i="18"/>
  <c r="A1004" i="18"/>
  <c r="B1004" i="18"/>
  <c r="C1004" i="18"/>
  <c r="D1004" i="18"/>
  <c r="E1004" i="18"/>
  <c r="F1004" i="18"/>
  <c r="G1004" i="18"/>
  <c r="H1004" i="18"/>
  <c r="I1004" i="18"/>
  <c r="J1004" i="18"/>
  <c r="A1005" i="18"/>
  <c r="B1005" i="18"/>
  <c r="C1005" i="18"/>
  <c r="D1005" i="18"/>
  <c r="E1005" i="18"/>
  <c r="F1005" i="18"/>
  <c r="G1005" i="18"/>
  <c r="H1005" i="18"/>
  <c r="I1005" i="18"/>
  <c r="J1005" i="18"/>
  <c r="A1006" i="18"/>
  <c r="B1006" i="18"/>
  <c r="C1006" i="18"/>
  <c r="D1006" i="18"/>
  <c r="E1006" i="18"/>
  <c r="F1006" i="18"/>
  <c r="G1006" i="18"/>
  <c r="H1006" i="18"/>
  <c r="I1006" i="18"/>
  <c r="J1006" i="18"/>
  <c r="A1007" i="18"/>
  <c r="B1007" i="18"/>
  <c r="C1007" i="18"/>
  <c r="D1007" i="18"/>
  <c r="E1007" i="18"/>
  <c r="F1007" i="18"/>
  <c r="G1007" i="18"/>
  <c r="H1007" i="18"/>
  <c r="I1007" i="18"/>
  <c r="J1007" i="18"/>
  <c r="A1008" i="18"/>
  <c r="B1008" i="18"/>
  <c r="C1008" i="18"/>
  <c r="D1008" i="18"/>
  <c r="E1008" i="18"/>
  <c r="F1008" i="18"/>
  <c r="G1008" i="18"/>
  <c r="H1008" i="18"/>
  <c r="I1008" i="18"/>
  <c r="J1008" i="18"/>
  <c r="A1009" i="18"/>
  <c r="B1009" i="18"/>
  <c r="C1009" i="18"/>
  <c r="D1009" i="18"/>
  <c r="E1009" i="18"/>
  <c r="F1009" i="18"/>
  <c r="G1009" i="18"/>
  <c r="H1009" i="18"/>
  <c r="I1009" i="18"/>
  <c r="J1009" i="18"/>
  <c r="A1010" i="18"/>
  <c r="B1010" i="18"/>
  <c r="C1010" i="18"/>
  <c r="D1010" i="18"/>
  <c r="E1010" i="18"/>
  <c r="F1010" i="18"/>
  <c r="G1010" i="18"/>
  <c r="H1010" i="18"/>
  <c r="I1010" i="18"/>
  <c r="J1010" i="18"/>
  <c r="A1011" i="18"/>
  <c r="B1011" i="18"/>
  <c r="C1011" i="18"/>
  <c r="D1011" i="18"/>
  <c r="E1011" i="18"/>
  <c r="F1011" i="18"/>
  <c r="G1011" i="18"/>
  <c r="H1011" i="18"/>
  <c r="I1011" i="18"/>
  <c r="J1011" i="18"/>
  <c r="A1012" i="18"/>
  <c r="B1012" i="18"/>
  <c r="C1012" i="18"/>
  <c r="D1012" i="18"/>
  <c r="E1012" i="18"/>
  <c r="F1012" i="18"/>
  <c r="G1012" i="18"/>
  <c r="H1012" i="18"/>
  <c r="I1012" i="18"/>
  <c r="J1012" i="18"/>
  <c r="A1013" i="18"/>
  <c r="B1013" i="18"/>
  <c r="C1013" i="18"/>
  <c r="D1013" i="18"/>
  <c r="E1013" i="18"/>
  <c r="F1013" i="18"/>
  <c r="G1013" i="18"/>
  <c r="H1013" i="18"/>
  <c r="I1013" i="18"/>
  <c r="J1013" i="18"/>
  <c r="A1014" i="18"/>
  <c r="B1014" i="18"/>
  <c r="C1014" i="18"/>
  <c r="D1014" i="18"/>
  <c r="E1014" i="18"/>
  <c r="F1014" i="18"/>
  <c r="G1014" i="18"/>
  <c r="H1014" i="18"/>
  <c r="I1014" i="18"/>
  <c r="J1014" i="18"/>
  <c r="A1015" i="18"/>
  <c r="B1015" i="18"/>
  <c r="C1015" i="18"/>
  <c r="D1015" i="18"/>
  <c r="E1015" i="18"/>
  <c r="F1015" i="18"/>
  <c r="G1015" i="18"/>
  <c r="H1015" i="18"/>
  <c r="I1015" i="18"/>
  <c r="J1015" i="18"/>
  <c r="A1016" i="18"/>
  <c r="B1016" i="18"/>
  <c r="C1016" i="18"/>
  <c r="D1016" i="18"/>
  <c r="E1016" i="18"/>
  <c r="F1016" i="18"/>
  <c r="G1016" i="18"/>
  <c r="H1016" i="18"/>
  <c r="I1016" i="18"/>
  <c r="J1016" i="18"/>
  <c r="A1017" i="18"/>
  <c r="B1017" i="18"/>
  <c r="C1017" i="18"/>
  <c r="D1017" i="18"/>
  <c r="E1017" i="18"/>
  <c r="F1017" i="18"/>
  <c r="G1017" i="18"/>
  <c r="H1017" i="18"/>
  <c r="I1017" i="18"/>
  <c r="J1017" i="18"/>
  <c r="A1018" i="18"/>
  <c r="B1018" i="18"/>
  <c r="C1018" i="18"/>
  <c r="D1018" i="18"/>
  <c r="E1018" i="18"/>
  <c r="F1018" i="18"/>
  <c r="G1018" i="18"/>
  <c r="H1018" i="18"/>
  <c r="I1018" i="18"/>
  <c r="J1018" i="18"/>
  <c r="A1019" i="18"/>
  <c r="B1019" i="18"/>
  <c r="C1019" i="18"/>
  <c r="D1019" i="18"/>
  <c r="E1019" i="18"/>
  <c r="F1019" i="18"/>
  <c r="G1019" i="18"/>
  <c r="H1019" i="18"/>
  <c r="I1019" i="18"/>
  <c r="J1019" i="18"/>
  <c r="A1020" i="18"/>
  <c r="B1020" i="18"/>
  <c r="C1020" i="18"/>
  <c r="D1020" i="18"/>
  <c r="E1020" i="18"/>
  <c r="F1020" i="18"/>
  <c r="G1020" i="18"/>
  <c r="H1020" i="18"/>
  <c r="I1020" i="18"/>
  <c r="J1020" i="18"/>
  <c r="A1021" i="18"/>
  <c r="B1021" i="18"/>
  <c r="C1021" i="18"/>
  <c r="D1021" i="18"/>
  <c r="E1021" i="18"/>
  <c r="F1021" i="18"/>
  <c r="G1021" i="18"/>
  <c r="H1021" i="18"/>
  <c r="I1021" i="18"/>
  <c r="J1021" i="18"/>
  <c r="A1022" i="18"/>
  <c r="B1022" i="18"/>
  <c r="C1022" i="18"/>
  <c r="D1022" i="18"/>
  <c r="E1022" i="18"/>
  <c r="F1022" i="18"/>
  <c r="G1022" i="18"/>
  <c r="H1022" i="18"/>
  <c r="I1022" i="18"/>
  <c r="J1022" i="18"/>
  <c r="A1023" i="18"/>
  <c r="B1023" i="18"/>
  <c r="C1023" i="18"/>
  <c r="D1023" i="18"/>
  <c r="E1023" i="18"/>
  <c r="F1023" i="18"/>
  <c r="G1023" i="18"/>
  <c r="H1023" i="18"/>
  <c r="I1023" i="18"/>
  <c r="J1023" i="18"/>
  <c r="A1024" i="18"/>
  <c r="B1024" i="18"/>
  <c r="C1024" i="18"/>
  <c r="D1024" i="18"/>
  <c r="E1024" i="18"/>
  <c r="F1024" i="18"/>
  <c r="G1024" i="18"/>
  <c r="H1024" i="18"/>
  <c r="I1024" i="18"/>
  <c r="J1024" i="18"/>
  <c r="A1025" i="18"/>
  <c r="B1025" i="18"/>
  <c r="C1025" i="18"/>
  <c r="D1025" i="18"/>
  <c r="E1025" i="18"/>
  <c r="F1025" i="18"/>
  <c r="G1025" i="18"/>
  <c r="H1025" i="18"/>
  <c r="I1025" i="18"/>
  <c r="J1025" i="18"/>
  <c r="A1026" i="18"/>
  <c r="B1026" i="18"/>
  <c r="C1026" i="18"/>
  <c r="D1026" i="18"/>
  <c r="E1026" i="18"/>
  <c r="F1026" i="18"/>
  <c r="G1026" i="18"/>
  <c r="H1026" i="18"/>
  <c r="I1026" i="18"/>
  <c r="J1026" i="18"/>
  <c r="A1027" i="18"/>
  <c r="B1027" i="18"/>
  <c r="C1027" i="18"/>
  <c r="D1027" i="18"/>
  <c r="E1027" i="18"/>
  <c r="F1027" i="18"/>
  <c r="G1027" i="18"/>
  <c r="H1027" i="18"/>
  <c r="I1027" i="18"/>
  <c r="J1027" i="18"/>
  <c r="A1028" i="18"/>
  <c r="B1028" i="18"/>
  <c r="C1028" i="18"/>
  <c r="D1028" i="18"/>
  <c r="E1028" i="18"/>
  <c r="F1028" i="18"/>
  <c r="G1028" i="18"/>
  <c r="H1028" i="18"/>
  <c r="I1028" i="18"/>
  <c r="J1028" i="18"/>
  <c r="A1029" i="18"/>
  <c r="B1029" i="18"/>
  <c r="C1029" i="18"/>
  <c r="D1029" i="18"/>
  <c r="E1029" i="18"/>
  <c r="F1029" i="18"/>
  <c r="G1029" i="18"/>
  <c r="H1029" i="18"/>
  <c r="I1029" i="18"/>
  <c r="J1029" i="18"/>
  <c r="A1030" i="18"/>
  <c r="B1030" i="18"/>
  <c r="C1030" i="18"/>
  <c r="D1030" i="18"/>
  <c r="E1030" i="18"/>
  <c r="F1030" i="18"/>
  <c r="G1030" i="18"/>
  <c r="H1030" i="18"/>
  <c r="I1030" i="18"/>
  <c r="J1030" i="18"/>
  <c r="A1031" i="18"/>
  <c r="B1031" i="18"/>
  <c r="C1031" i="18"/>
  <c r="D1031" i="18"/>
  <c r="E1031" i="18"/>
  <c r="F1031" i="18"/>
  <c r="G1031" i="18"/>
  <c r="H1031" i="18"/>
  <c r="I1031" i="18"/>
  <c r="J1031" i="18"/>
  <c r="A1032" i="18"/>
  <c r="B1032" i="18"/>
  <c r="C1032" i="18"/>
  <c r="D1032" i="18"/>
  <c r="E1032" i="18"/>
  <c r="F1032" i="18"/>
  <c r="G1032" i="18"/>
  <c r="H1032" i="18"/>
  <c r="I1032" i="18"/>
  <c r="J1032" i="18"/>
  <c r="A1033" i="18"/>
  <c r="B1033" i="18"/>
  <c r="C1033" i="18"/>
  <c r="D1033" i="18"/>
  <c r="E1033" i="18"/>
  <c r="F1033" i="18"/>
  <c r="G1033" i="18"/>
  <c r="H1033" i="18"/>
  <c r="I1033" i="18"/>
  <c r="J1033" i="18"/>
  <c r="A1034" i="18"/>
  <c r="B1034" i="18"/>
  <c r="C1034" i="18"/>
  <c r="D1034" i="18"/>
  <c r="E1034" i="18"/>
  <c r="F1034" i="18"/>
  <c r="G1034" i="18"/>
  <c r="H1034" i="18"/>
  <c r="I1034" i="18"/>
  <c r="J1034" i="18"/>
  <c r="A1035" i="18"/>
  <c r="B1035" i="18"/>
  <c r="C1035" i="18"/>
  <c r="D1035" i="18"/>
  <c r="E1035" i="18"/>
  <c r="F1035" i="18"/>
  <c r="G1035" i="18"/>
  <c r="H1035" i="18"/>
  <c r="I1035" i="18"/>
  <c r="J1035" i="18"/>
  <c r="A1036" i="18"/>
  <c r="B1036" i="18"/>
  <c r="C1036" i="18"/>
  <c r="D1036" i="18"/>
  <c r="E1036" i="18"/>
  <c r="F1036" i="18"/>
  <c r="G1036" i="18"/>
  <c r="H1036" i="18"/>
  <c r="I1036" i="18"/>
  <c r="J1036" i="18"/>
  <c r="A1037" i="18"/>
  <c r="B1037" i="18"/>
  <c r="C1037" i="18"/>
  <c r="D1037" i="18"/>
  <c r="E1037" i="18"/>
  <c r="F1037" i="18"/>
  <c r="G1037" i="18"/>
  <c r="H1037" i="18"/>
  <c r="I1037" i="18"/>
  <c r="J1037" i="18"/>
  <c r="A1038" i="18"/>
  <c r="B1038" i="18"/>
  <c r="C1038" i="18"/>
  <c r="D1038" i="18"/>
  <c r="E1038" i="18"/>
  <c r="F1038" i="18"/>
  <c r="G1038" i="18"/>
  <c r="H1038" i="18"/>
  <c r="I1038" i="18"/>
  <c r="J1038" i="18"/>
  <c r="A1039" i="18"/>
  <c r="B1039" i="18"/>
  <c r="C1039" i="18"/>
  <c r="D1039" i="18"/>
  <c r="E1039" i="18"/>
  <c r="F1039" i="18"/>
  <c r="G1039" i="18"/>
  <c r="H1039" i="18"/>
  <c r="I1039" i="18"/>
  <c r="J1039" i="18"/>
  <c r="A1040" i="18"/>
  <c r="B1040" i="18"/>
  <c r="C1040" i="18"/>
  <c r="D1040" i="18"/>
  <c r="E1040" i="18"/>
  <c r="F1040" i="18"/>
  <c r="G1040" i="18"/>
  <c r="H1040" i="18"/>
  <c r="I1040" i="18"/>
  <c r="J1040" i="18"/>
  <c r="A1041" i="18"/>
  <c r="B1041" i="18"/>
  <c r="C1041" i="18"/>
  <c r="D1041" i="18"/>
  <c r="E1041" i="18"/>
  <c r="F1041" i="18"/>
  <c r="G1041" i="18"/>
  <c r="H1041" i="18"/>
  <c r="I1041" i="18"/>
  <c r="J1041" i="18"/>
  <c r="A1042" i="18"/>
  <c r="B1042" i="18"/>
  <c r="C1042" i="18"/>
  <c r="D1042" i="18"/>
  <c r="E1042" i="18"/>
  <c r="F1042" i="18"/>
  <c r="G1042" i="18"/>
  <c r="H1042" i="18"/>
  <c r="I1042" i="18"/>
  <c r="J1042" i="18"/>
  <c r="A1043" i="18"/>
  <c r="B1043" i="18"/>
  <c r="C1043" i="18"/>
  <c r="D1043" i="18"/>
  <c r="E1043" i="18"/>
  <c r="F1043" i="18"/>
  <c r="G1043" i="18"/>
  <c r="H1043" i="18"/>
  <c r="I1043" i="18"/>
  <c r="J1043" i="18"/>
  <c r="A1044" i="18"/>
  <c r="B1044" i="18"/>
  <c r="C1044" i="18"/>
  <c r="D1044" i="18"/>
  <c r="E1044" i="18"/>
  <c r="F1044" i="18"/>
  <c r="G1044" i="18"/>
  <c r="H1044" i="18"/>
  <c r="I1044" i="18"/>
  <c r="J1044" i="18"/>
  <c r="A1045" i="18"/>
  <c r="B1045" i="18"/>
  <c r="C1045" i="18"/>
  <c r="D1045" i="18"/>
  <c r="E1045" i="18"/>
  <c r="F1045" i="18"/>
  <c r="G1045" i="18"/>
  <c r="H1045" i="18"/>
  <c r="I1045" i="18"/>
  <c r="J1045" i="18"/>
  <c r="A1046" i="18"/>
  <c r="B1046" i="18"/>
  <c r="C1046" i="18"/>
  <c r="D1046" i="18"/>
  <c r="E1046" i="18"/>
  <c r="F1046" i="18"/>
  <c r="G1046" i="18"/>
  <c r="H1046" i="18"/>
  <c r="I1046" i="18"/>
  <c r="J1046" i="18"/>
  <c r="A1047" i="18"/>
  <c r="B1047" i="18"/>
  <c r="C1047" i="18"/>
  <c r="D1047" i="18"/>
  <c r="E1047" i="18"/>
  <c r="F1047" i="18"/>
  <c r="G1047" i="18"/>
  <c r="H1047" i="18"/>
  <c r="I1047" i="18"/>
  <c r="J1047" i="18"/>
  <c r="A1048" i="18"/>
  <c r="B1048" i="18"/>
  <c r="C1048" i="18"/>
  <c r="D1048" i="18"/>
  <c r="E1048" i="18"/>
  <c r="F1048" i="18"/>
  <c r="G1048" i="18"/>
  <c r="H1048" i="18"/>
  <c r="I1048" i="18"/>
  <c r="J1048" i="18"/>
  <c r="A1049" i="18"/>
  <c r="B1049" i="18"/>
  <c r="C1049" i="18"/>
  <c r="D1049" i="18"/>
  <c r="E1049" i="18"/>
  <c r="F1049" i="18"/>
  <c r="G1049" i="18"/>
  <c r="H1049" i="18"/>
  <c r="I1049" i="18"/>
  <c r="J1049" i="18"/>
  <c r="A1050" i="18"/>
  <c r="B1050" i="18"/>
  <c r="C1050" i="18"/>
  <c r="D1050" i="18"/>
  <c r="E1050" i="18"/>
  <c r="F1050" i="18"/>
  <c r="G1050" i="18"/>
  <c r="H1050" i="18"/>
  <c r="I1050" i="18"/>
  <c r="J1050" i="18"/>
  <c r="A1051" i="18"/>
  <c r="B1051" i="18"/>
  <c r="C1051" i="18"/>
  <c r="D1051" i="18"/>
  <c r="E1051" i="18"/>
  <c r="F1051" i="18"/>
  <c r="G1051" i="18"/>
  <c r="H1051" i="18"/>
  <c r="I1051" i="18"/>
  <c r="J1051" i="18"/>
  <c r="A1052" i="18"/>
  <c r="B1052" i="18"/>
  <c r="C1052" i="18"/>
  <c r="D1052" i="18"/>
  <c r="E1052" i="18"/>
  <c r="F1052" i="18"/>
  <c r="G1052" i="18"/>
  <c r="H1052" i="18"/>
  <c r="I1052" i="18"/>
  <c r="J1052" i="18"/>
  <c r="A1053" i="18"/>
  <c r="B1053" i="18"/>
  <c r="C1053" i="18"/>
  <c r="D1053" i="18"/>
  <c r="E1053" i="18"/>
  <c r="F1053" i="18"/>
  <c r="G1053" i="18"/>
  <c r="H1053" i="18"/>
  <c r="I1053" i="18"/>
  <c r="J1053" i="18"/>
  <c r="A1054" i="18"/>
  <c r="B1054" i="18"/>
  <c r="C1054" i="18"/>
  <c r="D1054" i="18"/>
  <c r="E1054" i="18"/>
  <c r="F1054" i="18"/>
  <c r="G1054" i="18"/>
  <c r="H1054" i="18"/>
  <c r="I1054" i="18"/>
  <c r="J1054" i="18"/>
  <c r="A1055" i="18"/>
  <c r="B1055" i="18"/>
  <c r="C1055" i="18"/>
  <c r="D1055" i="18"/>
  <c r="E1055" i="18"/>
  <c r="F1055" i="18"/>
  <c r="G1055" i="18"/>
  <c r="H1055" i="18"/>
  <c r="I1055" i="18"/>
  <c r="J1055" i="18"/>
  <c r="A1056" i="18"/>
  <c r="B1056" i="18"/>
  <c r="C1056" i="18"/>
  <c r="D1056" i="18"/>
  <c r="E1056" i="18"/>
  <c r="F1056" i="18"/>
  <c r="G1056" i="18"/>
  <c r="H1056" i="18"/>
  <c r="I1056" i="18"/>
  <c r="J1056" i="18"/>
  <c r="A1057" i="18"/>
  <c r="B1057" i="18"/>
  <c r="C1057" i="18"/>
  <c r="D1057" i="18"/>
  <c r="E1057" i="18"/>
  <c r="F1057" i="18"/>
  <c r="G1057" i="18"/>
  <c r="H1057" i="18"/>
  <c r="I1057" i="18"/>
  <c r="J1057" i="18"/>
  <c r="A1058" i="18"/>
  <c r="B1058" i="18"/>
  <c r="C1058" i="18"/>
  <c r="D1058" i="18"/>
  <c r="E1058" i="18"/>
  <c r="F1058" i="18"/>
  <c r="G1058" i="18"/>
  <c r="H1058" i="18"/>
  <c r="I1058" i="18"/>
  <c r="J1058" i="18"/>
  <c r="A1059" i="18"/>
  <c r="B1059" i="18"/>
  <c r="C1059" i="18"/>
  <c r="D1059" i="18"/>
  <c r="E1059" i="18"/>
  <c r="F1059" i="18"/>
  <c r="G1059" i="18"/>
  <c r="H1059" i="18"/>
  <c r="I1059" i="18"/>
  <c r="J1059" i="18"/>
  <c r="A1060" i="18"/>
  <c r="B1060" i="18"/>
  <c r="C1060" i="18"/>
  <c r="D1060" i="18"/>
  <c r="E1060" i="18"/>
  <c r="F1060" i="18"/>
  <c r="G1060" i="18"/>
  <c r="H1060" i="18"/>
  <c r="I1060" i="18"/>
  <c r="J1060" i="18"/>
  <c r="A1061" i="18"/>
  <c r="B1061" i="18"/>
  <c r="C1061" i="18"/>
  <c r="D1061" i="18"/>
  <c r="E1061" i="18"/>
  <c r="F1061" i="18"/>
  <c r="G1061" i="18"/>
  <c r="H1061" i="18"/>
  <c r="I1061" i="18"/>
  <c r="J1061" i="18"/>
  <c r="A1062" i="18"/>
  <c r="B1062" i="18"/>
  <c r="C1062" i="18"/>
  <c r="D1062" i="18"/>
  <c r="E1062" i="18"/>
  <c r="F1062" i="18"/>
  <c r="G1062" i="18"/>
  <c r="H1062" i="18"/>
  <c r="I1062" i="18"/>
  <c r="J1062" i="18"/>
  <c r="A1063" i="18"/>
  <c r="B1063" i="18"/>
  <c r="C1063" i="18"/>
  <c r="D1063" i="18"/>
  <c r="E1063" i="18"/>
  <c r="F1063" i="18"/>
  <c r="G1063" i="18"/>
  <c r="H1063" i="18"/>
  <c r="I1063" i="18"/>
  <c r="J1063" i="18"/>
  <c r="A1064" i="18"/>
  <c r="B1064" i="18"/>
  <c r="C1064" i="18"/>
  <c r="D1064" i="18"/>
  <c r="E1064" i="18"/>
  <c r="F1064" i="18"/>
  <c r="G1064" i="18"/>
  <c r="H1064" i="18"/>
  <c r="I1064" i="18"/>
  <c r="J1064" i="18"/>
  <c r="A1065" i="18"/>
  <c r="B1065" i="18"/>
  <c r="C1065" i="18"/>
  <c r="D1065" i="18"/>
  <c r="E1065" i="18"/>
  <c r="F1065" i="18"/>
  <c r="G1065" i="18"/>
  <c r="H1065" i="18"/>
  <c r="I1065" i="18"/>
  <c r="J1065" i="18"/>
  <c r="A1066" i="18"/>
  <c r="B1066" i="18"/>
  <c r="C1066" i="18"/>
  <c r="D1066" i="18"/>
  <c r="E1066" i="18"/>
  <c r="F1066" i="18"/>
  <c r="G1066" i="18"/>
  <c r="H1066" i="18"/>
  <c r="I1066" i="18"/>
  <c r="J1066" i="18"/>
  <c r="A1067" i="18"/>
  <c r="B1067" i="18"/>
  <c r="C1067" i="18"/>
  <c r="D1067" i="18"/>
  <c r="E1067" i="18"/>
  <c r="F1067" i="18"/>
  <c r="G1067" i="18"/>
  <c r="H1067" i="18"/>
  <c r="I1067" i="18"/>
  <c r="J1067" i="18"/>
  <c r="A1068" i="18"/>
  <c r="B1068" i="18"/>
  <c r="C1068" i="18"/>
  <c r="D1068" i="18"/>
  <c r="E1068" i="18"/>
  <c r="F1068" i="18"/>
  <c r="G1068" i="18"/>
  <c r="H1068" i="18"/>
  <c r="I1068" i="18"/>
  <c r="J1068" i="18"/>
  <c r="A1069" i="18"/>
  <c r="B1069" i="18"/>
  <c r="C1069" i="18"/>
  <c r="D1069" i="18"/>
  <c r="E1069" i="18"/>
  <c r="F1069" i="18"/>
  <c r="G1069" i="18"/>
  <c r="H1069" i="18"/>
  <c r="I1069" i="18"/>
  <c r="J1069" i="18"/>
  <c r="A1070" i="18"/>
  <c r="B1070" i="18"/>
  <c r="C1070" i="18"/>
  <c r="D1070" i="18"/>
  <c r="E1070" i="18"/>
  <c r="F1070" i="18"/>
  <c r="G1070" i="18"/>
  <c r="H1070" i="18"/>
  <c r="I1070" i="18"/>
  <c r="J1070" i="18"/>
  <c r="A1071" i="18"/>
  <c r="B1071" i="18"/>
  <c r="C1071" i="18"/>
  <c r="D1071" i="18"/>
  <c r="E1071" i="18"/>
  <c r="F1071" i="18"/>
  <c r="G1071" i="18"/>
  <c r="H1071" i="18"/>
  <c r="I1071" i="18"/>
  <c r="J1071" i="18"/>
  <c r="A1072" i="18"/>
  <c r="B1072" i="18"/>
  <c r="C1072" i="18"/>
  <c r="D1072" i="18"/>
  <c r="E1072" i="18"/>
  <c r="F1072" i="18"/>
  <c r="G1072" i="18"/>
  <c r="H1072" i="18"/>
  <c r="I1072" i="18"/>
  <c r="J1072" i="18"/>
  <c r="A1073" i="18"/>
  <c r="B1073" i="18"/>
  <c r="C1073" i="18"/>
  <c r="D1073" i="18"/>
  <c r="E1073" i="18"/>
  <c r="F1073" i="18"/>
  <c r="G1073" i="18"/>
  <c r="H1073" i="18"/>
  <c r="I1073" i="18"/>
  <c r="J1073" i="18"/>
  <c r="A1074" i="18"/>
  <c r="B1074" i="18"/>
  <c r="C1074" i="18"/>
  <c r="D1074" i="18"/>
  <c r="E1074" i="18"/>
  <c r="F1074" i="18"/>
  <c r="G1074" i="18"/>
  <c r="H1074" i="18"/>
  <c r="I1074" i="18"/>
  <c r="J1074" i="18"/>
  <c r="A1075" i="18"/>
  <c r="B1075" i="18"/>
  <c r="C1075" i="18"/>
  <c r="D1075" i="18"/>
  <c r="E1075" i="18"/>
  <c r="F1075" i="18"/>
  <c r="G1075" i="18"/>
  <c r="H1075" i="18"/>
  <c r="I1075" i="18"/>
  <c r="J1075" i="18"/>
  <c r="A1076" i="18"/>
  <c r="B1076" i="18"/>
  <c r="C1076" i="18"/>
  <c r="D1076" i="18"/>
  <c r="E1076" i="18"/>
  <c r="F1076" i="18"/>
  <c r="G1076" i="18"/>
  <c r="H1076" i="18"/>
  <c r="I1076" i="18"/>
  <c r="J1076" i="18"/>
  <c r="A1077" i="18"/>
  <c r="B1077" i="18"/>
  <c r="C1077" i="18"/>
  <c r="D1077" i="18"/>
  <c r="E1077" i="18"/>
  <c r="F1077" i="18"/>
  <c r="G1077" i="18"/>
  <c r="H1077" i="18"/>
  <c r="I1077" i="18"/>
  <c r="J1077" i="18"/>
  <c r="A1078" i="18"/>
  <c r="B1078" i="18"/>
  <c r="C1078" i="18"/>
  <c r="D1078" i="18"/>
  <c r="E1078" i="18"/>
  <c r="F1078" i="18"/>
  <c r="G1078" i="18"/>
  <c r="H1078" i="18"/>
  <c r="I1078" i="18"/>
  <c r="J1078" i="18"/>
  <c r="A1079" i="18"/>
  <c r="B1079" i="18"/>
  <c r="C1079" i="18"/>
  <c r="D1079" i="18"/>
  <c r="E1079" i="18"/>
  <c r="F1079" i="18"/>
  <c r="G1079" i="18"/>
  <c r="H1079" i="18"/>
  <c r="I1079" i="18"/>
  <c r="J1079" i="18"/>
  <c r="A1080" i="18"/>
  <c r="B1080" i="18"/>
  <c r="C1080" i="18"/>
  <c r="D1080" i="18"/>
  <c r="E1080" i="18"/>
  <c r="F1080" i="18"/>
  <c r="G1080" i="18"/>
  <c r="H1080" i="18"/>
  <c r="I1080" i="18"/>
  <c r="J1080" i="18"/>
  <c r="A1081" i="18"/>
  <c r="B1081" i="18"/>
  <c r="C1081" i="18"/>
  <c r="D1081" i="18"/>
  <c r="E1081" i="18"/>
  <c r="F1081" i="18"/>
  <c r="G1081" i="18"/>
  <c r="H1081" i="18"/>
  <c r="I1081" i="18"/>
  <c r="J1081" i="18"/>
  <c r="A1082" i="18"/>
  <c r="B1082" i="18"/>
  <c r="C1082" i="18"/>
  <c r="D1082" i="18"/>
  <c r="E1082" i="18"/>
  <c r="F1082" i="18"/>
  <c r="G1082" i="18"/>
  <c r="H1082" i="18"/>
  <c r="I1082" i="18"/>
  <c r="J1082" i="18"/>
  <c r="A1083" i="18"/>
  <c r="B1083" i="18"/>
  <c r="C1083" i="18"/>
  <c r="D1083" i="18"/>
  <c r="E1083" i="18"/>
  <c r="F1083" i="18"/>
  <c r="G1083" i="18"/>
  <c r="H1083" i="18"/>
  <c r="I1083" i="18"/>
  <c r="J1083" i="18"/>
  <c r="A1084" i="18"/>
  <c r="B1084" i="18"/>
  <c r="C1084" i="18"/>
  <c r="D1084" i="18"/>
  <c r="E1084" i="18"/>
  <c r="F1084" i="18"/>
  <c r="G1084" i="18"/>
  <c r="H1084" i="18"/>
  <c r="I1084" i="18"/>
  <c r="J1084" i="18"/>
  <c r="A1085" i="18"/>
  <c r="B1085" i="18"/>
  <c r="C1085" i="18"/>
  <c r="D1085" i="18"/>
  <c r="E1085" i="18"/>
  <c r="F1085" i="18"/>
  <c r="G1085" i="18"/>
  <c r="H1085" i="18"/>
  <c r="I1085" i="18"/>
  <c r="J1085" i="18"/>
  <c r="A1086" i="18"/>
  <c r="B1086" i="18"/>
  <c r="C1086" i="18"/>
  <c r="D1086" i="18"/>
  <c r="E1086" i="18"/>
  <c r="F1086" i="18"/>
  <c r="G1086" i="18"/>
  <c r="H1086" i="18"/>
  <c r="I1086" i="18"/>
  <c r="J1086" i="18"/>
  <c r="A1087" i="18"/>
  <c r="B1087" i="18"/>
  <c r="C1087" i="18"/>
  <c r="D1087" i="18"/>
  <c r="E1087" i="18"/>
  <c r="F1087" i="18"/>
  <c r="G1087" i="18"/>
  <c r="H1087" i="18"/>
  <c r="I1087" i="18"/>
  <c r="J1087" i="18"/>
  <c r="A1088" i="18"/>
  <c r="B1088" i="18"/>
  <c r="C1088" i="18"/>
  <c r="D1088" i="18"/>
  <c r="E1088" i="18"/>
  <c r="F1088" i="18"/>
  <c r="G1088" i="18"/>
  <c r="H1088" i="18"/>
  <c r="I1088" i="18"/>
  <c r="J1088" i="18"/>
  <c r="A1089" i="18"/>
  <c r="B1089" i="18"/>
  <c r="C1089" i="18"/>
  <c r="D1089" i="18"/>
  <c r="E1089" i="18"/>
  <c r="F1089" i="18"/>
  <c r="G1089" i="18"/>
  <c r="H1089" i="18"/>
  <c r="I1089" i="18"/>
  <c r="J1089" i="18"/>
  <c r="A1090" i="18"/>
  <c r="B1090" i="18"/>
  <c r="C1090" i="18"/>
  <c r="D1090" i="18"/>
  <c r="E1090" i="18"/>
  <c r="F1090" i="18"/>
  <c r="G1090" i="18"/>
  <c r="H1090" i="18"/>
  <c r="I1090" i="18"/>
  <c r="J1090" i="18"/>
  <c r="A1091" i="18"/>
  <c r="B1091" i="18"/>
  <c r="C1091" i="18"/>
  <c r="D1091" i="18"/>
  <c r="E1091" i="18"/>
  <c r="F1091" i="18"/>
  <c r="G1091" i="18"/>
  <c r="H1091" i="18"/>
  <c r="I1091" i="18"/>
  <c r="J1091" i="18"/>
  <c r="A1092" i="18"/>
  <c r="B1092" i="18"/>
  <c r="C1092" i="18"/>
  <c r="D1092" i="18"/>
  <c r="E1092" i="18"/>
  <c r="F1092" i="18"/>
  <c r="G1092" i="18"/>
  <c r="H1092" i="18"/>
  <c r="I1092" i="18"/>
  <c r="J1092" i="18"/>
  <c r="A1093" i="18"/>
  <c r="B1093" i="18"/>
  <c r="C1093" i="18"/>
  <c r="D1093" i="18"/>
  <c r="E1093" i="18"/>
  <c r="F1093" i="18"/>
  <c r="G1093" i="18"/>
  <c r="H1093" i="18"/>
  <c r="I1093" i="18"/>
  <c r="J1093" i="18"/>
  <c r="A1094" i="18"/>
  <c r="B1094" i="18"/>
  <c r="C1094" i="18"/>
  <c r="D1094" i="18"/>
  <c r="E1094" i="18"/>
  <c r="F1094" i="18"/>
  <c r="G1094" i="18"/>
  <c r="H1094" i="18"/>
  <c r="I1094" i="18"/>
  <c r="J1094" i="18"/>
  <c r="A1095" i="18"/>
  <c r="B1095" i="18"/>
  <c r="C1095" i="18"/>
  <c r="D1095" i="18"/>
  <c r="E1095" i="18"/>
  <c r="F1095" i="18"/>
  <c r="G1095" i="18"/>
  <c r="H1095" i="18"/>
  <c r="I1095" i="18"/>
  <c r="J1095" i="18"/>
  <c r="A1096" i="18"/>
  <c r="B1096" i="18"/>
  <c r="C1096" i="18"/>
  <c r="D1096" i="18"/>
  <c r="E1096" i="18"/>
  <c r="F1096" i="18"/>
  <c r="G1096" i="18"/>
  <c r="H1096" i="18"/>
  <c r="I1096" i="18"/>
  <c r="J1096" i="18"/>
  <c r="A1097" i="18"/>
  <c r="B1097" i="18"/>
  <c r="C1097" i="18"/>
  <c r="D1097" i="18"/>
  <c r="E1097" i="18"/>
  <c r="F1097" i="18"/>
  <c r="G1097" i="18"/>
  <c r="H1097" i="18"/>
  <c r="I1097" i="18"/>
  <c r="J1097" i="18"/>
  <c r="A1098" i="18"/>
  <c r="B1098" i="18"/>
  <c r="C1098" i="18"/>
  <c r="D1098" i="18"/>
  <c r="E1098" i="18"/>
  <c r="F1098" i="18"/>
  <c r="G1098" i="18"/>
  <c r="H1098" i="18"/>
  <c r="I1098" i="18"/>
  <c r="J1098" i="18"/>
  <c r="A1099" i="18"/>
  <c r="B1099" i="18"/>
  <c r="C1099" i="18"/>
  <c r="D1099" i="18"/>
  <c r="E1099" i="18"/>
  <c r="F1099" i="18"/>
  <c r="G1099" i="18"/>
  <c r="H1099" i="18"/>
  <c r="I1099" i="18"/>
  <c r="J1099" i="18"/>
  <c r="A1100" i="18"/>
  <c r="B1100" i="18"/>
  <c r="C1100" i="18"/>
  <c r="D1100" i="18"/>
  <c r="E1100" i="18"/>
  <c r="F1100" i="18"/>
  <c r="G1100" i="18"/>
  <c r="H1100" i="18"/>
  <c r="I1100" i="18"/>
  <c r="J1100" i="18"/>
  <c r="A1101" i="18"/>
  <c r="B1101" i="18"/>
  <c r="C1101" i="18"/>
  <c r="D1101" i="18"/>
  <c r="E1101" i="18"/>
  <c r="F1101" i="18"/>
  <c r="G1101" i="18"/>
  <c r="H1101" i="18"/>
  <c r="I1101" i="18"/>
  <c r="J1101" i="18"/>
  <c r="A1102" i="18"/>
  <c r="B1102" i="18"/>
  <c r="C1102" i="18"/>
  <c r="D1102" i="18"/>
  <c r="E1102" i="18"/>
  <c r="F1102" i="18"/>
  <c r="G1102" i="18"/>
  <c r="H1102" i="18"/>
  <c r="I1102" i="18"/>
  <c r="J1102" i="18"/>
  <c r="A1103" i="18"/>
  <c r="B1103" i="18"/>
  <c r="C1103" i="18"/>
  <c r="D1103" i="18"/>
  <c r="E1103" i="18"/>
  <c r="F1103" i="18"/>
  <c r="G1103" i="18"/>
  <c r="H1103" i="18"/>
  <c r="I1103" i="18"/>
  <c r="J1103" i="18"/>
  <c r="A1104" i="18"/>
  <c r="B1104" i="18"/>
  <c r="C1104" i="18"/>
  <c r="D1104" i="18"/>
  <c r="E1104" i="18"/>
  <c r="F1104" i="18"/>
  <c r="G1104" i="18"/>
  <c r="H1104" i="18"/>
  <c r="I1104" i="18"/>
  <c r="J1104" i="18"/>
  <c r="A1105" i="18"/>
  <c r="B1105" i="18"/>
  <c r="C1105" i="18"/>
  <c r="D1105" i="18"/>
  <c r="E1105" i="18"/>
  <c r="F1105" i="18"/>
  <c r="G1105" i="18"/>
  <c r="H1105" i="18"/>
  <c r="I1105" i="18"/>
  <c r="J1105" i="18"/>
  <c r="A1106" i="18"/>
  <c r="B1106" i="18"/>
  <c r="C1106" i="18"/>
  <c r="D1106" i="18"/>
  <c r="E1106" i="18"/>
  <c r="F1106" i="18"/>
  <c r="G1106" i="18"/>
  <c r="H1106" i="18"/>
  <c r="I1106" i="18"/>
  <c r="J1106" i="18"/>
  <c r="A1107" i="18"/>
  <c r="B1107" i="18"/>
  <c r="C1107" i="18"/>
  <c r="D1107" i="18"/>
  <c r="E1107" i="18"/>
  <c r="F1107" i="18"/>
  <c r="G1107" i="18"/>
  <c r="H1107" i="18"/>
  <c r="I1107" i="18"/>
  <c r="J1107" i="18"/>
  <c r="A1108" i="18"/>
  <c r="B1108" i="18"/>
  <c r="C1108" i="18"/>
  <c r="D1108" i="18"/>
  <c r="E1108" i="18"/>
  <c r="F1108" i="18"/>
  <c r="G1108" i="18"/>
  <c r="H1108" i="18"/>
  <c r="I1108" i="18"/>
  <c r="J1108" i="18"/>
  <c r="A1109" i="18"/>
  <c r="B1109" i="18"/>
  <c r="C1109" i="18"/>
  <c r="D1109" i="18"/>
  <c r="E1109" i="18"/>
  <c r="F1109" i="18"/>
  <c r="G1109" i="18"/>
  <c r="H1109" i="18"/>
  <c r="I1109" i="18"/>
  <c r="J1109" i="18"/>
  <c r="A1110" i="18"/>
  <c r="B1110" i="18"/>
  <c r="C1110" i="18"/>
  <c r="D1110" i="18"/>
  <c r="E1110" i="18"/>
  <c r="F1110" i="18"/>
  <c r="G1110" i="18"/>
  <c r="H1110" i="18"/>
  <c r="I1110" i="18"/>
  <c r="J1110" i="18"/>
  <c r="A1111" i="18"/>
  <c r="B1111" i="18"/>
  <c r="C1111" i="18"/>
  <c r="D1111" i="18"/>
  <c r="E1111" i="18"/>
  <c r="F1111" i="18"/>
  <c r="G1111" i="18"/>
  <c r="H1111" i="18"/>
  <c r="I1111" i="18"/>
  <c r="J1111" i="18"/>
  <c r="A1112" i="18"/>
  <c r="B1112" i="18"/>
  <c r="C1112" i="18"/>
  <c r="D1112" i="18"/>
  <c r="E1112" i="18"/>
  <c r="F1112" i="18"/>
  <c r="G1112" i="18"/>
  <c r="H1112" i="18"/>
  <c r="I1112" i="18"/>
  <c r="J1112" i="18"/>
  <c r="A1113" i="18"/>
  <c r="B1113" i="18"/>
  <c r="C1113" i="18"/>
  <c r="D1113" i="18"/>
  <c r="E1113" i="18"/>
  <c r="F1113" i="18"/>
  <c r="G1113" i="18"/>
  <c r="H1113" i="18"/>
  <c r="I1113" i="18"/>
  <c r="J1113" i="18"/>
  <c r="A1114" i="18"/>
  <c r="B1114" i="18"/>
  <c r="C1114" i="18"/>
  <c r="D1114" i="18"/>
  <c r="E1114" i="18"/>
  <c r="F1114" i="18"/>
  <c r="G1114" i="18"/>
  <c r="H1114" i="18"/>
  <c r="I1114" i="18"/>
  <c r="J1114" i="18"/>
  <c r="A1115" i="18"/>
  <c r="B1115" i="18"/>
  <c r="C1115" i="18"/>
  <c r="D1115" i="18"/>
  <c r="E1115" i="18"/>
  <c r="F1115" i="18"/>
  <c r="G1115" i="18"/>
  <c r="H1115" i="18"/>
  <c r="I1115" i="18"/>
  <c r="J1115" i="18"/>
  <c r="A1116" i="18"/>
  <c r="B1116" i="18"/>
  <c r="C1116" i="18"/>
  <c r="D1116" i="18"/>
  <c r="E1116" i="18"/>
  <c r="F1116" i="18"/>
  <c r="G1116" i="18"/>
  <c r="H1116" i="18"/>
  <c r="I1116" i="18"/>
  <c r="J1116" i="18"/>
  <c r="A1117" i="18"/>
  <c r="B1117" i="18"/>
  <c r="C1117" i="18"/>
  <c r="D1117" i="18"/>
  <c r="E1117" i="18"/>
  <c r="F1117" i="18"/>
  <c r="G1117" i="18"/>
  <c r="H1117" i="18"/>
  <c r="I1117" i="18"/>
  <c r="J1117" i="18"/>
  <c r="A1118" i="18"/>
  <c r="B1118" i="18"/>
  <c r="C1118" i="18"/>
  <c r="D1118" i="18"/>
  <c r="E1118" i="18"/>
  <c r="F1118" i="18"/>
  <c r="G1118" i="18"/>
  <c r="H1118" i="18"/>
  <c r="I1118" i="18"/>
  <c r="J1118" i="18"/>
  <c r="A1119" i="18"/>
  <c r="B1119" i="18"/>
  <c r="C1119" i="18"/>
  <c r="D1119" i="18"/>
  <c r="E1119" i="18"/>
  <c r="F1119" i="18"/>
  <c r="G1119" i="18"/>
  <c r="H1119" i="18"/>
  <c r="I1119" i="18"/>
  <c r="J1119" i="18"/>
  <c r="A1120" i="18"/>
  <c r="B1120" i="18"/>
  <c r="C1120" i="18"/>
  <c r="D1120" i="18"/>
  <c r="E1120" i="18"/>
  <c r="F1120" i="18"/>
  <c r="G1120" i="18"/>
  <c r="H1120" i="18"/>
  <c r="I1120" i="18"/>
  <c r="J1120" i="18"/>
  <c r="A1121" i="18"/>
  <c r="B1121" i="18"/>
  <c r="C1121" i="18"/>
  <c r="D1121" i="18"/>
  <c r="E1121" i="18"/>
  <c r="F1121" i="18"/>
  <c r="G1121" i="18"/>
  <c r="H1121" i="18"/>
  <c r="I1121" i="18"/>
  <c r="J1121" i="18"/>
  <c r="A1122" i="18"/>
  <c r="B1122" i="18"/>
  <c r="C1122" i="18"/>
  <c r="D1122" i="18"/>
  <c r="E1122" i="18"/>
  <c r="F1122" i="18"/>
  <c r="G1122" i="18"/>
  <c r="H1122" i="18"/>
  <c r="I1122" i="18"/>
  <c r="J1122" i="18"/>
  <c r="A1123" i="18"/>
  <c r="B1123" i="18"/>
  <c r="C1123" i="18"/>
  <c r="D1123" i="18"/>
  <c r="E1123" i="18"/>
  <c r="F1123" i="18"/>
  <c r="G1123" i="18"/>
  <c r="H1123" i="18"/>
  <c r="I1123" i="18"/>
  <c r="J1123" i="18"/>
  <c r="A1124" i="18"/>
  <c r="B1124" i="18"/>
  <c r="C1124" i="18"/>
  <c r="D1124" i="18"/>
  <c r="E1124" i="18"/>
  <c r="F1124" i="18"/>
  <c r="G1124" i="18"/>
  <c r="H1124" i="18"/>
  <c r="I1124" i="18"/>
  <c r="J1124" i="18"/>
  <c r="A1125" i="18"/>
  <c r="B1125" i="18"/>
  <c r="C1125" i="18"/>
  <c r="D1125" i="18"/>
  <c r="E1125" i="18"/>
  <c r="F1125" i="18"/>
  <c r="G1125" i="18"/>
  <c r="H1125" i="18"/>
  <c r="I1125" i="18"/>
  <c r="J1125" i="18"/>
  <c r="A1126" i="18"/>
  <c r="B1126" i="18"/>
  <c r="C1126" i="18"/>
  <c r="D1126" i="18"/>
  <c r="E1126" i="18"/>
  <c r="F1126" i="18"/>
  <c r="G1126" i="18"/>
  <c r="H1126" i="18"/>
  <c r="I1126" i="18"/>
  <c r="J1126" i="18"/>
  <c r="A1127" i="18"/>
  <c r="B1127" i="18"/>
  <c r="C1127" i="18"/>
  <c r="D1127" i="18"/>
  <c r="E1127" i="18"/>
  <c r="F1127" i="18"/>
  <c r="G1127" i="18"/>
  <c r="H1127" i="18"/>
  <c r="I1127" i="18"/>
  <c r="J1127" i="18"/>
  <c r="A1128" i="18"/>
  <c r="B1128" i="18"/>
  <c r="C1128" i="18"/>
  <c r="D1128" i="18"/>
  <c r="E1128" i="18"/>
  <c r="F1128" i="18"/>
  <c r="G1128" i="18"/>
  <c r="H1128" i="18"/>
  <c r="I1128" i="18"/>
  <c r="J1128" i="18"/>
  <c r="A1129" i="18"/>
  <c r="B1129" i="18"/>
  <c r="C1129" i="18"/>
  <c r="D1129" i="18"/>
  <c r="E1129" i="18"/>
  <c r="F1129" i="18"/>
  <c r="G1129" i="18"/>
  <c r="H1129" i="18"/>
  <c r="I1129" i="18"/>
  <c r="J1129" i="18"/>
  <c r="A1130" i="18"/>
  <c r="B1130" i="18"/>
  <c r="C1130" i="18"/>
  <c r="D1130" i="18"/>
  <c r="E1130" i="18"/>
  <c r="F1130" i="18"/>
  <c r="G1130" i="18"/>
  <c r="H1130" i="18"/>
  <c r="I1130" i="18"/>
  <c r="J1130" i="18"/>
  <c r="A1131" i="18"/>
  <c r="B1131" i="18"/>
  <c r="C1131" i="18"/>
  <c r="D1131" i="18"/>
  <c r="E1131" i="18"/>
  <c r="F1131" i="18"/>
  <c r="G1131" i="18"/>
  <c r="H1131" i="18"/>
  <c r="I1131" i="18"/>
  <c r="J1131" i="18"/>
  <c r="A1132" i="18"/>
  <c r="B1132" i="18"/>
  <c r="C1132" i="18"/>
  <c r="D1132" i="18"/>
  <c r="E1132" i="18"/>
  <c r="F1132" i="18"/>
  <c r="G1132" i="18"/>
  <c r="H1132" i="18"/>
  <c r="I1132" i="18"/>
  <c r="J1132" i="18"/>
  <c r="A1133" i="18"/>
  <c r="B1133" i="18"/>
  <c r="C1133" i="18"/>
  <c r="D1133" i="18"/>
  <c r="E1133" i="18"/>
  <c r="F1133" i="18"/>
  <c r="G1133" i="18"/>
  <c r="H1133" i="18"/>
  <c r="I1133" i="18"/>
  <c r="J1133" i="18"/>
  <c r="A1134" i="18"/>
  <c r="B1134" i="18"/>
  <c r="C1134" i="18"/>
  <c r="D1134" i="18"/>
  <c r="E1134" i="18"/>
  <c r="F1134" i="18"/>
  <c r="G1134" i="18"/>
  <c r="H1134" i="18"/>
  <c r="I1134" i="18"/>
  <c r="J1134" i="18"/>
  <c r="A1135" i="18"/>
  <c r="B1135" i="18"/>
  <c r="C1135" i="18"/>
  <c r="D1135" i="18"/>
  <c r="E1135" i="18"/>
  <c r="F1135" i="18"/>
  <c r="G1135" i="18"/>
  <c r="H1135" i="18"/>
  <c r="I1135" i="18"/>
  <c r="J1135" i="18"/>
  <c r="A1136" i="18"/>
  <c r="B1136" i="18"/>
  <c r="C1136" i="18"/>
  <c r="D1136" i="18"/>
  <c r="E1136" i="18"/>
  <c r="F1136" i="18"/>
  <c r="G1136" i="18"/>
  <c r="H1136" i="18"/>
  <c r="I1136" i="18"/>
  <c r="J1136" i="18"/>
  <c r="A1137" i="18"/>
  <c r="B1137" i="18"/>
  <c r="C1137" i="18"/>
  <c r="D1137" i="18"/>
  <c r="E1137" i="18"/>
  <c r="F1137" i="18"/>
  <c r="G1137" i="18"/>
  <c r="H1137" i="18"/>
  <c r="I1137" i="18"/>
  <c r="J1137" i="18"/>
  <c r="A1138" i="18"/>
  <c r="B1138" i="18"/>
  <c r="C1138" i="18"/>
  <c r="D1138" i="18"/>
  <c r="E1138" i="18"/>
  <c r="F1138" i="18"/>
  <c r="G1138" i="18"/>
  <c r="H1138" i="18"/>
  <c r="I1138" i="18"/>
  <c r="J1138" i="18"/>
  <c r="A1139" i="18"/>
  <c r="B1139" i="18"/>
  <c r="C1139" i="18"/>
  <c r="D1139" i="18"/>
  <c r="E1139" i="18"/>
  <c r="F1139" i="18"/>
  <c r="G1139" i="18"/>
  <c r="H1139" i="18"/>
  <c r="I1139" i="18"/>
  <c r="J1139" i="18"/>
  <c r="A1140" i="18"/>
  <c r="B1140" i="18"/>
  <c r="C1140" i="18"/>
  <c r="D1140" i="18"/>
  <c r="E1140" i="18"/>
  <c r="F1140" i="18"/>
  <c r="G1140" i="18"/>
  <c r="H1140" i="18"/>
  <c r="I1140" i="18"/>
  <c r="J1140" i="18"/>
  <c r="A1141" i="18"/>
  <c r="B1141" i="18"/>
  <c r="C1141" i="18"/>
  <c r="D1141" i="18"/>
  <c r="E1141" i="18"/>
  <c r="F1141" i="18"/>
  <c r="G1141" i="18"/>
  <c r="H1141" i="18"/>
  <c r="I1141" i="18"/>
  <c r="J1141" i="18"/>
  <c r="A1142" i="18"/>
  <c r="B1142" i="18"/>
  <c r="C1142" i="18"/>
  <c r="D1142" i="18"/>
  <c r="E1142" i="18"/>
  <c r="F1142" i="18"/>
  <c r="G1142" i="18"/>
  <c r="H1142" i="18"/>
  <c r="I1142" i="18"/>
  <c r="J1142" i="18"/>
  <c r="A1143" i="18"/>
  <c r="B1143" i="18"/>
  <c r="C1143" i="18"/>
  <c r="D1143" i="18"/>
  <c r="E1143" i="18"/>
  <c r="F1143" i="18"/>
  <c r="G1143" i="18"/>
  <c r="H1143" i="18"/>
  <c r="I1143" i="18"/>
  <c r="J1143" i="18"/>
  <c r="A1144" i="18"/>
  <c r="B1144" i="18"/>
  <c r="C1144" i="18"/>
  <c r="D1144" i="18"/>
  <c r="E1144" i="18"/>
  <c r="F1144" i="18"/>
  <c r="G1144" i="18"/>
  <c r="H1144" i="18"/>
  <c r="I1144" i="18"/>
  <c r="J1144" i="18"/>
  <c r="A1145" i="18"/>
  <c r="B1145" i="18"/>
  <c r="C1145" i="18"/>
  <c r="D1145" i="18"/>
  <c r="E1145" i="18"/>
  <c r="F1145" i="18"/>
  <c r="G1145" i="18"/>
  <c r="H1145" i="18"/>
  <c r="I1145" i="18"/>
  <c r="J1145" i="18"/>
  <c r="A1146" i="18"/>
  <c r="B1146" i="18"/>
  <c r="C1146" i="18"/>
  <c r="D1146" i="18"/>
  <c r="E1146" i="18"/>
  <c r="F1146" i="18"/>
  <c r="G1146" i="18"/>
  <c r="H1146" i="18"/>
  <c r="I1146" i="18"/>
  <c r="J1146" i="18"/>
  <c r="A1147" i="18"/>
  <c r="B1147" i="18"/>
  <c r="C1147" i="18"/>
  <c r="D1147" i="18"/>
  <c r="E1147" i="18"/>
  <c r="F1147" i="18"/>
  <c r="G1147" i="18"/>
  <c r="H1147" i="18"/>
  <c r="I1147" i="18"/>
  <c r="J1147" i="18"/>
  <c r="A1148" i="18"/>
  <c r="B1148" i="18"/>
  <c r="C1148" i="18"/>
  <c r="D1148" i="18"/>
  <c r="E1148" i="18"/>
  <c r="F1148" i="18"/>
  <c r="G1148" i="18"/>
  <c r="H1148" i="18"/>
  <c r="I1148" i="18"/>
  <c r="J1148" i="18"/>
  <c r="A1149" i="18"/>
  <c r="B1149" i="18"/>
  <c r="C1149" i="18"/>
  <c r="D1149" i="18"/>
  <c r="E1149" i="18"/>
  <c r="F1149" i="18"/>
  <c r="G1149" i="18"/>
  <c r="H1149" i="18"/>
  <c r="I1149" i="18"/>
  <c r="J1149" i="18"/>
  <c r="A1150" i="18"/>
  <c r="B1150" i="18"/>
  <c r="C1150" i="18"/>
  <c r="D1150" i="18"/>
  <c r="E1150" i="18"/>
  <c r="F1150" i="18"/>
  <c r="G1150" i="18"/>
  <c r="H1150" i="18"/>
  <c r="I1150" i="18"/>
  <c r="J1150" i="18"/>
  <c r="A1151" i="18"/>
  <c r="B1151" i="18"/>
  <c r="C1151" i="18"/>
  <c r="D1151" i="18"/>
  <c r="E1151" i="18"/>
  <c r="F1151" i="18"/>
  <c r="G1151" i="18"/>
  <c r="H1151" i="18"/>
  <c r="I1151" i="18"/>
  <c r="J1151" i="18"/>
  <c r="A1152" i="18"/>
  <c r="B1152" i="18"/>
  <c r="C1152" i="18"/>
  <c r="D1152" i="18"/>
  <c r="E1152" i="18"/>
  <c r="F1152" i="18"/>
  <c r="G1152" i="18"/>
  <c r="H1152" i="18"/>
  <c r="I1152" i="18"/>
  <c r="J1152" i="18"/>
  <c r="A1153" i="18"/>
  <c r="B1153" i="18"/>
  <c r="C1153" i="18"/>
  <c r="D1153" i="18"/>
  <c r="E1153" i="18"/>
  <c r="F1153" i="18"/>
  <c r="G1153" i="18"/>
  <c r="H1153" i="18"/>
  <c r="I1153" i="18"/>
  <c r="J1153" i="18"/>
  <c r="A1154" i="18"/>
  <c r="B1154" i="18"/>
  <c r="C1154" i="18"/>
  <c r="D1154" i="18"/>
  <c r="E1154" i="18"/>
  <c r="F1154" i="18"/>
  <c r="G1154" i="18"/>
  <c r="H1154" i="18"/>
  <c r="I1154" i="18"/>
  <c r="J1154" i="18"/>
  <c r="A1155" i="18"/>
  <c r="B1155" i="18"/>
  <c r="C1155" i="18"/>
  <c r="D1155" i="18"/>
  <c r="E1155" i="18"/>
  <c r="F1155" i="18"/>
  <c r="G1155" i="18"/>
  <c r="H1155" i="18"/>
  <c r="I1155" i="18"/>
  <c r="J1155" i="18"/>
  <c r="A1156" i="18"/>
  <c r="B1156" i="18"/>
  <c r="C1156" i="18"/>
  <c r="D1156" i="18"/>
  <c r="E1156" i="18"/>
  <c r="F1156" i="18"/>
  <c r="G1156" i="18"/>
  <c r="H1156" i="18"/>
  <c r="I1156" i="18"/>
  <c r="J1156" i="18"/>
  <c r="A1157" i="18"/>
  <c r="B1157" i="18"/>
  <c r="C1157" i="18"/>
  <c r="D1157" i="18"/>
  <c r="E1157" i="18"/>
  <c r="F1157" i="18"/>
  <c r="G1157" i="18"/>
  <c r="H1157" i="18"/>
  <c r="I1157" i="18"/>
  <c r="J1157" i="18"/>
  <c r="A1158" i="18"/>
  <c r="B1158" i="18"/>
  <c r="C1158" i="18"/>
  <c r="D1158" i="18"/>
  <c r="E1158" i="18"/>
  <c r="F1158" i="18"/>
  <c r="G1158" i="18"/>
  <c r="H1158" i="18"/>
  <c r="I1158" i="18"/>
  <c r="J1158" i="18"/>
  <c r="A1159" i="18"/>
  <c r="B1159" i="18"/>
  <c r="C1159" i="18"/>
  <c r="D1159" i="18"/>
  <c r="E1159" i="18"/>
  <c r="F1159" i="18"/>
  <c r="G1159" i="18"/>
  <c r="H1159" i="18"/>
  <c r="I1159" i="18"/>
  <c r="J1159" i="18"/>
  <c r="A1160" i="18"/>
  <c r="B1160" i="18"/>
  <c r="C1160" i="18"/>
  <c r="D1160" i="18"/>
  <c r="E1160" i="18"/>
  <c r="F1160" i="18"/>
  <c r="G1160" i="18"/>
  <c r="H1160" i="18"/>
  <c r="I1160" i="18"/>
  <c r="J1160" i="18"/>
  <c r="A1161" i="18"/>
  <c r="B1161" i="18"/>
  <c r="C1161" i="18"/>
  <c r="D1161" i="18"/>
  <c r="E1161" i="18"/>
  <c r="F1161" i="18"/>
  <c r="G1161" i="18"/>
  <c r="H1161" i="18"/>
  <c r="I1161" i="18"/>
  <c r="J1161" i="18"/>
  <c r="A1162" i="18"/>
  <c r="B1162" i="18"/>
  <c r="C1162" i="18"/>
  <c r="D1162" i="18"/>
  <c r="E1162" i="18"/>
  <c r="F1162" i="18"/>
  <c r="G1162" i="18"/>
  <c r="H1162" i="18"/>
  <c r="I1162" i="18"/>
  <c r="J1162" i="18"/>
  <c r="A1163" i="18"/>
  <c r="B1163" i="18"/>
  <c r="C1163" i="18"/>
  <c r="D1163" i="18"/>
  <c r="E1163" i="18"/>
  <c r="F1163" i="18"/>
  <c r="G1163" i="18"/>
  <c r="H1163" i="18"/>
  <c r="I1163" i="18"/>
  <c r="J1163" i="18"/>
  <c r="A1164" i="18"/>
  <c r="B1164" i="18"/>
  <c r="C1164" i="18"/>
  <c r="D1164" i="18"/>
  <c r="E1164" i="18"/>
  <c r="F1164" i="18"/>
  <c r="G1164" i="18"/>
  <c r="H1164" i="18"/>
  <c r="I1164" i="18"/>
  <c r="J1164" i="18"/>
  <c r="A1165" i="18"/>
  <c r="B1165" i="18"/>
  <c r="C1165" i="18"/>
  <c r="D1165" i="18"/>
  <c r="E1165" i="18"/>
  <c r="F1165" i="18"/>
  <c r="G1165" i="18"/>
  <c r="H1165" i="18"/>
  <c r="I1165" i="18"/>
  <c r="J1165" i="18"/>
  <c r="A1166" i="18"/>
  <c r="B1166" i="18"/>
  <c r="C1166" i="18"/>
  <c r="D1166" i="18"/>
  <c r="E1166" i="18"/>
  <c r="F1166" i="18"/>
  <c r="G1166" i="18"/>
  <c r="H1166" i="18"/>
  <c r="I1166" i="18"/>
  <c r="J1166" i="18"/>
  <c r="A1167" i="18"/>
  <c r="B1167" i="18"/>
  <c r="C1167" i="18"/>
  <c r="D1167" i="18"/>
  <c r="E1167" i="18"/>
  <c r="F1167" i="18"/>
  <c r="G1167" i="18"/>
  <c r="H1167" i="18"/>
  <c r="I1167" i="18"/>
  <c r="J1167" i="18"/>
  <c r="A1168" i="18"/>
  <c r="B1168" i="18"/>
  <c r="C1168" i="18"/>
  <c r="D1168" i="18"/>
  <c r="E1168" i="18"/>
  <c r="F1168" i="18"/>
  <c r="G1168" i="18"/>
  <c r="H1168" i="18"/>
  <c r="I1168" i="18"/>
  <c r="J1168" i="18"/>
  <c r="A1169" i="18"/>
  <c r="B1169" i="18"/>
  <c r="C1169" i="18"/>
  <c r="D1169" i="18"/>
  <c r="E1169" i="18"/>
  <c r="F1169" i="18"/>
  <c r="G1169" i="18"/>
  <c r="H1169" i="18"/>
  <c r="I1169" i="18"/>
  <c r="J1169" i="18"/>
  <c r="A1170" i="18"/>
  <c r="B1170" i="18"/>
  <c r="C1170" i="18"/>
  <c r="D1170" i="18"/>
  <c r="E1170" i="18"/>
  <c r="F1170" i="18"/>
  <c r="G1170" i="18"/>
  <c r="H1170" i="18"/>
  <c r="I1170" i="18"/>
  <c r="J1170" i="18"/>
  <c r="A1171" i="18"/>
  <c r="B1171" i="18"/>
  <c r="C1171" i="18"/>
  <c r="D1171" i="18"/>
  <c r="E1171" i="18"/>
  <c r="F1171" i="18"/>
  <c r="G1171" i="18"/>
  <c r="H1171" i="18"/>
  <c r="I1171" i="18"/>
  <c r="J1171" i="18"/>
  <c r="A1172" i="18"/>
  <c r="B1172" i="18"/>
  <c r="C1172" i="18"/>
  <c r="D1172" i="18"/>
  <c r="E1172" i="18"/>
  <c r="F1172" i="18"/>
  <c r="G1172" i="18"/>
  <c r="H1172" i="18"/>
  <c r="I1172" i="18"/>
  <c r="J1172" i="18"/>
  <c r="A1173" i="18"/>
  <c r="B1173" i="18"/>
  <c r="C1173" i="18"/>
  <c r="D1173" i="18"/>
  <c r="E1173" i="18"/>
  <c r="F1173" i="18"/>
  <c r="G1173" i="18"/>
  <c r="H1173" i="18"/>
  <c r="I1173" i="18"/>
  <c r="J1173" i="18"/>
  <c r="A1174" i="18"/>
  <c r="B1174" i="18"/>
  <c r="C1174" i="18"/>
  <c r="D1174" i="18"/>
  <c r="E1174" i="18"/>
  <c r="F1174" i="18"/>
  <c r="G1174" i="18"/>
  <c r="H1174" i="18"/>
  <c r="I1174" i="18"/>
  <c r="J1174" i="18"/>
  <c r="A1175" i="18"/>
  <c r="B1175" i="18"/>
  <c r="C1175" i="18"/>
  <c r="D1175" i="18"/>
  <c r="E1175" i="18"/>
  <c r="F1175" i="18"/>
  <c r="G1175" i="18"/>
  <c r="H1175" i="18"/>
  <c r="I1175" i="18"/>
  <c r="J1175" i="18"/>
  <c r="A1176" i="18"/>
  <c r="B1176" i="18"/>
  <c r="C1176" i="18"/>
  <c r="D1176" i="18"/>
  <c r="E1176" i="18"/>
  <c r="F1176" i="18"/>
  <c r="G1176" i="18"/>
  <c r="H1176" i="18"/>
  <c r="I1176" i="18"/>
  <c r="J1176" i="18"/>
  <c r="A1177" i="18"/>
  <c r="B1177" i="18"/>
  <c r="C1177" i="18"/>
  <c r="D1177" i="18"/>
  <c r="E1177" i="18"/>
  <c r="F1177" i="18"/>
  <c r="G1177" i="18"/>
  <c r="H1177" i="18"/>
  <c r="I1177" i="18"/>
  <c r="J1177" i="18"/>
  <c r="A1178" i="18"/>
  <c r="B1178" i="18"/>
  <c r="C1178" i="18"/>
  <c r="D1178" i="18"/>
  <c r="E1178" i="18"/>
  <c r="F1178" i="18"/>
  <c r="G1178" i="18"/>
  <c r="H1178" i="18"/>
  <c r="I1178" i="18"/>
  <c r="J1178" i="18"/>
  <c r="A1179" i="18"/>
  <c r="B1179" i="18"/>
  <c r="C1179" i="18"/>
  <c r="D1179" i="18"/>
  <c r="E1179" i="18"/>
  <c r="F1179" i="18"/>
  <c r="G1179" i="18"/>
  <c r="H1179" i="18"/>
  <c r="I1179" i="18"/>
  <c r="J1179" i="18"/>
  <c r="A1180" i="18"/>
  <c r="B1180" i="18"/>
  <c r="C1180" i="18"/>
  <c r="D1180" i="18"/>
  <c r="E1180" i="18"/>
  <c r="F1180" i="18"/>
  <c r="G1180" i="18"/>
  <c r="H1180" i="18"/>
  <c r="I1180" i="18"/>
  <c r="J1180" i="18"/>
  <c r="A1181" i="18"/>
  <c r="B1181" i="18"/>
  <c r="C1181" i="18"/>
  <c r="D1181" i="18"/>
  <c r="E1181" i="18"/>
  <c r="F1181" i="18"/>
  <c r="G1181" i="18"/>
  <c r="H1181" i="18"/>
  <c r="I1181" i="18"/>
  <c r="J1181" i="18"/>
  <c r="A1182" i="18"/>
  <c r="B1182" i="18"/>
  <c r="C1182" i="18"/>
  <c r="D1182" i="18"/>
  <c r="E1182" i="18"/>
  <c r="F1182" i="18"/>
  <c r="G1182" i="18"/>
  <c r="H1182" i="18"/>
  <c r="I1182" i="18"/>
  <c r="J1182" i="18"/>
  <c r="A1183" i="18"/>
  <c r="B1183" i="18"/>
  <c r="C1183" i="18"/>
  <c r="D1183" i="18"/>
  <c r="E1183" i="18"/>
  <c r="F1183" i="18"/>
  <c r="G1183" i="18"/>
  <c r="H1183" i="18"/>
  <c r="I1183" i="18"/>
  <c r="J1183" i="18"/>
  <c r="A1184" i="18"/>
  <c r="B1184" i="18"/>
  <c r="C1184" i="18"/>
  <c r="D1184" i="18"/>
  <c r="E1184" i="18"/>
  <c r="F1184" i="18"/>
  <c r="G1184" i="18"/>
  <c r="H1184" i="18"/>
  <c r="I1184" i="18"/>
  <c r="J1184" i="18"/>
  <c r="A1185" i="18"/>
  <c r="B1185" i="18"/>
  <c r="C1185" i="18"/>
  <c r="D1185" i="18"/>
  <c r="E1185" i="18"/>
  <c r="F1185" i="18"/>
  <c r="G1185" i="18"/>
  <c r="H1185" i="18"/>
  <c r="I1185" i="18"/>
  <c r="J1185" i="18"/>
  <c r="A1186" i="18"/>
  <c r="B1186" i="18"/>
  <c r="C1186" i="18"/>
  <c r="D1186" i="18"/>
  <c r="E1186" i="18"/>
  <c r="F1186" i="18"/>
  <c r="G1186" i="18"/>
  <c r="H1186" i="18"/>
  <c r="I1186" i="18"/>
  <c r="J1186" i="18"/>
  <c r="A1187" i="18"/>
  <c r="B1187" i="18"/>
  <c r="C1187" i="18"/>
  <c r="D1187" i="18"/>
  <c r="E1187" i="18"/>
  <c r="F1187" i="18"/>
  <c r="G1187" i="18"/>
  <c r="H1187" i="18"/>
  <c r="I1187" i="18"/>
  <c r="J1187" i="18"/>
  <c r="A1188" i="18"/>
  <c r="B1188" i="18"/>
  <c r="C1188" i="18"/>
  <c r="D1188" i="18"/>
  <c r="E1188" i="18"/>
  <c r="F1188" i="18"/>
  <c r="G1188" i="18"/>
  <c r="H1188" i="18"/>
  <c r="I1188" i="18"/>
  <c r="J1188" i="18"/>
  <c r="A1189" i="18"/>
  <c r="B1189" i="18"/>
  <c r="C1189" i="18"/>
  <c r="D1189" i="18"/>
  <c r="E1189" i="18"/>
  <c r="F1189" i="18"/>
  <c r="G1189" i="18"/>
  <c r="H1189" i="18"/>
  <c r="I1189" i="18"/>
  <c r="J1189" i="18"/>
  <c r="A1190" i="18"/>
  <c r="B1190" i="18"/>
  <c r="C1190" i="18"/>
  <c r="D1190" i="18"/>
  <c r="E1190" i="18"/>
  <c r="F1190" i="18"/>
  <c r="G1190" i="18"/>
  <c r="H1190" i="18"/>
  <c r="I1190" i="18"/>
  <c r="J1190" i="18"/>
  <c r="A1191" i="18"/>
  <c r="B1191" i="18"/>
  <c r="C1191" i="18"/>
  <c r="D1191" i="18"/>
  <c r="E1191" i="18"/>
  <c r="F1191" i="18"/>
  <c r="G1191" i="18"/>
  <c r="H1191" i="18"/>
  <c r="I1191" i="18"/>
  <c r="J1191" i="18"/>
  <c r="A1192" i="18"/>
  <c r="B1192" i="18"/>
  <c r="C1192" i="18"/>
  <c r="D1192" i="18"/>
  <c r="E1192" i="18"/>
  <c r="F1192" i="18"/>
  <c r="G1192" i="18"/>
  <c r="H1192" i="18"/>
  <c r="I1192" i="18"/>
  <c r="J1192" i="18"/>
  <c r="A1193" i="18"/>
  <c r="B1193" i="18"/>
  <c r="C1193" i="18"/>
  <c r="D1193" i="18"/>
  <c r="E1193" i="18"/>
  <c r="F1193" i="18"/>
  <c r="G1193" i="18"/>
  <c r="H1193" i="18"/>
  <c r="I1193" i="18"/>
  <c r="J1193" i="18"/>
  <c r="A1194" i="18"/>
  <c r="B1194" i="18"/>
  <c r="C1194" i="18"/>
  <c r="D1194" i="18"/>
  <c r="E1194" i="18"/>
  <c r="F1194" i="18"/>
  <c r="G1194" i="18"/>
  <c r="H1194" i="18"/>
  <c r="I1194" i="18"/>
  <c r="J1194" i="18"/>
  <c r="A1195" i="18"/>
  <c r="B1195" i="18"/>
  <c r="C1195" i="18"/>
  <c r="D1195" i="18"/>
  <c r="E1195" i="18"/>
  <c r="F1195" i="18"/>
  <c r="G1195" i="18"/>
  <c r="H1195" i="18"/>
  <c r="I1195" i="18"/>
  <c r="J1195" i="18"/>
  <c r="A1196" i="18"/>
  <c r="B1196" i="18"/>
  <c r="C1196" i="18"/>
  <c r="D1196" i="18"/>
  <c r="E1196" i="18"/>
  <c r="F1196" i="18"/>
  <c r="G1196" i="18"/>
  <c r="H1196" i="18"/>
  <c r="I1196" i="18"/>
  <c r="J1196" i="18"/>
  <c r="A1197" i="18"/>
  <c r="B1197" i="18"/>
  <c r="C1197" i="18"/>
  <c r="D1197" i="18"/>
  <c r="E1197" i="18"/>
  <c r="F1197" i="18"/>
  <c r="G1197" i="18"/>
  <c r="H1197" i="18"/>
  <c r="I1197" i="18"/>
  <c r="J1197" i="18"/>
  <c r="A1198" i="18"/>
  <c r="B1198" i="18"/>
  <c r="C1198" i="18"/>
  <c r="D1198" i="18"/>
  <c r="E1198" i="18"/>
  <c r="F1198" i="18"/>
  <c r="G1198" i="18"/>
  <c r="H1198" i="18"/>
  <c r="I1198" i="18"/>
  <c r="J1198" i="18"/>
  <c r="A1199" i="18"/>
  <c r="B1199" i="18"/>
  <c r="C1199" i="18"/>
  <c r="D1199" i="18"/>
  <c r="E1199" i="18"/>
  <c r="F1199" i="18"/>
  <c r="G1199" i="18"/>
  <c r="H1199" i="18"/>
  <c r="I1199" i="18"/>
  <c r="J1199" i="18"/>
  <c r="A1200" i="18"/>
  <c r="B1200" i="18"/>
  <c r="C1200" i="18"/>
  <c r="D1200" i="18"/>
  <c r="E1200" i="18"/>
  <c r="F1200" i="18"/>
  <c r="G1200" i="18"/>
  <c r="H1200" i="18"/>
  <c r="I1200" i="18"/>
  <c r="J1200" i="18"/>
  <c r="A1201" i="18"/>
  <c r="B1201" i="18"/>
  <c r="C1201" i="18"/>
  <c r="D1201" i="18"/>
  <c r="E1201" i="18"/>
  <c r="F1201" i="18"/>
  <c r="G1201" i="18"/>
  <c r="H1201" i="18"/>
  <c r="I1201" i="18"/>
  <c r="J1201" i="18"/>
  <c r="A1202" i="18"/>
  <c r="B1202" i="18"/>
  <c r="C1202" i="18"/>
  <c r="D1202" i="18"/>
  <c r="E1202" i="18"/>
  <c r="F1202" i="18"/>
  <c r="G1202" i="18"/>
  <c r="H1202" i="18"/>
  <c r="I1202" i="18"/>
  <c r="J1202" i="18"/>
  <c r="A1203" i="18"/>
  <c r="B1203" i="18"/>
  <c r="C1203" i="18"/>
  <c r="D1203" i="18"/>
  <c r="E1203" i="18"/>
  <c r="F1203" i="18"/>
  <c r="G1203" i="18"/>
  <c r="H1203" i="18"/>
  <c r="I1203" i="18"/>
  <c r="J1203" i="18"/>
  <c r="A1204" i="18"/>
  <c r="B1204" i="18"/>
  <c r="C1204" i="18"/>
  <c r="D1204" i="18"/>
  <c r="E1204" i="18"/>
  <c r="F1204" i="18"/>
  <c r="G1204" i="18"/>
  <c r="H1204" i="18"/>
  <c r="I1204" i="18"/>
  <c r="J1204" i="18"/>
  <c r="A1205" i="18"/>
  <c r="B1205" i="18"/>
  <c r="C1205" i="18"/>
  <c r="D1205" i="18"/>
  <c r="E1205" i="18"/>
  <c r="F1205" i="18"/>
  <c r="G1205" i="18"/>
  <c r="H1205" i="18"/>
  <c r="I1205" i="18"/>
  <c r="J1205" i="18"/>
  <c r="A1206" i="18"/>
  <c r="B1206" i="18"/>
  <c r="C1206" i="18"/>
  <c r="D1206" i="18"/>
  <c r="E1206" i="18"/>
  <c r="F1206" i="18"/>
  <c r="G1206" i="18"/>
  <c r="H1206" i="18"/>
  <c r="I1206" i="18"/>
  <c r="J1206" i="18"/>
  <c r="A1207" i="18"/>
  <c r="B1207" i="18"/>
  <c r="C1207" i="18"/>
  <c r="D1207" i="18"/>
  <c r="E1207" i="18"/>
  <c r="F1207" i="18"/>
  <c r="G1207" i="18"/>
  <c r="H1207" i="18"/>
  <c r="I1207" i="18"/>
  <c r="J1207" i="18"/>
  <c r="A1208" i="18"/>
  <c r="B1208" i="18"/>
  <c r="C1208" i="18"/>
  <c r="D1208" i="18"/>
  <c r="E1208" i="18"/>
  <c r="F1208" i="18"/>
  <c r="G1208" i="18"/>
  <c r="H1208" i="18"/>
  <c r="I1208" i="18"/>
  <c r="J1208" i="18"/>
  <c r="A1209" i="18"/>
  <c r="B1209" i="18"/>
  <c r="C1209" i="18"/>
  <c r="D1209" i="18"/>
  <c r="E1209" i="18"/>
  <c r="F1209" i="18"/>
  <c r="G1209" i="18"/>
  <c r="H1209" i="18"/>
  <c r="I1209" i="18"/>
  <c r="J1209" i="18"/>
  <c r="A1210" i="18"/>
  <c r="B1210" i="18"/>
  <c r="C1210" i="18"/>
  <c r="D1210" i="18"/>
  <c r="E1210" i="18"/>
  <c r="F1210" i="18"/>
  <c r="G1210" i="18"/>
  <c r="H1210" i="18"/>
  <c r="I1210" i="18"/>
  <c r="J1210" i="18"/>
  <c r="A1211" i="18"/>
  <c r="B1211" i="18"/>
  <c r="C1211" i="18"/>
  <c r="D1211" i="18"/>
  <c r="E1211" i="18"/>
  <c r="F1211" i="18"/>
  <c r="G1211" i="18"/>
  <c r="H1211" i="18"/>
  <c r="I1211" i="18"/>
  <c r="J1211" i="18"/>
  <c r="A1212" i="18"/>
  <c r="B1212" i="18"/>
  <c r="C1212" i="18"/>
  <c r="D1212" i="18"/>
  <c r="E1212" i="18"/>
  <c r="F1212" i="18"/>
  <c r="G1212" i="18"/>
  <c r="H1212" i="18"/>
  <c r="I1212" i="18"/>
  <c r="J1212" i="18"/>
  <c r="A1213" i="18"/>
  <c r="B1213" i="18"/>
  <c r="C1213" i="18"/>
  <c r="D1213" i="18"/>
  <c r="E1213" i="18"/>
  <c r="F1213" i="18"/>
  <c r="G1213" i="18"/>
  <c r="H1213" i="18"/>
  <c r="I1213" i="18"/>
  <c r="J1213" i="18"/>
  <c r="A1214" i="18"/>
  <c r="B1214" i="18"/>
  <c r="C1214" i="18"/>
  <c r="D1214" i="18"/>
  <c r="E1214" i="18"/>
  <c r="F1214" i="18"/>
  <c r="G1214" i="18"/>
  <c r="H1214" i="18"/>
  <c r="I1214" i="18"/>
  <c r="J1214" i="18"/>
  <c r="A1215" i="18"/>
  <c r="B1215" i="18"/>
  <c r="C1215" i="18"/>
  <c r="D1215" i="18"/>
  <c r="E1215" i="18"/>
  <c r="F1215" i="18"/>
  <c r="G1215" i="18"/>
  <c r="H1215" i="18"/>
  <c r="I1215" i="18"/>
  <c r="J1215" i="18"/>
  <c r="A1216" i="18"/>
  <c r="B1216" i="18"/>
  <c r="C1216" i="18"/>
  <c r="D1216" i="18"/>
  <c r="E1216" i="18"/>
  <c r="F1216" i="18"/>
  <c r="G1216" i="18"/>
  <c r="H1216" i="18"/>
  <c r="I1216" i="18"/>
  <c r="J1216" i="18"/>
  <c r="A1217" i="18"/>
  <c r="B1217" i="18"/>
  <c r="C1217" i="18"/>
  <c r="D1217" i="18"/>
  <c r="E1217" i="18"/>
  <c r="F1217" i="18"/>
  <c r="G1217" i="18"/>
  <c r="H1217" i="18"/>
  <c r="I1217" i="18"/>
  <c r="J1217" i="18"/>
  <c r="A1218" i="18"/>
  <c r="B1218" i="18"/>
  <c r="C1218" i="18"/>
  <c r="D1218" i="18"/>
  <c r="E1218" i="18"/>
  <c r="F1218" i="18"/>
  <c r="G1218" i="18"/>
  <c r="H1218" i="18"/>
  <c r="I1218" i="18"/>
  <c r="J1218" i="18"/>
  <c r="A1219" i="18"/>
  <c r="B1219" i="18"/>
  <c r="C1219" i="18"/>
  <c r="D1219" i="18"/>
  <c r="E1219" i="18"/>
  <c r="F1219" i="18"/>
  <c r="G1219" i="18"/>
  <c r="H1219" i="18"/>
  <c r="I1219" i="18"/>
  <c r="J1219" i="18"/>
  <c r="A1220" i="18"/>
  <c r="B1220" i="18"/>
  <c r="C1220" i="18"/>
  <c r="D1220" i="18"/>
  <c r="E1220" i="18"/>
  <c r="F1220" i="18"/>
  <c r="G1220" i="18"/>
  <c r="H1220" i="18"/>
  <c r="I1220" i="18"/>
  <c r="J1220" i="18"/>
  <c r="A1221" i="18"/>
  <c r="B1221" i="18"/>
  <c r="C1221" i="18"/>
  <c r="D1221" i="18"/>
  <c r="E1221" i="18"/>
  <c r="F1221" i="18"/>
  <c r="G1221" i="18"/>
  <c r="H1221" i="18"/>
  <c r="I1221" i="18"/>
  <c r="J1221" i="18"/>
  <c r="A1222" i="18"/>
  <c r="B1222" i="18"/>
  <c r="C1222" i="18"/>
  <c r="D1222" i="18"/>
  <c r="E1222" i="18"/>
  <c r="F1222" i="18"/>
  <c r="G1222" i="18"/>
  <c r="H1222" i="18"/>
  <c r="I1222" i="18"/>
  <c r="J1222" i="18"/>
  <c r="A1223" i="18"/>
  <c r="B1223" i="18"/>
  <c r="C1223" i="18"/>
  <c r="D1223" i="18"/>
  <c r="E1223" i="18"/>
  <c r="F1223" i="18"/>
  <c r="G1223" i="18"/>
  <c r="H1223" i="18"/>
  <c r="I1223" i="18"/>
  <c r="J1223" i="18"/>
  <c r="A1224" i="18"/>
  <c r="B1224" i="18"/>
  <c r="C1224" i="18"/>
  <c r="D1224" i="18"/>
  <c r="E1224" i="18"/>
  <c r="F1224" i="18"/>
  <c r="G1224" i="18"/>
  <c r="H1224" i="18"/>
  <c r="I1224" i="18"/>
  <c r="J1224" i="18"/>
  <c r="A1225" i="18"/>
  <c r="B1225" i="18"/>
  <c r="C1225" i="18"/>
  <c r="D1225" i="18"/>
  <c r="E1225" i="18"/>
  <c r="F1225" i="18"/>
  <c r="G1225" i="18"/>
  <c r="H1225" i="18"/>
  <c r="I1225" i="18"/>
  <c r="J1225" i="18"/>
  <c r="A1226" i="18"/>
  <c r="B1226" i="18"/>
  <c r="C1226" i="18"/>
  <c r="D1226" i="18"/>
  <c r="E1226" i="18"/>
  <c r="F1226" i="18"/>
  <c r="G1226" i="18"/>
  <c r="H1226" i="18"/>
  <c r="I1226" i="18"/>
  <c r="J1226" i="18"/>
  <c r="A1227" i="18"/>
  <c r="B1227" i="18"/>
  <c r="C1227" i="18"/>
  <c r="D1227" i="18"/>
  <c r="E1227" i="18"/>
  <c r="F1227" i="18"/>
  <c r="G1227" i="18"/>
  <c r="H1227" i="18"/>
  <c r="I1227" i="18"/>
  <c r="J1227" i="18"/>
  <c r="A1228" i="18"/>
  <c r="B1228" i="18"/>
  <c r="C1228" i="18"/>
  <c r="D1228" i="18"/>
  <c r="E1228" i="18"/>
  <c r="F1228" i="18"/>
  <c r="G1228" i="18"/>
  <c r="H1228" i="18"/>
  <c r="I1228" i="18"/>
  <c r="J1228" i="18"/>
  <c r="A1229" i="18"/>
  <c r="B1229" i="18"/>
  <c r="C1229" i="18"/>
  <c r="D1229" i="18"/>
  <c r="E1229" i="18"/>
  <c r="F1229" i="18"/>
  <c r="G1229" i="18"/>
  <c r="H1229" i="18"/>
  <c r="I1229" i="18"/>
  <c r="J1229" i="18"/>
  <c r="A1230" i="18"/>
  <c r="B1230" i="18"/>
  <c r="C1230" i="18"/>
  <c r="D1230" i="18"/>
  <c r="E1230" i="18"/>
  <c r="F1230" i="18"/>
  <c r="G1230" i="18"/>
  <c r="H1230" i="18"/>
  <c r="I1230" i="18"/>
  <c r="J1230" i="18"/>
  <c r="A1231" i="18"/>
  <c r="B1231" i="18"/>
  <c r="C1231" i="18"/>
  <c r="D1231" i="18"/>
  <c r="E1231" i="18"/>
  <c r="F1231" i="18"/>
  <c r="G1231" i="18"/>
  <c r="H1231" i="18"/>
  <c r="I1231" i="18"/>
  <c r="J1231" i="18"/>
  <c r="A1232" i="18"/>
  <c r="B1232" i="18"/>
  <c r="C1232" i="18"/>
  <c r="D1232" i="18"/>
  <c r="E1232" i="18"/>
  <c r="F1232" i="18"/>
  <c r="G1232" i="18"/>
  <c r="H1232" i="18"/>
  <c r="I1232" i="18"/>
  <c r="J1232" i="18"/>
  <c r="A1233" i="18"/>
  <c r="B1233" i="18"/>
  <c r="C1233" i="18"/>
  <c r="D1233" i="18"/>
  <c r="E1233" i="18"/>
  <c r="F1233" i="18"/>
  <c r="G1233" i="18"/>
  <c r="H1233" i="18"/>
  <c r="I1233" i="18"/>
  <c r="J1233" i="18"/>
  <c r="A1234" i="18"/>
  <c r="B1234" i="18"/>
  <c r="C1234" i="18"/>
  <c r="D1234" i="18"/>
  <c r="E1234" i="18"/>
  <c r="F1234" i="18"/>
  <c r="G1234" i="18"/>
  <c r="H1234" i="18"/>
  <c r="I1234" i="18"/>
  <c r="J1234" i="18"/>
  <c r="A1235" i="18"/>
  <c r="B1235" i="18"/>
  <c r="C1235" i="18"/>
  <c r="D1235" i="18"/>
  <c r="E1235" i="18"/>
  <c r="F1235" i="18"/>
  <c r="G1235" i="18"/>
  <c r="H1235" i="18"/>
  <c r="I1235" i="18"/>
  <c r="J1235" i="18"/>
  <c r="A1236" i="18"/>
  <c r="B1236" i="18"/>
  <c r="C1236" i="18"/>
  <c r="D1236" i="18"/>
  <c r="E1236" i="18"/>
  <c r="F1236" i="18"/>
  <c r="G1236" i="18"/>
  <c r="H1236" i="18"/>
  <c r="I1236" i="18"/>
  <c r="J1236" i="18"/>
  <c r="A1237" i="18"/>
  <c r="B1237" i="18"/>
  <c r="C1237" i="18"/>
  <c r="D1237" i="18"/>
  <c r="E1237" i="18"/>
  <c r="F1237" i="18"/>
  <c r="G1237" i="18"/>
  <c r="H1237" i="18"/>
  <c r="I1237" i="18"/>
  <c r="J1237" i="18"/>
  <c r="A1238" i="18"/>
  <c r="B1238" i="18"/>
  <c r="C1238" i="18"/>
  <c r="D1238" i="18"/>
  <c r="E1238" i="18"/>
  <c r="F1238" i="18"/>
  <c r="G1238" i="18"/>
  <c r="H1238" i="18"/>
  <c r="I1238" i="18"/>
  <c r="J1238" i="18"/>
  <c r="A1239" i="18"/>
  <c r="B1239" i="18"/>
  <c r="C1239" i="18"/>
  <c r="D1239" i="18"/>
  <c r="E1239" i="18"/>
  <c r="F1239" i="18"/>
  <c r="G1239" i="18"/>
  <c r="H1239" i="18"/>
  <c r="I1239" i="18"/>
  <c r="J1239" i="18"/>
  <c r="A1240" i="18"/>
  <c r="B1240" i="18"/>
  <c r="C1240" i="18"/>
  <c r="D1240" i="18"/>
  <c r="E1240" i="18"/>
  <c r="F1240" i="18"/>
  <c r="G1240" i="18"/>
  <c r="H1240" i="18"/>
  <c r="I1240" i="18"/>
  <c r="J1240" i="18"/>
  <c r="A1241" i="18"/>
  <c r="B1241" i="18"/>
  <c r="C1241" i="18"/>
  <c r="D1241" i="18"/>
  <c r="E1241" i="18"/>
  <c r="F1241" i="18"/>
  <c r="G1241" i="18"/>
  <c r="H1241" i="18"/>
  <c r="I1241" i="18"/>
  <c r="J1241" i="18"/>
  <c r="A1242" i="18"/>
  <c r="B1242" i="18"/>
  <c r="C1242" i="18"/>
  <c r="D1242" i="18"/>
  <c r="E1242" i="18"/>
  <c r="F1242" i="18"/>
  <c r="G1242" i="18"/>
  <c r="H1242" i="18"/>
  <c r="I1242" i="18"/>
  <c r="J1242" i="18"/>
  <c r="A1243" i="18"/>
  <c r="B1243" i="18"/>
  <c r="C1243" i="18"/>
  <c r="D1243" i="18"/>
  <c r="E1243" i="18"/>
  <c r="F1243" i="18"/>
  <c r="G1243" i="18"/>
  <c r="H1243" i="18"/>
  <c r="I1243" i="18"/>
  <c r="J1243" i="18"/>
  <c r="A1244" i="18"/>
  <c r="B1244" i="18"/>
  <c r="C1244" i="18"/>
  <c r="D1244" i="18"/>
  <c r="E1244" i="18"/>
  <c r="F1244" i="18"/>
  <c r="G1244" i="18"/>
  <c r="H1244" i="18"/>
  <c r="I1244" i="18"/>
  <c r="J1244" i="18"/>
  <c r="A1245" i="18"/>
  <c r="B1245" i="18"/>
  <c r="C1245" i="18"/>
  <c r="D1245" i="18"/>
  <c r="E1245" i="18"/>
  <c r="F1245" i="18"/>
  <c r="G1245" i="18"/>
  <c r="H1245" i="18"/>
  <c r="I1245" i="18"/>
  <c r="J1245" i="18"/>
  <c r="A1246" i="18"/>
  <c r="B1246" i="18"/>
  <c r="C1246" i="18"/>
  <c r="D1246" i="18"/>
  <c r="E1246" i="18"/>
  <c r="F1246" i="18"/>
  <c r="G1246" i="18"/>
  <c r="H1246" i="18"/>
  <c r="I1246" i="18"/>
  <c r="J1246" i="18"/>
  <c r="A1247" i="18"/>
  <c r="B1247" i="18"/>
  <c r="C1247" i="18"/>
  <c r="D1247" i="18"/>
  <c r="E1247" i="18"/>
  <c r="F1247" i="18"/>
  <c r="G1247" i="18"/>
  <c r="H1247" i="18"/>
  <c r="I1247" i="18"/>
  <c r="J1247" i="18"/>
  <c r="A1248" i="18"/>
  <c r="B1248" i="18"/>
  <c r="C1248" i="18"/>
  <c r="D1248" i="18"/>
  <c r="E1248" i="18"/>
  <c r="F1248" i="18"/>
  <c r="G1248" i="18"/>
  <c r="H1248" i="18"/>
  <c r="I1248" i="18"/>
  <c r="J1248" i="18"/>
  <c r="A1249" i="18"/>
  <c r="B1249" i="18"/>
  <c r="C1249" i="18"/>
  <c r="D1249" i="18"/>
  <c r="E1249" i="18"/>
  <c r="F1249" i="18"/>
  <c r="G1249" i="18"/>
  <c r="H1249" i="18"/>
  <c r="I1249" i="18"/>
  <c r="J1249" i="18"/>
  <c r="A1250" i="18"/>
  <c r="B1250" i="18"/>
  <c r="C1250" i="18"/>
  <c r="D1250" i="18"/>
  <c r="E1250" i="18"/>
  <c r="F1250" i="18"/>
  <c r="G1250" i="18"/>
  <c r="H1250" i="18"/>
  <c r="I1250" i="18"/>
  <c r="J1250" i="18"/>
  <c r="A1251" i="18"/>
  <c r="B1251" i="18"/>
  <c r="C1251" i="18"/>
  <c r="D1251" i="18"/>
  <c r="E1251" i="18"/>
  <c r="F1251" i="18"/>
  <c r="G1251" i="18"/>
  <c r="H1251" i="18"/>
  <c r="I1251" i="18"/>
  <c r="J1251" i="18"/>
  <c r="A1252" i="18"/>
  <c r="B1252" i="18"/>
  <c r="C1252" i="18"/>
  <c r="D1252" i="18"/>
  <c r="E1252" i="18"/>
  <c r="F1252" i="18"/>
  <c r="G1252" i="18"/>
  <c r="H1252" i="18"/>
  <c r="I1252" i="18"/>
  <c r="J1252" i="18"/>
  <c r="A1253" i="18"/>
  <c r="B1253" i="18"/>
  <c r="C1253" i="18"/>
  <c r="D1253" i="18"/>
  <c r="E1253" i="18"/>
  <c r="F1253" i="18"/>
  <c r="G1253" i="18"/>
  <c r="H1253" i="18"/>
  <c r="I1253" i="18"/>
  <c r="J1253" i="18"/>
  <c r="A1254" i="18"/>
  <c r="B1254" i="18"/>
  <c r="C1254" i="18"/>
  <c r="D1254" i="18"/>
  <c r="E1254" i="18"/>
  <c r="F1254" i="18"/>
  <c r="G1254" i="18"/>
  <c r="H1254" i="18"/>
  <c r="I1254" i="18"/>
  <c r="J1254" i="18"/>
  <c r="A1255" i="18"/>
  <c r="B1255" i="18"/>
  <c r="C1255" i="18"/>
  <c r="D1255" i="18"/>
  <c r="E1255" i="18"/>
  <c r="F1255" i="18"/>
  <c r="G1255" i="18"/>
  <c r="H1255" i="18"/>
  <c r="I1255" i="18"/>
  <c r="J1255" i="18"/>
  <c r="A1256" i="18"/>
  <c r="B1256" i="18"/>
  <c r="C1256" i="18"/>
  <c r="D1256" i="18"/>
  <c r="E1256" i="18"/>
  <c r="F1256" i="18"/>
  <c r="G1256" i="18"/>
  <c r="H1256" i="18"/>
  <c r="I1256" i="18"/>
  <c r="J1256" i="18"/>
  <c r="A1257" i="18"/>
  <c r="B1257" i="18"/>
  <c r="C1257" i="18"/>
  <c r="D1257" i="18"/>
  <c r="E1257" i="18"/>
  <c r="F1257" i="18"/>
  <c r="G1257" i="18"/>
  <c r="H1257" i="18"/>
  <c r="I1257" i="18"/>
  <c r="J1257" i="18"/>
  <c r="A1258" i="18"/>
  <c r="B1258" i="18"/>
  <c r="C1258" i="18"/>
  <c r="D1258" i="18"/>
  <c r="E1258" i="18"/>
  <c r="F1258" i="18"/>
  <c r="G1258" i="18"/>
  <c r="H1258" i="18"/>
  <c r="I1258" i="18"/>
  <c r="J1258" i="18"/>
  <c r="A1259" i="18"/>
  <c r="B1259" i="18"/>
  <c r="C1259" i="18"/>
  <c r="D1259" i="18"/>
  <c r="E1259" i="18"/>
  <c r="F1259" i="18"/>
  <c r="G1259" i="18"/>
  <c r="H1259" i="18"/>
  <c r="I1259" i="18"/>
  <c r="J1259" i="18"/>
  <c r="A1260" i="18"/>
  <c r="B1260" i="18"/>
  <c r="C1260" i="18"/>
  <c r="D1260" i="18"/>
  <c r="E1260" i="18"/>
  <c r="F1260" i="18"/>
  <c r="G1260" i="18"/>
  <c r="H1260" i="18"/>
  <c r="I1260" i="18"/>
  <c r="J1260" i="18"/>
  <c r="A1261" i="18"/>
  <c r="B1261" i="18"/>
  <c r="C1261" i="18"/>
  <c r="D1261" i="18"/>
  <c r="E1261" i="18"/>
  <c r="F1261" i="18"/>
  <c r="G1261" i="18"/>
  <c r="H1261" i="18"/>
  <c r="I1261" i="18"/>
  <c r="J1261" i="18"/>
  <c r="A1262" i="18"/>
  <c r="B1262" i="18"/>
  <c r="C1262" i="18"/>
  <c r="D1262" i="18"/>
  <c r="E1262" i="18"/>
  <c r="F1262" i="18"/>
  <c r="G1262" i="18"/>
  <c r="H1262" i="18"/>
  <c r="I1262" i="18"/>
  <c r="J1262" i="18"/>
  <c r="A1263" i="18"/>
  <c r="B1263" i="18"/>
  <c r="C1263" i="18"/>
  <c r="D1263" i="18"/>
  <c r="E1263" i="18"/>
  <c r="F1263" i="18"/>
  <c r="G1263" i="18"/>
  <c r="H1263" i="18"/>
  <c r="I1263" i="18"/>
  <c r="J1263" i="18"/>
  <c r="A1264" i="18"/>
  <c r="B1264" i="18"/>
  <c r="C1264" i="18"/>
  <c r="D1264" i="18"/>
  <c r="E1264" i="18"/>
  <c r="F1264" i="18"/>
  <c r="G1264" i="18"/>
  <c r="H1264" i="18"/>
  <c r="I1264" i="18"/>
  <c r="J1264" i="18"/>
  <c r="A1265" i="18"/>
  <c r="B1265" i="18"/>
  <c r="C1265" i="18"/>
  <c r="D1265" i="18"/>
  <c r="E1265" i="18"/>
  <c r="F1265" i="18"/>
  <c r="G1265" i="18"/>
  <c r="H1265" i="18"/>
  <c r="I1265" i="18"/>
  <c r="J1265" i="18"/>
  <c r="A1266" i="18"/>
  <c r="B1266" i="18"/>
  <c r="C1266" i="18"/>
  <c r="D1266" i="18"/>
  <c r="E1266" i="18"/>
  <c r="F1266" i="18"/>
  <c r="G1266" i="18"/>
  <c r="H1266" i="18"/>
  <c r="I1266" i="18"/>
  <c r="J1266" i="18"/>
  <c r="A1267" i="18"/>
  <c r="B1267" i="18"/>
  <c r="C1267" i="18"/>
  <c r="D1267" i="18"/>
  <c r="E1267" i="18"/>
  <c r="F1267" i="18"/>
  <c r="G1267" i="18"/>
  <c r="H1267" i="18"/>
  <c r="I1267" i="18"/>
  <c r="J1267" i="18"/>
  <c r="A1268" i="18"/>
  <c r="B1268" i="18"/>
  <c r="C1268" i="18"/>
  <c r="D1268" i="18"/>
  <c r="E1268" i="18"/>
  <c r="F1268" i="18"/>
  <c r="G1268" i="18"/>
  <c r="H1268" i="18"/>
  <c r="I1268" i="18"/>
  <c r="J1268" i="18"/>
  <c r="A1269" i="18"/>
  <c r="B1269" i="18"/>
  <c r="C1269" i="18"/>
  <c r="D1269" i="18"/>
  <c r="E1269" i="18"/>
  <c r="F1269" i="18"/>
  <c r="G1269" i="18"/>
  <c r="H1269" i="18"/>
  <c r="I1269" i="18"/>
  <c r="J1269" i="18"/>
  <c r="A1270" i="18"/>
  <c r="B1270" i="18"/>
  <c r="C1270" i="18"/>
  <c r="D1270" i="18"/>
  <c r="E1270" i="18"/>
  <c r="F1270" i="18"/>
  <c r="G1270" i="18"/>
  <c r="H1270" i="18"/>
  <c r="I1270" i="18"/>
  <c r="J1270" i="18"/>
  <c r="A1271" i="18"/>
  <c r="B1271" i="18"/>
  <c r="C1271" i="18"/>
  <c r="D1271" i="18"/>
  <c r="E1271" i="18"/>
  <c r="F1271" i="18"/>
  <c r="G1271" i="18"/>
  <c r="H1271" i="18"/>
  <c r="I1271" i="18"/>
  <c r="J1271" i="18"/>
  <c r="A1272" i="18"/>
  <c r="B1272" i="18"/>
  <c r="C1272" i="18"/>
  <c r="D1272" i="18"/>
  <c r="E1272" i="18"/>
  <c r="F1272" i="18"/>
  <c r="G1272" i="18"/>
  <c r="H1272" i="18"/>
  <c r="I1272" i="18"/>
  <c r="J1272" i="18"/>
  <c r="A1273" i="18"/>
  <c r="B1273" i="18"/>
  <c r="C1273" i="18"/>
  <c r="D1273" i="18"/>
  <c r="E1273" i="18"/>
  <c r="F1273" i="18"/>
  <c r="G1273" i="18"/>
  <c r="H1273" i="18"/>
  <c r="I1273" i="18"/>
  <c r="J1273" i="18"/>
  <c r="A1274" i="18"/>
  <c r="B1274" i="18"/>
  <c r="C1274" i="18"/>
  <c r="D1274" i="18"/>
  <c r="E1274" i="18"/>
  <c r="F1274" i="18"/>
  <c r="G1274" i="18"/>
  <c r="H1274" i="18"/>
  <c r="I1274" i="18"/>
  <c r="J1274" i="18"/>
  <c r="A1275" i="18"/>
  <c r="B1275" i="18"/>
  <c r="C1275" i="18"/>
  <c r="D1275" i="18"/>
  <c r="E1275" i="18"/>
  <c r="F1275" i="18"/>
  <c r="G1275" i="18"/>
  <c r="H1275" i="18"/>
  <c r="I1275" i="18"/>
  <c r="J1275" i="18"/>
  <c r="A1276" i="18"/>
  <c r="B1276" i="18"/>
  <c r="C1276" i="18"/>
  <c r="D1276" i="18"/>
  <c r="E1276" i="18"/>
  <c r="F1276" i="18"/>
  <c r="G1276" i="18"/>
  <c r="H1276" i="18"/>
  <c r="I1276" i="18"/>
  <c r="J1276" i="18"/>
  <c r="A1277" i="18"/>
  <c r="B1277" i="18"/>
  <c r="C1277" i="18"/>
  <c r="D1277" i="18"/>
  <c r="E1277" i="18"/>
  <c r="F1277" i="18"/>
  <c r="G1277" i="18"/>
  <c r="H1277" i="18"/>
  <c r="I1277" i="18"/>
  <c r="J1277" i="18"/>
  <c r="A1278" i="18"/>
  <c r="B1278" i="18"/>
  <c r="C1278" i="18"/>
  <c r="D1278" i="18"/>
  <c r="E1278" i="18"/>
  <c r="F1278" i="18"/>
  <c r="G1278" i="18"/>
  <c r="H1278" i="18"/>
  <c r="I1278" i="18"/>
  <c r="J1278" i="18"/>
  <c r="A1279" i="18"/>
  <c r="B1279" i="18"/>
  <c r="C1279" i="18"/>
  <c r="D1279" i="18"/>
  <c r="E1279" i="18"/>
  <c r="F1279" i="18"/>
  <c r="G1279" i="18"/>
  <c r="H1279" i="18"/>
  <c r="I1279" i="18"/>
  <c r="J1279" i="18"/>
  <c r="A1280" i="18"/>
  <c r="B1280" i="18"/>
  <c r="C1280" i="18"/>
  <c r="D1280" i="18"/>
  <c r="E1280" i="18"/>
  <c r="F1280" i="18"/>
  <c r="G1280" i="18"/>
  <c r="H1280" i="18"/>
  <c r="I1280" i="18"/>
  <c r="J1280" i="18"/>
  <c r="A1281" i="18"/>
  <c r="B1281" i="18"/>
  <c r="C1281" i="18"/>
  <c r="D1281" i="18"/>
  <c r="E1281" i="18"/>
  <c r="F1281" i="18"/>
  <c r="G1281" i="18"/>
  <c r="H1281" i="18"/>
  <c r="I1281" i="18"/>
  <c r="J1281" i="18"/>
  <c r="A1282" i="18"/>
  <c r="B1282" i="18"/>
  <c r="C1282" i="18"/>
  <c r="D1282" i="18"/>
  <c r="E1282" i="18"/>
  <c r="F1282" i="18"/>
  <c r="G1282" i="18"/>
  <c r="H1282" i="18"/>
  <c r="I1282" i="18"/>
  <c r="J1282" i="18"/>
  <c r="A1283" i="18"/>
  <c r="B1283" i="18"/>
  <c r="C1283" i="18"/>
  <c r="D1283" i="18"/>
  <c r="E1283" i="18"/>
  <c r="F1283" i="18"/>
  <c r="G1283" i="18"/>
  <c r="H1283" i="18"/>
  <c r="I1283" i="18"/>
  <c r="J1283" i="18"/>
  <c r="A1284" i="18"/>
  <c r="B1284" i="18"/>
  <c r="C1284" i="18"/>
  <c r="D1284" i="18"/>
  <c r="E1284" i="18"/>
  <c r="F1284" i="18"/>
  <c r="G1284" i="18"/>
  <c r="H1284" i="18"/>
  <c r="I1284" i="18"/>
  <c r="J1284" i="18"/>
  <c r="A1285" i="18"/>
  <c r="B1285" i="18"/>
  <c r="C1285" i="18"/>
  <c r="D1285" i="18"/>
  <c r="E1285" i="18"/>
  <c r="F1285" i="18"/>
  <c r="G1285" i="18"/>
  <c r="H1285" i="18"/>
  <c r="I1285" i="18"/>
  <c r="J1285" i="18"/>
  <c r="A1286" i="18"/>
  <c r="B1286" i="18"/>
  <c r="C1286" i="18"/>
  <c r="D1286" i="18"/>
  <c r="E1286" i="18"/>
  <c r="F1286" i="18"/>
  <c r="G1286" i="18"/>
  <c r="H1286" i="18"/>
  <c r="I1286" i="18"/>
  <c r="J1286" i="18"/>
  <c r="A1287" i="18"/>
  <c r="B1287" i="18"/>
  <c r="C1287" i="18"/>
  <c r="D1287" i="18"/>
  <c r="E1287" i="18"/>
  <c r="F1287" i="18"/>
  <c r="G1287" i="18"/>
  <c r="H1287" i="18"/>
  <c r="I1287" i="18"/>
  <c r="J1287" i="18"/>
  <c r="A1288" i="18"/>
  <c r="B1288" i="18"/>
  <c r="C1288" i="18"/>
  <c r="D1288" i="18"/>
  <c r="E1288" i="18"/>
  <c r="F1288" i="18"/>
  <c r="G1288" i="18"/>
  <c r="H1288" i="18"/>
  <c r="I1288" i="18"/>
  <c r="J1288" i="18"/>
  <c r="A1289" i="18"/>
  <c r="B1289" i="18"/>
  <c r="C1289" i="18"/>
  <c r="D1289" i="18"/>
  <c r="E1289" i="18"/>
  <c r="F1289" i="18"/>
  <c r="G1289" i="18"/>
  <c r="H1289" i="18"/>
  <c r="I1289" i="18"/>
  <c r="J1289" i="18"/>
  <c r="A1290" i="18"/>
  <c r="B1290" i="18"/>
  <c r="C1290" i="18"/>
  <c r="D1290" i="18"/>
  <c r="E1290" i="18"/>
  <c r="F1290" i="18"/>
  <c r="G1290" i="18"/>
  <c r="H1290" i="18"/>
  <c r="I1290" i="18"/>
  <c r="J1290" i="18"/>
  <c r="A1291" i="18"/>
  <c r="B1291" i="18"/>
  <c r="C1291" i="18"/>
  <c r="D1291" i="18"/>
  <c r="E1291" i="18"/>
  <c r="F1291" i="18"/>
  <c r="G1291" i="18"/>
  <c r="H1291" i="18"/>
  <c r="I1291" i="18"/>
  <c r="J1291" i="18"/>
  <c r="A1292" i="18"/>
  <c r="B1292" i="18"/>
  <c r="C1292" i="18"/>
  <c r="D1292" i="18"/>
  <c r="E1292" i="18"/>
  <c r="F1292" i="18"/>
  <c r="G1292" i="18"/>
  <c r="H1292" i="18"/>
  <c r="I1292" i="18"/>
  <c r="J1292" i="18"/>
  <c r="A1293" i="18"/>
  <c r="B1293" i="18"/>
  <c r="C1293" i="18"/>
  <c r="D1293" i="18"/>
  <c r="E1293" i="18"/>
  <c r="F1293" i="18"/>
  <c r="G1293" i="18"/>
  <c r="H1293" i="18"/>
  <c r="I1293" i="18"/>
  <c r="J1293" i="18"/>
  <c r="A1294" i="18"/>
  <c r="B1294" i="18"/>
  <c r="C1294" i="18"/>
  <c r="D1294" i="18"/>
  <c r="E1294" i="18"/>
  <c r="F1294" i="18"/>
  <c r="G1294" i="18"/>
  <c r="H1294" i="18"/>
  <c r="I1294" i="18"/>
  <c r="J1294" i="18"/>
  <c r="A1295" i="18"/>
  <c r="B1295" i="18"/>
  <c r="C1295" i="18"/>
  <c r="D1295" i="18"/>
  <c r="E1295" i="18"/>
  <c r="F1295" i="18"/>
  <c r="G1295" i="18"/>
  <c r="H1295" i="18"/>
  <c r="I1295" i="18"/>
  <c r="J1295" i="18"/>
  <c r="A1296" i="18"/>
  <c r="B1296" i="18"/>
  <c r="C1296" i="18"/>
  <c r="D1296" i="18"/>
  <c r="E1296" i="18"/>
  <c r="F1296" i="18"/>
  <c r="G1296" i="18"/>
  <c r="H1296" i="18"/>
  <c r="I1296" i="18"/>
  <c r="J1296" i="18"/>
  <c r="A1297" i="18"/>
  <c r="B1297" i="18"/>
  <c r="C1297" i="18"/>
  <c r="D1297" i="18"/>
  <c r="E1297" i="18"/>
  <c r="F1297" i="18"/>
  <c r="G1297" i="18"/>
  <c r="H1297" i="18"/>
  <c r="I1297" i="18"/>
  <c r="J1297" i="18"/>
  <c r="A1298" i="18"/>
  <c r="B1298" i="18"/>
  <c r="C1298" i="18"/>
  <c r="D1298" i="18"/>
  <c r="E1298" i="18"/>
  <c r="F1298" i="18"/>
  <c r="G1298" i="18"/>
  <c r="H1298" i="18"/>
  <c r="I1298" i="18"/>
  <c r="J1298" i="18"/>
  <c r="A1299" i="18"/>
  <c r="B1299" i="18"/>
  <c r="C1299" i="18"/>
  <c r="D1299" i="18"/>
  <c r="E1299" i="18"/>
  <c r="F1299" i="18"/>
  <c r="G1299" i="18"/>
  <c r="H1299" i="18"/>
  <c r="I1299" i="18"/>
  <c r="J1299" i="18"/>
  <c r="A1300" i="18"/>
  <c r="B1300" i="18"/>
  <c r="C1300" i="18"/>
  <c r="D1300" i="18"/>
  <c r="E1300" i="18"/>
  <c r="F1300" i="18"/>
  <c r="G1300" i="18"/>
  <c r="H1300" i="18"/>
  <c r="I1300" i="18"/>
  <c r="J1300" i="18"/>
  <c r="A1301" i="18"/>
  <c r="B1301" i="18"/>
  <c r="C1301" i="18"/>
  <c r="D1301" i="18"/>
  <c r="E1301" i="18"/>
  <c r="F1301" i="18"/>
  <c r="G1301" i="18"/>
  <c r="H1301" i="18"/>
  <c r="I1301" i="18"/>
  <c r="J1301" i="18"/>
  <c r="A1302" i="18"/>
  <c r="B1302" i="18"/>
  <c r="C1302" i="18"/>
  <c r="D1302" i="18"/>
  <c r="E1302" i="18"/>
  <c r="F1302" i="18"/>
  <c r="G1302" i="18"/>
  <c r="H1302" i="18"/>
  <c r="I1302" i="18"/>
  <c r="J1302" i="18"/>
  <c r="A1303" i="18"/>
  <c r="B1303" i="18"/>
  <c r="C1303" i="18"/>
  <c r="D1303" i="18"/>
  <c r="E1303" i="18"/>
  <c r="F1303" i="18"/>
  <c r="G1303" i="18"/>
  <c r="H1303" i="18"/>
  <c r="I1303" i="18"/>
  <c r="J1303" i="18"/>
  <c r="A1304" i="18"/>
  <c r="B1304" i="18"/>
  <c r="C1304" i="18"/>
  <c r="D1304" i="18"/>
  <c r="E1304" i="18"/>
  <c r="F1304" i="18"/>
  <c r="G1304" i="18"/>
  <c r="H1304" i="18"/>
  <c r="I1304" i="18"/>
  <c r="J1304" i="18"/>
  <c r="A1305" i="18"/>
  <c r="B1305" i="18"/>
  <c r="C1305" i="18"/>
  <c r="D1305" i="18"/>
  <c r="E1305" i="18"/>
  <c r="F1305" i="18"/>
  <c r="G1305" i="18"/>
  <c r="H1305" i="18"/>
  <c r="I1305" i="18"/>
  <c r="J1305" i="18"/>
  <c r="A1306" i="18"/>
  <c r="B1306" i="18"/>
  <c r="C1306" i="18"/>
  <c r="D1306" i="18"/>
  <c r="E1306" i="18"/>
  <c r="F1306" i="18"/>
  <c r="G1306" i="18"/>
  <c r="H1306" i="18"/>
  <c r="I1306" i="18"/>
  <c r="J1306" i="18"/>
  <c r="A1307" i="18"/>
  <c r="B1307" i="18"/>
  <c r="C1307" i="18"/>
  <c r="D1307" i="18"/>
  <c r="E1307" i="18"/>
  <c r="F1307" i="18"/>
  <c r="G1307" i="18"/>
  <c r="H1307" i="18"/>
  <c r="I1307" i="18"/>
  <c r="J1307" i="18"/>
  <c r="A1308" i="18"/>
  <c r="B1308" i="18"/>
  <c r="C1308" i="18"/>
  <c r="D1308" i="18"/>
  <c r="E1308" i="18"/>
  <c r="F1308" i="18"/>
  <c r="G1308" i="18"/>
  <c r="H1308" i="18"/>
  <c r="I1308" i="18"/>
  <c r="J1308" i="18"/>
  <c r="A1309" i="18"/>
  <c r="B1309" i="18"/>
  <c r="C1309" i="18"/>
  <c r="D1309" i="18"/>
  <c r="E1309" i="18"/>
  <c r="F1309" i="18"/>
  <c r="G1309" i="18"/>
  <c r="H1309" i="18"/>
  <c r="I1309" i="18"/>
  <c r="J1309" i="18"/>
  <c r="A1310" i="18"/>
  <c r="B1310" i="18"/>
  <c r="C1310" i="18"/>
  <c r="D1310" i="18"/>
  <c r="E1310" i="18"/>
  <c r="F1310" i="18"/>
  <c r="G1310" i="18"/>
  <c r="H1310" i="18"/>
  <c r="I1310" i="18"/>
  <c r="J1310" i="18"/>
  <c r="A1311" i="18"/>
  <c r="B1311" i="18"/>
  <c r="C1311" i="18"/>
  <c r="D1311" i="18"/>
  <c r="E1311" i="18"/>
  <c r="F1311" i="18"/>
  <c r="G1311" i="18"/>
  <c r="H1311" i="18"/>
  <c r="I1311" i="18"/>
  <c r="J1311" i="18"/>
  <c r="A1312" i="18"/>
  <c r="B1312" i="18"/>
  <c r="C1312" i="18"/>
  <c r="D1312" i="18"/>
  <c r="E1312" i="18"/>
  <c r="F1312" i="18"/>
  <c r="G1312" i="18"/>
  <c r="H1312" i="18"/>
  <c r="I1312" i="18"/>
  <c r="J1312" i="18"/>
  <c r="A1313" i="18"/>
  <c r="B1313" i="18"/>
  <c r="C1313" i="18"/>
  <c r="D1313" i="18"/>
  <c r="E1313" i="18"/>
  <c r="F1313" i="18"/>
  <c r="G1313" i="18"/>
  <c r="H1313" i="18"/>
  <c r="I1313" i="18"/>
  <c r="J1313" i="18"/>
  <c r="A1314" i="18"/>
  <c r="B1314" i="18"/>
  <c r="C1314" i="18"/>
  <c r="D1314" i="18"/>
  <c r="E1314" i="18"/>
  <c r="F1314" i="18"/>
  <c r="G1314" i="18"/>
  <c r="H1314" i="18"/>
  <c r="I1314" i="18"/>
  <c r="J1314" i="18"/>
  <c r="A1315" i="18"/>
  <c r="B1315" i="18"/>
  <c r="C1315" i="18"/>
  <c r="D1315" i="18"/>
  <c r="E1315" i="18"/>
  <c r="F1315" i="18"/>
  <c r="G1315" i="18"/>
  <c r="H1315" i="18"/>
  <c r="I1315" i="18"/>
  <c r="J1315" i="18"/>
  <c r="A1316" i="18"/>
  <c r="B1316" i="18"/>
  <c r="C1316" i="18"/>
  <c r="D1316" i="18"/>
  <c r="E1316" i="18"/>
  <c r="F1316" i="18"/>
  <c r="G1316" i="18"/>
  <c r="H1316" i="18"/>
  <c r="I1316" i="18"/>
  <c r="J1316" i="18"/>
  <c r="A1317" i="18"/>
  <c r="B1317" i="18"/>
  <c r="C1317" i="18"/>
  <c r="D1317" i="18"/>
  <c r="E1317" i="18"/>
  <c r="F1317" i="18"/>
  <c r="G1317" i="18"/>
  <c r="H1317" i="18"/>
  <c r="I1317" i="18"/>
  <c r="J1317" i="18"/>
  <c r="A1318" i="18"/>
  <c r="B1318" i="18"/>
  <c r="C1318" i="18"/>
  <c r="D1318" i="18"/>
  <c r="E1318" i="18"/>
  <c r="F1318" i="18"/>
  <c r="G1318" i="18"/>
  <c r="H1318" i="18"/>
  <c r="I1318" i="18"/>
  <c r="J1318" i="18"/>
  <c r="A1319" i="18"/>
  <c r="B1319" i="18"/>
  <c r="C1319" i="18"/>
  <c r="D1319" i="18"/>
  <c r="E1319" i="18"/>
  <c r="F1319" i="18"/>
  <c r="G1319" i="18"/>
  <c r="H1319" i="18"/>
  <c r="I1319" i="18"/>
  <c r="J1319" i="18"/>
  <c r="A1320" i="18"/>
  <c r="B1320" i="18"/>
  <c r="C1320" i="18"/>
  <c r="D1320" i="18"/>
  <c r="E1320" i="18"/>
  <c r="F1320" i="18"/>
  <c r="G1320" i="18"/>
  <c r="H1320" i="18"/>
  <c r="I1320" i="18"/>
  <c r="J1320" i="18"/>
  <c r="A1321" i="18"/>
  <c r="B1321" i="18"/>
  <c r="C1321" i="18"/>
  <c r="D1321" i="18"/>
  <c r="E1321" i="18"/>
  <c r="F1321" i="18"/>
  <c r="G1321" i="18"/>
  <c r="H1321" i="18"/>
  <c r="I1321" i="18"/>
  <c r="J1321" i="18"/>
  <c r="A1322" i="18"/>
  <c r="B1322" i="18"/>
  <c r="C1322" i="18"/>
  <c r="D1322" i="18"/>
  <c r="E1322" i="18"/>
  <c r="F1322" i="18"/>
  <c r="G1322" i="18"/>
  <c r="H1322" i="18"/>
  <c r="I1322" i="18"/>
  <c r="J1322" i="18"/>
  <c r="A1323" i="18"/>
  <c r="B1323" i="18"/>
  <c r="C1323" i="18"/>
  <c r="D1323" i="18"/>
  <c r="E1323" i="18"/>
  <c r="F1323" i="18"/>
  <c r="G1323" i="18"/>
  <c r="H1323" i="18"/>
  <c r="I1323" i="18"/>
  <c r="J1323" i="18"/>
  <c r="A1324" i="18"/>
  <c r="B1324" i="18"/>
  <c r="C1324" i="18"/>
  <c r="D1324" i="18"/>
  <c r="E1324" i="18"/>
  <c r="F1324" i="18"/>
  <c r="G1324" i="18"/>
  <c r="H1324" i="18"/>
  <c r="I1324" i="18"/>
  <c r="J1324" i="18"/>
  <c r="A1325" i="18"/>
  <c r="B1325" i="18"/>
  <c r="C1325" i="18"/>
  <c r="D1325" i="18"/>
  <c r="E1325" i="18"/>
  <c r="F1325" i="18"/>
  <c r="G1325" i="18"/>
  <c r="H1325" i="18"/>
  <c r="I1325" i="18"/>
  <c r="J1325" i="18"/>
  <c r="A1326" i="18"/>
  <c r="B1326" i="18"/>
  <c r="C1326" i="18"/>
  <c r="D1326" i="18"/>
  <c r="E1326" i="18"/>
  <c r="F1326" i="18"/>
  <c r="G1326" i="18"/>
  <c r="H1326" i="18"/>
  <c r="I1326" i="18"/>
  <c r="J1326" i="18"/>
  <c r="A1327" i="18"/>
  <c r="B1327" i="18"/>
  <c r="C1327" i="18"/>
  <c r="D1327" i="18"/>
  <c r="E1327" i="18"/>
  <c r="F1327" i="18"/>
  <c r="G1327" i="18"/>
  <c r="H1327" i="18"/>
  <c r="I1327" i="18"/>
  <c r="J1327" i="18"/>
  <c r="A1328" i="18"/>
  <c r="B1328" i="18"/>
  <c r="C1328" i="18"/>
  <c r="D1328" i="18"/>
  <c r="E1328" i="18"/>
  <c r="F1328" i="18"/>
  <c r="G1328" i="18"/>
  <c r="H1328" i="18"/>
  <c r="I1328" i="18"/>
  <c r="J1328" i="18"/>
  <c r="A1329" i="18"/>
  <c r="B1329" i="18"/>
  <c r="C1329" i="18"/>
  <c r="D1329" i="18"/>
  <c r="E1329" i="18"/>
  <c r="F1329" i="18"/>
  <c r="G1329" i="18"/>
  <c r="H1329" i="18"/>
  <c r="I1329" i="18"/>
  <c r="J1329" i="18"/>
  <c r="A1330" i="18"/>
  <c r="B1330" i="18"/>
  <c r="C1330" i="18"/>
  <c r="D1330" i="18"/>
  <c r="E1330" i="18"/>
  <c r="F1330" i="18"/>
  <c r="G1330" i="18"/>
  <c r="H1330" i="18"/>
  <c r="I1330" i="18"/>
  <c r="J1330" i="18"/>
  <c r="A1331" i="18"/>
  <c r="B1331" i="18"/>
  <c r="C1331" i="18"/>
  <c r="D1331" i="18"/>
  <c r="E1331" i="18"/>
  <c r="F1331" i="18"/>
  <c r="G1331" i="18"/>
  <c r="H1331" i="18"/>
  <c r="I1331" i="18"/>
  <c r="J1331" i="18"/>
  <c r="A1332" i="18"/>
  <c r="B1332" i="18"/>
  <c r="C1332" i="18"/>
  <c r="D1332" i="18"/>
  <c r="E1332" i="18"/>
  <c r="F1332" i="18"/>
  <c r="G1332" i="18"/>
  <c r="H1332" i="18"/>
  <c r="I1332" i="18"/>
  <c r="J1332" i="18"/>
  <c r="A1333" i="18"/>
  <c r="B1333" i="18"/>
  <c r="C1333" i="18"/>
  <c r="D1333" i="18"/>
  <c r="E1333" i="18"/>
  <c r="F1333" i="18"/>
  <c r="G1333" i="18"/>
  <c r="H1333" i="18"/>
  <c r="I1333" i="18"/>
  <c r="J1333" i="18"/>
  <c r="A1334" i="18"/>
  <c r="B1334" i="18"/>
  <c r="C1334" i="18"/>
  <c r="D1334" i="18"/>
  <c r="E1334" i="18"/>
  <c r="F1334" i="18"/>
  <c r="G1334" i="18"/>
  <c r="H1334" i="18"/>
  <c r="I1334" i="18"/>
  <c r="J1334" i="18"/>
  <c r="A1335" i="18"/>
  <c r="B1335" i="18"/>
  <c r="C1335" i="18"/>
  <c r="D1335" i="18"/>
  <c r="E1335" i="18"/>
  <c r="F1335" i="18"/>
  <c r="G1335" i="18"/>
  <c r="H1335" i="18"/>
  <c r="I1335" i="18"/>
  <c r="J1335" i="18"/>
  <c r="A1336" i="18"/>
  <c r="B1336" i="18"/>
  <c r="C1336" i="18"/>
  <c r="D1336" i="18"/>
  <c r="E1336" i="18"/>
  <c r="F1336" i="18"/>
  <c r="G1336" i="18"/>
  <c r="H1336" i="18"/>
  <c r="I1336" i="18"/>
  <c r="J1336" i="18"/>
  <c r="A1337" i="18"/>
  <c r="B1337" i="18"/>
  <c r="C1337" i="18"/>
  <c r="D1337" i="18"/>
  <c r="E1337" i="18"/>
  <c r="F1337" i="18"/>
  <c r="G1337" i="18"/>
  <c r="H1337" i="18"/>
  <c r="I1337" i="18"/>
  <c r="J1337" i="18"/>
  <c r="A1338" i="18"/>
  <c r="B1338" i="18"/>
  <c r="C1338" i="18"/>
  <c r="D1338" i="18"/>
  <c r="E1338" i="18"/>
  <c r="F1338" i="18"/>
  <c r="G1338" i="18"/>
  <c r="H1338" i="18"/>
  <c r="I1338" i="18"/>
  <c r="J1338" i="18"/>
  <c r="A1339" i="18"/>
  <c r="B1339" i="18"/>
  <c r="C1339" i="18"/>
  <c r="D1339" i="18"/>
  <c r="E1339" i="18"/>
  <c r="F1339" i="18"/>
  <c r="G1339" i="18"/>
  <c r="H1339" i="18"/>
  <c r="I1339" i="18"/>
  <c r="J1339" i="18"/>
  <c r="A1340" i="18"/>
  <c r="B1340" i="18"/>
  <c r="C1340" i="18"/>
  <c r="D1340" i="18"/>
  <c r="E1340" i="18"/>
  <c r="F1340" i="18"/>
  <c r="G1340" i="18"/>
  <c r="H1340" i="18"/>
  <c r="I1340" i="18"/>
  <c r="J1340" i="18"/>
  <c r="A1341" i="18"/>
  <c r="B1341" i="18"/>
  <c r="C1341" i="18"/>
  <c r="D1341" i="18"/>
  <c r="E1341" i="18"/>
  <c r="F1341" i="18"/>
  <c r="G1341" i="18"/>
  <c r="H1341" i="18"/>
  <c r="I1341" i="18"/>
  <c r="J1341" i="18"/>
  <c r="A1342" i="18"/>
  <c r="B1342" i="18"/>
  <c r="C1342" i="18"/>
  <c r="D1342" i="18"/>
  <c r="E1342" i="18"/>
  <c r="F1342" i="18"/>
  <c r="G1342" i="18"/>
  <c r="H1342" i="18"/>
  <c r="I1342" i="18"/>
  <c r="J1342" i="18"/>
  <c r="A1343" i="18"/>
  <c r="B1343" i="18"/>
  <c r="C1343" i="18"/>
  <c r="D1343" i="18"/>
  <c r="E1343" i="18"/>
  <c r="F1343" i="18"/>
  <c r="G1343" i="18"/>
  <c r="H1343" i="18"/>
  <c r="I1343" i="18"/>
  <c r="J1343" i="18"/>
  <c r="A1344" i="18"/>
  <c r="B1344" i="18"/>
  <c r="C1344" i="18"/>
  <c r="D1344" i="18"/>
  <c r="E1344" i="18"/>
  <c r="F1344" i="18"/>
  <c r="G1344" i="18"/>
  <c r="H1344" i="18"/>
  <c r="I1344" i="18"/>
  <c r="J1344" i="18"/>
  <c r="A1345" i="18"/>
  <c r="B1345" i="18"/>
  <c r="C1345" i="18"/>
  <c r="D1345" i="18"/>
  <c r="E1345" i="18"/>
  <c r="F1345" i="18"/>
  <c r="G1345" i="18"/>
  <c r="H1345" i="18"/>
  <c r="I1345" i="18"/>
  <c r="J1345" i="18"/>
  <c r="A1346" i="18"/>
  <c r="B1346" i="18"/>
  <c r="C1346" i="18"/>
  <c r="D1346" i="18"/>
  <c r="E1346" i="18"/>
  <c r="F1346" i="18"/>
  <c r="G1346" i="18"/>
  <c r="H1346" i="18"/>
  <c r="I1346" i="18"/>
  <c r="J1346" i="18"/>
  <c r="A1347" i="18"/>
  <c r="B1347" i="18"/>
  <c r="C1347" i="18"/>
  <c r="D1347" i="18"/>
  <c r="E1347" i="18"/>
  <c r="F1347" i="18"/>
  <c r="G1347" i="18"/>
  <c r="H1347" i="18"/>
  <c r="I1347" i="18"/>
  <c r="J1347" i="18"/>
  <c r="A1348" i="18"/>
  <c r="B1348" i="18"/>
  <c r="C1348" i="18"/>
  <c r="D1348" i="18"/>
  <c r="E1348" i="18"/>
  <c r="F1348" i="18"/>
  <c r="G1348" i="18"/>
  <c r="H1348" i="18"/>
  <c r="I1348" i="18"/>
  <c r="J1348" i="18"/>
  <c r="A1349" i="18"/>
  <c r="B1349" i="18"/>
  <c r="C1349" i="18"/>
  <c r="D1349" i="18"/>
  <c r="E1349" i="18"/>
  <c r="F1349" i="18"/>
  <c r="G1349" i="18"/>
  <c r="H1349" i="18"/>
  <c r="I1349" i="18"/>
  <c r="J1349" i="18"/>
  <c r="A1350" i="18"/>
  <c r="B1350" i="18"/>
  <c r="C1350" i="18"/>
  <c r="D1350" i="18"/>
  <c r="E1350" i="18"/>
  <c r="F1350" i="18"/>
  <c r="G1350" i="18"/>
  <c r="H1350" i="18"/>
  <c r="I1350" i="18"/>
  <c r="J1350" i="18"/>
  <c r="A1351" i="18"/>
  <c r="B1351" i="18"/>
  <c r="C1351" i="18"/>
  <c r="D1351" i="18"/>
  <c r="E1351" i="18"/>
  <c r="F1351" i="18"/>
  <c r="G1351" i="18"/>
  <c r="H1351" i="18"/>
  <c r="I1351" i="18"/>
  <c r="J1351" i="18"/>
  <c r="A1352" i="18"/>
  <c r="B1352" i="18"/>
  <c r="C1352" i="18"/>
  <c r="D1352" i="18"/>
  <c r="E1352" i="18"/>
  <c r="F1352" i="18"/>
  <c r="G1352" i="18"/>
  <c r="H1352" i="18"/>
  <c r="I1352" i="18"/>
  <c r="J1352" i="18"/>
  <c r="A1353" i="18"/>
  <c r="B1353" i="18"/>
  <c r="C1353" i="18"/>
  <c r="D1353" i="18"/>
  <c r="E1353" i="18"/>
  <c r="F1353" i="18"/>
  <c r="G1353" i="18"/>
  <c r="H1353" i="18"/>
  <c r="I1353" i="18"/>
  <c r="J1353" i="18"/>
  <c r="A1354" i="18"/>
  <c r="B1354" i="18"/>
  <c r="C1354" i="18"/>
  <c r="D1354" i="18"/>
  <c r="E1354" i="18"/>
  <c r="F1354" i="18"/>
  <c r="G1354" i="18"/>
  <c r="H1354" i="18"/>
  <c r="I1354" i="18"/>
  <c r="J1354" i="18"/>
  <c r="A1355" i="18"/>
  <c r="B1355" i="18"/>
  <c r="C1355" i="18"/>
  <c r="D1355" i="18"/>
  <c r="E1355" i="18"/>
  <c r="F1355" i="18"/>
  <c r="G1355" i="18"/>
  <c r="H1355" i="18"/>
  <c r="I1355" i="18"/>
  <c r="J1355" i="18"/>
  <c r="A1356" i="18"/>
  <c r="B1356" i="18"/>
  <c r="C1356" i="18"/>
  <c r="D1356" i="18"/>
  <c r="E1356" i="18"/>
  <c r="F1356" i="18"/>
  <c r="G1356" i="18"/>
  <c r="H1356" i="18"/>
  <c r="I1356" i="18"/>
  <c r="J1356" i="18"/>
  <c r="A1357" i="18"/>
  <c r="B1357" i="18"/>
  <c r="C1357" i="18"/>
  <c r="D1357" i="18"/>
  <c r="E1357" i="18"/>
  <c r="F1357" i="18"/>
  <c r="G1357" i="18"/>
  <c r="H1357" i="18"/>
  <c r="I1357" i="18"/>
  <c r="J1357" i="18"/>
  <c r="A1358" i="18"/>
  <c r="B1358" i="18"/>
  <c r="C1358" i="18"/>
  <c r="D1358" i="18"/>
  <c r="E1358" i="18"/>
  <c r="F1358" i="18"/>
  <c r="G1358" i="18"/>
  <c r="H1358" i="18"/>
  <c r="I1358" i="18"/>
  <c r="J1358" i="18"/>
  <c r="A1359" i="18"/>
  <c r="B1359" i="18"/>
  <c r="C1359" i="18"/>
  <c r="D1359" i="18"/>
  <c r="E1359" i="18"/>
  <c r="F1359" i="18"/>
  <c r="G1359" i="18"/>
  <c r="H1359" i="18"/>
  <c r="I1359" i="18"/>
  <c r="J1359" i="18"/>
  <c r="A1360" i="18"/>
  <c r="B1360" i="18"/>
  <c r="C1360" i="18"/>
  <c r="D1360" i="18"/>
  <c r="E1360" i="18"/>
  <c r="F1360" i="18"/>
  <c r="G1360" i="18"/>
  <c r="H1360" i="18"/>
  <c r="I1360" i="18"/>
  <c r="J1360" i="18"/>
  <c r="A1361" i="18"/>
  <c r="B1361" i="18"/>
  <c r="C1361" i="18"/>
  <c r="D1361" i="18"/>
  <c r="E1361" i="18"/>
  <c r="F1361" i="18"/>
  <c r="G1361" i="18"/>
  <c r="H1361" i="18"/>
  <c r="I1361" i="18"/>
  <c r="J1361" i="18"/>
  <c r="A1362" i="18"/>
  <c r="B1362" i="18"/>
  <c r="C1362" i="18"/>
  <c r="D1362" i="18"/>
  <c r="E1362" i="18"/>
  <c r="F1362" i="18"/>
  <c r="G1362" i="18"/>
  <c r="H1362" i="18"/>
  <c r="I1362" i="18"/>
  <c r="J1362" i="18"/>
  <c r="A1363" i="18"/>
  <c r="B1363" i="18"/>
  <c r="C1363" i="18"/>
  <c r="D1363" i="18"/>
  <c r="E1363" i="18"/>
  <c r="F1363" i="18"/>
  <c r="G1363" i="18"/>
  <c r="H1363" i="18"/>
  <c r="I1363" i="18"/>
  <c r="J1363" i="18"/>
  <c r="A1364" i="18"/>
  <c r="B1364" i="18"/>
  <c r="C1364" i="18"/>
  <c r="D1364" i="18"/>
  <c r="E1364" i="18"/>
  <c r="F1364" i="18"/>
  <c r="G1364" i="18"/>
  <c r="H1364" i="18"/>
  <c r="I1364" i="18"/>
  <c r="J1364" i="18"/>
  <c r="A1365" i="18"/>
  <c r="B1365" i="18"/>
  <c r="C1365" i="18"/>
  <c r="D1365" i="18"/>
  <c r="E1365" i="18"/>
  <c r="F1365" i="18"/>
  <c r="G1365" i="18"/>
  <c r="H1365" i="18"/>
  <c r="I1365" i="18"/>
  <c r="J1365" i="18"/>
  <c r="A1366" i="18"/>
  <c r="B1366" i="18"/>
  <c r="C1366" i="18"/>
  <c r="D1366" i="18"/>
  <c r="E1366" i="18"/>
  <c r="F1366" i="18"/>
  <c r="G1366" i="18"/>
  <c r="H1366" i="18"/>
  <c r="I1366" i="18"/>
  <c r="J1366" i="18"/>
  <c r="A1367" i="18"/>
  <c r="B1367" i="18"/>
  <c r="C1367" i="18"/>
  <c r="D1367" i="18"/>
  <c r="E1367" i="18"/>
  <c r="F1367" i="18"/>
  <c r="G1367" i="18"/>
  <c r="H1367" i="18"/>
  <c r="I1367" i="18"/>
  <c r="J1367" i="18"/>
  <c r="A1368" i="18"/>
  <c r="B1368" i="18"/>
  <c r="C1368" i="18"/>
  <c r="D1368" i="18"/>
  <c r="E1368" i="18"/>
  <c r="F1368" i="18"/>
  <c r="G1368" i="18"/>
  <c r="H1368" i="18"/>
  <c r="I1368" i="18"/>
  <c r="J1368" i="18"/>
  <c r="A1369" i="18"/>
  <c r="B1369" i="18"/>
  <c r="C1369" i="18"/>
  <c r="D1369" i="18"/>
  <c r="E1369" i="18"/>
  <c r="F1369" i="18"/>
  <c r="G1369" i="18"/>
  <c r="H1369" i="18"/>
  <c r="I1369" i="18"/>
  <c r="J1369" i="18"/>
  <c r="A1370" i="18"/>
  <c r="B1370" i="18"/>
  <c r="C1370" i="18"/>
  <c r="D1370" i="18"/>
  <c r="E1370" i="18"/>
  <c r="F1370" i="18"/>
  <c r="G1370" i="18"/>
  <c r="H1370" i="18"/>
  <c r="I1370" i="18"/>
  <c r="J1370" i="18"/>
  <c r="A1371" i="18"/>
  <c r="B1371" i="18"/>
  <c r="C1371" i="18"/>
  <c r="D1371" i="18"/>
  <c r="E1371" i="18"/>
  <c r="F1371" i="18"/>
  <c r="G1371" i="18"/>
  <c r="H1371" i="18"/>
  <c r="I1371" i="18"/>
  <c r="J1371" i="18"/>
  <c r="A1372" i="18"/>
  <c r="B1372" i="18"/>
  <c r="C1372" i="18"/>
  <c r="D1372" i="18"/>
  <c r="E1372" i="18"/>
  <c r="F1372" i="18"/>
  <c r="G1372" i="18"/>
  <c r="H1372" i="18"/>
  <c r="I1372" i="18"/>
  <c r="J1372" i="18"/>
  <c r="A1373" i="18"/>
  <c r="B1373" i="18"/>
  <c r="C1373" i="18"/>
  <c r="D1373" i="18"/>
  <c r="E1373" i="18"/>
  <c r="F1373" i="18"/>
  <c r="G1373" i="18"/>
  <c r="H1373" i="18"/>
  <c r="I1373" i="18"/>
  <c r="J1373" i="18"/>
  <c r="A1374" i="18"/>
  <c r="B1374" i="18"/>
  <c r="C1374" i="18"/>
  <c r="D1374" i="18"/>
  <c r="E1374" i="18"/>
  <c r="F1374" i="18"/>
  <c r="G1374" i="18"/>
  <c r="H1374" i="18"/>
  <c r="I1374" i="18"/>
  <c r="J1374" i="18"/>
  <c r="A1375" i="18"/>
  <c r="B1375" i="18"/>
  <c r="C1375" i="18"/>
  <c r="D1375" i="18"/>
  <c r="E1375" i="18"/>
  <c r="F1375" i="18"/>
  <c r="G1375" i="18"/>
  <c r="H1375" i="18"/>
  <c r="I1375" i="18"/>
  <c r="J1375" i="18"/>
  <c r="A1376" i="18"/>
  <c r="B1376" i="18"/>
  <c r="C1376" i="18"/>
  <c r="D1376" i="18"/>
  <c r="E1376" i="18"/>
  <c r="F1376" i="18"/>
  <c r="G1376" i="18"/>
  <c r="H1376" i="18"/>
  <c r="I1376" i="18"/>
  <c r="J1376" i="18"/>
  <c r="A1377" i="18"/>
  <c r="B1377" i="18"/>
  <c r="C1377" i="18"/>
  <c r="D1377" i="18"/>
  <c r="E1377" i="18"/>
  <c r="F1377" i="18"/>
  <c r="G1377" i="18"/>
  <c r="H1377" i="18"/>
  <c r="I1377" i="18"/>
  <c r="J1377" i="18"/>
  <c r="A1378" i="18"/>
  <c r="B1378" i="18"/>
  <c r="C1378" i="18"/>
  <c r="D1378" i="18"/>
  <c r="E1378" i="18"/>
  <c r="F1378" i="18"/>
  <c r="G1378" i="18"/>
  <c r="H1378" i="18"/>
  <c r="I1378" i="18"/>
  <c r="J1378" i="18"/>
  <c r="A1379" i="18"/>
  <c r="B1379" i="18"/>
  <c r="C1379" i="18"/>
  <c r="D1379" i="18"/>
  <c r="E1379" i="18"/>
  <c r="F1379" i="18"/>
  <c r="G1379" i="18"/>
  <c r="H1379" i="18"/>
  <c r="I1379" i="18"/>
  <c r="J1379" i="18"/>
  <c r="A1380" i="18"/>
  <c r="B1380" i="18"/>
  <c r="C1380" i="18"/>
  <c r="D1380" i="18"/>
  <c r="E1380" i="18"/>
  <c r="F1380" i="18"/>
  <c r="G1380" i="18"/>
  <c r="H1380" i="18"/>
  <c r="I1380" i="18"/>
  <c r="J1380" i="18"/>
  <c r="A1381" i="18"/>
  <c r="B1381" i="18"/>
  <c r="C1381" i="18"/>
  <c r="D1381" i="18"/>
  <c r="E1381" i="18"/>
  <c r="F1381" i="18"/>
  <c r="G1381" i="18"/>
  <c r="H1381" i="18"/>
  <c r="I1381" i="18"/>
  <c r="J1381" i="18"/>
  <c r="A1382" i="18"/>
  <c r="B1382" i="18"/>
  <c r="C1382" i="18"/>
  <c r="D1382" i="18"/>
  <c r="E1382" i="18"/>
  <c r="F1382" i="18"/>
  <c r="G1382" i="18"/>
  <c r="H1382" i="18"/>
  <c r="I1382" i="18"/>
  <c r="J1382" i="18"/>
  <c r="A1383" i="18"/>
  <c r="B1383" i="18"/>
  <c r="C1383" i="18"/>
  <c r="D1383" i="18"/>
  <c r="E1383" i="18"/>
  <c r="F1383" i="18"/>
  <c r="G1383" i="18"/>
  <c r="H1383" i="18"/>
  <c r="I1383" i="18"/>
  <c r="J1383" i="18"/>
  <c r="A1384" i="18"/>
  <c r="B1384" i="18"/>
  <c r="C1384" i="18"/>
  <c r="D1384" i="18"/>
  <c r="E1384" i="18"/>
  <c r="F1384" i="18"/>
  <c r="G1384" i="18"/>
  <c r="H1384" i="18"/>
  <c r="I1384" i="18"/>
  <c r="J1384" i="18"/>
  <c r="A1385" i="18"/>
  <c r="B1385" i="18"/>
  <c r="C1385" i="18"/>
  <c r="D1385" i="18"/>
  <c r="E1385" i="18"/>
  <c r="F1385" i="18"/>
  <c r="G1385" i="18"/>
  <c r="H1385" i="18"/>
  <c r="I1385" i="18"/>
  <c r="J1385" i="18"/>
  <c r="A1386" i="18"/>
  <c r="B1386" i="18"/>
  <c r="C1386" i="18"/>
  <c r="D1386" i="18"/>
  <c r="E1386" i="18"/>
  <c r="F1386" i="18"/>
  <c r="G1386" i="18"/>
  <c r="H1386" i="18"/>
  <c r="I1386" i="18"/>
  <c r="J1386" i="18"/>
  <c r="A1387" i="18"/>
  <c r="B1387" i="18"/>
  <c r="C1387" i="18"/>
  <c r="D1387" i="18"/>
  <c r="E1387" i="18"/>
  <c r="F1387" i="18"/>
  <c r="G1387" i="18"/>
  <c r="H1387" i="18"/>
  <c r="I1387" i="18"/>
  <c r="J1387" i="18"/>
  <c r="A1388" i="18"/>
  <c r="B1388" i="18"/>
  <c r="C1388" i="18"/>
  <c r="D1388" i="18"/>
  <c r="E1388" i="18"/>
  <c r="F1388" i="18"/>
  <c r="G1388" i="18"/>
  <c r="H1388" i="18"/>
  <c r="I1388" i="18"/>
  <c r="J1388" i="18"/>
  <c r="A1389" i="18"/>
  <c r="B1389" i="18"/>
  <c r="C1389" i="18"/>
  <c r="D1389" i="18"/>
  <c r="E1389" i="18"/>
  <c r="F1389" i="18"/>
  <c r="G1389" i="18"/>
  <c r="H1389" i="18"/>
  <c r="I1389" i="18"/>
  <c r="J1389" i="18"/>
  <c r="A1390" i="18"/>
  <c r="B1390" i="18"/>
  <c r="C1390" i="18"/>
  <c r="D1390" i="18"/>
  <c r="E1390" i="18"/>
  <c r="F1390" i="18"/>
  <c r="G1390" i="18"/>
  <c r="H1390" i="18"/>
  <c r="I1390" i="18"/>
  <c r="J1390" i="18"/>
  <c r="A1391" i="18"/>
  <c r="B1391" i="18"/>
  <c r="C1391" i="18"/>
  <c r="D1391" i="18"/>
  <c r="E1391" i="18"/>
  <c r="F1391" i="18"/>
  <c r="G1391" i="18"/>
  <c r="H1391" i="18"/>
  <c r="I1391" i="18"/>
  <c r="J1391" i="18"/>
  <c r="A1392" i="18"/>
  <c r="B1392" i="18"/>
  <c r="C1392" i="18"/>
  <c r="D1392" i="18"/>
  <c r="E1392" i="18"/>
  <c r="F1392" i="18"/>
  <c r="G1392" i="18"/>
  <c r="H1392" i="18"/>
  <c r="I1392" i="18"/>
  <c r="J1392" i="18"/>
  <c r="A1393" i="18"/>
  <c r="B1393" i="18"/>
  <c r="C1393" i="18"/>
  <c r="D1393" i="18"/>
  <c r="E1393" i="18"/>
  <c r="F1393" i="18"/>
  <c r="G1393" i="18"/>
  <c r="H1393" i="18"/>
  <c r="I1393" i="18"/>
  <c r="J1393" i="18"/>
  <c r="A1394" i="18"/>
  <c r="B1394" i="18"/>
  <c r="C1394" i="18"/>
  <c r="D1394" i="18"/>
  <c r="E1394" i="18"/>
  <c r="F1394" i="18"/>
  <c r="G1394" i="18"/>
  <c r="H1394" i="18"/>
  <c r="I1394" i="18"/>
  <c r="J1394" i="18"/>
  <c r="A1395" i="18"/>
  <c r="B1395" i="18"/>
  <c r="C1395" i="18"/>
  <c r="D1395" i="18"/>
  <c r="E1395" i="18"/>
  <c r="F1395" i="18"/>
  <c r="G1395" i="18"/>
  <c r="H1395" i="18"/>
  <c r="I1395" i="18"/>
  <c r="J1395" i="18"/>
  <c r="A1396" i="18"/>
  <c r="B1396" i="18"/>
  <c r="C1396" i="18"/>
  <c r="D1396" i="18"/>
  <c r="E1396" i="18"/>
  <c r="F1396" i="18"/>
  <c r="G1396" i="18"/>
  <c r="H1396" i="18"/>
  <c r="I1396" i="18"/>
  <c r="J1396" i="18"/>
  <c r="A1397" i="18"/>
  <c r="B1397" i="18"/>
  <c r="C1397" i="18"/>
  <c r="D1397" i="18"/>
  <c r="E1397" i="18"/>
  <c r="F1397" i="18"/>
  <c r="G1397" i="18"/>
  <c r="H1397" i="18"/>
  <c r="I1397" i="18"/>
  <c r="J1397" i="18"/>
  <c r="A1398" i="18"/>
  <c r="B1398" i="18"/>
  <c r="C1398" i="18"/>
  <c r="D1398" i="18"/>
  <c r="E1398" i="18"/>
  <c r="F1398" i="18"/>
  <c r="G1398" i="18"/>
  <c r="H1398" i="18"/>
  <c r="I1398" i="18"/>
  <c r="J1398" i="18"/>
  <c r="A1399" i="18"/>
  <c r="B1399" i="18"/>
  <c r="C1399" i="18"/>
  <c r="D1399" i="18"/>
  <c r="E1399" i="18"/>
  <c r="F1399" i="18"/>
  <c r="G1399" i="18"/>
  <c r="H1399" i="18"/>
  <c r="I1399" i="18"/>
  <c r="J1399" i="18"/>
  <c r="A1400" i="18"/>
  <c r="B1400" i="18"/>
  <c r="C1400" i="18"/>
  <c r="D1400" i="18"/>
  <c r="E1400" i="18"/>
  <c r="F1400" i="18"/>
  <c r="G1400" i="18"/>
  <c r="H1400" i="18"/>
  <c r="I1400" i="18"/>
  <c r="J1400" i="18"/>
  <c r="A1401" i="18"/>
  <c r="B1401" i="18"/>
  <c r="C1401" i="18"/>
  <c r="D1401" i="18"/>
  <c r="E1401" i="18"/>
  <c r="F1401" i="18"/>
  <c r="G1401" i="18"/>
  <c r="H1401" i="18"/>
  <c r="I1401" i="18"/>
  <c r="J1401" i="18"/>
  <c r="A1402" i="18"/>
  <c r="B1402" i="18"/>
  <c r="C1402" i="18"/>
  <c r="D1402" i="18"/>
  <c r="E1402" i="18"/>
  <c r="F1402" i="18"/>
  <c r="G1402" i="18"/>
  <c r="H1402" i="18"/>
  <c r="I1402" i="18"/>
  <c r="J1402" i="18"/>
  <c r="A1403" i="18"/>
  <c r="B1403" i="18"/>
  <c r="C1403" i="18"/>
  <c r="D1403" i="18"/>
  <c r="E1403" i="18"/>
  <c r="F1403" i="18"/>
  <c r="G1403" i="18"/>
  <c r="H1403" i="18"/>
  <c r="I1403" i="18"/>
  <c r="J1403" i="18"/>
  <c r="A1404" i="18"/>
  <c r="B1404" i="18"/>
  <c r="C1404" i="18"/>
  <c r="D1404" i="18"/>
  <c r="E1404" i="18"/>
  <c r="F1404" i="18"/>
  <c r="G1404" i="18"/>
  <c r="H1404" i="18"/>
  <c r="I1404" i="18"/>
  <c r="J1404" i="18"/>
  <c r="A1405" i="18"/>
  <c r="B1405" i="18"/>
  <c r="C1405" i="18"/>
  <c r="D1405" i="18"/>
  <c r="E1405" i="18"/>
  <c r="F1405" i="18"/>
  <c r="G1405" i="18"/>
  <c r="H1405" i="18"/>
  <c r="I1405" i="18"/>
  <c r="J1405" i="18"/>
  <c r="A1406" i="18"/>
  <c r="B1406" i="18"/>
  <c r="C1406" i="18"/>
  <c r="D1406" i="18"/>
  <c r="E1406" i="18"/>
  <c r="F1406" i="18"/>
  <c r="G1406" i="18"/>
  <c r="H1406" i="18"/>
  <c r="I1406" i="18"/>
  <c r="J1406" i="18"/>
  <c r="A1407" i="18"/>
  <c r="B1407" i="18"/>
  <c r="C1407" i="18"/>
  <c r="D1407" i="18"/>
  <c r="E1407" i="18"/>
  <c r="F1407" i="18"/>
  <c r="G1407" i="18"/>
  <c r="H1407" i="18"/>
  <c r="I1407" i="18"/>
  <c r="J1407" i="18"/>
  <c r="A1408" i="18"/>
  <c r="B1408" i="18"/>
  <c r="C1408" i="18"/>
  <c r="D1408" i="18"/>
  <c r="E1408" i="18"/>
  <c r="F1408" i="18"/>
  <c r="G1408" i="18"/>
  <c r="H1408" i="18"/>
  <c r="I1408" i="18"/>
  <c r="J1408" i="18"/>
  <c r="A1409" i="18"/>
  <c r="B1409" i="18"/>
  <c r="C1409" i="18"/>
  <c r="D1409" i="18"/>
  <c r="E1409" i="18"/>
  <c r="F1409" i="18"/>
  <c r="G1409" i="18"/>
  <c r="H1409" i="18"/>
  <c r="I1409" i="18"/>
  <c r="J1409" i="18"/>
  <c r="A1410" i="18"/>
  <c r="B1410" i="18"/>
  <c r="C1410" i="18"/>
  <c r="D1410" i="18"/>
  <c r="E1410" i="18"/>
  <c r="F1410" i="18"/>
  <c r="G1410" i="18"/>
  <c r="H1410" i="18"/>
  <c r="I1410" i="18"/>
  <c r="J1410" i="18"/>
  <c r="A1411" i="18"/>
  <c r="B1411" i="18"/>
  <c r="C1411" i="18"/>
  <c r="D1411" i="18"/>
  <c r="E1411" i="18"/>
  <c r="F1411" i="18"/>
  <c r="G1411" i="18"/>
  <c r="H1411" i="18"/>
  <c r="I1411" i="18"/>
  <c r="J1411" i="18"/>
  <c r="A1412" i="18"/>
  <c r="B1412" i="18"/>
  <c r="C1412" i="18"/>
  <c r="D1412" i="18"/>
  <c r="E1412" i="18"/>
  <c r="F1412" i="18"/>
  <c r="G1412" i="18"/>
  <c r="H1412" i="18"/>
  <c r="I1412" i="18"/>
  <c r="J1412" i="18"/>
  <c r="A1413" i="18"/>
  <c r="B1413" i="18"/>
  <c r="C1413" i="18"/>
  <c r="D1413" i="18"/>
  <c r="E1413" i="18"/>
  <c r="F1413" i="18"/>
  <c r="G1413" i="18"/>
  <c r="H1413" i="18"/>
  <c r="I1413" i="18"/>
  <c r="J1413" i="18"/>
  <c r="A1414" i="18"/>
  <c r="B1414" i="18"/>
  <c r="C1414" i="18"/>
  <c r="D1414" i="18"/>
  <c r="E1414" i="18"/>
  <c r="F1414" i="18"/>
  <c r="G1414" i="18"/>
  <c r="H1414" i="18"/>
  <c r="I1414" i="18"/>
  <c r="J1414" i="18"/>
  <c r="A1415" i="18"/>
  <c r="B1415" i="18"/>
  <c r="C1415" i="18"/>
  <c r="D1415" i="18"/>
  <c r="E1415" i="18"/>
  <c r="F1415" i="18"/>
  <c r="G1415" i="18"/>
  <c r="H1415" i="18"/>
  <c r="I1415" i="18"/>
  <c r="J1415" i="18"/>
  <c r="A1416" i="18"/>
  <c r="B1416" i="18"/>
  <c r="C1416" i="18"/>
  <c r="D1416" i="18"/>
  <c r="E1416" i="18"/>
  <c r="F1416" i="18"/>
  <c r="G1416" i="18"/>
  <c r="H1416" i="18"/>
  <c r="I1416" i="18"/>
  <c r="J1416" i="18"/>
  <c r="A1417" i="18"/>
  <c r="B1417" i="18"/>
  <c r="C1417" i="18"/>
  <c r="D1417" i="18"/>
  <c r="E1417" i="18"/>
  <c r="F1417" i="18"/>
  <c r="G1417" i="18"/>
  <c r="H1417" i="18"/>
  <c r="I1417" i="18"/>
  <c r="J1417" i="18"/>
  <c r="A1418" i="18"/>
  <c r="B1418" i="18"/>
  <c r="C1418" i="18"/>
  <c r="D1418" i="18"/>
  <c r="E1418" i="18"/>
  <c r="F1418" i="18"/>
  <c r="G1418" i="18"/>
  <c r="H1418" i="18"/>
  <c r="I1418" i="18"/>
  <c r="J1418" i="18"/>
  <c r="A1419" i="18"/>
  <c r="B1419" i="18"/>
  <c r="C1419" i="18"/>
  <c r="D1419" i="18"/>
  <c r="E1419" i="18"/>
  <c r="F1419" i="18"/>
  <c r="G1419" i="18"/>
  <c r="H1419" i="18"/>
  <c r="I1419" i="18"/>
  <c r="J1419" i="18"/>
  <c r="A1420" i="18"/>
  <c r="B1420" i="18"/>
  <c r="C1420" i="18"/>
  <c r="D1420" i="18"/>
  <c r="E1420" i="18"/>
  <c r="F1420" i="18"/>
  <c r="G1420" i="18"/>
  <c r="H1420" i="18"/>
  <c r="I1420" i="18"/>
  <c r="J1420" i="18"/>
  <c r="A1421" i="18"/>
  <c r="B1421" i="18"/>
  <c r="C1421" i="18"/>
  <c r="D1421" i="18"/>
  <c r="E1421" i="18"/>
  <c r="F1421" i="18"/>
  <c r="G1421" i="18"/>
  <c r="H1421" i="18"/>
  <c r="I1421" i="18"/>
  <c r="J1421" i="18"/>
  <c r="A1422" i="18"/>
  <c r="B1422" i="18"/>
  <c r="C1422" i="18"/>
  <c r="D1422" i="18"/>
  <c r="E1422" i="18"/>
  <c r="F1422" i="18"/>
  <c r="G1422" i="18"/>
  <c r="H1422" i="18"/>
  <c r="I1422" i="18"/>
  <c r="J1422" i="18"/>
  <c r="A1423" i="18"/>
  <c r="B1423" i="18"/>
  <c r="C1423" i="18"/>
  <c r="D1423" i="18"/>
  <c r="E1423" i="18"/>
  <c r="F1423" i="18"/>
  <c r="G1423" i="18"/>
  <c r="H1423" i="18"/>
  <c r="I1423" i="18"/>
  <c r="J1423" i="18"/>
  <c r="A1424" i="18"/>
  <c r="B1424" i="18"/>
  <c r="C1424" i="18"/>
  <c r="D1424" i="18"/>
  <c r="E1424" i="18"/>
  <c r="F1424" i="18"/>
  <c r="G1424" i="18"/>
  <c r="H1424" i="18"/>
  <c r="I1424" i="18"/>
  <c r="J1424" i="18"/>
  <c r="A1425" i="18"/>
  <c r="B1425" i="18"/>
  <c r="C1425" i="18"/>
  <c r="D1425" i="18"/>
  <c r="E1425" i="18"/>
  <c r="F1425" i="18"/>
  <c r="G1425" i="18"/>
  <c r="H1425" i="18"/>
  <c r="I1425" i="18"/>
  <c r="J1425" i="18"/>
  <c r="A1426" i="18"/>
  <c r="B1426" i="18"/>
  <c r="C1426" i="18"/>
  <c r="D1426" i="18"/>
  <c r="E1426" i="18"/>
  <c r="F1426" i="18"/>
  <c r="G1426" i="18"/>
  <c r="H1426" i="18"/>
  <c r="I1426" i="18"/>
  <c r="J1426" i="18"/>
  <c r="A1427" i="18"/>
  <c r="B1427" i="18"/>
  <c r="C1427" i="18"/>
  <c r="D1427" i="18"/>
  <c r="E1427" i="18"/>
  <c r="F1427" i="18"/>
  <c r="G1427" i="18"/>
  <c r="H1427" i="18"/>
  <c r="I1427" i="18"/>
  <c r="J1427" i="18"/>
  <c r="A1428" i="18"/>
  <c r="B1428" i="18"/>
  <c r="C1428" i="18"/>
  <c r="D1428" i="18"/>
  <c r="E1428" i="18"/>
  <c r="F1428" i="18"/>
  <c r="G1428" i="18"/>
  <c r="H1428" i="18"/>
  <c r="I1428" i="18"/>
  <c r="J1428" i="18"/>
  <c r="A1429" i="18"/>
  <c r="B1429" i="18"/>
  <c r="C1429" i="18"/>
  <c r="D1429" i="18"/>
  <c r="E1429" i="18"/>
  <c r="F1429" i="18"/>
  <c r="G1429" i="18"/>
  <c r="H1429" i="18"/>
  <c r="I1429" i="18"/>
  <c r="J1429" i="18"/>
  <c r="A1430" i="18"/>
  <c r="B1430" i="18"/>
  <c r="C1430" i="18"/>
  <c r="D1430" i="18"/>
  <c r="E1430" i="18"/>
  <c r="F1430" i="18"/>
  <c r="G1430" i="18"/>
  <c r="H1430" i="18"/>
  <c r="I1430" i="18"/>
  <c r="J1430" i="18"/>
  <c r="A1431" i="18"/>
  <c r="B1431" i="18"/>
  <c r="C1431" i="18"/>
  <c r="D1431" i="18"/>
  <c r="E1431" i="18"/>
  <c r="F1431" i="18"/>
  <c r="G1431" i="18"/>
  <c r="H1431" i="18"/>
  <c r="I1431" i="18"/>
  <c r="J1431" i="18"/>
  <c r="A1432" i="18"/>
  <c r="B1432" i="18"/>
  <c r="C1432" i="18"/>
  <c r="D1432" i="18"/>
  <c r="E1432" i="18"/>
  <c r="F1432" i="18"/>
  <c r="G1432" i="18"/>
  <c r="H1432" i="18"/>
  <c r="I1432" i="18"/>
  <c r="J1432" i="18"/>
  <c r="A1433" i="18"/>
  <c r="B1433" i="18"/>
  <c r="C1433" i="18"/>
  <c r="D1433" i="18"/>
  <c r="E1433" i="18"/>
  <c r="F1433" i="18"/>
  <c r="G1433" i="18"/>
  <c r="H1433" i="18"/>
  <c r="I1433" i="18"/>
  <c r="J1433" i="18"/>
  <c r="A1434" i="18"/>
  <c r="B1434" i="18"/>
  <c r="C1434" i="18"/>
  <c r="D1434" i="18"/>
  <c r="E1434" i="18"/>
  <c r="F1434" i="18"/>
  <c r="G1434" i="18"/>
  <c r="H1434" i="18"/>
  <c r="I1434" i="18"/>
  <c r="J1434" i="18"/>
  <c r="A1435" i="18"/>
  <c r="B1435" i="18"/>
  <c r="C1435" i="18"/>
  <c r="D1435" i="18"/>
  <c r="E1435" i="18"/>
  <c r="F1435" i="18"/>
  <c r="G1435" i="18"/>
  <c r="H1435" i="18"/>
  <c r="I1435" i="18"/>
  <c r="J1435" i="18"/>
  <c r="A1436" i="18"/>
  <c r="B1436" i="18"/>
  <c r="C1436" i="18"/>
  <c r="D1436" i="18"/>
  <c r="E1436" i="18"/>
  <c r="F1436" i="18"/>
  <c r="G1436" i="18"/>
  <c r="H1436" i="18"/>
  <c r="I1436" i="18"/>
  <c r="J1436" i="18"/>
  <c r="A1437" i="18"/>
  <c r="B1437" i="18"/>
  <c r="C1437" i="18"/>
  <c r="D1437" i="18"/>
  <c r="E1437" i="18"/>
  <c r="F1437" i="18"/>
  <c r="G1437" i="18"/>
  <c r="H1437" i="18"/>
  <c r="I1437" i="18"/>
  <c r="J1437" i="18"/>
  <c r="A1438" i="18"/>
  <c r="B1438" i="18"/>
  <c r="C1438" i="18"/>
  <c r="D1438" i="18"/>
  <c r="E1438" i="18"/>
  <c r="F1438" i="18"/>
  <c r="G1438" i="18"/>
  <c r="H1438" i="18"/>
  <c r="I1438" i="18"/>
  <c r="J1438" i="18"/>
  <c r="A1439" i="18"/>
  <c r="B1439" i="18"/>
  <c r="C1439" i="18"/>
  <c r="D1439" i="18"/>
  <c r="E1439" i="18"/>
  <c r="F1439" i="18"/>
  <c r="G1439" i="18"/>
  <c r="H1439" i="18"/>
  <c r="I1439" i="18"/>
  <c r="J1439" i="18"/>
  <c r="A1440" i="18"/>
  <c r="B1440" i="18"/>
  <c r="C1440" i="18"/>
  <c r="D1440" i="18"/>
  <c r="E1440" i="18"/>
  <c r="F1440" i="18"/>
  <c r="G1440" i="18"/>
  <c r="H1440" i="18"/>
  <c r="I1440" i="18"/>
  <c r="J1440" i="18"/>
  <c r="A1441" i="18"/>
  <c r="B1441" i="18"/>
  <c r="C1441" i="18"/>
  <c r="D1441" i="18"/>
  <c r="E1441" i="18"/>
  <c r="F1441" i="18"/>
  <c r="G1441" i="18"/>
  <c r="H1441" i="18"/>
  <c r="I1441" i="18"/>
  <c r="J1441" i="18"/>
  <c r="A1442" i="18"/>
  <c r="B1442" i="18"/>
  <c r="C1442" i="18"/>
  <c r="D1442" i="18"/>
  <c r="E1442" i="18"/>
  <c r="F1442" i="18"/>
  <c r="G1442" i="18"/>
  <c r="H1442" i="18"/>
  <c r="I1442" i="18"/>
  <c r="J1442" i="18"/>
  <c r="A1443" i="18"/>
  <c r="B1443" i="18"/>
  <c r="C1443" i="18"/>
  <c r="D1443" i="18"/>
  <c r="E1443" i="18"/>
  <c r="F1443" i="18"/>
  <c r="G1443" i="18"/>
  <c r="H1443" i="18"/>
  <c r="I1443" i="18"/>
  <c r="J1443" i="18"/>
  <c r="A1444" i="18"/>
  <c r="B1444" i="18"/>
  <c r="C1444" i="18"/>
  <c r="D1444" i="18"/>
  <c r="E1444" i="18"/>
  <c r="F1444" i="18"/>
  <c r="G1444" i="18"/>
  <c r="H1444" i="18"/>
  <c r="I1444" i="18"/>
  <c r="J1444" i="18"/>
  <c r="A1445" i="18"/>
  <c r="B1445" i="18"/>
  <c r="C1445" i="18"/>
  <c r="D1445" i="18"/>
  <c r="E1445" i="18"/>
  <c r="F1445" i="18"/>
  <c r="G1445" i="18"/>
  <c r="H1445" i="18"/>
  <c r="I1445" i="18"/>
  <c r="J1445" i="18"/>
  <c r="A1446" i="18"/>
  <c r="B1446" i="18"/>
  <c r="C1446" i="18"/>
  <c r="D1446" i="18"/>
  <c r="E1446" i="18"/>
  <c r="F1446" i="18"/>
  <c r="G1446" i="18"/>
  <c r="H1446" i="18"/>
  <c r="I1446" i="18"/>
  <c r="J1446" i="18"/>
  <c r="A1447" i="18"/>
  <c r="B1447" i="18"/>
  <c r="C1447" i="18"/>
  <c r="D1447" i="18"/>
  <c r="E1447" i="18"/>
  <c r="F1447" i="18"/>
  <c r="G1447" i="18"/>
  <c r="H1447" i="18"/>
  <c r="I1447" i="18"/>
  <c r="J1447" i="18"/>
  <c r="A1448" i="18"/>
  <c r="B1448" i="18"/>
  <c r="C1448" i="18"/>
  <c r="D1448" i="18"/>
  <c r="E1448" i="18"/>
  <c r="F1448" i="18"/>
  <c r="G1448" i="18"/>
  <c r="H1448" i="18"/>
  <c r="I1448" i="18"/>
  <c r="J1448" i="18"/>
  <c r="A1449" i="18"/>
  <c r="B1449" i="18"/>
  <c r="C1449" i="18"/>
  <c r="D1449" i="18"/>
  <c r="E1449" i="18"/>
  <c r="F1449" i="18"/>
  <c r="G1449" i="18"/>
  <c r="H1449" i="18"/>
  <c r="I1449" i="18"/>
  <c r="J1449" i="18"/>
  <c r="A1450" i="18"/>
  <c r="B1450" i="18"/>
  <c r="C1450" i="18"/>
  <c r="D1450" i="18"/>
  <c r="E1450" i="18"/>
  <c r="F1450" i="18"/>
  <c r="G1450" i="18"/>
  <c r="H1450" i="18"/>
  <c r="I1450" i="18"/>
  <c r="J1450" i="18"/>
  <c r="A1451" i="18"/>
  <c r="B1451" i="18"/>
  <c r="C1451" i="18"/>
  <c r="D1451" i="18"/>
  <c r="E1451" i="18"/>
  <c r="F1451" i="18"/>
  <c r="G1451" i="18"/>
  <c r="H1451" i="18"/>
  <c r="I1451" i="18"/>
  <c r="J1451" i="18"/>
  <c r="A1452" i="18"/>
  <c r="B1452" i="18"/>
  <c r="C1452" i="18"/>
  <c r="D1452" i="18"/>
  <c r="E1452" i="18"/>
  <c r="F1452" i="18"/>
  <c r="G1452" i="18"/>
  <c r="H1452" i="18"/>
  <c r="I1452" i="18"/>
  <c r="J1452" i="18"/>
  <c r="A1453" i="18"/>
  <c r="B1453" i="18"/>
  <c r="C1453" i="18"/>
  <c r="D1453" i="18"/>
  <c r="E1453" i="18"/>
  <c r="F1453" i="18"/>
  <c r="G1453" i="18"/>
  <c r="H1453" i="18"/>
  <c r="I1453" i="18"/>
  <c r="J1453" i="18"/>
  <c r="A1454" i="18"/>
  <c r="B1454" i="18"/>
  <c r="C1454" i="18"/>
  <c r="D1454" i="18"/>
  <c r="E1454" i="18"/>
  <c r="F1454" i="18"/>
  <c r="G1454" i="18"/>
  <c r="H1454" i="18"/>
  <c r="I1454" i="18"/>
  <c r="J1454" i="18"/>
  <c r="A1455" i="18"/>
  <c r="B1455" i="18"/>
  <c r="C1455" i="18"/>
  <c r="D1455" i="18"/>
  <c r="E1455" i="18"/>
  <c r="F1455" i="18"/>
  <c r="G1455" i="18"/>
  <c r="H1455" i="18"/>
  <c r="I1455" i="18"/>
  <c r="J1455" i="18"/>
  <c r="A1456" i="18"/>
  <c r="B1456" i="18"/>
  <c r="C1456" i="18"/>
  <c r="D1456" i="18"/>
  <c r="E1456" i="18"/>
  <c r="F1456" i="18"/>
  <c r="G1456" i="18"/>
  <c r="H1456" i="18"/>
  <c r="I1456" i="18"/>
  <c r="J1456" i="18"/>
  <c r="A1457" i="18"/>
  <c r="B1457" i="18"/>
  <c r="C1457" i="18"/>
  <c r="D1457" i="18"/>
  <c r="E1457" i="18"/>
  <c r="F1457" i="18"/>
  <c r="G1457" i="18"/>
  <c r="H1457" i="18"/>
  <c r="I1457" i="18"/>
  <c r="J1457" i="18"/>
  <c r="A1458" i="18"/>
  <c r="B1458" i="18"/>
  <c r="C1458" i="18"/>
  <c r="D1458" i="18"/>
  <c r="E1458" i="18"/>
  <c r="F1458" i="18"/>
  <c r="G1458" i="18"/>
  <c r="H1458" i="18"/>
  <c r="I1458" i="18"/>
  <c r="J1458" i="18"/>
  <c r="A1459" i="18"/>
  <c r="B1459" i="18"/>
  <c r="C1459" i="18"/>
  <c r="D1459" i="18"/>
  <c r="E1459" i="18"/>
  <c r="F1459" i="18"/>
  <c r="G1459" i="18"/>
  <c r="H1459" i="18"/>
  <c r="I1459" i="18"/>
  <c r="J1459" i="18"/>
  <c r="A1460" i="18"/>
  <c r="B1460" i="18"/>
  <c r="C1460" i="18"/>
  <c r="D1460" i="18"/>
  <c r="E1460" i="18"/>
  <c r="F1460" i="18"/>
  <c r="G1460" i="18"/>
  <c r="H1460" i="18"/>
  <c r="I1460" i="18"/>
  <c r="J1460" i="18"/>
  <c r="A1461" i="18"/>
  <c r="B1461" i="18"/>
  <c r="C1461" i="18"/>
  <c r="D1461" i="18"/>
  <c r="E1461" i="18"/>
  <c r="F1461" i="18"/>
  <c r="G1461" i="18"/>
  <c r="H1461" i="18"/>
  <c r="I1461" i="18"/>
  <c r="J1461" i="18"/>
  <c r="A1462" i="18"/>
  <c r="B1462" i="18"/>
  <c r="C1462" i="18"/>
  <c r="D1462" i="18"/>
  <c r="E1462" i="18"/>
  <c r="F1462" i="18"/>
  <c r="G1462" i="18"/>
  <c r="H1462" i="18"/>
  <c r="I1462" i="18"/>
  <c r="J1462" i="18"/>
  <c r="A1463" i="18"/>
  <c r="B1463" i="18"/>
  <c r="C1463" i="18"/>
  <c r="D1463" i="18"/>
  <c r="E1463" i="18"/>
  <c r="F1463" i="18"/>
  <c r="G1463" i="18"/>
  <c r="H1463" i="18"/>
  <c r="I1463" i="18"/>
  <c r="J1463" i="18"/>
  <c r="A1464" i="18"/>
  <c r="B1464" i="18"/>
  <c r="C1464" i="18"/>
  <c r="D1464" i="18"/>
  <c r="E1464" i="18"/>
  <c r="F1464" i="18"/>
  <c r="G1464" i="18"/>
  <c r="H1464" i="18"/>
  <c r="I1464" i="18"/>
  <c r="J1464" i="18"/>
  <c r="A1465" i="18"/>
  <c r="B1465" i="18"/>
  <c r="C1465" i="18"/>
  <c r="D1465" i="18"/>
  <c r="E1465" i="18"/>
  <c r="F1465" i="18"/>
  <c r="G1465" i="18"/>
  <c r="H1465" i="18"/>
  <c r="I1465" i="18"/>
  <c r="J1465" i="18"/>
  <c r="A1466" i="18"/>
  <c r="B1466" i="18"/>
  <c r="C1466" i="18"/>
  <c r="D1466" i="18"/>
  <c r="E1466" i="18"/>
  <c r="F1466" i="18"/>
  <c r="G1466" i="18"/>
  <c r="H1466" i="18"/>
  <c r="I1466" i="18"/>
  <c r="J1466" i="18"/>
  <c r="A1467" i="18"/>
  <c r="B1467" i="18"/>
  <c r="C1467" i="18"/>
  <c r="D1467" i="18"/>
  <c r="E1467" i="18"/>
  <c r="F1467" i="18"/>
  <c r="G1467" i="18"/>
  <c r="H1467" i="18"/>
  <c r="I1467" i="18"/>
  <c r="J1467" i="18"/>
  <c r="A1468" i="18"/>
  <c r="B1468" i="18"/>
  <c r="C1468" i="18"/>
  <c r="D1468" i="18"/>
  <c r="E1468" i="18"/>
  <c r="F1468" i="18"/>
  <c r="G1468" i="18"/>
  <c r="H1468" i="18"/>
  <c r="I1468" i="18"/>
  <c r="J1468" i="18"/>
  <c r="A1469" i="18"/>
  <c r="B1469" i="18"/>
  <c r="C1469" i="18"/>
  <c r="D1469" i="18"/>
  <c r="E1469" i="18"/>
  <c r="F1469" i="18"/>
  <c r="G1469" i="18"/>
  <c r="H1469" i="18"/>
  <c r="I1469" i="18"/>
  <c r="J1469" i="18"/>
  <c r="A1470" i="18"/>
  <c r="B1470" i="18"/>
  <c r="C1470" i="18"/>
  <c r="D1470" i="18"/>
  <c r="E1470" i="18"/>
  <c r="F1470" i="18"/>
  <c r="G1470" i="18"/>
  <c r="H1470" i="18"/>
  <c r="I1470" i="18"/>
  <c r="J1470" i="18"/>
  <c r="A1471" i="18"/>
  <c r="B1471" i="18"/>
  <c r="C1471" i="18"/>
  <c r="D1471" i="18"/>
  <c r="E1471" i="18"/>
  <c r="F1471" i="18"/>
  <c r="G1471" i="18"/>
  <c r="H1471" i="18"/>
  <c r="I1471" i="18"/>
  <c r="J1471" i="18"/>
  <c r="A1472" i="18"/>
  <c r="B1472" i="18"/>
  <c r="C1472" i="18"/>
  <c r="D1472" i="18"/>
  <c r="E1472" i="18"/>
  <c r="F1472" i="18"/>
  <c r="G1472" i="18"/>
  <c r="H1472" i="18"/>
  <c r="I1472" i="18"/>
  <c r="J1472" i="18"/>
  <c r="A1473" i="18"/>
  <c r="B1473" i="18"/>
  <c r="C1473" i="18"/>
  <c r="D1473" i="18"/>
  <c r="E1473" i="18"/>
  <c r="F1473" i="18"/>
  <c r="G1473" i="18"/>
  <c r="H1473" i="18"/>
  <c r="I1473" i="18"/>
  <c r="J1473" i="18"/>
  <c r="A1474" i="18"/>
  <c r="B1474" i="18"/>
  <c r="C1474" i="18"/>
  <c r="D1474" i="18"/>
  <c r="E1474" i="18"/>
  <c r="F1474" i="18"/>
  <c r="G1474" i="18"/>
  <c r="H1474" i="18"/>
  <c r="I1474" i="18"/>
  <c r="J1474" i="18"/>
  <c r="A1475" i="18"/>
  <c r="B1475" i="18"/>
  <c r="C1475" i="18"/>
  <c r="D1475" i="18"/>
  <c r="E1475" i="18"/>
  <c r="F1475" i="18"/>
  <c r="G1475" i="18"/>
  <c r="H1475" i="18"/>
  <c r="I1475" i="18"/>
  <c r="J1475" i="18"/>
  <c r="A1476" i="18"/>
  <c r="B1476" i="18"/>
  <c r="C1476" i="18"/>
  <c r="D1476" i="18"/>
  <c r="E1476" i="18"/>
  <c r="F1476" i="18"/>
  <c r="G1476" i="18"/>
  <c r="H1476" i="18"/>
  <c r="I1476" i="18"/>
  <c r="J1476" i="18"/>
  <c r="A1477" i="18"/>
  <c r="B1477" i="18"/>
  <c r="C1477" i="18"/>
  <c r="D1477" i="18"/>
  <c r="E1477" i="18"/>
  <c r="F1477" i="18"/>
  <c r="G1477" i="18"/>
  <c r="H1477" i="18"/>
  <c r="I1477" i="18"/>
  <c r="J1477" i="18"/>
  <c r="A1478" i="18"/>
  <c r="B1478" i="18"/>
  <c r="C1478" i="18"/>
  <c r="D1478" i="18"/>
  <c r="E1478" i="18"/>
  <c r="F1478" i="18"/>
  <c r="G1478" i="18"/>
  <c r="H1478" i="18"/>
  <c r="I1478" i="18"/>
  <c r="J1478" i="18"/>
  <c r="A1479" i="18"/>
  <c r="B1479" i="18"/>
  <c r="C1479" i="18"/>
  <c r="D1479" i="18"/>
  <c r="E1479" i="18"/>
  <c r="F1479" i="18"/>
  <c r="G1479" i="18"/>
  <c r="H1479" i="18"/>
  <c r="I1479" i="18"/>
  <c r="J1479" i="18"/>
  <c r="A1480" i="18"/>
  <c r="B1480" i="18"/>
  <c r="C1480" i="18"/>
  <c r="D1480" i="18"/>
  <c r="E1480" i="18"/>
  <c r="F1480" i="18"/>
  <c r="G1480" i="18"/>
  <c r="H1480" i="18"/>
  <c r="I1480" i="18"/>
  <c r="J1480" i="18"/>
  <c r="A1481" i="18"/>
  <c r="B1481" i="18"/>
  <c r="C1481" i="18"/>
  <c r="D1481" i="18"/>
  <c r="E1481" i="18"/>
  <c r="F1481" i="18"/>
  <c r="G1481" i="18"/>
  <c r="H1481" i="18"/>
  <c r="I1481" i="18"/>
  <c r="J1481" i="18"/>
  <c r="A1482" i="18"/>
  <c r="B1482" i="18"/>
  <c r="C1482" i="18"/>
  <c r="D1482" i="18"/>
  <c r="E1482" i="18"/>
  <c r="F1482" i="18"/>
  <c r="G1482" i="18"/>
  <c r="H1482" i="18"/>
  <c r="I1482" i="18"/>
  <c r="J1482" i="18"/>
  <c r="A1483" i="18"/>
  <c r="B1483" i="18"/>
  <c r="C1483" i="18"/>
  <c r="D1483" i="18"/>
  <c r="E1483" i="18"/>
  <c r="F1483" i="18"/>
  <c r="G1483" i="18"/>
  <c r="H1483" i="18"/>
  <c r="I1483" i="18"/>
  <c r="J1483" i="18"/>
  <c r="A1484" i="18"/>
  <c r="B1484" i="18"/>
  <c r="C1484" i="18"/>
  <c r="D1484" i="18"/>
  <c r="E1484" i="18"/>
  <c r="F1484" i="18"/>
  <c r="G1484" i="18"/>
  <c r="H1484" i="18"/>
  <c r="I1484" i="18"/>
  <c r="J1484" i="18"/>
  <c r="A1485" i="18"/>
  <c r="B1485" i="18"/>
  <c r="C1485" i="18"/>
  <c r="D1485" i="18"/>
  <c r="E1485" i="18"/>
  <c r="F1485" i="18"/>
  <c r="G1485" i="18"/>
  <c r="H1485" i="18"/>
  <c r="I1485" i="18"/>
  <c r="J1485" i="18"/>
  <c r="A1486" i="18"/>
  <c r="B1486" i="18"/>
  <c r="C1486" i="18"/>
  <c r="D1486" i="18"/>
  <c r="E1486" i="18"/>
  <c r="F1486" i="18"/>
  <c r="G1486" i="18"/>
  <c r="H1486" i="18"/>
  <c r="I1486" i="18"/>
  <c r="J1486" i="18"/>
  <c r="A1487" i="18"/>
  <c r="B1487" i="18"/>
  <c r="C1487" i="18"/>
  <c r="D1487" i="18"/>
  <c r="E1487" i="18"/>
  <c r="F1487" i="18"/>
  <c r="G1487" i="18"/>
  <c r="H1487" i="18"/>
  <c r="I1487" i="18"/>
  <c r="J1487" i="18"/>
  <c r="A1488" i="18"/>
  <c r="B1488" i="18"/>
  <c r="C1488" i="18"/>
  <c r="D1488" i="18"/>
  <c r="E1488" i="18"/>
  <c r="F1488" i="18"/>
  <c r="G1488" i="18"/>
  <c r="H1488" i="18"/>
  <c r="I1488" i="18"/>
  <c r="J1488" i="18"/>
  <c r="A1489" i="18"/>
  <c r="B1489" i="18"/>
  <c r="C1489" i="18"/>
  <c r="D1489" i="18"/>
  <c r="E1489" i="18"/>
  <c r="F1489" i="18"/>
  <c r="G1489" i="18"/>
  <c r="H1489" i="18"/>
  <c r="I1489" i="18"/>
  <c r="J1489" i="18"/>
  <c r="A1490" i="18"/>
  <c r="B1490" i="18"/>
  <c r="C1490" i="18"/>
  <c r="D1490" i="18"/>
  <c r="E1490" i="18"/>
  <c r="F1490" i="18"/>
  <c r="G1490" i="18"/>
  <c r="H1490" i="18"/>
  <c r="I1490" i="18"/>
  <c r="J1490" i="18"/>
  <c r="A1491" i="18"/>
  <c r="B1491" i="18"/>
  <c r="C1491" i="18"/>
  <c r="D1491" i="18"/>
  <c r="E1491" i="18"/>
  <c r="F1491" i="18"/>
  <c r="G1491" i="18"/>
  <c r="H1491" i="18"/>
  <c r="I1491" i="18"/>
  <c r="J1491" i="18"/>
  <c r="A1492" i="18"/>
  <c r="B1492" i="18"/>
  <c r="C1492" i="18"/>
  <c r="D1492" i="18"/>
  <c r="E1492" i="18"/>
  <c r="F1492" i="18"/>
  <c r="G1492" i="18"/>
  <c r="H1492" i="18"/>
  <c r="I1492" i="18"/>
  <c r="J1492" i="18"/>
  <c r="A1493" i="18"/>
  <c r="B1493" i="18"/>
  <c r="C1493" i="18"/>
  <c r="D1493" i="18"/>
  <c r="E1493" i="18"/>
  <c r="F1493" i="18"/>
  <c r="G1493" i="18"/>
  <c r="H1493" i="18"/>
  <c r="I1493" i="18"/>
  <c r="J1493" i="18"/>
  <c r="A1494" i="18"/>
  <c r="B1494" i="18"/>
  <c r="C1494" i="18"/>
  <c r="D1494" i="18"/>
  <c r="E1494" i="18"/>
  <c r="F1494" i="18"/>
  <c r="G1494" i="18"/>
  <c r="H1494" i="18"/>
  <c r="I1494" i="18"/>
  <c r="J1494" i="18"/>
  <c r="A1495" i="18"/>
  <c r="B1495" i="18"/>
  <c r="C1495" i="18"/>
  <c r="D1495" i="18"/>
  <c r="E1495" i="18"/>
  <c r="F1495" i="18"/>
  <c r="G1495" i="18"/>
  <c r="H1495" i="18"/>
  <c r="I1495" i="18"/>
  <c r="J1495" i="18"/>
  <c r="A1496" i="18"/>
  <c r="B1496" i="18"/>
  <c r="C1496" i="18"/>
  <c r="D1496" i="18"/>
  <c r="E1496" i="18"/>
  <c r="F1496" i="18"/>
  <c r="G1496" i="18"/>
  <c r="H1496" i="18"/>
  <c r="I1496" i="18"/>
  <c r="J1496" i="18"/>
  <c r="A1497" i="18"/>
  <c r="B1497" i="18"/>
  <c r="C1497" i="18"/>
  <c r="D1497" i="18"/>
  <c r="E1497" i="18"/>
  <c r="F1497" i="18"/>
  <c r="G1497" i="18"/>
  <c r="H1497" i="18"/>
  <c r="I1497" i="18"/>
  <c r="J1497" i="18"/>
  <c r="A1498" i="18"/>
  <c r="B1498" i="18"/>
  <c r="C1498" i="18"/>
  <c r="D1498" i="18"/>
  <c r="E1498" i="18"/>
  <c r="F1498" i="18"/>
  <c r="G1498" i="18"/>
  <c r="H1498" i="18"/>
  <c r="I1498" i="18"/>
  <c r="J1498" i="18"/>
  <c r="A1499" i="18"/>
  <c r="B1499" i="18"/>
  <c r="C1499" i="18"/>
  <c r="D1499" i="18"/>
  <c r="E1499" i="18"/>
  <c r="F1499" i="18"/>
  <c r="G1499" i="18"/>
  <c r="H1499" i="18"/>
  <c r="I1499" i="18"/>
  <c r="J1499" i="18"/>
  <c r="A1500" i="18"/>
  <c r="B1500" i="18"/>
  <c r="C1500" i="18"/>
  <c r="D1500" i="18"/>
  <c r="E1500" i="18"/>
  <c r="F1500" i="18"/>
  <c r="G1500" i="18"/>
  <c r="H1500" i="18"/>
  <c r="I1500" i="18"/>
  <c r="J1500" i="18"/>
  <c r="A1501" i="18"/>
  <c r="B1501" i="18"/>
  <c r="C1501" i="18"/>
  <c r="D1501" i="18"/>
  <c r="E1501" i="18"/>
  <c r="F1501" i="18"/>
  <c r="G1501" i="18"/>
  <c r="H1501" i="18"/>
  <c r="I1501" i="18"/>
  <c r="J1501" i="18"/>
  <c r="A1502" i="18"/>
  <c r="B1502" i="18"/>
  <c r="C1502" i="18"/>
  <c r="D1502" i="18"/>
  <c r="E1502" i="18"/>
  <c r="F1502" i="18"/>
  <c r="G1502" i="18"/>
  <c r="H1502" i="18"/>
  <c r="I1502" i="18"/>
  <c r="J1502" i="18"/>
  <c r="A1503" i="18"/>
  <c r="B1503" i="18"/>
  <c r="C1503" i="18"/>
  <c r="D1503" i="18"/>
  <c r="E1503" i="18"/>
  <c r="F1503" i="18"/>
  <c r="G1503" i="18"/>
  <c r="H1503" i="18"/>
  <c r="I1503" i="18"/>
  <c r="J1503" i="18"/>
  <c r="A1504" i="18"/>
  <c r="B1504" i="18"/>
  <c r="C1504" i="18"/>
  <c r="D1504" i="18"/>
  <c r="E1504" i="18"/>
  <c r="F1504" i="18"/>
  <c r="G1504" i="18"/>
  <c r="H1504" i="18"/>
  <c r="I1504" i="18"/>
  <c r="J1504" i="18"/>
  <c r="A1505" i="18"/>
  <c r="B1505" i="18"/>
  <c r="C1505" i="18"/>
  <c r="D1505" i="18"/>
  <c r="E1505" i="18"/>
  <c r="F1505" i="18"/>
  <c r="G1505" i="18"/>
  <c r="H1505" i="18"/>
  <c r="I1505" i="18"/>
  <c r="J1505" i="18"/>
  <c r="A1506" i="18"/>
  <c r="B1506" i="18"/>
  <c r="C1506" i="18"/>
  <c r="D1506" i="18"/>
  <c r="E1506" i="18"/>
  <c r="F1506" i="18"/>
  <c r="G1506" i="18"/>
  <c r="H1506" i="18"/>
  <c r="I1506" i="18"/>
  <c r="J1506" i="18"/>
  <c r="A1507" i="18"/>
  <c r="B1507" i="18"/>
  <c r="C1507" i="18"/>
  <c r="D1507" i="18"/>
  <c r="E1507" i="18"/>
  <c r="F1507" i="18"/>
  <c r="G1507" i="18"/>
  <c r="H1507" i="18"/>
  <c r="I1507" i="18"/>
  <c r="J1507" i="18"/>
  <c r="A1508" i="18"/>
  <c r="B1508" i="18"/>
  <c r="C1508" i="18"/>
  <c r="D1508" i="18"/>
  <c r="E1508" i="18"/>
  <c r="F1508" i="18"/>
  <c r="G1508" i="18"/>
  <c r="H1508" i="18"/>
  <c r="I1508" i="18"/>
  <c r="J1508" i="18"/>
  <c r="A1509" i="18"/>
  <c r="B1509" i="18"/>
  <c r="C1509" i="18"/>
  <c r="D1509" i="18"/>
  <c r="E1509" i="18"/>
  <c r="F1509" i="18"/>
  <c r="G1509" i="18"/>
  <c r="H1509" i="18"/>
  <c r="I1509" i="18"/>
  <c r="J1509" i="18"/>
  <c r="A1510" i="18"/>
  <c r="B1510" i="18"/>
  <c r="C1510" i="18"/>
  <c r="D1510" i="18"/>
  <c r="E1510" i="18"/>
  <c r="F1510" i="18"/>
  <c r="G1510" i="18"/>
  <c r="H1510" i="18"/>
  <c r="I1510" i="18"/>
  <c r="J1510" i="18"/>
  <c r="A1511" i="18"/>
  <c r="B1511" i="18"/>
  <c r="C1511" i="18"/>
  <c r="D1511" i="18"/>
  <c r="E1511" i="18"/>
  <c r="F1511" i="18"/>
  <c r="G1511" i="18"/>
  <c r="H1511" i="18"/>
  <c r="I1511" i="18"/>
  <c r="J1511" i="18"/>
  <c r="A1512" i="18"/>
  <c r="B1512" i="18"/>
  <c r="C1512" i="18"/>
  <c r="D1512" i="18"/>
  <c r="E1512" i="18"/>
  <c r="F1512" i="18"/>
  <c r="G1512" i="18"/>
  <c r="H1512" i="18"/>
  <c r="I1512" i="18"/>
  <c r="J1512" i="18"/>
  <c r="A1513" i="18"/>
  <c r="B1513" i="18"/>
  <c r="C1513" i="18"/>
  <c r="D1513" i="18"/>
  <c r="E1513" i="18"/>
  <c r="F1513" i="18"/>
  <c r="G1513" i="18"/>
  <c r="H1513" i="18"/>
  <c r="I1513" i="18"/>
  <c r="J1513" i="18"/>
  <c r="A1514" i="18"/>
  <c r="B1514" i="18"/>
  <c r="C1514" i="18"/>
  <c r="D1514" i="18"/>
  <c r="E1514" i="18"/>
  <c r="F1514" i="18"/>
  <c r="G1514" i="18"/>
  <c r="H1514" i="18"/>
  <c r="I1514" i="18"/>
  <c r="J1514" i="18"/>
  <c r="A1515" i="18"/>
  <c r="B1515" i="18"/>
  <c r="C1515" i="18"/>
  <c r="D1515" i="18"/>
  <c r="E1515" i="18"/>
  <c r="F1515" i="18"/>
  <c r="G1515" i="18"/>
  <c r="H1515" i="18"/>
  <c r="I1515" i="18"/>
  <c r="J1515" i="18"/>
  <c r="A1516" i="18"/>
  <c r="B1516" i="18"/>
  <c r="C1516" i="18"/>
  <c r="D1516" i="18"/>
  <c r="E1516" i="18"/>
  <c r="F1516" i="18"/>
  <c r="G1516" i="18"/>
  <c r="H1516" i="18"/>
  <c r="I1516" i="18"/>
  <c r="J1516" i="18"/>
  <c r="A1517" i="18"/>
  <c r="B1517" i="18"/>
  <c r="C1517" i="18"/>
  <c r="D1517" i="18"/>
  <c r="E1517" i="18"/>
  <c r="F1517" i="18"/>
  <c r="G1517" i="18"/>
  <c r="H1517" i="18"/>
  <c r="I1517" i="18"/>
  <c r="J1517" i="18"/>
  <c r="A1518" i="18"/>
  <c r="B1518" i="18"/>
  <c r="C1518" i="18"/>
  <c r="D1518" i="18"/>
  <c r="E1518" i="18"/>
  <c r="F1518" i="18"/>
  <c r="G1518" i="18"/>
  <c r="H1518" i="18"/>
  <c r="I1518" i="18"/>
  <c r="J1518" i="18"/>
  <c r="A1519" i="18"/>
  <c r="B1519" i="18"/>
  <c r="C1519" i="18"/>
  <c r="D1519" i="18"/>
  <c r="E1519" i="18"/>
  <c r="F1519" i="18"/>
  <c r="G1519" i="18"/>
  <c r="H1519" i="18"/>
  <c r="I1519" i="18"/>
  <c r="J1519" i="18"/>
  <c r="A1520" i="18"/>
  <c r="B1520" i="18"/>
  <c r="C1520" i="18"/>
  <c r="D1520" i="18"/>
  <c r="E1520" i="18"/>
  <c r="F1520" i="18"/>
  <c r="G1520" i="18"/>
  <c r="H1520" i="18"/>
  <c r="I1520" i="18"/>
  <c r="J1520" i="18"/>
  <c r="A1521" i="18"/>
  <c r="B1521" i="18"/>
  <c r="C1521" i="18"/>
  <c r="D1521" i="18"/>
  <c r="E1521" i="18"/>
  <c r="F1521" i="18"/>
  <c r="G1521" i="18"/>
  <c r="H1521" i="18"/>
  <c r="I1521" i="18"/>
  <c r="J1521" i="18"/>
  <c r="A1522" i="18"/>
  <c r="B1522" i="18"/>
  <c r="C1522" i="18"/>
  <c r="D1522" i="18"/>
  <c r="E1522" i="18"/>
  <c r="F1522" i="18"/>
  <c r="G1522" i="18"/>
  <c r="H1522" i="18"/>
  <c r="I1522" i="18"/>
  <c r="J1522" i="18"/>
  <c r="A1523" i="18"/>
  <c r="B1523" i="18"/>
  <c r="C1523" i="18"/>
  <c r="D1523" i="18"/>
  <c r="E1523" i="18"/>
  <c r="F1523" i="18"/>
  <c r="G1523" i="18"/>
  <c r="H1523" i="18"/>
  <c r="I1523" i="18"/>
  <c r="J1523" i="18"/>
  <c r="A1524" i="18"/>
  <c r="B1524" i="18"/>
  <c r="C1524" i="18"/>
  <c r="D1524" i="18"/>
  <c r="E1524" i="18"/>
  <c r="F1524" i="18"/>
  <c r="G1524" i="18"/>
  <c r="H1524" i="18"/>
  <c r="I1524" i="18"/>
  <c r="J1524" i="18"/>
  <c r="A1525" i="18"/>
  <c r="B1525" i="18"/>
  <c r="C1525" i="18"/>
  <c r="D1525" i="18"/>
  <c r="E1525" i="18"/>
  <c r="F1525" i="18"/>
  <c r="G1525" i="18"/>
  <c r="H1525" i="18"/>
  <c r="I1525" i="18"/>
  <c r="J1525" i="18"/>
  <c r="A1526" i="18"/>
  <c r="B1526" i="18"/>
  <c r="C1526" i="18"/>
  <c r="D1526" i="18"/>
  <c r="E1526" i="18"/>
  <c r="F1526" i="18"/>
  <c r="G1526" i="18"/>
  <c r="H1526" i="18"/>
  <c r="I1526" i="18"/>
  <c r="J1526" i="18"/>
  <c r="A1527" i="18"/>
  <c r="B1527" i="18"/>
  <c r="C1527" i="18"/>
  <c r="D1527" i="18"/>
  <c r="E1527" i="18"/>
  <c r="F1527" i="18"/>
  <c r="G1527" i="18"/>
  <c r="H1527" i="18"/>
  <c r="I1527" i="18"/>
  <c r="J1527" i="18"/>
  <c r="A1528" i="18"/>
  <c r="B1528" i="18"/>
  <c r="C1528" i="18"/>
  <c r="D1528" i="18"/>
  <c r="E1528" i="18"/>
  <c r="F1528" i="18"/>
  <c r="G1528" i="18"/>
  <c r="H1528" i="18"/>
  <c r="I1528" i="18"/>
  <c r="J1528" i="18"/>
  <c r="A1529" i="18"/>
  <c r="B1529" i="18"/>
  <c r="C1529" i="18"/>
  <c r="D1529" i="18"/>
  <c r="E1529" i="18"/>
  <c r="F1529" i="18"/>
  <c r="G1529" i="18"/>
  <c r="H1529" i="18"/>
  <c r="I1529" i="18"/>
  <c r="J1529" i="18"/>
  <c r="A1530" i="18"/>
  <c r="B1530" i="18"/>
  <c r="C1530" i="18"/>
  <c r="D1530" i="18"/>
  <c r="E1530" i="18"/>
  <c r="F1530" i="18"/>
  <c r="G1530" i="18"/>
  <c r="H1530" i="18"/>
  <c r="I1530" i="18"/>
  <c r="J1530" i="18"/>
  <c r="A1531" i="18"/>
  <c r="B1531" i="18"/>
  <c r="C1531" i="18"/>
  <c r="D1531" i="18"/>
  <c r="E1531" i="18"/>
  <c r="F1531" i="18"/>
  <c r="G1531" i="18"/>
  <c r="H1531" i="18"/>
  <c r="I1531" i="18"/>
  <c r="J1531" i="18"/>
  <c r="A1532" i="18"/>
  <c r="B1532" i="18"/>
  <c r="C1532" i="18"/>
  <c r="D1532" i="18"/>
  <c r="E1532" i="18"/>
  <c r="F1532" i="18"/>
  <c r="G1532" i="18"/>
  <c r="H1532" i="18"/>
  <c r="I1532" i="18"/>
  <c r="J1532" i="18"/>
  <c r="A1533" i="18"/>
  <c r="B1533" i="18"/>
  <c r="C1533" i="18"/>
  <c r="D1533" i="18"/>
  <c r="E1533" i="18"/>
  <c r="F1533" i="18"/>
  <c r="G1533" i="18"/>
  <c r="H1533" i="18"/>
  <c r="I1533" i="18"/>
  <c r="J1533" i="18"/>
  <c r="A1534" i="18"/>
  <c r="B1534" i="18"/>
  <c r="C1534" i="18"/>
  <c r="D1534" i="18"/>
  <c r="E1534" i="18"/>
  <c r="F1534" i="18"/>
  <c r="G1534" i="18"/>
  <c r="H1534" i="18"/>
  <c r="I1534" i="18"/>
  <c r="J1534" i="18"/>
  <c r="A1535" i="18"/>
  <c r="B1535" i="18"/>
  <c r="C1535" i="18"/>
  <c r="D1535" i="18"/>
  <c r="E1535" i="18"/>
  <c r="F1535" i="18"/>
  <c r="G1535" i="18"/>
  <c r="H1535" i="18"/>
  <c r="I1535" i="18"/>
  <c r="J1535" i="18"/>
  <c r="A1536" i="18"/>
  <c r="B1536" i="18"/>
  <c r="C1536" i="18"/>
  <c r="D1536" i="18"/>
  <c r="E1536" i="18"/>
  <c r="F1536" i="18"/>
  <c r="G1536" i="18"/>
  <c r="H1536" i="18"/>
  <c r="I1536" i="18"/>
  <c r="J1536" i="18"/>
  <c r="A1537" i="18"/>
  <c r="B1537" i="18"/>
  <c r="C1537" i="18"/>
  <c r="D1537" i="18"/>
  <c r="E1537" i="18"/>
  <c r="F1537" i="18"/>
  <c r="G1537" i="18"/>
  <c r="H1537" i="18"/>
  <c r="I1537" i="18"/>
  <c r="J1537" i="18"/>
  <c r="A1538" i="18"/>
  <c r="B1538" i="18"/>
  <c r="C1538" i="18"/>
  <c r="D1538" i="18"/>
  <c r="E1538" i="18"/>
  <c r="F1538" i="18"/>
  <c r="G1538" i="18"/>
  <c r="H1538" i="18"/>
  <c r="I1538" i="18"/>
  <c r="J1538" i="18"/>
  <c r="A1539" i="18"/>
  <c r="B1539" i="18"/>
  <c r="C1539" i="18"/>
  <c r="D1539" i="18"/>
  <c r="E1539" i="18"/>
  <c r="F1539" i="18"/>
  <c r="G1539" i="18"/>
  <c r="H1539" i="18"/>
  <c r="I1539" i="18"/>
  <c r="J1539" i="18"/>
  <c r="A1540" i="18"/>
  <c r="B1540" i="18"/>
  <c r="C1540" i="18"/>
  <c r="D1540" i="18"/>
  <c r="E1540" i="18"/>
  <c r="F1540" i="18"/>
  <c r="G1540" i="18"/>
  <c r="H1540" i="18"/>
  <c r="I1540" i="18"/>
  <c r="J1540" i="18"/>
  <c r="A1541" i="18"/>
  <c r="B1541" i="18"/>
  <c r="C1541" i="18"/>
  <c r="D1541" i="18"/>
  <c r="E1541" i="18"/>
  <c r="F1541" i="18"/>
  <c r="G1541" i="18"/>
  <c r="H1541" i="18"/>
  <c r="I1541" i="18"/>
  <c r="J1541" i="18"/>
  <c r="A1542" i="18"/>
  <c r="B1542" i="18"/>
  <c r="C1542" i="18"/>
  <c r="D1542" i="18"/>
  <c r="E1542" i="18"/>
  <c r="F1542" i="18"/>
  <c r="G1542" i="18"/>
  <c r="H1542" i="18"/>
  <c r="I1542" i="18"/>
  <c r="J1542" i="18"/>
  <c r="A1543" i="18"/>
  <c r="B1543" i="18"/>
  <c r="C1543" i="18"/>
  <c r="D1543" i="18"/>
  <c r="E1543" i="18"/>
  <c r="F1543" i="18"/>
  <c r="G1543" i="18"/>
  <c r="H1543" i="18"/>
  <c r="I1543" i="18"/>
  <c r="J1543" i="18"/>
  <c r="A1544" i="18"/>
  <c r="B1544" i="18"/>
  <c r="C1544" i="18"/>
  <c r="D1544" i="18"/>
  <c r="E1544" i="18"/>
  <c r="F1544" i="18"/>
  <c r="G1544" i="18"/>
  <c r="H1544" i="18"/>
  <c r="I1544" i="18"/>
  <c r="J1544" i="18"/>
  <c r="A1545" i="18"/>
  <c r="B1545" i="18"/>
  <c r="C1545" i="18"/>
  <c r="D1545" i="18"/>
  <c r="E1545" i="18"/>
  <c r="F1545" i="18"/>
  <c r="G1545" i="18"/>
  <c r="H1545" i="18"/>
  <c r="I1545" i="18"/>
  <c r="J1545" i="18"/>
  <c r="A1546" i="18"/>
  <c r="B1546" i="18"/>
  <c r="C1546" i="18"/>
  <c r="D1546" i="18"/>
  <c r="E1546" i="18"/>
  <c r="F1546" i="18"/>
  <c r="G1546" i="18"/>
  <c r="H1546" i="18"/>
  <c r="I1546" i="18"/>
  <c r="J1546" i="18"/>
  <c r="A1547" i="18"/>
  <c r="B1547" i="18"/>
  <c r="C1547" i="18"/>
  <c r="D1547" i="18"/>
  <c r="E1547" i="18"/>
  <c r="F1547" i="18"/>
  <c r="G1547" i="18"/>
  <c r="H1547" i="18"/>
  <c r="I1547" i="18"/>
  <c r="J1547" i="18"/>
  <c r="A1548" i="18"/>
  <c r="B1548" i="18"/>
  <c r="C1548" i="18"/>
  <c r="D1548" i="18"/>
  <c r="E1548" i="18"/>
  <c r="F1548" i="18"/>
  <c r="G1548" i="18"/>
  <c r="H1548" i="18"/>
  <c r="I1548" i="18"/>
  <c r="J1548" i="18"/>
  <c r="A1549" i="18"/>
  <c r="B1549" i="18"/>
  <c r="C1549" i="18"/>
  <c r="D1549" i="18"/>
  <c r="E1549" i="18"/>
  <c r="F1549" i="18"/>
  <c r="G1549" i="18"/>
  <c r="H1549" i="18"/>
  <c r="I1549" i="18"/>
  <c r="J1549" i="18"/>
  <c r="A1550" i="18"/>
  <c r="B1550" i="18"/>
  <c r="C1550" i="18"/>
  <c r="D1550" i="18"/>
  <c r="E1550" i="18"/>
  <c r="F1550" i="18"/>
  <c r="G1550" i="18"/>
  <c r="H1550" i="18"/>
  <c r="I1550" i="18"/>
  <c r="J1550" i="18"/>
  <c r="A1551" i="18"/>
  <c r="B1551" i="18"/>
  <c r="C1551" i="18"/>
  <c r="D1551" i="18"/>
  <c r="E1551" i="18"/>
  <c r="F1551" i="18"/>
  <c r="G1551" i="18"/>
  <c r="H1551" i="18"/>
  <c r="I1551" i="18"/>
  <c r="J1551" i="18"/>
  <c r="A1552" i="18"/>
  <c r="B1552" i="18"/>
  <c r="C1552" i="18"/>
  <c r="D1552" i="18"/>
  <c r="E1552" i="18"/>
  <c r="F1552" i="18"/>
  <c r="G1552" i="18"/>
  <c r="H1552" i="18"/>
  <c r="I1552" i="18"/>
  <c r="J1552" i="18"/>
  <c r="A1553" i="18"/>
  <c r="B1553" i="18"/>
  <c r="C1553" i="18"/>
  <c r="D1553" i="18"/>
  <c r="E1553" i="18"/>
  <c r="F1553" i="18"/>
  <c r="G1553" i="18"/>
  <c r="H1553" i="18"/>
  <c r="I1553" i="18"/>
  <c r="J1553" i="18"/>
  <c r="A1554" i="18"/>
  <c r="B1554" i="18"/>
  <c r="C1554" i="18"/>
  <c r="D1554" i="18"/>
  <c r="E1554" i="18"/>
  <c r="F1554" i="18"/>
  <c r="G1554" i="18"/>
  <c r="H1554" i="18"/>
  <c r="I1554" i="18"/>
  <c r="J1554" i="18"/>
  <c r="A1555" i="18"/>
  <c r="B1555" i="18"/>
  <c r="C1555" i="18"/>
  <c r="D1555" i="18"/>
  <c r="E1555" i="18"/>
  <c r="F1555" i="18"/>
  <c r="G1555" i="18"/>
  <c r="H1555" i="18"/>
  <c r="I1555" i="18"/>
  <c r="J1555" i="18"/>
  <c r="A1556" i="18"/>
  <c r="B1556" i="18"/>
  <c r="C1556" i="18"/>
  <c r="D1556" i="18"/>
  <c r="E1556" i="18"/>
  <c r="F1556" i="18"/>
  <c r="G1556" i="18"/>
  <c r="H1556" i="18"/>
  <c r="I1556" i="18"/>
  <c r="J1556" i="18"/>
  <c r="A1557" i="18"/>
  <c r="B1557" i="18"/>
  <c r="C1557" i="18"/>
  <c r="D1557" i="18"/>
  <c r="E1557" i="18"/>
  <c r="F1557" i="18"/>
  <c r="G1557" i="18"/>
  <c r="H1557" i="18"/>
  <c r="I1557" i="18"/>
  <c r="J1557" i="18"/>
  <c r="A1558" i="18"/>
  <c r="B1558" i="18"/>
  <c r="C1558" i="18"/>
  <c r="D1558" i="18"/>
  <c r="E1558" i="18"/>
  <c r="F1558" i="18"/>
  <c r="G1558" i="18"/>
  <c r="H1558" i="18"/>
  <c r="I1558" i="18"/>
  <c r="J1558" i="18"/>
  <c r="A1559" i="18"/>
  <c r="B1559" i="18"/>
  <c r="C1559" i="18"/>
  <c r="D1559" i="18"/>
  <c r="E1559" i="18"/>
  <c r="F1559" i="18"/>
  <c r="G1559" i="18"/>
  <c r="H1559" i="18"/>
  <c r="I1559" i="18"/>
  <c r="J1559" i="18"/>
  <c r="A1560" i="18"/>
  <c r="B1560" i="18"/>
  <c r="C1560" i="18"/>
  <c r="D1560" i="18"/>
  <c r="E1560" i="18"/>
  <c r="F1560" i="18"/>
  <c r="G1560" i="18"/>
  <c r="H1560" i="18"/>
  <c r="I1560" i="18"/>
  <c r="J1560" i="18"/>
  <c r="A1561" i="18"/>
  <c r="B1561" i="18"/>
  <c r="C1561" i="18"/>
  <c r="D1561" i="18"/>
  <c r="E1561" i="18"/>
  <c r="F1561" i="18"/>
  <c r="G1561" i="18"/>
  <c r="H1561" i="18"/>
  <c r="I1561" i="18"/>
  <c r="J1561" i="18"/>
  <c r="A1562" i="18"/>
  <c r="B1562" i="18"/>
  <c r="C1562" i="18"/>
  <c r="D1562" i="18"/>
  <c r="E1562" i="18"/>
  <c r="F1562" i="18"/>
  <c r="G1562" i="18"/>
  <c r="H1562" i="18"/>
  <c r="I1562" i="18"/>
  <c r="J1562" i="18"/>
  <c r="A1563" i="18"/>
  <c r="B1563" i="18"/>
  <c r="C1563" i="18"/>
  <c r="D1563" i="18"/>
  <c r="E1563" i="18"/>
  <c r="F1563" i="18"/>
  <c r="G1563" i="18"/>
  <c r="H1563" i="18"/>
  <c r="I1563" i="18"/>
  <c r="J1563" i="18"/>
  <c r="A1564" i="18"/>
  <c r="B1564" i="18"/>
  <c r="C1564" i="18"/>
  <c r="D1564" i="18"/>
  <c r="E1564" i="18"/>
  <c r="F1564" i="18"/>
  <c r="G1564" i="18"/>
  <c r="H1564" i="18"/>
  <c r="I1564" i="18"/>
  <c r="J1564" i="18"/>
  <c r="A1565" i="18"/>
  <c r="B1565" i="18"/>
  <c r="C1565" i="18"/>
  <c r="D1565" i="18"/>
  <c r="E1565" i="18"/>
  <c r="F1565" i="18"/>
  <c r="G1565" i="18"/>
  <c r="H1565" i="18"/>
  <c r="I1565" i="18"/>
  <c r="J1565" i="18"/>
  <c r="A1566" i="18"/>
  <c r="B1566" i="18"/>
  <c r="C1566" i="18"/>
  <c r="D1566" i="18"/>
  <c r="E1566" i="18"/>
  <c r="F1566" i="18"/>
  <c r="G1566" i="18"/>
  <c r="H1566" i="18"/>
  <c r="I1566" i="18"/>
  <c r="J1566" i="18"/>
  <c r="A1567" i="18"/>
  <c r="B1567" i="18"/>
  <c r="C1567" i="18"/>
  <c r="D1567" i="18"/>
  <c r="E1567" i="18"/>
  <c r="F1567" i="18"/>
  <c r="G1567" i="18"/>
  <c r="H1567" i="18"/>
  <c r="I1567" i="18"/>
  <c r="J1567" i="18"/>
  <c r="A1568" i="18"/>
  <c r="B1568" i="18"/>
  <c r="C1568" i="18"/>
  <c r="D1568" i="18"/>
  <c r="E1568" i="18"/>
  <c r="F1568" i="18"/>
  <c r="G1568" i="18"/>
  <c r="H1568" i="18"/>
  <c r="I1568" i="18"/>
  <c r="J1568" i="18"/>
  <c r="A1569" i="18"/>
  <c r="B1569" i="18"/>
  <c r="C1569" i="18"/>
  <c r="D1569" i="18"/>
  <c r="E1569" i="18"/>
  <c r="F1569" i="18"/>
  <c r="G1569" i="18"/>
  <c r="H1569" i="18"/>
  <c r="I1569" i="18"/>
  <c r="J1569" i="18"/>
  <c r="A1570" i="18"/>
  <c r="B1570" i="18"/>
  <c r="C1570" i="18"/>
  <c r="D1570" i="18"/>
  <c r="E1570" i="18"/>
  <c r="F1570" i="18"/>
  <c r="G1570" i="18"/>
  <c r="H1570" i="18"/>
  <c r="I1570" i="18"/>
  <c r="J1570" i="18"/>
  <c r="A1571" i="18"/>
  <c r="B1571" i="18"/>
  <c r="C1571" i="18"/>
  <c r="D1571" i="18"/>
  <c r="E1571" i="18"/>
  <c r="F1571" i="18"/>
  <c r="G1571" i="18"/>
  <c r="H1571" i="18"/>
  <c r="I1571" i="18"/>
  <c r="J1571" i="18"/>
  <c r="A1572" i="18"/>
  <c r="B1572" i="18"/>
  <c r="C1572" i="18"/>
  <c r="D1572" i="18"/>
  <c r="E1572" i="18"/>
  <c r="F1572" i="18"/>
  <c r="G1572" i="18"/>
  <c r="H1572" i="18"/>
  <c r="I1572" i="18"/>
  <c r="J1572" i="18"/>
  <c r="A1573" i="18"/>
  <c r="B1573" i="18"/>
  <c r="C1573" i="18"/>
  <c r="D1573" i="18"/>
  <c r="E1573" i="18"/>
  <c r="F1573" i="18"/>
  <c r="G1573" i="18"/>
  <c r="H1573" i="18"/>
  <c r="I1573" i="18"/>
  <c r="J1573" i="18"/>
  <c r="A1574" i="18"/>
  <c r="B1574" i="18"/>
  <c r="C1574" i="18"/>
  <c r="D1574" i="18"/>
  <c r="E1574" i="18"/>
  <c r="F1574" i="18"/>
  <c r="G1574" i="18"/>
  <c r="H1574" i="18"/>
  <c r="I1574" i="18"/>
  <c r="J1574" i="18"/>
  <c r="A1575" i="18"/>
  <c r="B1575" i="18"/>
  <c r="C1575" i="18"/>
  <c r="D1575" i="18"/>
  <c r="E1575" i="18"/>
  <c r="F1575" i="18"/>
  <c r="G1575" i="18"/>
  <c r="H1575" i="18"/>
  <c r="I1575" i="18"/>
  <c r="J1575" i="18"/>
  <c r="A1576" i="18"/>
  <c r="B1576" i="18"/>
  <c r="C1576" i="18"/>
  <c r="D1576" i="18"/>
  <c r="E1576" i="18"/>
  <c r="F1576" i="18"/>
  <c r="G1576" i="18"/>
  <c r="H1576" i="18"/>
  <c r="I1576" i="18"/>
  <c r="J1576" i="18"/>
  <c r="A1577" i="18"/>
  <c r="B1577" i="18"/>
  <c r="C1577" i="18"/>
  <c r="D1577" i="18"/>
  <c r="E1577" i="18"/>
  <c r="F1577" i="18"/>
  <c r="G1577" i="18"/>
  <c r="H1577" i="18"/>
  <c r="I1577" i="18"/>
  <c r="J1577" i="18"/>
  <c r="A1578" i="18"/>
  <c r="B1578" i="18"/>
  <c r="C1578" i="18"/>
  <c r="D1578" i="18"/>
  <c r="E1578" i="18"/>
  <c r="F1578" i="18"/>
  <c r="G1578" i="18"/>
  <c r="H1578" i="18"/>
  <c r="I1578" i="18"/>
  <c r="J1578" i="18"/>
  <c r="A1579" i="18"/>
  <c r="B1579" i="18"/>
  <c r="C1579" i="18"/>
  <c r="D1579" i="18"/>
  <c r="E1579" i="18"/>
  <c r="F1579" i="18"/>
  <c r="G1579" i="18"/>
  <c r="H1579" i="18"/>
  <c r="I1579" i="18"/>
  <c r="J1579" i="18"/>
  <c r="A1580" i="18"/>
  <c r="B1580" i="18"/>
  <c r="C1580" i="18"/>
  <c r="D1580" i="18"/>
  <c r="E1580" i="18"/>
  <c r="F1580" i="18"/>
  <c r="G1580" i="18"/>
  <c r="H1580" i="18"/>
  <c r="I1580" i="18"/>
  <c r="J1580" i="18"/>
  <c r="A1581" i="18"/>
  <c r="B1581" i="18"/>
  <c r="C1581" i="18"/>
  <c r="D1581" i="18"/>
  <c r="E1581" i="18"/>
  <c r="F1581" i="18"/>
  <c r="G1581" i="18"/>
  <c r="H1581" i="18"/>
  <c r="I1581" i="18"/>
  <c r="J1581" i="18"/>
  <c r="A1582" i="18"/>
  <c r="B1582" i="18"/>
  <c r="C1582" i="18"/>
  <c r="D1582" i="18"/>
  <c r="E1582" i="18"/>
  <c r="F1582" i="18"/>
  <c r="G1582" i="18"/>
  <c r="H1582" i="18"/>
  <c r="I1582" i="18"/>
  <c r="J1582" i="18"/>
  <c r="A1583" i="18"/>
  <c r="B1583" i="18"/>
  <c r="C1583" i="18"/>
  <c r="D1583" i="18"/>
  <c r="E1583" i="18"/>
  <c r="F1583" i="18"/>
  <c r="G1583" i="18"/>
  <c r="H1583" i="18"/>
  <c r="I1583" i="18"/>
  <c r="J1583" i="18"/>
  <c r="A1584" i="18"/>
  <c r="B1584" i="18"/>
  <c r="C1584" i="18"/>
  <c r="D1584" i="18"/>
  <c r="E1584" i="18"/>
  <c r="F1584" i="18"/>
  <c r="G1584" i="18"/>
  <c r="H1584" i="18"/>
  <c r="I1584" i="18"/>
  <c r="J1584" i="18"/>
  <c r="A1585" i="18"/>
  <c r="B1585" i="18"/>
  <c r="C1585" i="18"/>
  <c r="D1585" i="18"/>
  <c r="E1585" i="18"/>
  <c r="F1585" i="18"/>
  <c r="G1585" i="18"/>
  <c r="H1585" i="18"/>
  <c r="I1585" i="18"/>
  <c r="J1585" i="18"/>
  <c r="A1586" i="18"/>
  <c r="B1586" i="18"/>
  <c r="C1586" i="18"/>
  <c r="D1586" i="18"/>
  <c r="E1586" i="18"/>
  <c r="F1586" i="18"/>
  <c r="G1586" i="18"/>
  <c r="H1586" i="18"/>
  <c r="I1586" i="18"/>
  <c r="J1586" i="18"/>
  <c r="A1587" i="18"/>
  <c r="B1587" i="18"/>
  <c r="C1587" i="18"/>
  <c r="D1587" i="18"/>
  <c r="E1587" i="18"/>
  <c r="F1587" i="18"/>
  <c r="G1587" i="18"/>
  <c r="H1587" i="18"/>
  <c r="I1587" i="18"/>
  <c r="J1587" i="18"/>
  <c r="A1588" i="18"/>
  <c r="B1588" i="18"/>
  <c r="C1588" i="18"/>
  <c r="D1588" i="18"/>
  <c r="E1588" i="18"/>
  <c r="F1588" i="18"/>
  <c r="G1588" i="18"/>
  <c r="H1588" i="18"/>
  <c r="I1588" i="18"/>
  <c r="J1588" i="18"/>
  <c r="A1589" i="18"/>
  <c r="B1589" i="18"/>
  <c r="C1589" i="18"/>
  <c r="D1589" i="18"/>
  <c r="E1589" i="18"/>
  <c r="F1589" i="18"/>
  <c r="G1589" i="18"/>
  <c r="H1589" i="18"/>
  <c r="I1589" i="18"/>
  <c r="J1589" i="18"/>
  <c r="A1590" i="18"/>
  <c r="B1590" i="18"/>
  <c r="C1590" i="18"/>
  <c r="D1590" i="18"/>
  <c r="E1590" i="18"/>
  <c r="F1590" i="18"/>
  <c r="G1590" i="18"/>
  <c r="H1590" i="18"/>
  <c r="I1590" i="18"/>
  <c r="J1590" i="18"/>
  <c r="A1591" i="18"/>
  <c r="B1591" i="18"/>
  <c r="C1591" i="18"/>
  <c r="D1591" i="18"/>
  <c r="E1591" i="18"/>
  <c r="F1591" i="18"/>
  <c r="G1591" i="18"/>
  <c r="H1591" i="18"/>
  <c r="I1591" i="18"/>
  <c r="J1591" i="18"/>
  <c r="A1592" i="18"/>
  <c r="B1592" i="18"/>
  <c r="C1592" i="18"/>
  <c r="D1592" i="18"/>
  <c r="E1592" i="18"/>
  <c r="F1592" i="18"/>
  <c r="G1592" i="18"/>
  <c r="H1592" i="18"/>
  <c r="I1592" i="18"/>
  <c r="J1592" i="18"/>
  <c r="A1593" i="18"/>
  <c r="B1593" i="18"/>
  <c r="C1593" i="18"/>
  <c r="D1593" i="18"/>
  <c r="E1593" i="18"/>
  <c r="F1593" i="18"/>
  <c r="G1593" i="18"/>
  <c r="H1593" i="18"/>
  <c r="I1593" i="18"/>
  <c r="J1593" i="18"/>
  <c r="A1594" i="18"/>
  <c r="B1594" i="18"/>
  <c r="C1594" i="18"/>
  <c r="D1594" i="18"/>
  <c r="E1594" i="18"/>
  <c r="F1594" i="18"/>
  <c r="G1594" i="18"/>
  <c r="H1594" i="18"/>
  <c r="I1594" i="18"/>
  <c r="J1594" i="18"/>
  <c r="A1595" i="18"/>
  <c r="B1595" i="18"/>
  <c r="C1595" i="18"/>
  <c r="D1595" i="18"/>
  <c r="E1595" i="18"/>
  <c r="F1595" i="18"/>
  <c r="G1595" i="18"/>
  <c r="H1595" i="18"/>
  <c r="I1595" i="18"/>
  <c r="J1595" i="18"/>
  <c r="A1596" i="18"/>
  <c r="B1596" i="18"/>
  <c r="C1596" i="18"/>
  <c r="D1596" i="18"/>
  <c r="E1596" i="18"/>
  <c r="F1596" i="18"/>
  <c r="G1596" i="18"/>
  <c r="H1596" i="18"/>
  <c r="I1596" i="18"/>
  <c r="J1596" i="18"/>
  <c r="A1597" i="18"/>
  <c r="B1597" i="18"/>
  <c r="C1597" i="18"/>
  <c r="D1597" i="18"/>
  <c r="E1597" i="18"/>
  <c r="F1597" i="18"/>
  <c r="G1597" i="18"/>
  <c r="H1597" i="18"/>
  <c r="I1597" i="18"/>
  <c r="J1597" i="18"/>
  <c r="A1598" i="18"/>
  <c r="B1598" i="18"/>
  <c r="C1598" i="18"/>
  <c r="D1598" i="18"/>
  <c r="E1598" i="18"/>
  <c r="F1598" i="18"/>
  <c r="G1598" i="18"/>
  <c r="H1598" i="18"/>
  <c r="I1598" i="18"/>
  <c r="J1598" i="18"/>
  <c r="A1599" i="18"/>
  <c r="B1599" i="18"/>
  <c r="C1599" i="18"/>
  <c r="D1599" i="18"/>
  <c r="E1599" i="18"/>
  <c r="F1599" i="18"/>
  <c r="G1599" i="18"/>
  <c r="H1599" i="18"/>
  <c r="I1599" i="18"/>
  <c r="J1599" i="18"/>
  <c r="A1600" i="18"/>
  <c r="B1600" i="18"/>
  <c r="C1600" i="18"/>
  <c r="D1600" i="18"/>
  <c r="E1600" i="18"/>
  <c r="F1600" i="18"/>
  <c r="G1600" i="18"/>
  <c r="H1600" i="18"/>
  <c r="I1600" i="18"/>
  <c r="J1600" i="18"/>
  <c r="A1601" i="18"/>
  <c r="B1601" i="18"/>
  <c r="C1601" i="18"/>
  <c r="D1601" i="18"/>
  <c r="E1601" i="18"/>
  <c r="F1601" i="18"/>
  <c r="G1601" i="18"/>
  <c r="H1601" i="18"/>
  <c r="I1601" i="18"/>
  <c r="J1601" i="18"/>
  <c r="A1602" i="18"/>
  <c r="B1602" i="18"/>
  <c r="C1602" i="18"/>
  <c r="D1602" i="18"/>
  <c r="E1602" i="18"/>
  <c r="F1602" i="18"/>
  <c r="G1602" i="18"/>
  <c r="H1602" i="18"/>
  <c r="I1602" i="18"/>
  <c r="J1602" i="18"/>
  <c r="A1603" i="18"/>
  <c r="B1603" i="18"/>
  <c r="C1603" i="18"/>
  <c r="D1603" i="18"/>
  <c r="E1603" i="18"/>
  <c r="F1603" i="18"/>
  <c r="G1603" i="18"/>
  <c r="H1603" i="18"/>
  <c r="I1603" i="18"/>
  <c r="J1603" i="18"/>
  <c r="A1604" i="18"/>
  <c r="B1604" i="18"/>
  <c r="C1604" i="18"/>
  <c r="D1604" i="18"/>
  <c r="E1604" i="18"/>
  <c r="F1604" i="18"/>
  <c r="G1604" i="18"/>
  <c r="H1604" i="18"/>
  <c r="I1604" i="18"/>
  <c r="J1604" i="18"/>
  <c r="A1605" i="18"/>
  <c r="B1605" i="18"/>
  <c r="C1605" i="18"/>
  <c r="D1605" i="18"/>
  <c r="E1605" i="18"/>
  <c r="F1605" i="18"/>
  <c r="G1605" i="18"/>
  <c r="H1605" i="18"/>
  <c r="I1605" i="18"/>
  <c r="J1605" i="18"/>
  <c r="A1606" i="18"/>
  <c r="B1606" i="18"/>
  <c r="C1606" i="18"/>
  <c r="D1606" i="18"/>
  <c r="E1606" i="18"/>
  <c r="F1606" i="18"/>
  <c r="G1606" i="18"/>
  <c r="H1606" i="18"/>
  <c r="I1606" i="18"/>
  <c r="J1606" i="18"/>
  <c r="A1607" i="18"/>
  <c r="B1607" i="18"/>
  <c r="C1607" i="18"/>
  <c r="D1607" i="18"/>
  <c r="E1607" i="18"/>
  <c r="F1607" i="18"/>
  <c r="G1607" i="18"/>
  <c r="H1607" i="18"/>
  <c r="I1607" i="18"/>
  <c r="J1607" i="18"/>
  <c r="A1608" i="18"/>
  <c r="B1608" i="18"/>
  <c r="C1608" i="18"/>
  <c r="D1608" i="18"/>
  <c r="E1608" i="18"/>
  <c r="F1608" i="18"/>
  <c r="G1608" i="18"/>
  <c r="H1608" i="18"/>
  <c r="I1608" i="18"/>
  <c r="J1608" i="18"/>
  <c r="A1609" i="18"/>
  <c r="B1609" i="18"/>
  <c r="C1609" i="18"/>
  <c r="D1609" i="18"/>
  <c r="E1609" i="18"/>
  <c r="F1609" i="18"/>
  <c r="G1609" i="18"/>
  <c r="H1609" i="18"/>
  <c r="I1609" i="18"/>
  <c r="J1609" i="18"/>
  <c r="A1610" i="18"/>
  <c r="B1610" i="18"/>
  <c r="C1610" i="18"/>
  <c r="D1610" i="18"/>
  <c r="E1610" i="18"/>
  <c r="F1610" i="18"/>
  <c r="G1610" i="18"/>
  <c r="H1610" i="18"/>
  <c r="I1610" i="18"/>
  <c r="J1610" i="18"/>
  <c r="A1611" i="18"/>
  <c r="B1611" i="18"/>
  <c r="C1611" i="18"/>
  <c r="D1611" i="18"/>
  <c r="E1611" i="18"/>
  <c r="F1611" i="18"/>
  <c r="G1611" i="18"/>
  <c r="H1611" i="18"/>
  <c r="I1611" i="18"/>
  <c r="J1611" i="18"/>
  <c r="A1612" i="18"/>
  <c r="B1612" i="18"/>
  <c r="C1612" i="18"/>
  <c r="D1612" i="18"/>
  <c r="E1612" i="18"/>
  <c r="F1612" i="18"/>
  <c r="G1612" i="18"/>
  <c r="H1612" i="18"/>
  <c r="I1612" i="18"/>
  <c r="J1612" i="18"/>
  <c r="A1613" i="18"/>
  <c r="B1613" i="18"/>
  <c r="C1613" i="18"/>
  <c r="D1613" i="18"/>
  <c r="E1613" i="18"/>
  <c r="F1613" i="18"/>
  <c r="G1613" i="18"/>
  <c r="H1613" i="18"/>
  <c r="I1613" i="18"/>
  <c r="J1613" i="18"/>
  <c r="A1614" i="18"/>
  <c r="B1614" i="18"/>
  <c r="C1614" i="18"/>
  <c r="D1614" i="18"/>
  <c r="E1614" i="18"/>
  <c r="F1614" i="18"/>
  <c r="G1614" i="18"/>
  <c r="H1614" i="18"/>
  <c r="I1614" i="18"/>
  <c r="J1614" i="18"/>
  <c r="A1615" i="18"/>
  <c r="B1615" i="18"/>
  <c r="C1615" i="18"/>
  <c r="D1615" i="18"/>
  <c r="E1615" i="18"/>
  <c r="F1615" i="18"/>
  <c r="G1615" i="18"/>
  <c r="H1615" i="18"/>
  <c r="I1615" i="18"/>
  <c r="J1615" i="18"/>
  <c r="A1616" i="18"/>
  <c r="B1616" i="18"/>
  <c r="C1616" i="18"/>
  <c r="D1616" i="18"/>
  <c r="E1616" i="18"/>
  <c r="F1616" i="18"/>
  <c r="G1616" i="18"/>
  <c r="H1616" i="18"/>
  <c r="I1616" i="18"/>
  <c r="J1616" i="18"/>
  <c r="A1617" i="18"/>
  <c r="B1617" i="18"/>
  <c r="C1617" i="18"/>
  <c r="D1617" i="18"/>
  <c r="E1617" i="18"/>
  <c r="F1617" i="18"/>
  <c r="G1617" i="18"/>
  <c r="H1617" i="18"/>
  <c r="I1617" i="18"/>
  <c r="J1617" i="18"/>
  <c r="A1618" i="18"/>
  <c r="B1618" i="18"/>
  <c r="C1618" i="18"/>
  <c r="D1618" i="18"/>
  <c r="E1618" i="18"/>
  <c r="F1618" i="18"/>
  <c r="G1618" i="18"/>
  <c r="H1618" i="18"/>
  <c r="I1618" i="18"/>
  <c r="J1618" i="18"/>
  <c r="A1619" i="18"/>
  <c r="B1619" i="18"/>
  <c r="C1619" i="18"/>
  <c r="D1619" i="18"/>
  <c r="E1619" i="18"/>
  <c r="F1619" i="18"/>
  <c r="G1619" i="18"/>
  <c r="H1619" i="18"/>
  <c r="I1619" i="18"/>
  <c r="J1619" i="18"/>
  <c r="A1620" i="18"/>
  <c r="B1620" i="18"/>
  <c r="C1620" i="18"/>
  <c r="D1620" i="18"/>
  <c r="E1620" i="18"/>
  <c r="F1620" i="18"/>
  <c r="G1620" i="18"/>
  <c r="H1620" i="18"/>
  <c r="I1620" i="18"/>
  <c r="J1620" i="18"/>
  <c r="A1621" i="18"/>
  <c r="B1621" i="18"/>
  <c r="C1621" i="18"/>
  <c r="D1621" i="18"/>
  <c r="E1621" i="18"/>
  <c r="F1621" i="18"/>
  <c r="G1621" i="18"/>
  <c r="H1621" i="18"/>
  <c r="I1621" i="18"/>
  <c r="J1621" i="18"/>
  <c r="A1622" i="18"/>
  <c r="B1622" i="18"/>
  <c r="C1622" i="18"/>
  <c r="D1622" i="18"/>
  <c r="E1622" i="18"/>
  <c r="F1622" i="18"/>
  <c r="G1622" i="18"/>
  <c r="H1622" i="18"/>
  <c r="I1622" i="18"/>
  <c r="J1622" i="18"/>
  <c r="A1623" i="18"/>
  <c r="B1623" i="18"/>
  <c r="C1623" i="18"/>
  <c r="D1623" i="18"/>
  <c r="E1623" i="18"/>
  <c r="F1623" i="18"/>
  <c r="G1623" i="18"/>
  <c r="H1623" i="18"/>
  <c r="I1623" i="18"/>
  <c r="J1623" i="18"/>
  <c r="A1624" i="18"/>
  <c r="B1624" i="18"/>
  <c r="C1624" i="18"/>
  <c r="D1624" i="18"/>
  <c r="E1624" i="18"/>
  <c r="F1624" i="18"/>
  <c r="G1624" i="18"/>
  <c r="H1624" i="18"/>
  <c r="I1624" i="18"/>
  <c r="J1624" i="18"/>
  <c r="A1625" i="18"/>
  <c r="B1625" i="18"/>
  <c r="C1625" i="18"/>
  <c r="D1625" i="18"/>
  <c r="E1625" i="18"/>
  <c r="F1625" i="18"/>
  <c r="G1625" i="18"/>
  <c r="H1625" i="18"/>
  <c r="I1625" i="18"/>
  <c r="J1625" i="18"/>
  <c r="A1626" i="18"/>
  <c r="B1626" i="18"/>
  <c r="C1626" i="18"/>
  <c r="D1626" i="18"/>
  <c r="E1626" i="18"/>
  <c r="F1626" i="18"/>
  <c r="G1626" i="18"/>
  <c r="H1626" i="18"/>
  <c r="I1626" i="18"/>
  <c r="J1626" i="18"/>
  <c r="A1627" i="18"/>
  <c r="B1627" i="18"/>
  <c r="C1627" i="18"/>
  <c r="D1627" i="18"/>
  <c r="E1627" i="18"/>
  <c r="F1627" i="18"/>
  <c r="G1627" i="18"/>
  <c r="H1627" i="18"/>
  <c r="I1627" i="18"/>
  <c r="J1627" i="18"/>
  <c r="A1628" i="18"/>
  <c r="B1628" i="18"/>
  <c r="C1628" i="18"/>
  <c r="D1628" i="18"/>
  <c r="E1628" i="18"/>
  <c r="F1628" i="18"/>
  <c r="G1628" i="18"/>
  <c r="H1628" i="18"/>
  <c r="I1628" i="18"/>
  <c r="J1628" i="18"/>
  <c r="A1629" i="18"/>
  <c r="B1629" i="18"/>
  <c r="C1629" i="18"/>
  <c r="D1629" i="18"/>
  <c r="E1629" i="18"/>
  <c r="F1629" i="18"/>
  <c r="G1629" i="18"/>
  <c r="H1629" i="18"/>
  <c r="I1629" i="18"/>
  <c r="J1629" i="18"/>
  <c r="A1630" i="18"/>
  <c r="B1630" i="18"/>
  <c r="C1630" i="18"/>
  <c r="D1630" i="18"/>
  <c r="E1630" i="18"/>
  <c r="F1630" i="18"/>
  <c r="G1630" i="18"/>
  <c r="H1630" i="18"/>
  <c r="I1630" i="18"/>
  <c r="J1630" i="18"/>
  <c r="A1631" i="18"/>
  <c r="B1631" i="18"/>
  <c r="C1631" i="18"/>
  <c r="D1631" i="18"/>
  <c r="E1631" i="18"/>
  <c r="F1631" i="18"/>
  <c r="G1631" i="18"/>
  <c r="H1631" i="18"/>
  <c r="I1631" i="18"/>
  <c r="J1631" i="18"/>
  <c r="A1632" i="18"/>
  <c r="B1632" i="18"/>
  <c r="C1632" i="18"/>
  <c r="D1632" i="18"/>
  <c r="E1632" i="18"/>
  <c r="F1632" i="18"/>
  <c r="G1632" i="18"/>
  <c r="H1632" i="18"/>
  <c r="I1632" i="18"/>
  <c r="J1632" i="18"/>
  <c r="A1633" i="18"/>
  <c r="B1633" i="18"/>
  <c r="C1633" i="18"/>
  <c r="D1633" i="18"/>
  <c r="E1633" i="18"/>
  <c r="F1633" i="18"/>
  <c r="G1633" i="18"/>
  <c r="H1633" i="18"/>
  <c r="I1633" i="18"/>
  <c r="J1633" i="18"/>
  <c r="A1634" i="18"/>
  <c r="B1634" i="18"/>
  <c r="C1634" i="18"/>
  <c r="D1634" i="18"/>
  <c r="E1634" i="18"/>
  <c r="F1634" i="18"/>
  <c r="G1634" i="18"/>
  <c r="H1634" i="18"/>
  <c r="I1634" i="18"/>
  <c r="J1634" i="18"/>
  <c r="A1635" i="18"/>
  <c r="B1635" i="18"/>
  <c r="C1635" i="18"/>
  <c r="D1635" i="18"/>
  <c r="E1635" i="18"/>
  <c r="F1635" i="18"/>
  <c r="G1635" i="18"/>
  <c r="H1635" i="18"/>
  <c r="I1635" i="18"/>
  <c r="J1635" i="18"/>
  <c r="A1636" i="18"/>
  <c r="B1636" i="18"/>
  <c r="C1636" i="18"/>
  <c r="D1636" i="18"/>
  <c r="E1636" i="18"/>
  <c r="F1636" i="18"/>
  <c r="G1636" i="18"/>
  <c r="H1636" i="18"/>
  <c r="I1636" i="18"/>
  <c r="J1636" i="18"/>
  <c r="A1637" i="18"/>
  <c r="B1637" i="18"/>
  <c r="C1637" i="18"/>
  <c r="D1637" i="18"/>
  <c r="E1637" i="18"/>
  <c r="F1637" i="18"/>
  <c r="G1637" i="18"/>
  <c r="H1637" i="18"/>
  <c r="I1637" i="18"/>
  <c r="J1637" i="18"/>
  <c r="A1638" i="18"/>
  <c r="B1638" i="18"/>
  <c r="C1638" i="18"/>
  <c r="D1638" i="18"/>
  <c r="E1638" i="18"/>
  <c r="F1638" i="18"/>
  <c r="G1638" i="18"/>
  <c r="H1638" i="18"/>
  <c r="I1638" i="18"/>
  <c r="J1638" i="18"/>
  <c r="A1639" i="18"/>
  <c r="B1639" i="18"/>
  <c r="C1639" i="18"/>
  <c r="D1639" i="18"/>
  <c r="E1639" i="18"/>
  <c r="F1639" i="18"/>
  <c r="G1639" i="18"/>
  <c r="H1639" i="18"/>
  <c r="I1639" i="18"/>
  <c r="J1639" i="18"/>
  <c r="A1640" i="18"/>
  <c r="B1640" i="18"/>
  <c r="C1640" i="18"/>
  <c r="D1640" i="18"/>
  <c r="E1640" i="18"/>
  <c r="F1640" i="18"/>
  <c r="G1640" i="18"/>
  <c r="H1640" i="18"/>
  <c r="I1640" i="18"/>
  <c r="J1640" i="18"/>
  <c r="A1641" i="18"/>
  <c r="B1641" i="18"/>
  <c r="C1641" i="18"/>
  <c r="D1641" i="18"/>
  <c r="E1641" i="18"/>
  <c r="F1641" i="18"/>
  <c r="G1641" i="18"/>
  <c r="H1641" i="18"/>
  <c r="I1641" i="18"/>
  <c r="J1641" i="18"/>
  <c r="A1642" i="18"/>
  <c r="B1642" i="18"/>
  <c r="C1642" i="18"/>
  <c r="D1642" i="18"/>
  <c r="E1642" i="18"/>
  <c r="F1642" i="18"/>
  <c r="G1642" i="18"/>
  <c r="H1642" i="18"/>
  <c r="I1642" i="18"/>
  <c r="J1642" i="18"/>
  <c r="A1643" i="18"/>
  <c r="B1643" i="18"/>
  <c r="C1643" i="18"/>
  <c r="D1643" i="18"/>
  <c r="E1643" i="18"/>
  <c r="F1643" i="18"/>
  <c r="G1643" i="18"/>
  <c r="H1643" i="18"/>
  <c r="I1643" i="18"/>
  <c r="J1643" i="18"/>
  <c r="A1644" i="18"/>
  <c r="B1644" i="18"/>
  <c r="C1644" i="18"/>
  <c r="D1644" i="18"/>
  <c r="E1644" i="18"/>
  <c r="F1644" i="18"/>
  <c r="G1644" i="18"/>
  <c r="H1644" i="18"/>
  <c r="I1644" i="18"/>
  <c r="J1644" i="18"/>
  <c r="A1645" i="18"/>
  <c r="B1645" i="18"/>
  <c r="C1645" i="18"/>
  <c r="D1645" i="18"/>
  <c r="E1645" i="18"/>
  <c r="F1645" i="18"/>
  <c r="G1645" i="18"/>
  <c r="H1645" i="18"/>
  <c r="I1645" i="18"/>
  <c r="J1645" i="18"/>
  <c r="A1646" i="18"/>
  <c r="B1646" i="18"/>
  <c r="C1646" i="18"/>
  <c r="D1646" i="18"/>
  <c r="E1646" i="18"/>
  <c r="F1646" i="18"/>
  <c r="G1646" i="18"/>
  <c r="H1646" i="18"/>
  <c r="I1646" i="18"/>
  <c r="J1646" i="18"/>
  <c r="A1647" i="18"/>
  <c r="B1647" i="18"/>
  <c r="C1647" i="18"/>
  <c r="D1647" i="18"/>
  <c r="E1647" i="18"/>
  <c r="F1647" i="18"/>
  <c r="G1647" i="18"/>
  <c r="H1647" i="18"/>
  <c r="I1647" i="18"/>
  <c r="J1647" i="18"/>
  <c r="A1648" i="18"/>
  <c r="B1648" i="18"/>
  <c r="C1648" i="18"/>
  <c r="D1648" i="18"/>
  <c r="E1648" i="18"/>
  <c r="F1648" i="18"/>
  <c r="G1648" i="18"/>
  <c r="H1648" i="18"/>
  <c r="I1648" i="18"/>
  <c r="J1648" i="18"/>
  <c r="A1649" i="18"/>
  <c r="B1649" i="18"/>
  <c r="C1649" i="18"/>
  <c r="D1649" i="18"/>
  <c r="E1649" i="18"/>
  <c r="F1649" i="18"/>
  <c r="G1649" i="18"/>
  <c r="H1649" i="18"/>
  <c r="I1649" i="18"/>
  <c r="J1649" i="18"/>
  <c r="A1650" i="18"/>
  <c r="B1650" i="18"/>
  <c r="C1650" i="18"/>
  <c r="D1650" i="18"/>
  <c r="E1650" i="18"/>
  <c r="F1650" i="18"/>
  <c r="G1650" i="18"/>
  <c r="H1650" i="18"/>
  <c r="I1650" i="18"/>
  <c r="J1650" i="18"/>
  <c r="A1651" i="18"/>
  <c r="B1651" i="18"/>
  <c r="C1651" i="18"/>
  <c r="D1651" i="18"/>
  <c r="E1651" i="18"/>
  <c r="F1651" i="18"/>
  <c r="G1651" i="18"/>
  <c r="H1651" i="18"/>
  <c r="I1651" i="18"/>
  <c r="J1651" i="18"/>
  <c r="A1652" i="18"/>
  <c r="B1652" i="18"/>
  <c r="C1652" i="18"/>
  <c r="D1652" i="18"/>
  <c r="E1652" i="18"/>
  <c r="F1652" i="18"/>
  <c r="G1652" i="18"/>
  <c r="H1652" i="18"/>
  <c r="I1652" i="18"/>
  <c r="J1652" i="18"/>
  <c r="A1653" i="18"/>
  <c r="B1653" i="18"/>
  <c r="C1653" i="18"/>
  <c r="D1653" i="18"/>
  <c r="E1653" i="18"/>
  <c r="F1653" i="18"/>
  <c r="G1653" i="18"/>
  <c r="H1653" i="18"/>
  <c r="I1653" i="18"/>
  <c r="J1653" i="18"/>
  <c r="A1654" i="18"/>
  <c r="B1654" i="18"/>
  <c r="C1654" i="18"/>
  <c r="D1654" i="18"/>
  <c r="E1654" i="18"/>
  <c r="F1654" i="18"/>
  <c r="G1654" i="18"/>
  <c r="H1654" i="18"/>
  <c r="I1654" i="18"/>
  <c r="J1654" i="18"/>
  <c r="A1655" i="18"/>
  <c r="B1655" i="18"/>
  <c r="C1655" i="18"/>
  <c r="D1655" i="18"/>
  <c r="E1655" i="18"/>
  <c r="F1655" i="18"/>
  <c r="G1655" i="18"/>
  <c r="H1655" i="18"/>
  <c r="I1655" i="18"/>
  <c r="J1655" i="18"/>
  <c r="A1656" i="18"/>
  <c r="B1656" i="18"/>
  <c r="C1656" i="18"/>
  <c r="D1656" i="18"/>
  <c r="E1656" i="18"/>
  <c r="F1656" i="18"/>
  <c r="G1656" i="18"/>
  <c r="H1656" i="18"/>
  <c r="I1656" i="18"/>
  <c r="J1656" i="18"/>
  <c r="A1657" i="18"/>
  <c r="B1657" i="18"/>
  <c r="C1657" i="18"/>
  <c r="D1657" i="18"/>
  <c r="E1657" i="18"/>
  <c r="F1657" i="18"/>
  <c r="G1657" i="18"/>
  <c r="H1657" i="18"/>
  <c r="I1657" i="18"/>
  <c r="J1657" i="18"/>
  <c r="A1658" i="18"/>
  <c r="B1658" i="18"/>
  <c r="C1658" i="18"/>
  <c r="D1658" i="18"/>
  <c r="E1658" i="18"/>
  <c r="F1658" i="18"/>
  <c r="G1658" i="18"/>
  <c r="H1658" i="18"/>
  <c r="I1658" i="18"/>
  <c r="J1658" i="18"/>
  <c r="A1659" i="18"/>
  <c r="B1659" i="18"/>
  <c r="C1659" i="18"/>
  <c r="D1659" i="18"/>
  <c r="E1659" i="18"/>
  <c r="F1659" i="18"/>
  <c r="G1659" i="18"/>
  <c r="H1659" i="18"/>
  <c r="I1659" i="18"/>
  <c r="J1659" i="18"/>
  <c r="A1660" i="18"/>
  <c r="B1660" i="18"/>
  <c r="C1660" i="18"/>
  <c r="D1660" i="18"/>
  <c r="E1660" i="18"/>
  <c r="F1660" i="18"/>
  <c r="G1660" i="18"/>
  <c r="H1660" i="18"/>
  <c r="I1660" i="18"/>
  <c r="J1660" i="18"/>
  <c r="A1661" i="18"/>
  <c r="B1661" i="18"/>
  <c r="C1661" i="18"/>
  <c r="D1661" i="18"/>
  <c r="E1661" i="18"/>
  <c r="F1661" i="18"/>
  <c r="G1661" i="18"/>
  <c r="H1661" i="18"/>
  <c r="I1661" i="18"/>
  <c r="J1661" i="18"/>
  <c r="A1662" i="18"/>
  <c r="B1662" i="18"/>
  <c r="C1662" i="18"/>
  <c r="D1662" i="18"/>
  <c r="E1662" i="18"/>
  <c r="F1662" i="18"/>
  <c r="G1662" i="18"/>
  <c r="H1662" i="18"/>
  <c r="I1662" i="18"/>
  <c r="J1662" i="18"/>
  <c r="A1663" i="18"/>
  <c r="B1663" i="18"/>
  <c r="C1663" i="18"/>
  <c r="D1663" i="18"/>
  <c r="E1663" i="18"/>
  <c r="F1663" i="18"/>
  <c r="G1663" i="18"/>
  <c r="H1663" i="18"/>
  <c r="I1663" i="18"/>
  <c r="J1663" i="18"/>
  <c r="A1664" i="18"/>
  <c r="B1664" i="18"/>
  <c r="C1664" i="18"/>
  <c r="D1664" i="18"/>
  <c r="E1664" i="18"/>
  <c r="F1664" i="18"/>
  <c r="G1664" i="18"/>
  <c r="H1664" i="18"/>
  <c r="I1664" i="18"/>
  <c r="J1664" i="18"/>
  <c r="A1665" i="18"/>
  <c r="B1665" i="18"/>
  <c r="C1665" i="18"/>
  <c r="D1665" i="18"/>
  <c r="E1665" i="18"/>
  <c r="F1665" i="18"/>
  <c r="G1665" i="18"/>
  <c r="H1665" i="18"/>
  <c r="I1665" i="18"/>
  <c r="J1665" i="18"/>
  <c r="A1666" i="18"/>
  <c r="B1666" i="18"/>
  <c r="C1666" i="18"/>
  <c r="D1666" i="18"/>
  <c r="E1666" i="18"/>
  <c r="F1666" i="18"/>
  <c r="G1666" i="18"/>
  <c r="H1666" i="18"/>
  <c r="I1666" i="18"/>
  <c r="J1666" i="18"/>
  <c r="A1667" i="18"/>
  <c r="B1667" i="18"/>
  <c r="C1667" i="18"/>
  <c r="D1667" i="18"/>
  <c r="E1667" i="18"/>
  <c r="F1667" i="18"/>
  <c r="G1667" i="18"/>
  <c r="H1667" i="18"/>
  <c r="I1667" i="18"/>
  <c r="J1667" i="18"/>
  <c r="A1668" i="18"/>
  <c r="B1668" i="18"/>
  <c r="C1668" i="18"/>
  <c r="D1668" i="18"/>
  <c r="E1668" i="18"/>
  <c r="F1668" i="18"/>
  <c r="G1668" i="18"/>
  <c r="H1668" i="18"/>
  <c r="I1668" i="18"/>
  <c r="J1668" i="18"/>
  <c r="A1669" i="18"/>
  <c r="B1669" i="18"/>
  <c r="C1669" i="18"/>
  <c r="D1669" i="18"/>
  <c r="E1669" i="18"/>
  <c r="F1669" i="18"/>
  <c r="G1669" i="18"/>
  <c r="H1669" i="18"/>
  <c r="I1669" i="18"/>
  <c r="J1669" i="18"/>
  <c r="A1670" i="18"/>
  <c r="B1670" i="18"/>
  <c r="C1670" i="18"/>
  <c r="D1670" i="18"/>
  <c r="E1670" i="18"/>
  <c r="F1670" i="18"/>
  <c r="G1670" i="18"/>
  <c r="H1670" i="18"/>
  <c r="I1670" i="18"/>
  <c r="J1670" i="18"/>
  <c r="A1671" i="18"/>
  <c r="B1671" i="18"/>
  <c r="C1671" i="18"/>
  <c r="D1671" i="18"/>
  <c r="E1671" i="18"/>
  <c r="F1671" i="18"/>
  <c r="G1671" i="18"/>
  <c r="H1671" i="18"/>
  <c r="I1671" i="18"/>
  <c r="J1671" i="18"/>
  <c r="A1672" i="18"/>
  <c r="B1672" i="18"/>
  <c r="C1672" i="18"/>
  <c r="D1672" i="18"/>
  <c r="E1672" i="18"/>
  <c r="F1672" i="18"/>
  <c r="G1672" i="18"/>
  <c r="H1672" i="18"/>
  <c r="I1672" i="18"/>
  <c r="J1672" i="18"/>
  <c r="A1673" i="18"/>
  <c r="B1673" i="18"/>
  <c r="C1673" i="18"/>
  <c r="D1673" i="18"/>
  <c r="E1673" i="18"/>
  <c r="F1673" i="18"/>
  <c r="G1673" i="18"/>
  <c r="H1673" i="18"/>
  <c r="I1673" i="18"/>
  <c r="J1673" i="18"/>
  <c r="A1674" i="18"/>
  <c r="B1674" i="18"/>
  <c r="C1674" i="18"/>
  <c r="D1674" i="18"/>
  <c r="E1674" i="18"/>
  <c r="F1674" i="18"/>
  <c r="G1674" i="18"/>
  <c r="H1674" i="18"/>
  <c r="I1674" i="18"/>
  <c r="J1674" i="18"/>
  <c r="A1675" i="18"/>
  <c r="B1675" i="18"/>
  <c r="C1675" i="18"/>
  <c r="D1675" i="18"/>
  <c r="E1675" i="18"/>
  <c r="F1675" i="18"/>
  <c r="G1675" i="18"/>
  <c r="H1675" i="18"/>
  <c r="I1675" i="18"/>
  <c r="J1675" i="18"/>
  <c r="A1676" i="18"/>
  <c r="B1676" i="18"/>
  <c r="C1676" i="18"/>
  <c r="D1676" i="18"/>
  <c r="E1676" i="18"/>
  <c r="F1676" i="18"/>
  <c r="G1676" i="18"/>
  <c r="H1676" i="18"/>
  <c r="I1676" i="18"/>
  <c r="J1676" i="18"/>
  <c r="A1677" i="18"/>
  <c r="B1677" i="18"/>
  <c r="C1677" i="18"/>
  <c r="D1677" i="18"/>
  <c r="E1677" i="18"/>
  <c r="F1677" i="18"/>
  <c r="G1677" i="18"/>
  <c r="H1677" i="18"/>
  <c r="I1677" i="18"/>
  <c r="J1677" i="18"/>
  <c r="A1678" i="18"/>
  <c r="B1678" i="18"/>
  <c r="C1678" i="18"/>
  <c r="D1678" i="18"/>
  <c r="E1678" i="18"/>
  <c r="F1678" i="18"/>
  <c r="G1678" i="18"/>
  <c r="H1678" i="18"/>
  <c r="I1678" i="18"/>
  <c r="J1678" i="18"/>
  <c r="A1679" i="18"/>
  <c r="B1679" i="18"/>
  <c r="C1679" i="18"/>
  <c r="D1679" i="18"/>
  <c r="E1679" i="18"/>
  <c r="F1679" i="18"/>
  <c r="G1679" i="18"/>
  <c r="H1679" i="18"/>
  <c r="I1679" i="18"/>
  <c r="J1679" i="18"/>
  <c r="A1680" i="18"/>
  <c r="B1680" i="18"/>
  <c r="C1680" i="18"/>
  <c r="D1680" i="18"/>
  <c r="E1680" i="18"/>
  <c r="F1680" i="18"/>
  <c r="G1680" i="18"/>
  <c r="H1680" i="18"/>
  <c r="I1680" i="18"/>
  <c r="J1680" i="18"/>
  <c r="A1681" i="18"/>
  <c r="B1681" i="18"/>
  <c r="C1681" i="18"/>
  <c r="D1681" i="18"/>
  <c r="E1681" i="18"/>
  <c r="F1681" i="18"/>
  <c r="G1681" i="18"/>
  <c r="H1681" i="18"/>
  <c r="I1681" i="18"/>
  <c r="J1681" i="18"/>
  <c r="A1682" i="18"/>
  <c r="B1682" i="18"/>
  <c r="C1682" i="18"/>
  <c r="D1682" i="18"/>
  <c r="E1682" i="18"/>
  <c r="F1682" i="18"/>
  <c r="G1682" i="18"/>
  <c r="H1682" i="18"/>
  <c r="I1682" i="18"/>
  <c r="J1682" i="18"/>
  <c r="A1683" i="18"/>
  <c r="B1683" i="18"/>
  <c r="C1683" i="18"/>
  <c r="D1683" i="18"/>
  <c r="E1683" i="18"/>
  <c r="F1683" i="18"/>
  <c r="G1683" i="18"/>
  <c r="H1683" i="18"/>
  <c r="I1683" i="18"/>
  <c r="J1683" i="18"/>
  <c r="A1684" i="18"/>
  <c r="B1684" i="18"/>
  <c r="C1684" i="18"/>
  <c r="D1684" i="18"/>
  <c r="E1684" i="18"/>
  <c r="F1684" i="18"/>
  <c r="G1684" i="18"/>
  <c r="H1684" i="18"/>
  <c r="I1684" i="18"/>
  <c r="J1684" i="18"/>
  <c r="A1685" i="18"/>
  <c r="B1685" i="18"/>
  <c r="C1685" i="18"/>
  <c r="D1685" i="18"/>
  <c r="E1685" i="18"/>
  <c r="F1685" i="18"/>
  <c r="G1685" i="18"/>
  <c r="H1685" i="18"/>
  <c r="I1685" i="18"/>
  <c r="J1685" i="18"/>
  <c r="A1686" i="18"/>
  <c r="B1686" i="18"/>
  <c r="C1686" i="18"/>
  <c r="D1686" i="18"/>
  <c r="E1686" i="18"/>
  <c r="F1686" i="18"/>
  <c r="G1686" i="18"/>
  <c r="H1686" i="18"/>
  <c r="I1686" i="18"/>
  <c r="J1686" i="18"/>
  <c r="A1687" i="18"/>
  <c r="B1687" i="18"/>
  <c r="C1687" i="18"/>
  <c r="D1687" i="18"/>
  <c r="E1687" i="18"/>
  <c r="F1687" i="18"/>
  <c r="G1687" i="18"/>
  <c r="H1687" i="18"/>
  <c r="I1687" i="18"/>
  <c r="J1687" i="18"/>
  <c r="A1688" i="18"/>
  <c r="B1688" i="18"/>
  <c r="C1688" i="18"/>
  <c r="D1688" i="18"/>
  <c r="E1688" i="18"/>
  <c r="F1688" i="18"/>
  <c r="G1688" i="18"/>
  <c r="H1688" i="18"/>
  <c r="I1688" i="18"/>
  <c r="J1688" i="18"/>
  <c r="A1689" i="18"/>
  <c r="B1689" i="18"/>
  <c r="C1689" i="18"/>
  <c r="D1689" i="18"/>
  <c r="E1689" i="18"/>
  <c r="F1689" i="18"/>
  <c r="G1689" i="18"/>
  <c r="H1689" i="18"/>
  <c r="I1689" i="18"/>
  <c r="J1689" i="18"/>
  <c r="A1690" i="18"/>
  <c r="B1690" i="18"/>
  <c r="C1690" i="18"/>
  <c r="D1690" i="18"/>
  <c r="E1690" i="18"/>
  <c r="F1690" i="18"/>
  <c r="G1690" i="18"/>
  <c r="H1690" i="18"/>
  <c r="I1690" i="18"/>
  <c r="J1690" i="18"/>
  <c r="A1691" i="18"/>
  <c r="B1691" i="18"/>
  <c r="C1691" i="18"/>
  <c r="D1691" i="18"/>
  <c r="E1691" i="18"/>
  <c r="F1691" i="18"/>
  <c r="G1691" i="18"/>
  <c r="H1691" i="18"/>
  <c r="I1691" i="18"/>
  <c r="J1691" i="18"/>
  <c r="A1692" i="18"/>
  <c r="B1692" i="18"/>
  <c r="C1692" i="18"/>
  <c r="D1692" i="18"/>
  <c r="E1692" i="18"/>
  <c r="F1692" i="18"/>
  <c r="G1692" i="18"/>
  <c r="H1692" i="18"/>
  <c r="I1692" i="18"/>
  <c r="J1692" i="18"/>
  <c r="A1693" i="18"/>
  <c r="B1693" i="18"/>
  <c r="C1693" i="18"/>
  <c r="D1693" i="18"/>
  <c r="E1693" i="18"/>
  <c r="F1693" i="18"/>
  <c r="G1693" i="18"/>
  <c r="H1693" i="18"/>
  <c r="I1693" i="18"/>
  <c r="J1693" i="18"/>
  <c r="A1694" i="18"/>
  <c r="B1694" i="18"/>
  <c r="C1694" i="18"/>
  <c r="D1694" i="18"/>
  <c r="E1694" i="18"/>
  <c r="F1694" i="18"/>
  <c r="G1694" i="18"/>
  <c r="H1694" i="18"/>
  <c r="I1694" i="18"/>
  <c r="J1694" i="18"/>
  <c r="A1695" i="18"/>
  <c r="B1695" i="18"/>
  <c r="C1695" i="18"/>
  <c r="D1695" i="18"/>
  <c r="E1695" i="18"/>
  <c r="F1695" i="18"/>
  <c r="G1695" i="18"/>
  <c r="H1695" i="18"/>
  <c r="I1695" i="18"/>
  <c r="J1695" i="18"/>
  <c r="A1696" i="18"/>
  <c r="B1696" i="18"/>
  <c r="C1696" i="18"/>
  <c r="D1696" i="18"/>
  <c r="E1696" i="18"/>
  <c r="F1696" i="18"/>
  <c r="G1696" i="18"/>
  <c r="H1696" i="18"/>
  <c r="I1696" i="18"/>
  <c r="J1696" i="18"/>
  <c r="A1697" i="18"/>
  <c r="B1697" i="18"/>
  <c r="C1697" i="18"/>
  <c r="D1697" i="18"/>
  <c r="E1697" i="18"/>
  <c r="F1697" i="18"/>
  <c r="G1697" i="18"/>
  <c r="H1697" i="18"/>
  <c r="I1697" i="18"/>
  <c r="J1697" i="18"/>
  <c r="A1698" i="18"/>
  <c r="B1698" i="18"/>
  <c r="C1698" i="18"/>
  <c r="D1698" i="18"/>
  <c r="E1698" i="18"/>
  <c r="F1698" i="18"/>
  <c r="G1698" i="18"/>
  <c r="H1698" i="18"/>
  <c r="I1698" i="18"/>
  <c r="J1698" i="18"/>
  <c r="A1699" i="18"/>
  <c r="B1699" i="18"/>
  <c r="C1699" i="18"/>
  <c r="D1699" i="18"/>
  <c r="E1699" i="18"/>
  <c r="F1699" i="18"/>
  <c r="G1699" i="18"/>
  <c r="H1699" i="18"/>
  <c r="I1699" i="18"/>
  <c r="J1699" i="18"/>
  <c r="A1700" i="18"/>
  <c r="B1700" i="18"/>
  <c r="C1700" i="18"/>
  <c r="D1700" i="18"/>
  <c r="E1700" i="18"/>
  <c r="F1700" i="18"/>
  <c r="G1700" i="18"/>
  <c r="H1700" i="18"/>
  <c r="I1700" i="18"/>
  <c r="J1700" i="18"/>
  <c r="A1701" i="18"/>
  <c r="B1701" i="18"/>
  <c r="C1701" i="18"/>
  <c r="D1701" i="18"/>
  <c r="E1701" i="18"/>
  <c r="F1701" i="18"/>
  <c r="G1701" i="18"/>
  <c r="H1701" i="18"/>
  <c r="I1701" i="18"/>
  <c r="J1701" i="18"/>
  <c r="A1702" i="18"/>
  <c r="B1702" i="18"/>
  <c r="C1702" i="18"/>
  <c r="D1702" i="18"/>
  <c r="E1702" i="18"/>
  <c r="F1702" i="18"/>
  <c r="G1702" i="18"/>
  <c r="H1702" i="18"/>
  <c r="I1702" i="18"/>
  <c r="J1702" i="18"/>
  <c r="A1703" i="18"/>
  <c r="B1703" i="18"/>
  <c r="C1703" i="18"/>
  <c r="D1703" i="18"/>
  <c r="E1703" i="18"/>
  <c r="F1703" i="18"/>
  <c r="G1703" i="18"/>
  <c r="H1703" i="18"/>
  <c r="I1703" i="18"/>
  <c r="J1703" i="18"/>
  <c r="A1704" i="18"/>
  <c r="B1704" i="18"/>
  <c r="C1704" i="18"/>
  <c r="D1704" i="18"/>
  <c r="E1704" i="18"/>
  <c r="F1704" i="18"/>
  <c r="G1704" i="18"/>
  <c r="H1704" i="18"/>
  <c r="I1704" i="18"/>
  <c r="J1704" i="18"/>
  <c r="A1705" i="18"/>
  <c r="B1705" i="18"/>
  <c r="C1705" i="18"/>
  <c r="D1705" i="18"/>
  <c r="E1705" i="18"/>
  <c r="F1705" i="18"/>
  <c r="G1705" i="18"/>
  <c r="H1705" i="18"/>
  <c r="I1705" i="18"/>
  <c r="J1705" i="18"/>
  <c r="A1706" i="18"/>
  <c r="B1706" i="18"/>
  <c r="C1706" i="18"/>
  <c r="D1706" i="18"/>
  <c r="E1706" i="18"/>
  <c r="F1706" i="18"/>
  <c r="G1706" i="18"/>
  <c r="H1706" i="18"/>
  <c r="I1706" i="18"/>
  <c r="J1706" i="18"/>
  <c r="A1707" i="18"/>
  <c r="B1707" i="18"/>
  <c r="C1707" i="18"/>
  <c r="D1707" i="18"/>
  <c r="E1707" i="18"/>
  <c r="F1707" i="18"/>
  <c r="G1707" i="18"/>
  <c r="H1707" i="18"/>
  <c r="I1707" i="18"/>
  <c r="J1707" i="18"/>
  <c r="A1708" i="18"/>
  <c r="B1708" i="18"/>
  <c r="C1708" i="18"/>
  <c r="D1708" i="18"/>
  <c r="E1708" i="18"/>
  <c r="F1708" i="18"/>
  <c r="G1708" i="18"/>
  <c r="H1708" i="18"/>
  <c r="I1708" i="18"/>
  <c r="J1708" i="18"/>
  <c r="A1709" i="18"/>
  <c r="B1709" i="18"/>
  <c r="C1709" i="18"/>
  <c r="D1709" i="18"/>
  <c r="E1709" i="18"/>
  <c r="F1709" i="18"/>
  <c r="G1709" i="18"/>
  <c r="H1709" i="18"/>
  <c r="I1709" i="18"/>
  <c r="J1709" i="18"/>
  <c r="A1710" i="18"/>
  <c r="B1710" i="18"/>
  <c r="C1710" i="18"/>
  <c r="D1710" i="18"/>
  <c r="E1710" i="18"/>
  <c r="F1710" i="18"/>
  <c r="G1710" i="18"/>
  <c r="H1710" i="18"/>
  <c r="I1710" i="18"/>
  <c r="J1710" i="18"/>
  <c r="A1711" i="18"/>
  <c r="B1711" i="18"/>
  <c r="C1711" i="18"/>
  <c r="D1711" i="18"/>
  <c r="E1711" i="18"/>
  <c r="F1711" i="18"/>
  <c r="G1711" i="18"/>
  <c r="H1711" i="18"/>
  <c r="I1711" i="18"/>
  <c r="J1711" i="18"/>
  <c r="A1712" i="18"/>
  <c r="B1712" i="18"/>
  <c r="C1712" i="18"/>
  <c r="D1712" i="18"/>
  <c r="E1712" i="18"/>
  <c r="F1712" i="18"/>
  <c r="G1712" i="18"/>
  <c r="H1712" i="18"/>
  <c r="I1712" i="18"/>
  <c r="J1712" i="18"/>
  <c r="A1713" i="18"/>
  <c r="B1713" i="18"/>
  <c r="C1713" i="18"/>
  <c r="D1713" i="18"/>
  <c r="E1713" i="18"/>
  <c r="F1713" i="18"/>
  <c r="G1713" i="18"/>
  <c r="H1713" i="18"/>
  <c r="I1713" i="18"/>
  <c r="J1713" i="18"/>
  <c r="A1714" i="18"/>
  <c r="B1714" i="18"/>
  <c r="C1714" i="18"/>
  <c r="D1714" i="18"/>
  <c r="E1714" i="18"/>
  <c r="F1714" i="18"/>
  <c r="G1714" i="18"/>
  <c r="H1714" i="18"/>
  <c r="I1714" i="18"/>
  <c r="J1714" i="18"/>
  <c r="A1715" i="18"/>
  <c r="B1715" i="18"/>
  <c r="C1715" i="18"/>
  <c r="D1715" i="18"/>
  <c r="E1715" i="18"/>
  <c r="F1715" i="18"/>
  <c r="G1715" i="18"/>
  <c r="H1715" i="18"/>
  <c r="I1715" i="18"/>
  <c r="J1715" i="18"/>
  <c r="A1716" i="18"/>
  <c r="B1716" i="18"/>
  <c r="C1716" i="18"/>
  <c r="D1716" i="18"/>
  <c r="E1716" i="18"/>
  <c r="F1716" i="18"/>
  <c r="G1716" i="18"/>
  <c r="H1716" i="18"/>
  <c r="I1716" i="18"/>
  <c r="J1716" i="18"/>
  <c r="A1717" i="18"/>
  <c r="B1717" i="18"/>
  <c r="C1717" i="18"/>
  <c r="D1717" i="18"/>
  <c r="E1717" i="18"/>
  <c r="F1717" i="18"/>
  <c r="G1717" i="18"/>
  <c r="H1717" i="18"/>
  <c r="I1717" i="18"/>
  <c r="J1717" i="18"/>
  <c r="A1718" i="18"/>
  <c r="B1718" i="18"/>
  <c r="C1718" i="18"/>
  <c r="D1718" i="18"/>
  <c r="E1718" i="18"/>
  <c r="F1718" i="18"/>
  <c r="G1718" i="18"/>
  <c r="H1718" i="18"/>
  <c r="I1718" i="18"/>
  <c r="J1718" i="18"/>
  <c r="A1719" i="18"/>
  <c r="B1719" i="18"/>
  <c r="C1719" i="18"/>
  <c r="D1719" i="18"/>
  <c r="E1719" i="18"/>
  <c r="F1719" i="18"/>
  <c r="G1719" i="18"/>
  <c r="H1719" i="18"/>
  <c r="I1719" i="18"/>
  <c r="J1719" i="18"/>
  <c r="A1720" i="18"/>
  <c r="B1720" i="18"/>
  <c r="C1720" i="18"/>
  <c r="D1720" i="18"/>
  <c r="E1720" i="18"/>
  <c r="F1720" i="18"/>
  <c r="G1720" i="18"/>
  <c r="H1720" i="18"/>
  <c r="I1720" i="18"/>
  <c r="J1720" i="18"/>
  <c r="A1721" i="18"/>
  <c r="B1721" i="18"/>
  <c r="C1721" i="18"/>
  <c r="D1721" i="18"/>
  <c r="E1721" i="18"/>
  <c r="F1721" i="18"/>
  <c r="G1721" i="18"/>
  <c r="H1721" i="18"/>
  <c r="I1721" i="18"/>
  <c r="J1721" i="18"/>
  <c r="A1722" i="18"/>
  <c r="B1722" i="18"/>
  <c r="C1722" i="18"/>
  <c r="D1722" i="18"/>
  <c r="E1722" i="18"/>
  <c r="F1722" i="18"/>
  <c r="G1722" i="18"/>
  <c r="H1722" i="18"/>
  <c r="I1722" i="18"/>
  <c r="J1722" i="18"/>
  <c r="A1723" i="18"/>
  <c r="B1723" i="18"/>
  <c r="C1723" i="18"/>
  <c r="D1723" i="18"/>
  <c r="E1723" i="18"/>
  <c r="F1723" i="18"/>
  <c r="G1723" i="18"/>
  <c r="H1723" i="18"/>
  <c r="I1723" i="18"/>
  <c r="J1723" i="18"/>
  <c r="A1724" i="18"/>
  <c r="B1724" i="18"/>
  <c r="C1724" i="18"/>
  <c r="D1724" i="18"/>
  <c r="E1724" i="18"/>
  <c r="F1724" i="18"/>
  <c r="G1724" i="18"/>
  <c r="H1724" i="18"/>
  <c r="I1724" i="18"/>
  <c r="J1724" i="18"/>
  <c r="A1725" i="18"/>
  <c r="B1725" i="18"/>
  <c r="C1725" i="18"/>
  <c r="D1725" i="18"/>
  <c r="E1725" i="18"/>
  <c r="F1725" i="18"/>
  <c r="G1725" i="18"/>
  <c r="H1725" i="18"/>
  <c r="I1725" i="18"/>
  <c r="J1725" i="18"/>
  <c r="A1726" i="18"/>
  <c r="B1726" i="18"/>
  <c r="C1726" i="18"/>
  <c r="D1726" i="18"/>
  <c r="E1726" i="18"/>
  <c r="F1726" i="18"/>
  <c r="G1726" i="18"/>
  <c r="H1726" i="18"/>
  <c r="I1726" i="18"/>
  <c r="J1726" i="18"/>
  <c r="A1727" i="18"/>
  <c r="B1727" i="18"/>
  <c r="C1727" i="18"/>
  <c r="D1727" i="18"/>
  <c r="E1727" i="18"/>
  <c r="F1727" i="18"/>
  <c r="G1727" i="18"/>
  <c r="H1727" i="18"/>
  <c r="I1727" i="18"/>
  <c r="J1727" i="18"/>
  <c r="A1728" i="18"/>
  <c r="B1728" i="18"/>
  <c r="C1728" i="18"/>
  <c r="D1728" i="18"/>
  <c r="E1728" i="18"/>
  <c r="F1728" i="18"/>
  <c r="G1728" i="18"/>
  <c r="H1728" i="18"/>
  <c r="I1728" i="18"/>
  <c r="J1728" i="18"/>
  <c r="A1729" i="18"/>
  <c r="B1729" i="18"/>
  <c r="C1729" i="18"/>
  <c r="D1729" i="18"/>
  <c r="E1729" i="18"/>
  <c r="F1729" i="18"/>
  <c r="G1729" i="18"/>
  <c r="H1729" i="18"/>
  <c r="I1729" i="18"/>
  <c r="J1729" i="18"/>
  <c r="A1730" i="18"/>
  <c r="B1730" i="18"/>
  <c r="C1730" i="18"/>
  <c r="D1730" i="18"/>
  <c r="E1730" i="18"/>
  <c r="F1730" i="18"/>
  <c r="G1730" i="18"/>
  <c r="H1730" i="18"/>
  <c r="I1730" i="18"/>
  <c r="J1730" i="18"/>
  <c r="A1731" i="18"/>
  <c r="B1731" i="18"/>
  <c r="C1731" i="18"/>
  <c r="D1731" i="18"/>
  <c r="E1731" i="18"/>
  <c r="F1731" i="18"/>
  <c r="G1731" i="18"/>
  <c r="H1731" i="18"/>
  <c r="I1731" i="18"/>
  <c r="J1731" i="18"/>
  <c r="A1732" i="18"/>
  <c r="B1732" i="18"/>
  <c r="C1732" i="18"/>
  <c r="D1732" i="18"/>
  <c r="E1732" i="18"/>
  <c r="F1732" i="18"/>
  <c r="G1732" i="18"/>
  <c r="H1732" i="18"/>
  <c r="I1732" i="18"/>
  <c r="J1732" i="18"/>
  <c r="A1733" i="18"/>
  <c r="B1733" i="18"/>
  <c r="C1733" i="18"/>
  <c r="D1733" i="18"/>
  <c r="E1733" i="18"/>
  <c r="F1733" i="18"/>
  <c r="G1733" i="18"/>
  <c r="H1733" i="18"/>
  <c r="I1733" i="18"/>
  <c r="J1733" i="18"/>
  <c r="A1734" i="18"/>
  <c r="B1734" i="18"/>
  <c r="C1734" i="18"/>
  <c r="D1734" i="18"/>
  <c r="E1734" i="18"/>
  <c r="F1734" i="18"/>
  <c r="G1734" i="18"/>
  <c r="H1734" i="18"/>
  <c r="I1734" i="18"/>
  <c r="J1734" i="18"/>
  <c r="A1735" i="18"/>
  <c r="B1735" i="18"/>
  <c r="C1735" i="18"/>
  <c r="D1735" i="18"/>
  <c r="E1735" i="18"/>
  <c r="F1735" i="18"/>
  <c r="G1735" i="18"/>
  <c r="H1735" i="18"/>
  <c r="I1735" i="18"/>
  <c r="J1735" i="18"/>
  <c r="A1736" i="18"/>
  <c r="B1736" i="18"/>
  <c r="C1736" i="18"/>
  <c r="D1736" i="18"/>
  <c r="E1736" i="18"/>
  <c r="F1736" i="18"/>
  <c r="G1736" i="18"/>
  <c r="H1736" i="18"/>
  <c r="I1736" i="18"/>
  <c r="J1736" i="18"/>
  <c r="A1737" i="18"/>
  <c r="B1737" i="18"/>
  <c r="C1737" i="18"/>
  <c r="D1737" i="18"/>
  <c r="E1737" i="18"/>
  <c r="F1737" i="18"/>
  <c r="G1737" i="18"/>
  <c r="H1737" i="18"/>
  <c r="I1737" i="18"/>
  <c r="J1737" i="18"/>
  <c r="A1738" i="18"/>
  <c r="B1738" i="18"/>
  <c r="C1738" i="18"/>
  <c r="D1738" i="18"/>
  <c r="E1738" i="18"/>
  <c r="F1738" i="18"/>
  <c r="G1738" i="18"/>
  <c r="H1738" i="18"/>
  <c r="I1738" i="18"/>
  <c r="J1738" i="18"/>
  <c r="A1739" i="18"/>
  <c r="B1739" i="18"/>
  <c r="C1739" i="18"/>
  <c r="D1739" i="18"/>
  <c r="E1739" i="18"/>
  <c r="F1739" i="18"/>
  <c r="G1739" i="18"/>
  <c r="H1739" i="18"/>
  <c r="I1739" i="18"/>
  <c r="J1739" i="18"/>
  <c r="A1740" i="18"/>
  <c r="B1740" i="18"/>
  <c r="C1740" i="18"/>
  <c r="D1740" i="18"/>
  <c r="E1740" i="18"/>
  <c r="F1740" i="18"/>
  <c r="G1740" i="18"/>
  <c r="H1740" i="18"/>
  <c r="I1740" i="18"/>
  <c r="J1740" i="18"/>
  <c r="A1741" i="18"/>
  <c r="B1741" i="18"/>
  <c r="C1741" i="18"/>
  <c r="D1741" i="18"/>
  <c r="E1741" i="18"/>
  <c r="F1741" i="18"/>
  <c r="G1741" i="18"/>
  <c r="H1741" i="18"/>
  <c r="I1741" i="18"/>
  <c r="J1741" i="18"/>
  <c r="A1742" i="18"/>
  <c r="B1742" i="18"/>
  <c r="C1742" i="18"/>
  <c r="D1742" i="18"/>
  <c r="E1742" i="18"/>
  <c r="F1742" i="18"/>
  <c r="G1742" i="18"/>
  <c r="H1742" i="18"/>
  <c r="I1742" i="18"/>
  <c r="J1742" i="18"/>
  <c r="A1743" i="18"/>
  <c r="B1743" i="18"/>
  <c r="C1743" i="18"/>
  <c r="D1743" i="18"/>
  <c r="E1743" i="18"/>
  <c r="F1743" i="18"/>
  <c r="G1743" i="18"/>
  <c r="H1743" i="18"/>
  <c r="I1743" i="18"/>
  <c r="J1743" i="18"/>
  <c r="A1744" i="18"/>
  <c r="B1744" i="18"/>
  <c r="C1744" i="18"/>
  <c r="D1744" i="18"/>
  <c r="E1744" i="18"/>
  <c r="F1744" i="18"/>
  <c r="G1744" i="18"/>
  <c r="H1744" i="18"/>
  <c r="I1744" i="18"/>
  <c r="J1744" i="18"/>
  <c r="A1745" i="18"/>
  <c r="B1745" i="18"/>
  <c r="C1745" i="18"/>
  <c r="D1745" i="18"/>
  <c r="E1745" i="18"/>
  <c r="F1745" i="18"/>
  <c r="G1745" i="18"/>
  <c r="H1745" i="18"/>
  <c r="I1745" i="18"/>
  <c r="J1745" i="18"/>
  <c r="A1746" i="18"/>
  <c r="B1746" i="18"/>
  <c r="C1746" i="18"/>
  <c r="D1746" i="18"/>
  <c r="E1746" i="18"/>
  <c r="F1746" i="18"/>
  <c r="G1746" i="18"/>
  <c r="H1746" i="18"/>
  <c r="I1746" i="18"/>
  <c r="J1746" i="18"/>
  <c r="A1747" i="18"/>
  <c r="B1747" i="18"/>
  <c r="C1747" i="18"/>
  <c r="D1747" i="18"/>
  <c r="E1747" i="18"/>
  <c r="F1747" i="18"/>
  <c r="G1747" i="18"/>
  <c r="H1747" i="18"/>
  <c r="I1747" i="18"/>
  <c r="J1747" i="18"/>
  <c r="A1748" i="18"/>
  <c r="B1748" i="18"/>
  <c r="C1748" i="18"/>
  <c r="D1748" i="18"/>
  <c r="E1748" i="18"/>
  <c r="F1748" i="18"/>
  <c r="G1748" i="18"/>
  <c r="H1748" i="18"/>
  <c r="I1748" i="18"/>
  <c r="J1748" i="18"/>
  <c r="A1749" i="18"/>
  <c r="B1749" i="18"/>
  <c r="C1749" i="18"/>
  <c r="D1749" i="18"/>
  <c r="E1749" i="18"/>
  <c r="F1749" i="18"/>
  <c r="G1749" i="18"/>
  <c r="H1749" i="18"/>
  <c r="I1749" i="18"/>
  <c r="J1749" i="18"/>
  <c r="A1750" i="18"/>
  <c r="B1750" i="18"/>
  <c r="C1750" i="18"/>
  <c r="D1750" i="18"/>
  <c r="E1750" i="18"/>
  <c r="F1750" i="18"/>
  <c r="G1750" i="18"/>
  <c r="H1750" i="18"/>
  <c r="I1750" i="18"/>
  <c r="J1750" i="18"/>
  <c r="A1751" i="18"/>
  <c r="B1751" i="18"/>
  <c r="C1751" i="18"/>
  <c r="D1751" i="18"/>
  <c r="E1751" i="18"/>
  <c r="F1751" i="18"/>
  <c r="G1751" i="18"/>
  <c r="H1751" i="18"/>
  <c r="I1751" i="18"/>
  <c r="J1751" i="18"/>
  <c r="A1752" i="18"/>
  <c r="B1752" i="18"/>
  <c r="C1752" i="18"/>
  <c r="D1752" i="18"/>
  <c r="E1752" i="18"/>
  <c r="F1752" i="18"/>
  <c r="G1752" i="18"/>
  <c r="H1752" i="18"/>
  <c r="I1752" i="18"/>
  <c r="J1752" i="18"/>
  <c r="A1753" i="18"/>
  <c r="B1753" i="18"/>
  <c r="C1753" i="18"/>
  <c r="D1753" i="18"/>
  <c r="E1753" i="18"/>
  <c r="F1753" i="18"/>
  <c r="G1753" i="18"/>
  <c r="H1753" i="18"/>
  <c r="I1753" i="18"/>
  <c r="J1753" i="18"/>
  <c r="A1754" i="18"/>
  <c r="B1754" i="18"/>
  <c r="C1754" i="18"/>
  <c r="D1754" i="18"/>
  <c r="E1754" i="18"/>
  <c r="F1754" i="18"/>
  <c r="G1754" i="18"/>
  <c r="H1754" i="18"/>
  <c r="I1754" i="18"/>
  <c r="J1754" i="18"/>
  <c r="A1755" i="18"/>
  <c r="B1755" i="18"/>
  <c r="C1755" i="18"/>
  <c r="D1755" i="18"/>
  <c r="E1755" i="18"/>
  <c r="F1755" i="18"/>
  <c r="G1755" i="18"/>
  <c r="H1755" i="18"/>
  <c r="I1755" i="18"/>
  <c r="J1755" i="18"/>
  <c r="A1756" i="18"/>
  <c r="B1756" i="18"/>
  <c r="C1756" i="18"/>
  <c r="D1756" i="18"/>
  <c r="E1756" i="18"/>
  <c r="F1756" i="18"/>
  <c r="G1756" i="18"/>
  <c r="H1756" i="18"/>
  <c r="I1756" i="18"/>
  <c r="J1756" i="18"/>
  <c r="A1757" i="18"/>
  <c r="B1757" i="18"/>
  <c r="C1757" i="18"/>
  <c r="D1757" i="18"/>
  <c r="E1757" i="18"/>
  <c r="F1757" i="18"/>
  <c r="G1757" i="18"/>
  <c r="H1757" i="18"/>
  <c r="I1757" i="18"/>
  <c r="J1757" i="18"/>
  <c r="A1758" i="18"/>
  <c r="B1758" i="18"/>
  <c r="C1758" i="18"/>
  <c r="D1758" i="18"/>
  <c r="E1758" i="18"/>
  <c r="F1758" i="18"/>
  <c r="G1758" i="18"/>
  <c r="H1758" i="18"/>
  <c r="I1758" i="18"/>
  <c r="J1758" i="18"/>
  <c r="A1759" i="18"/>
  <c r="B1759" i="18"/>
  <c r="C1759" i="18"/>
  <c r="D1759" i="18"/>
  <c r="E1759" i="18"/>
  <c r="F1759" i="18"/>
  <c r="G1759" i="18"/>
  <c r="H1759" i="18"/>
  <c r="I1759" i="18"/>
  <c r="J1759" i="18"/>
  <c r="A1760" i="18"/>
  <c r="B1760" i="18"/>
  <c r="C1760" i="18"/>
  <c r="D1760" i="18"/>
  <c r="E1760" i="18"/>
  <c r="F1760" i="18"/>
  <c r="G1760" i="18"/>
  <c r="H1760" i="18"/>
  <c r="I1760" i="18"/>
  <c r="J1760" i="18"/>
  <c r="A1761" i="18"/>
  <c r="B1761" i="18"/>
  <c r="C1761" i="18"/>
  <c r="D1761" i="18"/>
  <c r="E1761" i="18"/>
  <c r="F1761" i="18"/>
  <c r="G1761" i="18"/>
  <c r="H1761" i="18"/>
  <c r="I1761" i="18"/>
  <c r="J1761" i="18"/>
  <c r="A1762" i="18"/>
  <c r="B1762" i="18"/>
  <c r="C1762" i="18"/>
  <c r="D1762" i="18"/>
  <c r="E1762" i="18"/>
  <c r="F1762" i="18"/>
  <c r="G1762" i="18"/>
  <c r="H1762" i="18"/>
  <c r="I1762" i="18"/>
  <c r="J1762" i="18"/>
  <c r="A1763" i="18"/>
  <c r="B1763" i="18"/>
  <c r="C1763" i="18"/>
  <c r="D1763" i="18"/>
  <c r="E1763" i="18"/>
  <c r="F1763" i="18"/>
  <c r="G1763" i="18"/>
  <c r="H1763" i="18"/>
  <c r="I1763" i="18"/>
  <c r="J1763" i="18"/>
  <c r="A1764" i="18"/>
  <c r="B1764" i="18"/>
  <c r="C1764" i="18"/>
  <c r="D1764" i="18"/>
  <c r="E1764" i="18"/>
  <c r="F1764" i="18"/>
  <c r="G1764" i="18"/>
  <c r="H1764" i="18"/>
  <c r="I1764" i="18"/>
  <c r="J1764" i="18"/>
  <c r="A1765" i="18"/>
  <c r="B1765" i="18"/>
  <c r="C1765" i="18"/>
  <c r="D1765" i="18"/>
  <c r="E1765" i="18"/>
  <c r="F1765" i="18"/>
  <c r="G1765" i="18"/>
  <c r="H1765" i="18"/>
  <c r="I1765" i="18"/>
  <c r="J1765" i="18"/>
  <c r="A1766" i="18"/>
  <c r="B1766" i="18"/>
  <c r="C1766" i="18"/>
  <c r="D1766" i="18"/>
  <c r="E1766" i="18"/>
  <c r="F1766" i="18"/>
  <c r="G1766" i="18"/>
  <c r="H1766" i="18"/>
  <c r="I1766" i="18"/>
  <c r="J1766" i="18"/>
  <c r="A1767" i="18"/>
  <c r="B1767" i="18"/>
  <c r="C1767" i="18"/>
  <c r="D1767" i="18"/>
  <c r="E1767" i="18"/>
  <c r="F1767" i="18"/>
  <c r="G1767" i="18"/>
  <c r="H1767" i="18"/>
  <c r="I1767" i="18"/>
  <c r="J1767" i="18"/>
  <c r="A1768" i="18"/>
  <c r="B1768" i="18"/>
  <c r="C1768" i="18"/>
  <c r="D1768" i="18"/>
  <c r="E1768" i="18"/>
  <c r="F1768" i="18"/>
  <c r="G1768" i="18"/>
  <c r="H1768" i="18"/>
  <c r="I1768" i="18"/>
  <c r="J1768" i="18"/>
  <c r="A1769" i="18"/>
  <c r="B1769" i="18"/>
  <c r="C1769" i="18"/>
  <c r="D1769" i="18"/>
  <c r="E1769" i="18"/>
  <c r="F1769" i="18"/>
  <c r="G1769" i="18"/>
  <c r="H1769" i="18"/>
  <c r="I1769" i="18"/>
  <c r="J1769" i="18"/>
  <c r="A1770" i="18"/>
  <c r="B1770" i="18"/>
  <c r="C1770" i="18"/>
  <c r="D1770" i="18"/>
  <c r="E1770" i="18"/>
  <c r="F1770" i="18"/>
  <c r="G1770" i="18"/>
  <c r="H1770" i="18"/>
  <c r="I1770" i="18"/>
  <c r="J1770" i="18"/>
  <c r="A1771" i="18"/>
  <c r="B1771" i="18"/>
  <c r="C1771" i="18"/>
  <c r="D1771" i="18"/>
  <c r="E1771" i="18"/>
  <c r="F1771" i="18"/>
  <c r="G1771" i="18"/>
  <c r="H1771" i="18"/>
  <c r="I1771" i="18"/>
  <c r="J1771" i="18"/>
  <c r="A1772" i="18"/>
  <c r="B1772" i="18"/>
  <c r="C1772" i="18"/>
  <c r="D1772" i="18"/>
  <c r="E1772" i="18"/>
  <c r="F1772" i="18"/>
  <c r="G1772" i="18"/>
  <c r="H1772" i="18"/>
  <c r="I1772" i="18"/>
  <c r="J1772" i="18"/>
  <c r="A1773" i="18"/>
  <c r="B1773" i="18"/>
  <c r="C1773" i="18"/>
  <c r="D1773" i="18"/>
  <c r="E1773" i="18"/>
  <c r="F1773" i="18"/>
  <c r="G1773" i="18"/>
  <c r="H1773" i="18"/>
  <c r="I1773" i="18"/>
  <c r="J1773" i="18"/>
  <c r="A1774" i="18"/>
  <c r="B1774" i="18"/>
  <c r="C1774" i="18"/>
  <c r="D1774" i="18"/>
  <c r="E1774" i="18"/>
  <c r="F1774" i="18"/>
  <c r="G1774" i="18"/>
  <c r="H1774" i="18"/>
  <c r="I1774" i="18"/>
  <c r="J1774" i="18"/>
  <c r="A1775" i="18"/>
  <c r="B1775" i="18"/>
  <c r="C1775" i="18"/>
  <c r="D1775" i="18"/>
  <c r="E1775" i="18"/>
  <c r="F1775" i="18"/>
  <c r="G1775" i="18"/>
  <c r="H1775" i="18"/>
  <c r="I1775" i="18"/>
  <c r="J1775" i="18"/>
  <c r="A1776" i="18"/>
  <c r="B1776" i="18"/>
  <c r="C1776" i="18"/>
  <c r="D1776" i="18"/>
  <c r="E1776" i="18"/>
  <c r="F1776" i="18"/>
  <c r="G1776" i="18"/>
  <c r="H1776" i="18"/>
  <c r="I1776" i="18"/>
  <c r="J1776" i="18"/>
  <c r="A1777" i="18"/>
  <c r="B1777" i="18"/>
  <c r="C1777" i="18"/>
  <c r="D1777" i="18"/>
  <c r="E1777" i="18"/>
  <c r="F1777" i="18"/>
  <c r="G1777" i="18"/>
  <c r="H1777" i="18"/>
  <c r="I1777" i="18"/>
  <c r="J1777" i="18"/>
  <c r="A1778" i="18"/>
  <c r="B1778" i="18"/>
  <c r="C1778" i="18"/>
  <c r="D1778" i="18"/>
  <c r="E1778" i="18"/>
  <c r="F1778" i="18"/>
  <c r="G1778" i="18"/>
  <c r="H1778" i="18"/>
  <c r="I1778" i="18"/>
  <c r="J1778" i="18"/>
  <c r="A1779" i="18"/>
  <c r="B1779" i="18"/>
  <c r="C1779" i="18"/>
  <c r="D1779" i="18"/>
  <c r="E1779" i="18"/>
  <c r="F1779" i="18"/>
  <c r="G1779" i="18"/>
  <c r="H1779" i="18"/>
  <c r="I1779" i="18"/>
  <c r="J1779" i="18"/>
  <c r="A1780" i="18"/>
  <c r="B1780" i="18"/>
  <c r="C1780" i="18"/>
  <c r="D1780" i="18"/>
  <c r="E1780" i="18"/>
  <c r="F1780" i="18"/>
  <c r="G1780" i="18"/>
  <c r="H1780" i="18"/>
  <c r="I1780" i="18"/>
  <c r="J1780" i="18"/>
  <c r="A1781" i="18"/>
  <c r="B1781" i="18"/>
  <c r="C1781" i="18"/>
  <c r="D1781" i="18"/>
  <c r="E1781" i="18"/>
  <c r="F1781" i="18"/>
  <c r="G1781" i="18"/>
  <c r="H1781" i="18"/>
  <c r="I1781" i="18"/>
  <c r="J1781" i="18"/>
  <c r="A1782" i="18"/>
  <c r="B1782" i="18"/>
  <c r="C1782" i="18"/>
  <c r="D1782" i="18"/>
  <c r="E1782" i="18"/>
  <c r="F1782" i="18"/>
  <c r="G1782" i="18"/>
  <c r="H1782" i="18"/>
  <c r="I1782" i="18"/>
  <c r="J1782" i="18"/>
  <c r="A1783" i="18"/>
  <c r="B1783" i="18"/>
  <c r="C1783" i="18"/>
  <c r="D1783" i="18"/>
  <c r="E1783" i="18"/>
  <c r="F1783" i="18"/>
  <c r="G1783" i="18"/>
  <c r="H1783" i="18"/>
  <c r="I1783" i="18"/>
  <c r="J1783" i="18"/>
  <c r="A1784" i="18"/>
  <c r="B1784" i="18"/>
  <c r="C1784" i="18"/>
  <c r="D1784" i="18"/>
  <c r="E1784" i="18"/>
  <c r="F1784" i="18"/>
  <c r="G1784" i="18"/>
  <c r="H1784" i="18"/>
  <c r="I1784" i="18"/>
  <c r="J1784" i="18"/>
  <c r="A1785" i="18"/>
  <c r="B1785" i="18"/>
  <c r="C1785" i="18"/>
  <c r="D1785" i="18"/>
  <c r="E1785" i="18"/>
  <c r="F1785" i="18"/>
  <c r="G1785" i="18"/>
  <c r="H1785" i="18"/>
  <c r="I1785" i="18"/>
  <c r="J1785" i="18"/>
  <c r="A1786" i="18"/>
  <c r="B1786" i="18"/>
  <c r="C1786" i="18"/>
  <c r="D1786" i="18"/>
  <c r="E1786" i="18"/>
  <c r="F1786" i="18"/>
  <c r="G1786" i="18"/>
  <c r="H1786" i="18"/>
  <c r="I1786" i="18"/>
  <c r="J1786" i="18"/>
  <c r="A1787" i="18"/>
  <c r="B1787" i="18"/>
  <c r="C1787" i="18"/>
  <c r="D1787" i="18"/>
  <c r="E1787" i="18"/>
  <c r="F1787" i="18"/>
  <c r="G1787" i="18"/>
  <c r="H1787" i="18"/>
  <c r="I1787" i="18"/>
  <c r="J1787" i="18"/>
  <c r="A1788" i="18"/>
  <c r="B1788" i="18"/>
  <c r="C1788" i="18"/>
  <c r="D1788" i="18"/>
  <c r="E1788" i="18"/>
  <c r="F1788" i="18"/>
  <c r="G1788" i="18"/>
  <c r="H1788" i="18"/>
  <c r="I1788" i="18"/>
  <c r="J1788" i="18"/>
  <c r="A1789" i="18"/>
  <c r="B1789" i="18"/>
  <c r="C1789" i="18"/>
  <c r="D1789" i="18"/>
  <c r="E1789" i="18"/>
  <c r="F1789" i="18"/>
  <c r="G1789" i="18"/>
  <c r="H1789" i="18"/>
  <c r="I1789" i="18"/>
  <c r="J1789" i="18"/>
  <c r="A1790" i="18"/>
  <c r="B1790" i="18"/>
  <c r="C1790" i="18"/>
  <c r="D1790" i="18"/>
  <c r="E1790" i="18"/>
  <c r="F1790" i="18"/>
  <c r="G1790" i="18"/>
  <c r="H1790" i="18"/>
  <c r="I1790" i="18"/>
  <c r="J1790" i="18"/>
  <c r="A1791" i="18"/>
  <c r="B1791" i="18"/>
  <c r="C1791" i="18"/>
  <c r="D1791" i="18"/>
  <c r="E1791" i="18"/>
  <c r="F1791" i="18"/>
  <c r="G1791" i="18"/>
  <c r="H1791" i="18"/>
  <c r="I1791" i="18"/>
  <c r="J1791" i="18"/>
  <c r="A1792" i="18"/>
  <c r="B1792" i="18"/>
  <c r="C1792" i="18"/>
  <c r="D1792" i="18"/>
  <c r="E1792" i="18"/>
  <c r="F1792" i="18"/>
  <c r="G1792" i="18"/>
  <c r="H1792" i="18"/>
  <c r="I1792" i="18"/>
  <c r="J1792" i="18"/>
  <c r="A1793" i="18"/>
  <c r="B1793" i="18"/>
  <c r="C1793" i="18"/>
  <c r="D1793" i="18"/>
  <c r="E1793" i="18"/>
  <c r="F1793" i="18"/>
  <c r="G1793" i="18"/>
  <c r="H1793" i="18"/>
  <c r="I1793" i="18"/>
  <c r="J1793" i="18"/>
  <c r="A1794" i="18"/>
  <c r="B1794" i="18"/>
  <c r="C1794" i="18"/>
  <c r="D1794" i="18"/>
  <c r="E1794" i="18"/>
  <c r="F1794" i="18"/>
  <c r="G1794" i="18"/>
  <c r="H1794" i="18"/>
  <c r="I1794" i="18"/>
  <c r="J1794" i="18"/>
  <c r="A1795" i="18"/>
  <c r="B1795" i="18"/>
  <c r="C1795" i="18"/>
  <c r="D1795" i="18"/>
  <c r="E1795" i="18"/>
  <c r="F1795" i="18"/>
  <c r="G1795" i="18"/>
  <c r="H1795" i="18"/>
  <c r="I1795" i="18"/>
  <c r="J1795" i="18"/>
  <c r="A1796" i="18"/>
  <c r="B1796" i="18"/>
  <c r="C1796" i="18"/>
  <c r="D1796" i="18"/>
  <c r="E1796" i="18"/>
  <c r="F1796" i="18"/>
  <c r="G1796" i="18"/>
  <c r="H1796" i="18"/>
  <c r="I1796" i="18"/>
  <c r="J1796" i="18"/>
  <c r="A1797" i="18"/>
  <c r="B1797" i="18"/>
  <c r="C1797" i="18"/>
  <c r="D1797" i="18"/>
  <c r="E1797" i="18"/>
  <c r="F1797" i="18"/>
  <c r="G1797" i="18"/>
  <c r="H1797" i="18"/>
  <c r="I1797" i="18"/>
  <c r="J1797" i="18"/>
  <c r="A1798" i="18"/>
  <c r="B1798" i="18"/>
  <c r="C1798" i="18"/>
  <c r="D1798" i="18"/>
  <c r="E1798" i="18"/>
  <c r="F1798" i="18"/>
  <c r="G1798" i="18"/>
  <c r="H1798" i="18"/>
  <c r="I1798" i="18"/>
  <c r="J1798" i="18"/>
  <c r="A1799" i="18"/>
  <c r="B1799" i="18"/>
  <c r="C1799" i="18"/>
  <c r="D1799" i="18"/>
  <c r="E1799" i="18"/>
  <c r="F1799" i="18"/>
  <c r="G1799" i="18"/>
  <c r="H1799" i="18"/>
  <c r="I1799" i="18"/>
  <c r="J1799" i="18"/>
  <c r="A1800" i="18"/>
  <c r="B1800" i="18"/>
  <c r="C1800" i="18"/>
  <c r="D1800" i="18"/>
  <c r="E1800" i="18"/>
  <c r="F1800" i="18"/>
  <c r="G1800" i="18"/>
  <c r="H1800" i="18"/>
  <c r="I1800" i="18"/>
  <c r="J1800" i="18"/>
  <c r="A1801" i="18"/>
  <c r="B1801" i="18"/>
  <c r="C1801" i="18"/>
  <c r="D1801" i="18"/>
  <c r="E1801" i="18"/>
  <c r="F1801" i="18"/>
  <c r="G1801" i="18"/>
  <c r="H1801" i="18"/>
  <c r="I1801" i="18"/>
  <c r="J1801" i="18"/>
  <c r="A1802" i="18"/>
  <c r="B1802" i="18"/>
  <c r="C1802" i="18"/>
  <c r="D1802" i="18"/>
  <c r="E1802" i="18"/>
  <c r="F1802" i="18"/>
  <c r="G1802" i="18"/>
  <c r="H1802" i="18"/>
  <c r="I1802" i="18"/>
  <c r="J1802" i="18"/>
  <c r="A1803" i="18"/>
  <c r="B1803" i="18"/>
  <c r="C1803" i="18"/>
  <c r="D1803" i="18"/>
  <c r="E1803" i="18"/>
  <c r="F1803" i="18"/>
  <c r="G1803" i="18"/>
  <c r="H1803" i="18"/>
  <c r="I1803" i="18"/>
  <c r="J1803" i="18"/>
  <c r="A1804" i="18"/>
  <c r="B1804" i="18"/>
  <c r="C1804" i="18"/>
  <c r="D1804" i="18"/>
  <c r="E1804" i="18"/>
  <c r="F1804" i="18"/>
  <c r="G1804" i="18"/>
  <c r="H1804" i="18"/>
  <c r="I1804" i="18"/>
  <c r="J1804" i="18"/>
  <c r="A1805" i="18"/>
  <c r="B1805" i="18"/>
  <c r="C1805" i="18"/>
  <c r="D1805" i="18"/>
  <c r="E1805" i="18"/>
  <c r="F1805" i="18"/>
  <c r="G1805" i="18"/>
  <c r="H1805" i="18"/>
  <c r="I1805" i="18"/>
  <c r="J1805" i="18"/>
  <c r="A1806" i="18"/>
  <c r="B1806" i="18"/>
  <c r="C1806" i="18"/>
  <c r="D1806" i="18"/>
  <c r="E1806" i="18"/>
  <c r="F1806" i="18"/>
  <c r="G1806" i="18"/>
  <c r="H1806" i="18"/>
  <c r="I1806" i="18"/>
  <c r="J1806" i="18"/>
  <c r="A1807" i="18"/>
  <c r="B1807" i="18"/>
  <c r="C1807" i="18"/>
  <c r="D1807" i="18"/>
  <c r="E1807" i="18"/>
  <c r="F1807" i="18"/>
  <c r="G1807" i="18"/>
  <c r="H1807" i="18"/>
  <c r="I1807" i="18"/>
  <c r="J1807" i="18"/>
  <c r="A1808" i="18"/>
  <c r="B1808" i="18"/>
  <c r="C1808" i="18"/>
  <c r="D1808" i="18"/>
  <c r="E1808" i="18"/>
  <c r="F1808" i="18"/>
  <c r="G1808" i="18"/>
  <c r="H1808" i="18"/>
  <c r="I1808" i="18"/>
  <c r="J1808" i="18"/>
  <c r="A1809" i="18"/>
  <c r="B1809" i="18"/>
  <c r="C1809" i="18"/>
  <c r="D1809" i="18"/>
  <c r="E1809" i="18"/>
  <c r="F1809" i="18"/>
  <c r="G1809" i="18"/>
  <c r="H1809" i="18"/>
  <c r="I1809" i="18"/>
  <c r="J1809" i="18"/>
  <c r="A1810" i="18"/>
  <c r="B1810" i="18"/>
  <c r="C1810" i="18"/>
  <c r="D1810" i="18"/>
  <c r="E1810" i="18"/>
  <c r="F1810" i="18"/>
  <c r="G1810" i="18"/>
  <c r="H1810" i="18"/>
  <c r="I1810" i="18"/>
  <c r="J1810" i="18"/>
  <c r="A1811" i="18"/>
  <c r="B1811" i="18"/>
  <c r="C1811" i="18"/>
  <c r="D1811" i="18"/>
  <c r="E1811" i="18"/>
  <c r="F1811" i="18"/>
  <c r="G1811" i="18"/>
  <c r="H1811" i="18"/>
  <c r="I1811" i="18"/>
  <c r="J1811" i="18"/>
  <c r="A1812" i="18"/>
  <c r="B1812" i="18"/>
  <c r="C1812" i="18"/>
  <c r="D1812" i="18"/>
  <c r="E1812" i="18"/>
  <c r="F1812" i="18"/>
  <c r="G1812" i="18"/>
  <c r="H1812" i="18"/>
  <c r="I1812" i="18"/>
  <c r="J1812" i="18"/>
  <c r="A1813" i="18"/>
  <c r="B1813" i="18"/>
  <c r="C1813" i="18"/>
  <c r="D1813" i="18"/>
  <c r="E1813" i="18"/>
  <c r="F1813" i="18"/>
  <c r="G1813" i="18"/>
  <c r="H1813" i="18"/>
  <c r="I1813" i="18"/>
  <c r="J1813" i="18"/>
  <c r="A1814" i="18"/>
  <c r="B1814" i="18"/>
  <c r="C1814" i="18"/>
  <c r="D1814" i="18"/>
  <c r="E1814" i="18"/>
  <c r="F1814" i="18"/>
  <c r="G1814" i="18"/>
  <c r="H1814" i="18"/>
  <c r="I1814" i="18"/>
  <c r="J1814" i="18"/>
  <c r="A1815" i="18"/>
  <c r="B1815" i="18"/>
  <c r="C1815" i="18"/>
  <c r="D1815" i="18"/>
  <c r="E1815" i="18"/>
  <c r="F1815" i="18"/>
  <c r="G1815" i="18"/>
  <c r="H1815" i="18"/>
  <c r="I1815" i="18"/>
  <c r="J1815" i="18"/>
  <c r="A1816" i="18"/>
  <c r="B1816" i="18"/>
  <c r="C1816" i="18"/>
  <c r="D1816" i="18"/>
  <c r="E1816" i="18"/>
  <c r="F1816" i="18"/>
  <c r="G1816" i="18"/>
  <c r="H1816" i="18"/>
  <c r="I1816" i="18"/>
  <c r="J1816" i="18"/>
  <c r="A1817" i="18"/>
  <c r="B1817" i="18"/>
  <c r="C1817" i="18"/>
  <c r="D1817" i="18"/>
  <c r="E1817" i="18"/>
  <c r="F1817" i="18"/>
  <c r="G1817" i="18"/>
  <c r="H1817" i="18"/>
  <c r="I1817" i="18"/>
  <c r="J1817" i="18"/>
  <c r="A1818" i="18"/>
  <c r="B1818" i="18"/>
  <c r="C1818" i="18"/>
  <c r="D1818" i="18"/>
  <c r="E1818" i="18"/>
  <c r="F1818" i="18"/>
  <c r="G1818" i="18"/>
  <c r="H1818" i="18"/>
  <c r="I1818" i="18"/>
  <c r="J1818" i="18"/>
  <c r="A1819" i="18"/>
  <c r="B1819" i="18"/>
  <c r="C1819" i="18"/>
  <c r="D1819" i="18"/>
  <c r="E1819" i="18"/>
  <c r="F1819" i="18"/>
  <c r="G1819" i="18"/>
  <c r="H1819" i="18"/>
  <c r="I1819" i="18"/>
  <c r="J1819" i="18"/>
  <c r="A1820" i="18"/>
  <c r="B1820" i="18"/>
  <c r="C1820" i="18"/>
  <c r="D1820" i="18"/>
  <c r="E1820" i="18"/>
  <c r="F1820" i="18"/>
  <c r="G1820" i="18"/>
  <c r="H1820" i="18"/>
  <c r="I1820" i="18"/>
  <c r="J1820" i="18"/>
  <c r="A1821" i="18"/>
  <c r="B1821" i="18"/>
  <c r="C1821" i="18"/>
  <c r="D1821" i="18"/>
  <c r="E1821" i="18"/>
  <c r="F1821" i="18"/>
  <c r="G1821" i="18"/>
  <c r="H1821" i="18"/>
  <c r="I1821" i="18"/>
  <c r="J1821" i="18"/>
  <c r="A1822" i="18"/>
  <c r="B1822" i="18"/>
  <c r="C1822" i="18"/>
  <c r="D1822" i="18"/>
  <c r="E1822" i="18"/>
  <c r="F1822" i="18"/>
  <c r="G1822" i="18"/>
  <c r="H1822" i="18"/>
  <c r="I1822" i="18"/>
  <c r="J1822" i="18"/>
  <c r="A1823" i="18"/>
  <c r="B1823" i="18"/>
  <c r="C1823" i="18"/>
  <c r="D1823" i="18"/>
  <c r="E1823" i="18"/>
  <c r="F1823" i="18"/>
  <c r="G1823" i="18"/>
  <c r="H1823" i="18"/>
  <c r="I1823" i="18"/>
  <c r="J1823" i="18"/>
  <c r="A1824" i="18"/>
  <c r="B1824" i="18"/>
  <c r="C1824" i="18"/>
  <c r="D1824" i="18"/>
  <c r="E1824" i="18"/>
  <c r="F1824" i="18"/>
  <c r="G1824" i="18"/>
  <c r="H1824" i="18"/>
  <c r="I1824" i="18"/>
  <c r="J1824" i="18"/>
  <c r="A1825" i="18"/>
  <c r="B1825" i="18"/>
  <c r="C1825" i="18"/>
  <c r="D1825" i="18"/>
  <c r="E1825" i="18"/>
  <c r="F1825" i="18"/>
  <c r="G1825" i="18"/>
  <c r="H1825" i="18"/>
  <c r="I1825" i="18"/>
  <c r="J1825" i="18"/>
  <c r="A1826" i="18"/>
  <c r="B1826" i="18"/>
  <c r="C1826" i="18"/>
  <c r="D1826" i="18"/>
  <c r="E1826" i="18"/>
  <c r="F1826" i="18"/>
  <c r="G1826" i="18"/>
  <c r="H1826" i="18"/>
  <c r="I1826" i="18"/>
  <c r="J1826" i="18"/>
  <c r="A1827" i="18"/>
  <c r="B1827" i="18"/>
  <c r="C1827" i="18"/>
  <c r="D1827" i="18"/>
  <c r="E1827" i="18"/>
  <c r="F1827" i="18"/>
  <c r="G1827" i="18"/>
  <c r="H1827" i="18"/>
  <c r="I1827" i="18"/>
  <c r="J1827" i="18"/>
  <c r="A1828" i="18"/>
  <c r="B1828" i="18"/>
  <c r="C1828" i="18"/>
  <c r="D1828" i="18"/>
  <c r="E1828" i="18"/>
  <c r="F1828" i="18"/>
  <c r="G1828" i="18"/>
  <c r="H1828" i="18"/>
  <c r="I1828" i="18"/>
  <c r="J1828" i="18"/>
  <c r="A1829" i="18"/>
  <c r="B1829" i="18"/>
  <c r="C1829" i="18"/>
  <c r="D1829" i="18"/>
  <c r="E1829" i="18"/>
  <c r="F1829" i="18"/>
  <c r="G1829" i="18"/>
  <c r="H1829" i="18"/>
  <c r="I1829" i="18"/>
  <c r="J1829" i="18"/>
  <c r="A1830" i="18"/>
  <c r="B1830" i="18"/>
  <c r="C1830" i="18"/>
  <c r="D1830" i="18"/>
  <c r="E1830" i="18"/>
  <c r="F1830" i="18"/>
  <c r="G1830" i="18"/>
  <c r="H1830" i="18"/>
  <c r="I1830" i="18"/>
  <c r="J1830" i="18"/>
  <c r="A1831" i="18"/>
  <c r="B1831" i="18"/>
  <c r="C1831" i="18"/>
  <c r="D1831" i="18"/>
  <c r="E1831" i="18"/>
  <c r="F1831" i="18"/>
  <c r="G1831" i="18"/>
  <c r="H1831" i="18"/>
  <c r="I1831" i="18"/>
  <c r="J1831" i="18"/>
  <c r="A1832" i="18"/>
  <c r="B1832" i="18"/>
  <c r="C1832" i="18"/>
  <c r="D1832" i="18"/>
  <c r="E1832" i="18"/>
  <c r="F1832" i="18"/>
  <c r="G1832" i="18"/>
  <c r="H1832" i="18"/>
  <c r="I1832" i="18"/>
  <c r="J1832" i="18"/>
  <c r="A1833" i="18"/>
  <c r="B1833" i="18"/>
  <c r="C1833" i="18"/>
  <c r="D1833" i="18"/>
  <c r="E1833" i="18"/>
  <c r="F1833" i="18"/>
  <c r="G1833" i="18"/>
  <c r="H1833" i="18"/>
  <c r="I1833" i="18"/>
  <c r="J1833" i="18"/>
  <c r="A1834" i="18"/>
  <c r="B1834" i="18"/>
  <c r="C1834" i="18"/>
  <c r="D1834" i="18"/>
  <c r="E1834" i="18"/>
  <c r="F1834" i="18"/>
  <c r="G1834" i="18"/>
  <c r="H1834" i="18"/>
  <c r="I1834" i="18"/>
  <c r="J1834" i="18"/>
  <c r="A1835" i="18"/>
  <c r="B1835" i="18"/>
  <c r="C1835" i="18"/>
  <c r="D1835" i="18"/>
  <c r="E1835" i="18"/>
  <c r="F1835" i="18"/>
  <c r="G1835" i="18"/>
  <c r="H1835" i="18"/>
  <c r="I1835" i="18"/>
  <c r="J1835" i="18"/>
  <c r="A1836" i="18"/>
  <c r="B1836" i="18"/>
  <c r="C1836" i="18"/>
  <c r="D1836" i="18"/>
  <c r="E1836" i="18"/>
  <c r="F1836" i="18"/>
  <c r="G1836" i="18"/>
  <c r="H1836" i="18"/>
  <c r="I1836" i="18"/>
  <c r="J1836" i="18"/>
  <c r="A1837" i="18"/>
  <c r="B1837" i="18"/>
  <c r="C1837" i="18"/>
  <c r="D1837" i="18"/>
  <c r="E1837" i="18"/>
  <c r="F1837" i="18"/>
  <c r="G1837" i="18"/>
  <c r="H1837" i="18"/>
  <c r="I1837" i="18"/>
  <c r="J1837" i="18"/>
  <c r="A1838" i="18"/>
  <c r="B1838" i="18"/>
  <c r="C1838" i="18"/>
  <c r="D1838" i="18"/>
  <c r="E1838" i="18"/>
  <c r="F1838" i="18"/>
  <c r="G1838" i="18"/>
  <c r="H1838" i="18"/>
  <c r="I1838" i="18"/>
  <c r="J1838" i="18"/>
  <c r="A1839" i="18"/>
  <c r="B1839" i="18"/>
  <c r="C1839" i="18"/>
  <c r="D1839" i="18"/>
  <c r="E1839" i="18"/>
  <c r="F1839" i="18"/>
  <c r="G1839" i="18"/>
  <c r="H1839" i="18"/>
  <c r="I1839" i="18"/>
  <c r="J1839" i="18"/>
  <c r="A1840" i="18"/>
  <c r="B1840" i="18"/>
  <c r="C1840" i="18"/>
  <c r="D1840" i="18"/>
  <c r="E1840" i="18"/>
  <c r="F1840" i="18"/>
  <c r="G1840" i="18"/>
  <c r="H1840" i="18"/>
  <c r="I1840" i="18"/>
  <c r="J1840" i="18"/>
  <c r="A1841" i="18"/>
  <c r="B1841" i="18"/>
  <c r="C1841" i="18"/>
  <c r="D1841" i="18"/>
  <c r="E1841" i="18"/>
  <c r="F1841" i="18"/>
  <c r="G1841" i="18"/>
  <c r="H1841" i="18"/>
  <c r="I1841" i="18"/>
  <c r="J1841" i="18"/>
  <c r="A1842" i="18"/>
  <c r="B1842" i="18"/>
  <c r="C1842" i="18"/>
  <c r="D1842" i="18"/>
  <c r="E1842" i="18"/>
  <c r="F1842" i="18"/>
  <c r="G1842" i="18"/>
  <c r="H1842" i="18"/>
  <c r="I1842" i="18"/>
  <c r="J1842" i="18"/>
  <c r="A1843" i="18"/>
  <c r="B1843" i="18"/>
  <c r="C1843" i="18"/>
  <c r="D1843" i="18"/>
  <c r="E1843" i="18"/>
  <c r="F1843" i="18"/>
  <c r="G1843" i="18"/>
  <c r="H1843" i="18"/>
  <c r="I1843" i="18"/>
  <c r="J1843" i="18"/>
  <c r="A1844" i="18"/>
  <c r="B1844" i="18"/>
  <c r="C1844" i="18"/>
  <c r="D1844" i="18"/>
  <c r="E1844" i="18"/>
  <c r="F1844" i="18"/>
  <c r="G1844" i="18"/>
  <c r="H1844" i="18"/>
  <c r="I1844" i="18"/>
  <c r="J1844" i="18"/>
  <c r="A1845" i="18"/>
  <c r="B1845" i="18"/>
  <c r="C1845" i="18"/>
  <c r="D1845" i="18"/>
  <c r="E1845" i="18"/>
  <c r="F1845" i="18"/>
  <c r="G1845" i="18"/>
  <c r="H1845" i="18"/>
  <c r="I1845" i="18"/>
  <c r="J1845" i="18"/>
  <c r="A1846" i="18"/>
  <c r="B1846" i="18"/>
  <c r="C1846" i="18"/>
  <c r="D1846" i="18"/>
  <c r="E1846" i="18"/>
  <c r="F1846" i="18"/>
  <c r="G1846" i="18"/>
  <c r="H1846" i="18"/>
  <c r="I1846" i="18"/>
  <c r="J1846" i="18"/>
  <c r="A1847" i="18"/>
  <c r="B1847" i="18"/>
  <c r="C1847" i="18"/>
  <c r="D1847" i="18"/>
  <c r="E1847" i="18"/>
  <c r="F1847" i="18"/>
  <c r="G1847" i="18"/>
  <c r="H1847" i="18"/>
  <c r="I1847" i="18"/>
  <c r="J1847" i="18"/>
  <c r="A1848" i="18"/>
  <c r="B1848" i="18"/>
  <c r="C1848" i="18"/>
  <c r="D1848" i="18"/>
  <c r="E1848" i="18"/>
  <c r="F1848" i="18"/>
  <c r="G1848" i="18"/>
  <c r="H1848" i="18"/>
  <c r="I1848" i="18"/>
  <c r="J1848" i="18"/>
  <c r="A1849" i="18"/>
  <c r="B1849" i="18"/>
  <c r="C1849" i="18"/>
  <c r="D1849" i="18"/>
  <c r="E1849" i="18"/>
  <c r="F1849" i="18"/>
  <c r="G1849" i="18"/>
  <c r="H1849" i="18"/>
  <c r="I1849" i="18"/>
  <c r="J1849" i="18"/>
  <c r="A1850" i="18"/>
  <c r="B1850" i="18"/>
  <c r="C1850" i="18"/>
  <c r="D1850" i="18"/>
  <c r="E1850" i="18"/>
  <c r="F1850" i="18"/>
  <c r="G1850" i="18"/>
  <c r="H1850" i="18"/>
  <c r="I1850" i="18"/>
  <c r="J1850" i="18"/>
  <c r="A1851" i="18"/>
  <c r="B1851" i="18"/>
  <c r="C1851" i="18"/>
  <c r="D1851" i="18"/>
  <c r="E1851" i="18"/>
  <c r="F1851" i="18"/>
  <c r="G1851" i="18"/>
  <c r="H1851" i="18"/>
  <c r="I1851" i="18"/>
  <c r="J1851" i="18"/>
  <c r="A1852" i="18"/>
  <c r="B1852" i="18"/>
  <c r="C1852" i="18"/>
  <c r="D1852" i="18"/>
  <c r="E1852" i="18"/>
  <c r="F1852" i="18"/>
  <c r="G1852" i="18"/>
  <c r="H1852" i="18"/>
  <c r="I1852" i="18"/>
  <c r="J1852" i="18"/>
  <c r="A1853" i="18"/>
  <c r="B1853" i="18"/>
  <c r="C1853" i="18"/>
  <c r="D1853" i="18"/>
  <c r="E1853" i="18"/>
  <c r="F1853" i="18"/>
  <c r="G1853" i="18"/>
  <c r="H1853" i="18"/>
  <c r="I1853" i="18"/>
  <c r="J1853" i="18"/>
  <c r="A1854" i="18"/>
  <c r="B1854" i="18"/>
  <c r="C1854" i="18"/>
  <c r="D1854" i="18"/>
  <c r="E1854" i="18"/>
  <c r="F1854" i="18"/>
  <c r="G1854" i="18"/>
  <c r="H1854" i="18"/>
  <c r="I1854" i="18"/>
  <c r="J1854" i="18"/>
  <c r="A1855" i="18"/>
  <c r="B1855" i="18"/>
  <c r="C1855" i="18"/>
  <c r="D1855" i="18"/>
  <c r="E1855" i="18"/>
  <c r="F1855" i="18"/>
  <c r="G1855" i="18"/>
  <c r="H1855" i="18"/>
  <c r="I1855" i="18"/>
  <c r="J1855" i="18"/>
  <c r="A1856" i="18"/>
  <c r="B1856" i="18"/>
  <c r="C1856" i="18"/>
  <c r="D1856" i="18"/>
  <c r="E1856" i="18"/>
  <c r="F1856" i="18"/>
  <c r="G1856" i="18"/>
  <c r="H1856" i="18"/>
  <c r="I1856" i="18"/>
  <c r="J1856" i="18"/>
  <c r="A1857" i="18"/>
  <c r="B1857" i="18"/>
  <c r="C1857" i="18"/>
  <c r="D1857" i="18"/>
  <c r="E1857" i="18"/>
  <c r="F1857" i="18"/>
  <c r="G1857" i="18"/>
  <c r="H1857" i="18"/>
  <c r="I1857" i="18"/>
  <c r="J1857" i="18"/>
  <c r="A1858" i="18"/>
  <c r="B1858" i="18"/>
  <c r="C1858" i="18"/>
  <c r="D1858" i="18"/>
  <c r="E1858" i="18"/>
  <c r="F1858" i="18"/>
  <c r="G1858" i="18"/>
  <c r="H1858" i="18"/>
  <c r="I1858" i="18"/>
  <c r="J1858" i="18"/>
  <c r="A1859" i="18"/>
  <c r="B1859" i="18"/>
  <c r="C1859" i="18"/>
  <c r="D1859" i="18"/>
  <c r="E1859" i="18"/>
  <c r="F1859" i="18"/>
  <c r="G1859" i="18"/>
  <c r="H1859" i="18"/>
  <c r="I1859" i="18"/>
  <c r="J1859" i="18"/>
  <c r="A1860" i="18"/>
  <c r="B1860" i="18"/>
  <c r="C1860" i="18"/>
  <c r="D1860" i="18"/>
  <c r="E1860" i="18"/>
  <c r="F1860" i="18"/>
  <c r="G1860" i="18"/>
  <c r="H1860" i="18"/>
  <c r="I1860" i="18"/>
  <c r="J1860" i="18"/>
  <c r="A1861" i="18"/>
  <c r="B1861" i="18"/>
  <c r="C1861" i="18"/>
  <c r="D1861" i="18"/>
  <c r="E1861" i="18"/>
  <c r="F1861" i="18"/>
  <c r="G1861" i="18"/>
  <c r="H1861" i="18"/>
  <c r="I1861" i="18"/>
  <c r="J1861" i="18"/>
  <c r="A1862" i="18"/>
  <c r="B1862" i="18"/>
  <c r="C1862" i="18"/>
  <c r="D1862" i="18"/>
  <c r="E1862" i="18"/>
  <c r="F1862" i="18"/>
  <c r="G1862" i="18"/>
  <c r="H1862" i="18"/>
  <c r="I1862" i="18"/>
  <c r="J1862" i="18"/>
  <c r="A1863" i="18"/>
  <c r="B1863" i="18"/>
  <c r="C1863" i="18"/>
  <c r="D1863" i="18"/>
  <c r="E1863" i="18"/>
  <c r="F1863" i="18"/>
  <c r="G1863" i="18"/>
  <c r="H1863" i="18"/>
  <c r="I1863" i="18"/>
  <c r="J1863" i="18"/>
  <c r="A1864" i="18"/>
  <c r="B1864" i="18"/>
  <c r="C1864" i="18"/>
  <c r="D1864" i="18"/>
  <c r="E1864" i="18"/>
  <c r="F1864" i="18"/>
  <c r="G1864" i="18"/>
  <c r="H1864" i="18"/>
  <c r="I1864" i="18"/>
  <c r="J1864" i="18"/>
  <c r="A1865" i="18"/>
  <c r="B1865" i="18"/>
  <c r="C1865" i="18"/>
  <c r="D1865" i="18"/>
  <c r="E1865" i="18"/>
  <c r="F1865" i="18"/>
  <c r="G1865" i="18"/>
  <c r="H1865" i="18"/>
  <c r="I1865" i="18"/>
  <c r="J1865" i="18"/>
  <c r="A1866" i="18"/>
  <c r="B1866" i="18"/>
  <c r="C1866" i="18"/>
  <c r="D1866" i="18"/>
  <c r="E1866" i="18"/>
  <c r="F1866" i="18"/>
  <c r="G1866" i="18"/>
  <c r="H1866" i="18"/>
  <c r="I1866" i="18"/>
  <c r="J1866" i="18"/>
  <c r="A1867" i="18"/>
  <c r="B1867" i="18"/>
  <c r="C1867" i="18"/>
  <c r="D1867" i="18"/>
  <c r="E1867" i="18"/>
  <c r="F1867" i="18"/>
  <c r="G1867" i="18"/>
  <c r="H1867" i="18"/>
  <c r="I1867" i="18"/>
  <c r="J1867" i="18"/>
  <c r="A1868" i="18"/>
  <c r="B1868" i="18"/>
  <c r="C1868" i="18"/>
  <c r="D1868" i="18"/>
  <c r="E1868" i="18"/>
  <c r="F1868" i="18"/>
  <c r="G1868" i="18"/>
  <c r="H1868" i="18"/>
  <c r="I1868" i="18"/>
  <c r="J1868" i="18"/>
  <c r="A1869" i="18"/>
  <c r="B1869" i="18"/>
  <c r="C1869" i="18"/>
  <c r="D1869" i="18"/>
  <c r="E1869" i="18"/>
  <c r="F1869" i="18"/>
  <c r="G1869" i="18"/>
  <c r="H1869" i="18"/>
  <c r="I1869" i="18"/>
  <c r="J1869" i="18"/>
  <c r="A1870" i="18"/>
  <c r="B1870" i="18"/>
  <c r="C1870" i="18"/>
  <c r="D1870" i="18"/>
  <c r="E1870" i="18"/>
  <c r="F1870" i="18"/>
  <c r="G1870" i="18"/>
  <c r="H1870" i="18"/>
  <c r="I1870" i="18"/>
  <c r="J1870" i="18"/>
  <c r="A1871" i="18"/>
  <c r="B1871" i="18"/>
  <c r="C1871" i="18"/>
  <c r="D1871" i="18"/>
  <c r="E1871" i="18"/>
  <c r="F1871" i="18"/>
  <c r="G1871" i="18"/>
  <c r="H1871" i="18"/>
  <c r="I1871" i="18"/>
  <c r="J1871" i="18"/>
  <c r="A1872" i="18"/>
  <c r="B1872" i="18"/>
  <c r="C1872" i="18"/>
  <c r="D1872" i="18"/>
  <c r="E1872" i="18"/>
  <c r="F1872" i="18"/>
  <c r="G1872" i="18"/>
  <c r="H1872" i="18"/>
  <c r="I1872" i="18"/>
  <c r="J1872" i="18"/>
  <c r="A1873" i="18"/>
  <c r="B1873" i="18"/>
  <c r="C1873" i="18"/>
  <c r="D1873" i="18"/>
  <c r="E1873" i="18"/>
  <c r="F1873" i="18"/>
  <c r="G1873" i="18"/>
  <c r="H1873" i="18"/>
  <c r="I1873" i="18"/>
  <c r="J1873" i="18"/>
  <c r="A1874" i="18"/>
  <c r="B1874" i="18"/>
  <c r="C1874" i="18"/>
  <c r="D1874" i="18"/>
  <c r="E1874" i="18"/>
  <c r="F1874" i="18"/>
  <c r="G1874" i="18"/>
  <c r="H1874" i="18"/>
  <c r="I1874" i="18"/>
  <c r="J1874" i="18"/>
  <c r="A1875" i="18"/>
  <c r="B1875" i="18"/>
  <c r="C1875" i="18"/>
  <c r="D1875" i="18"/>
  <c r="E1875" i="18"/>
  <c r="F1875" i="18"/>
  <c r="G1875" i="18"/>
  <c r="H1875" i="18"/>
  <c r="I1875" i="18"/>
  <c r="J1875" i="18"/>
  <c r="A1876" i="18"/>
  <c r="B1876" i="18"/>
  <c r="C1876" i="18"/>
  <c r="D1876" i="18"/>
  <c r="E1876" i="18"/>
  <c r="F1876" i="18"/>
  <c r="G1876" i="18"/>
  <c r="H1876" i="18"/>
  <c r="I1876" i="18"/>
  <c r="J1876" i="18"/>
  <c r="A1877" i="18"/>
  <c r="B1877" i="18"/>
  <c r="C1877" i="18"/>
  <c r="D1877" i="18"/>
  <c r="E1877" i="18"/>
  <c r="F1877" i="18"/>
  <c r="G1877" i="18"/>
  <c r="H1877" i="18"/>
  <c r="I1877" i="18"/>
  <c r="J1877" i="18"/>
  <c r="A1878" i="18"/>
  <c r="B1878" i="18"/>
  <c r="C1878" i="18"/>
  <c r="D1878" i="18"/>
  <c r="E1878" i="18"/>
  <c r="F1878" i="18"/>
  <c r="G1878" i="18"/>
  <c r="H1878" i="18"/>
  <c r="I1878" i="18"/>
  <c r="J1878" i="18"/>
  <c r="A1879" i="18"/>
  <c r="B1879" i="18"/>
  <c r="C1879" i="18"/>
  <c r="D1879" i="18"/>
  <c r="E1879" i="18"/>
  <c r="F1879" i="18"/>
  <c r="G1879" i="18"/>
  <c r="H1879" i="18"/>
  <c r="I1879" i="18"/>
  <c r="J1879" i="18"/>
  <c r="A1880" i="18"/>
  <c r="B1880" i="18"/>
  <c r="C1880" i="18"/>
  <c r="D1880" i="18"/>
  <c r="E1880" i="18"/>
  <c r="F1880" i="18"/>
  <c r="G1880" i="18"/>
  <c r="H1880" i="18"/>
  <c r="I1880" i="18"/>
  <c r="J1880" i="18"/>
  <c r="A1881" i="18"/>
  <c r="B1881" i="18"/>
  <c r="C1881" i="18"/>
  <c r="D1881" i="18"/>
  <c r="E1881" i="18"/>
  <c r="F1881" i="18"/>
  <c r="G1881" i="18"/>
  <c r="H1881" i="18"/>
  <c r="I1881" i="18"/>
  <c r="J1881" i="18"/>
  <c r="A1882" i="18"/>
  <c r="B1882" i="18"/>
  <c r="C1882" i="18"/>
  <c r="D1882" i="18"/>
  <c r="E1882" i="18"/>
  <c r="F1882" i="18"/>
  <c r="G1882" i="18"/>
  <c r="H1882" i="18"/>
  <c r="I1882" i="18"/>
  <c r="J1882" i="18"/>
  <c r="A1883" i="18"/>
  <c r="B1883" i="18"/>
  <c r="C1883" i="18"/>
  <c r="D1883" i="18"/>
  <c r="E1883" i="18"/>
  <c r="F1883" i="18"/>
  <c r="G1883" i="18"/>
  <c r="H1883" i="18"/>
  <c r="I1883" i="18"/>
  <c r="J1883" i="18"/>
  <c r="A1884" i="18"/>
  <c r="B1884" i="18"/>
  <c r="C1884" i="18"/>
  <c r="D1884" i="18"/>
  <c r="E1884" i="18"/>
  <c r="F1884" i="18"/>
  <c r="G1884" i="18"/>
  <c r="H1884" i="18"/>
  <c r="I1884" i="18"/>
  <c r="J1884" i="18"/>
  <c r="A1885" i="18"/>
  <c r="B1885" i="18"/>
  <c r="C1885" i="18"/>
  <c r="D1885" i="18"/>
  <c r="E1885" i="18"/>
  <c r="F1885" i="18"/>
  <c r="G1885" i="18"/>
  <c r="H1885" i="18"/>
  <c r="I1885" i="18"/>
  <c r="J1885" i="18"/>
  <c r="A1886" i="18"/>
  <c r="B1886" i="18"/>
  <c r="C1886" i="18"/>
  <c r="D1886" i="18"/>
  <c r="E1886" i="18"/>
  <c r="F1886" i="18"/>
  <c r="G1886" i="18"/>
  <c r="H1886" i="18"/>
  <c r="I1886" i="18"/>
  <c r="J1886" i="18"/>
  <c r="A1887" i="18"/>
  <c r="B1887" i="18"/>
  <c r="C1887" i="18"/>
  <c r="D1887" i="18"/>
  <c r="E1887" i="18"/>
  <c r="F1887" i="18"/>
  <c r="G1887" i="18"/>
  <c r="H1887" i="18"/>
  <c r="I1887" i="18"/>
  <c r="J1887" i="18"/>
  <c r="A1888" i="18"/>
  <c r="B1888" i="18"/>
  <c r="C1888" i="18"/>
  <c r="D1888" i="18"/>
  <c r="E1888" i="18"/>
  <c r="F1888" i="18"/>
  <c r="G1888" i="18"/>
  <c r="H1888" i="18"/>
  <c r="I1888" i="18"/>
  <c r="J1888" i="18"/>
  <c r="A1889" i="18"/>
  <c r="B1889" i="18"/>
  <c r="C1889" i="18"/>
  <c r="D1889" i="18"/>
  <c r="E1889" i="18"/>
  <c r="F1889" i="18"/>
  <c r="G1889" i="18"/>
  <c r="H1889" i="18"/>
  <c r="I1889" i="18"/>
  <c r="J1889" i="18"/>
  <c r="A1890" i="18"/>
  <c r="B1890" i="18"/>
  <c r="C1890" i="18"/>
  <c r="D1890" i="18"/>
  <c r="E1890" i="18"/>
  <c r="F1890" i="18"/>
  <c r="G1890" i="18"/>
  <c r="H1890" i="18"/>
  <c r="I1890" i="18"/>
  <c r="J1890" i="18"/>
  <c r="A1891" i="18"/>
  <c r="B1891" i="18"/>
  <c r="C1891" i="18"/>
  <c r="D1891" i="18"/>
  <c r="E1891" i="18"/>
  <c r="F1891" i="18"/>
  <c r="G1891" i="18"/>
  <c r="H1891" i="18"/>
  <c r="I1891" i="18"/>
  <c r="J1891" i="18"/>
  <c r="A1892" i="18"/>
  <c r="B1892" i="18"/>
  <c r="C1892" i="18"/>
  <c r="D1892" i="18"/>
  <c r="E1892" i="18"/>
  <c r="F1892" i="18"/>
  <c r="G1892" i="18"/>
  <c r="H1892" i="18"/>
  <c r="I1892" i="18"/>
  <c r="J1892" i="18"/>
  <c r="A1893" i="18"/>
  <c r="B1893" i="18"/>
  <c r="C1893" i="18"/>
  <c r="D1893" i="18"/>
  <c r="E1893" i="18"/>
  <c r="F1893" i="18"/>
  <c r="G1893" i="18"/>
  <c r="H1893" i="18"/>
  <c r="I1893" i="18"/>
  <c r="J1893" i="18"/>
  <c r="A1894" i="18"/>
  <c r="B1894" i="18"/>
  <c r="C1894" i="18"/>
  <c r="D1894" i="18"/>
  <c r="E1894" i="18"/>
  <c r="F1894" i="18"/>
  <c r="G1894" i="18"/>
  <c r="H1894" i="18"/>
  <c r="I1894" i="18"/>
  <c r="J1894" i="18"/>
  <c r="A1895" i="18"/>
  <c r="B1895" i="18"/>
  <c r="C1895" i="18"/>
  <c r="D1895" i="18"/>
  <c r="E1895" i="18"/>
  <c r="F1895" i="18"/>
  <c r="G1895" i="18"/>
  <c r="H1895" i="18"/>
  <c r="I1895" i="18"/>
  <c r="J1895" i="18"/>
  <c r="A1896" i="18"/>
  <c r="B1896" i="18"/>
  <c r="C1896" i="18"/>
  <c r="D1896" i="18"/>
  <c r="E1896" i="18"/>
  <c r="F1896" i="18"/>
  <c r="G1896" i="18"/>
  <c r="H1896" i="18"/>
  <c r="I1896" i="18"/>
  <c r="J1896" i="18"/>
  <c r="A1897" i="18"/>
  <c r="B1897" i="18"/>
  <c r="C1897" i="18"/>
  <c r="D1897" i="18"/>
  <c r="E1897" i="18"/>
  <c r="F1897" i="18"/>
  <c r="G1897" i="18"/>
  <c r="H1897" i="18"/>
  <c r="I1897" i="18"/>
  <c r="J1897" i="18"/>
  <c r="A1898" i="18"/>
  <c r="B1898" i="18"/>
  <c r="C1898" i="18"/>
  <c r="D1898" i="18"/>
  <c r="E1898" i="18"/>
  <c r="F1898" i="18"/>
  <c r="G1898" i="18"/>
  <c r="H1898" i="18"/>
  <c r="I1898" i="18"/>
  <c r="J1898" i="18"/>
  <c r="A1899" i="18"/>
  <c r="B1899" i="18"/>
  <c r="C1899" i="18"/>
  <c r="D1899" i="18"/>
  <c r="E1899" i="18"/>
  <c r="F1899" i="18"/>
  <c r="G1899" i="18"/>
  <c r="H1899" i="18"/>
  <c r="I1899" i="18"/>
  <c r="J1899" i="18"/>
  <c r="A1900" i="18"/>
  <c r="B1900" i="18"/>
  <c r="C1900" i="18"/>
  <c r="D1900" i="18"/>
  <c r="E1900" i="18"/>
  <c r="F1900" i="18"/>
  <c r="G1900" i="18"/>
  <c r="H1900" i="18"/>
  <c r="I1900" i="18"/>
  <c r="J1900" i="18"/>
  <c r="A1901" i="18"/>
  <c r="B1901" i="18"/>
  <c r="C1901" i="18"/>
  <c r="D1901" i="18"/>
  <c r="E1901" i="18"/>
  <c r="F1901" i="18"/>
  <c r="G1901" i="18"/>
  <c r="H1901" i="18"/>
  <c r="I1901" i="18"/>
  <c r="J1901" i="18"/>
  <c r="A1902" i="18"/>
  <c r="B1902" i="18"/>
  <c r="C1902" i="18"/>
  <c r="D1902" i="18"/>
  <c r="E1902" i="18"/>
  <c r="F1902" i="18"/>
  <c r="G1902" i="18"/>
  <c r="H1902" i="18"/>
  <c r="I1902" i="18"/>
  <c r="J1902" i="18"/>
  <c r="A1903" i="18"/>
  <c r="B1903" i="18"/>
  <c r="C1903" i="18"/>
  <c r="D1903" i="18"/>
  <c r="E1903" i="18"/>
  <c r="F1903" i="18"/>
  <c r="G1903" i="18"/>
  <c r="H1903" i="18"/>
  <c r="I1903" i="18"/>
  <c r="J1903" i="18"/>
  <c r="A1904" i="18"/>
  <c r="B1904" i="18"/>
  <c r="C1904" i="18"/>
  <c r="D1904" i="18"/>
  <c r="E1904" i="18"/>
  <c r="F1904" i="18"/>
  <c r="G1904" i="18"/>
  <c r="H1904" i="18"/>
  <c r="I1904" i="18"/>
  <c r="J1904" i="18"/>
  <c r="A1905" i="18"/>
  <c r="B1905" i="18"/>
  <c r="C1905" i="18"/>
  <c r="D1905" i="18"/>
  <c r="E1905" i="18"/>
  <c r="F1905" i="18"/>
  <c r="G1905" i="18"/>
  <c r="H1905" i="18"/>
  <c r="I1905" i="18"/>
  <c r="J1905" i="18"/>
  <c r="A1906" i="18"/>
  <c r="B1906" i="18"/>
  <c r="C1906" i="18"/>
  <c r="D1906" i="18"/>
  <c r="E1906" i="18"/>
  <c r="F1906" i="18"/>
  <c r="G1906" i="18"/>
  <c r="H1906" i="18"/>
  <c r="I1906" i="18"/>
  <c r="J1906" i="18"/>
  <c r="A1907" i="18"/>
  <c r="B1907" i="18"/>
  <c r="C1907" i="18"/>
  <c r="D1907" i="18"/>
  <c r="E1907" i="18"/>
  <c r="F1907" i="18"/>
  <c r="G1907" i="18"/>
  <c r="H1907" i="18"/>
  <c r="I1907" i="18"/>
  <c r="J1907" i="18"/>
  <c r="A1908" i="18"/>
  <c r="B1908" i="18"/>
  <c r="C1908" i="18"/>
  <c r="D1908" i="18"/>
  <c r="E1908" i="18"/>
  <c r="F1908" i="18"/>
  <c r="G1908" i="18"/>
  <c r="H1908" i="18"/>
  <c r="I1908" i="18"/>
  <c r="J1908" i="18"/>
  <c r="A1909" i="18"/>
  <c r="B1909" i="18"/>
  <c r="C1909" i="18"/>
  <c r="D1909" i="18"/>
  <c r="E1909" i="18"/>
  <c r="F1909" i="18"/>
  <c r="G1909" i="18"/>
  <c r="H1909" i="18"/>
  <c r="I1909" i="18"/>
  <c r="J1909" i="18"/>
  <c r="A1910" i="18"/>
  <c r="B1910" i="18"/>
  <c r="C1910" i="18"/>
  <c r="D1910" i="18"/>
  <c r="E1910" i="18"/>
  <c r="F1910" i="18"/>
  <c r="G1910" i="18"/>
  <c r="H1910" i="18"/>
  <c r="I1910" i="18"/>
  <c r="J1910" i="18"/>
  <c r="A1911" i="18"/>
  <c r="B1911" i="18"/>
  <c r="C1911" i="18"/>
  <c r="D1911" i="18"/>
  <c r="E1911" i="18"/>
  <c r="F1911" i="18"/>
  <c r="G1911" i="18"/>
  <c r="H1911" i="18"/>
  <c r="I1911" i="18"/>
  <c r="J1911" i="18"/>
  <c r="A1912" i="18"/>
  <c r="B1912" i="18"/>
  <c r="C1912" i="18"/>
  <c r="D1912" i="18"/>
  <c r="E1912" i="18"/>
  <c r="F1912" i="18"/>
  <c r="G1912" i="18"/>
  <c r="H1912" i="18"/>
  <c r="I1912" i="18"/>
  <c r="J1912" i="18"/>
  <c r="A1913" i="18"/>
  <c r="B1913" i="18"/>
  <c r="C1913" i="18"/>
  <c r="D1913" i="18"/>
  <c r="E1913" i="18"/>
  <c r="F1913" i="18"/>
  <c r="G1913" i="18"/>
  <c r="H1913" i="18"/>
  <c r="I1913" i="18"/>
  <c r="J1913" i="18"/>
  <c r="A1914" i="18"/>
  <c r="B1914" i="18"/>
  <c r="C1914" i="18"/>
  <c r="D1914" i="18"/>
  <c r="E1914" i="18"/>
  <c r="F1914" i="18"/>
  <c r="G1914" i="18"/>
  <c r="H1914" i="18"/>
  <c r="I1914" i="18"/>
  <c r="J1914" i="18"/>
  <c r="A1915" i="18"/>
  <c r="B1915" i="18"/>
  <c r="C1915" i="18"/>
  <c r="D1915" i="18"/>
  <c r="E1915" i="18"/>
  <c r="F1915" i="18"/>
  <c r="G1915" i="18"/>
  <c r="H1915" i="18"/>
  <c r="I1915" i="18"/>
  <c r="J1915" i="18"/>
  <c r="A1916" i="18"/>
  <c r="B1916" i="18"/>
  <c r="C1916" i="18"/>
  <c r="D1916" i="18"/>
  <c r="E1916" i="18"/>
  <c r="F1916" i="18"/>
  <c r="G1916" i="18"/>
  <c r="H1916" i="18"/>
  <c r="I1916" i="18"/>
  <c r="J1916" i="18"/>
  <c r="A1917" i="18"/>
  <c r="B1917" i="18"/>
  <c r="C1917" i="18"/>
  <c r="D1917" i="18"/>
  <c r="E1917" i="18"/>
  <c r="F1917" i="18"/>
  <c r="G1917" i="18"/>
  <c r="H1917" i="18"/>
  <c r="I1917" i="18"/>
  <c r="J1917" i="18"/>
  <c r="A1918" i="18"/>
  <c r="B1918" i="18"/>
  <c r="C1918" i="18"/>
  <c r="D1918" i="18"/>
  <c r="E1918" i="18"/>
  <c r="F1918" i="18"/>
  <c r="G1918" i="18"/>
  <c r="H1918" i="18"/>
  <c r="I1918" i="18"/>
  <c r="J1918" i="18"/>
  <c r="A1919" i="18"/>
  <c r="B1919" i="18"/>
  <c r="C1919" i="18"/>
  <c r="D1919" i="18"/>
  <c r="E1919" i="18"/>
  <c r="F1919" i="18"/>
  <c r="G1919" i="18"/>
  <c r="H1919" i="18"/>
  <c r="I1919" i="18"/>
  <c r="J1919" i="18"/>
  <c r="A1920" i="18"/>
  <c r="B1920" i="18"/>
  <c r="C1920" i="18"/>
  <c r="D1920" i="18"/>
  <c r="E1920" i="18"/>
  <c r="F1920" i="18"/>
  <c r="G1920" i="18"/>
  <c r="H1920" i="18"/>
  <c r="I1920" i="18"/>
  <c r="J1920" i="18"/>
  <c r="A1921" i="18"/>
  <c r="B1921" i="18"/>
  <c r="C1921" i="18"/>
  <c r="D1921" i="18"/>
  <c r="E1921" i="18"/>
  <c r="F1921" i="18"/>
  <c r="G1921" i="18"/>
  <c r="H1921" i="18"/>
  <c r="I1921" i="18"/>
  <c r="J1921" i="18"/>
  <c r="A1922" i="18"/>
  <c r="B1922" i="18"/>
  <c r="C1922" i="18"/>
  <c r="D1922" i="18"/>
  <c r="E1922" i="18"/>
  <c r="F1922" i="18"/>
  <c r="G1922" i="18"/>
  <c r="H1922" i="18"/>
  <c r="I1922" i="18"/>
  <c r="J1922" i="18"/>
  <c r="A1923" i="18"/>
  <c r="B1923" i="18"/>
  <c r="C1923" i="18"/>
  <c r="D1923" i="18"/>
  <c r="E1923" i="18"/>
  <c r="F1923" i="18"/>
  <c r="G1923" i="18"/>
  <c r="H1923" i="18"/>
  <c r="I1923" i="18"/>
  <c r="J1923" i="18"/>
  <c r="A1924" i="18"/>
  <c r="B1924" i="18"/>
  <c r="C1924" i="18"/>
  <c r="D1924" i="18"/>
  <c r="E1924" i="18"/>
  <c r="F1924" i="18"/>
  <c r="G1924" i="18"/>
  <c r="H1924" i="18"/>
  <c r="I1924" i="18"/>
  <c r="J1924" i="18"/>
  <c r="A1925" i="18"/>
  <c r="B1925" i="18"/>
  <c r="C1925" i="18"/>
  <c r="D1925" i="18"/>
  <c r="E1925" i="18"/>
  <c r="F1925" i="18"/>
  <c r="G1925" i="18"/>
  <c r="H1925" i="18"/>
  <c r="I1925" i="18"/>
  <c r="J1925" i="18"/>
  <c r="A1926" i="18"/>
  <c r="B1926" i="18"/>
  <c r="C1926" i="18"/>
  <c r="D1926" i="18"/>
  <c r="E1926" i="18"/>
  <c r="F1926" i="18"/>
  <c r="G1926" i="18"/>
  <c r="H1926" i="18"/>
  <c r="I1926" i="18"/>
  <c r="J1926" i="18"/>
  <c r="A1927" i="18"/>
  <c r="B1927" i="18"/>
  <c r="C1927" i="18"/>
  <c r="D1927" i="18"/>
  <c r="E1927" i="18"/>
  <c r="F1927" i="18"/>
  <c r="G1927" i="18"/>
  <c r="H1927" i="18"/>
  <c r="I1927" i="18"/>
  <c r="J1927" i="18"/>
  <c r="A1928" i="18"/>
  <c r="B1928" i="18"/>
  <c r="C1928" i="18"/>
  <c r="D1928" i="18"/>
  <c r="E1928" i="18"/>
  <c r="F1928" i="18"/>
  <c r="G1928" i="18"/>
  <c r="H1928" i="18"/>
  <c r="I1928" i="18"/>
  <c r="J1928" i="18"/>
  <c r="A1929" i="18"/>
  <c r="B1929" i="18"/>
  <c r="C1929" i="18"/>
  <c r="D1929" i="18"/>
  <c r="E1929" i="18"/>
  <c r="F1929" i="18"/>
  <c r="G1929" i="18"/>
  <c r="H1929" i="18"/>
  <c r="I1929" i="18"/>
  <c r="J1929" i="18"/>
  <c r="A1930" i="18"/>
  <c r="B1930" i="18"/>
  <c r="C1930" i="18"/>
  <c r="D1930" i="18"/>
  <c r="E1930" i="18"/>
  <c r="F1930" i="18"/>
  <c r="G1930" i="18"/>
  <c r="H1930" i="18"/>
  <c r="I1930" i="18"/>
  <c r="J1930" i="18"/>
  <c r="A1931" i="18"/>
  <c r="B1931" i="18"/>
  <c r="C1931" i="18"/>
  <c r="D1931" i="18"/>
  <c r="E1931" i="18"/>
  <c r="F1931" i="18"/>
  <c r="G1931" i="18"/>
  <c r="H1931" i="18"/>
  <c r="I1931" i="18"/>
  <c r="J1931" i="18"/>
  <c r="A1932" i="18"/>
  <c r="B1932" i="18"/>
  <c r="C1932" i="18"/>
  <c r="D1932" i="18"/>
  <c r="E1932" i="18"/>
  <c r="F1932" i="18"/>
  <c r="G1932" i="18"/>
  <c r="H1932" i="18"/>
  <c r="I1932" i="18"/>
  <c r="J1932" i="18"/>
  <c r="A1933" i="18"/>
  <c r="B1933" i="18"/>
  <c r="C1933" i="18"/>
  <c r="D1933" i="18"/>
  <c r="E1933" i="18"/>
  <c r="F1933" i="18"/>
  <c r="G1933" i="18"/>
  <c r="H1933" i="18"/>
  <c r="I1933" i="18"/>
  <c r="J1933" i="18"/>
  <c r="A1934" i="18"/>
  <c r="B1934" i="18"/>
  <c r="C1934" i="18"/>
  <c r="D1934" i="18"/>
  <c r="E1934" i="18"/>
  <c r="F1934" i="18"/>
  <c r="G1934" i="18"/>
  <c r="H1934" i="18"/>
  <c r="I1934" i="18"/>
  <c r="J1934" i="18"/>
  <c r="A1935" i="18"/>
  <c r="B1935" i="18"/>
  <c r="C1935" i="18"/>
  <c r="D1935" i="18"/>
  <c r="E1935" i="18"/>
  <c r="F1935" i="18"/>
  <c r="G1935" i="18"/>
  <c r="H1935" i="18"/>
  <c r="I1935" i="18"/>
  <c r="J1935" i="18"/>
  <c r="A1936" i="18"/>
  <c r="B1936" i="18"/>
  <c r="C1936" i="18"/>
  <c r="D1936" i="18"/>
  <c r="E1936" i="18"/>
  <c r="F1936" i="18"/>
  <c r="G1936" i="18"/>
  <c r="H1936" i="18"/>
  <c r="I1936" i="18"/>
  <c r="J1936" i="18"/>
  <c r="A1937" i="18"/>
  <c r="B1937" i="18"/>
  <c r="C1937" i="18"/>
  <c r="D1937" i="18"/>
  <c r="E1937" i="18"/>
  <c r="F1937" i="18"/>
  <c r="G1937" i="18"/>
  <c r="H1937" i="18"/>
  <c r="I1937" i="18"/>
  <c r="J1937" i="18"/>
  <c r="A1938" i="18"/>
  <c r="B1938" i="18"/>
  <c r="C1938" i="18"/>
  <c r="D1938" i="18"/>
  <c r="E1938" i="18"/>
  <c r="F1938" i="18"/>
  <c r="G1938" i="18"/>
  <c r="H1938" i="18"/>
  <c r="I1938" i="18"/>
  <c r="J1938" i="18"/>
  <c r="A1939" i="18"/>
  <c r="B1939" i="18"/>
  <c r="C1939" i="18"/>
  <c r="D1939" i="18"/>
  <c r="E1939" i="18"/>
  <c r="F1939" i="18"/>
  <c r="G1939" i="18"/>
  <c r="H1939" i="18"/>
  <c r="I1939" i="18"/>
  <c r="J1939" i="18"/>
  <c r="A1940" i="18"/>
  <c r="B1940" i="18"/>
  <c r="C1940" i="18"/>
  <c r="D1940" i="18"/>
  <c r="E1940" i="18"/>
  <c r="F1940" i="18"/>
  <c r="G1940" i="18"/>
  <c r="H1940" i="18"/>
  <c r="I1940" i="18"/>
  <c r="J1940" i="18"/>
  <c r="A1941" i="18"/>
  <c r="B1941" i="18"/>
  <c r="C1941" i="18"/>
  <c r="D1941" i="18"/>
  <c r="E1941" i="18"/>
  <c r="F1941" i="18"/>
  <c r="G1941" i="18"/>
  <c r="H1941" i="18"/>
  <c r="I1941" i="18"/>
  <c r="J1941" i="18"/>
  <c r="A1942" i="18"/>
  <c r="B1942" i="18"/>
  <c r="C1942" i="18"/>
  <c r="D1942" i="18"/>
  <c r="E1942" i="18"/>
  <c r="F1942" i="18"/>
  <c r="G1942" i="18"/>
  <c r="H1942" i="18"/>
  <c r="I1942" i="18"/>
  <c r="J1942" i="18"/>
  <c r="A1943" i="18"/>
  <c r="B1943" i="18"/>
  <c r="C1943" i="18"/>
  <c r="D1943" i="18"/>
  <c r="E1943" i="18"/>
  <c r="F1943" i="18"/>
  <c r="G1943" i="18"/>
  <c r="H1943" i="18"/>
  <c r="I1943" i="18"/>
  <c r="J1943" i="18"/>
  <c r="A1944" i="18"/>
  <c r="B1944" i="18"/>
  <c r="C1944" i="18"/>
  <c r="D1944" i="18"/>
  <c r="E1944" i="18"/>
  <c r="F1944" i="18"/>
  <c r="G1944" i="18"/>
  <c r="H1944" i="18"/>
  <c r="I1944" i="18"/>
  <c r="J1944" i="18"/>
  <c r="A1945" i="18"/>
  <c r="B1945" i="18"/>
  <c r="C1945" i="18"/>
  <c r="D1945" i="18"/>
  <c r="E1945" i="18"/>
  <c r="F1945" i="18"/>
  <c r="G1945" i="18"/>
  <c r="H1945" i="18"/>
  <c r="I1945" i="18"/>
  <c r="J1945" i="18"/>
  <c r="A1946" i="18"/>
  <c r="B1946" i="18"/>
  <c r="C1946" i="18"/>
  <c r="D1946" i="18"/>
  <c r="E1946" i="18"/>
  <c r="F1946" i="18"/>
  <c r="G1946" i="18"/>
  <c r="H1946" i="18"/>
  <c r="I1946" i="18"/>
  <c r="J1946" i="18"/>
  <c r="A1947" i="18"/>
  <c r="B1947" i="18"/>
  <c r="C1947" i="18"/>
  <c r="D1947" i="18"/>
  <c r="E1947" i="18"/>
  <c r="F1947" i="18"/>
  <c r="G1947" i="18"/>
  <c r="H1947" i="18"/>
  <c r="I1947" i="18"/>
  <c r="J1947" i="18"/>
  <c r="A1948" i="18"/>
  <c r="B1948" i="18"/>
  <c r="C1948" i="18"/>
  <c r="D1948" i="18"/>
  <c r="E1948" i="18"/>
  <c r="F1948" i="18"/>
  <c r="G1948" i="18"/>
  <c r="H1948" i="18"/>
  <c r="I1948" i="18"/>
  <c r="J1948" i="18"/>
  <c r="A1949" i="18"/>
  <c r="B1949" i="18"/>
  <c r="C1949" i="18"/>
  <c r="D1949" i="18"/>
  <c r="E1949" i="18"/>
  <c r="F1949" i="18"/>
  <c r="G1949" i="18"/>
  <c r="H1949" i="18"/>
  <c r="I1949" i="18"/>
  <c r="J1949" i="18"/>
  <c r="A1950" i="18"/>
  <c r="B1950" i="18"/>
  <c r="C1950" i="18"/>
  <c r="D1950" i="18"/>
  <c r="E1950" i="18"/>
  <c r="F1950" i="18"/>
  <c r="G1950" i="18"/>
  <c r="H1950" i="18"/>
  <c r="I1950" i="18"/>
  <c r="J1950" i="18"/>
  <c r="A1951" i="18"/>
  <c r="B1951" i="18"/>
  <c r="C1951" i="18"/>
  <c r="D1951" i="18"/>
  <c r="E1951" i="18"/>
  <c r="F1951" i="18"/>
  <c r="G1951" i="18"/>
  <c r="H1951" i="18"/>
  <c r="I1951" i="18"/>
  <c r="J1951" i="18"/>
  <c r="A1952" i="18"/>
  <c r="B1952" i="18"/>
  <c r="C1952" i="18"/>
  <c r="D1952" i="18"/>
  <c r="E1952" i="18"/>
  <c r="F1952" i="18"/>
  <c r="G1952" i="18"/>
  <c r="H1952" i="18"/>
  <c r="I1952" i="18"/>
  <c r="J1952" i="18"/>
  <c r="A1953" i="18"/>
  <c r="B1953" i="18"/>
  <c r="C1953" i="18"/>
  <c r="D1953" i="18"/>
  <c r="E1953" i="18"/>
  <c r="F1953" i="18"/>
  <c r="G1953" i="18"/>
  <c r="H1953" i="18"/>
  <c r="I1953" i="18"/>
  <c r="J1953" i="18"/>
  <c r="A1954" i="18"/>
  <c r="B1954" i="18"/>
  <c r="C1954" i="18"/>
  <c r="D1954" i="18"/>
  <c r="E1954" i="18"/>
  <c r="F1954" i="18"/>
  <c r="G1954" i="18"/>
  <c r="H1954" i="18"/>
  <c r="I1954" i="18"/>
  <c r="J1954" i="18"/>
  <c r="A1955" i="18"/>
  <c r="B1955" i="18"/>
  <c r="C1955" i="18"/>
  <c r="D1955" i="18"/>
  <c r="E1955" i="18"/>
  <c r="F1955" i="18"/>
  <c r="G1955" i="18"/>
  <c r="H1955" i="18"/>
  <c r="I1955" i="18"/>
  <c r="J1955" i="18"/>
  <c r="A1956" i="18"/>
  <c r="B1956" i="18"/>
  <c r="C1956" i="18"/>
  <c r="D1956" i="18"/>
  <c r="E1956" i="18"/>
  <c r="F1956" i="18"/>
  <c r="G1956" i="18"/>
  <c r="H1956" i="18"/>
  <c r="I1956" i="18"/>
  <c r="J1956" i="18"/>
  <c r="A1957" i="18"/>
  <c r="B1957" i="18"/>
  <c r="C1957" i="18"/>
  <c r="D1957" i="18"/>
  <c r="E1957" i="18"/>
  <c r="F1957" i="18"/>
  <c r="G1957" i="18"/>
  <c r="H1957" i="18"/>
  <c r="I1957" i="18"/>
  <c r="J1957" i="18"/>
  <c r="A1958" i="18"/>
  <c r="B1958" i="18"/>
  <c r="C1958" i="18"/>
  <c r="D1958" i="18"/>
  <c r="E1958" i="18"/>
  <c r="F1958" i="18"/>
  <c r="G1958" i="18"/>
  <c r="H1958" i="18"/>
  <c r="I1958" i="18"/>
  <c r="J1958" i="18"/>
  <c r="A1959" i="18"/>
  <c r="B1959" i="18"/>
  <c r="C1959" i="18"/>
  <c r="D1959" i="18"/>
  <c r="E1959" i="18"/>
  <c r="F1959" i="18"/>
  <c r="G1959" i="18"/>
  <c r="H1959" i="18"/>
  <c r="I1959" i="18"/>
  <c r="J1959" i="18"/>
  <c r="A1960" i="18"/>
  <c r="B1960" i="18"/>
  <c r="C1960" i="18"/>
  <c r="D1960" i="18"/>
  <c r="E1960" i="18"/>
  <c r="F1960" i="18"/>
  <c r="G1960" i="18"/>
  <c r="H1960" i="18"/>
  <c r="I1960" i="18"/>
  <c r="J1960" i="18"/>
  <c r="A1961" i="18"/>
  <c r="B1961" i="18"/>
  <c r="C1961" i="18"/>
  <c r="D1961" i="18"/>
  <c r="E1961" i="18"/>
  <c r="F1961" i="18"/>
  <c r="G1961" i="18"/>
  <c r="H1961" i="18"/>
  <c r="I1961" i="18"/>
  <c r="J1961" i="18"/>
  <c r="A1962" i="18"/>
  <c r="B1962" i="18"/>
  <c r="C1962" i="18"/>
  <c r="D1962" i="18"/>
  <c r="E1962" i="18"/>
  <c r="F1962" i="18"/>
  <c r="G1962" i="18"/>
  <c r="H1962" i="18"/>
  <c r="I1962" i="18"/>
  <c r="J1962" i="18"/>
  <c r="A1963" i="18"/>
  <c r="B1963" i="18"/>
  <c r="C1963" i="18"/>
  <c r="D1963" i="18"/>
  <c r="E1963" i="18"/>
  <c r="F1963" i="18"/>
  <c r="G1963" i="18"/>
  <c r="H1963" i="18"/>
  <c r="I1963" i="18"/>
  <c r="J1963" i="18"/>
  <c r="A1964" i="18"/>
  <c r="B1964" i="18"/>
  <c r="C1964" i="18"/>
  <c r="D1964" i="18"/>
  <c r="E1964" i="18"/>
  <c r="F1964" i="18"/>
  <c r="G1964" i="18"/>
  <c r="H1964" i="18"/>
  <c r="I1964" i="18"/>
  <c r="J1964" i="18"/>
  <c r="A1965" i="18"/>
  <c r="B1965" i="18"/>
  <c r="C1965" i="18"/>
  <c r="D1965" i="18"/>
  <c r="E1965" i="18"/>
  <c r="F1965" i="18"/>
  <c r="G1965" i="18"/>
  <c r="H1965" i="18"/>
  <c r="I1965" i="18"/>
  <c r="J1965" i="18"/>
  <c r="A1966" i="18"/>
  <c r="B1966" i="18"/>
  <c r="C1966" i="18"/>
  <c r="D1966" i="18"/>
  <c r="E1966" i="18"/>
  <c r="F1966" i="18"/>
  <c r="G1966" i="18"/>
  <c r="H1966" i="18"/>
  <c r="I1966" i="18"/>
  <c r="J1966" i="18"/>
  <c r="A1967" i="18"/>
  <c r="B1967" i="18"/>
  <c r="C1967" i="18"/>
  <c r="D1967" i="18"/>
  <c r="E1967" i="18"/>
  <c r="F1967" i="18"/>
  <c r="G1967" i="18"/>
  <c r="H1967" i="18"/>
  <c r="I1967" i="18"/>
  <c r="J1967" i="18"/>
  <c r="A1968" i="18"/>
  <c r="B1968" i="18"/>
  <c r="C1968" i="18"/>
  <c r="D1968" i="18"/>
  <c r="E1968" i="18"/>
  <c r="F1968" i="18"/>
  <c r="G1968" i="18"/>
  <c r="H1968" i="18"/>
  <c r="I1968" i="18"/>
  <c r="J1968" i="18"/>
  <c r="A1969" i="18"/>
  <c r="B1969" i="18"/>
  <c r="C1969" i="18"/>
  <c r="D1969" i="18"/>
  <c r="E1969" i="18"/>
  <c r="F1969" i="18"/>
  <c r="G1969" i="18"/>
  <c r="H1969" i="18"/>
  <c r="I1969" i="18"/>
  <c r="J1969" i="18"/>
  <c r="A1970" i="18"/>
  <c r="B1970" i="18"/>
  <c r="C1970" i="18"/>
  <c r="D1970" i="18"/>
  <c r="E1970" i="18"/>
  <c r="F1970" i="18"/>
  <c r="G1970" i="18"/>
  <c r="H1970" i="18"/>
  <c r="I1970" i="18"/>
  <c r="J1970" i="18"/>
  <c r="A1971" i="18"/>
  <c r="B1971" i="18"/>
  <c r="C1971" i="18"/>
  <c r="D1971" i="18"/>
  <c r="E1971" i="18"/>
  <c r="F1971" i="18"/>
  <c r="G1971" i="18"/>
  <c r="H1971" i="18"/>
  <c r="I1971" i="18"/>
  <c r="J1971" i="18"/>
  <c r="A1972" i="18"/>
  <c r="B1972" i="18"/>
  <c r="C1972" i="18"/>
  <c r="D1972" i="18"/>
  <c r="E1972" i="18"/>
  <c r="F1972" i="18"/>
  <c r="G1972" i="18"/>
  <c r="H1972" i="18"/>
  <c r="I1972" i="18"/>
  <c r="J1972" i="18"/>
  <c r="A1973" i="18"/>
  <c r="B1973" i="18"/>
  <c r="C1973" i="18"/>
  <c r="D1973" i="18"/>
  <c r="E1973" i="18"/>
  <c r="F1973" i="18"/>
  <c r="G1973" i="18"/>
  <c r="H1973" i="18"/>
  <c r="I1973" i="18"/>
  <c r="J1973" i="18"/>
  <c r="A1974" i="18"/>
  <c r="B1974" i="18"/>
  <c r="C1974" i="18"/>
  <c r="D1974" i="18"/>
  <c r="E1974" i="18"/>
  <c r="F1974" i="18"/>
  <c r="G1974" i="18"/>
  <c r="H1974" i="18"/>
  <c r="I1974" i="18"/>
  <c r="J1974" i="18"/>
  <c r="A1975" i="18"/>
  <c r="B1975" i="18"/>
  <c r="C1975" i="18"/>
  <c r="D1975" i="18"/>
  <c r="E1975" i="18"/>
  <c r="F1975" i="18"/>
  <c r="G1975" i="18"/>
  <c r="H1975" i="18"/>
  <c r="I1975" i="18"/>
  <c r="J1975" i="18"/>
  <c r="A1976" i="18"/>
  <c r="B1976" i="18"/>
  <c r="C1976" i="18"/>
  <c r="D1976" i="18"/>
  <c r="E1976" i="18"/>
  <c r="F1976" i="18"/>
  <c r="G1976" i="18"/>
  <c r="H1976" i="18"/>
  <c r="I1976" i="18"/>
  <c r="J1976" i="18"/>
  <c r="A1977" i="18"/>
  <c r="B1977" i="18"/>
  <c r="C1977" i="18"/>
  <c r="D1977" i="18"/>
  <c r="E1977" i="18"/>
  <c r="F1977" i="18"/>
  <c r="G1977" i="18"/>
  <c r="H1977" i="18"/>
  <c r="I1977" i="18"/>
  <c r="J1977" i="18"/>
  <c r="A1978" i="18"/>
  <c r="B1978" i="18"/>
  <c r="C1978" i="18"/>
  <c r="D1978" i="18"/>
  <c r="E1978" i="18"/>
  <c r="F1978" i="18"/>
  <c r="G1978" i="18"/>
  <c r="H1978" i="18"/>
  <c r="I1978" i="18"/>
  <c r="J1978" i="18"/>
  <c r="A1979" i="18"/>
  <c r="B1979" i="18"/>
  <c r="C1979" i="18"/>
  <c r="D1979" i="18"/>
  <c r="E1979" i="18"/>
  <c r="F1979" i="18"/>
  <c r="G1979" i="18"/>
  <c r="H1979" i="18"/>
  <c r="I1979" i="18"/>
  <c r="J1979" i="18"/>
  <c r="A1980" i="18"/>
  <c r="B1980" i="18"/>
  <c r="C1980" i="18"/>
  <c r="D1980" i="18"/>
  <c r="E1980" i="18"/>
  <c r="F1980" i="18"/>
  <c r="G1980" i="18"/>
  <c r="H1980" i="18"/>
  <c r="I1980" i="18"/>
  <c r="J1980" i="18"/>
  <c r="A1981" i="18"/>
  <c r="B1981" i="18"/>
  <c r="C1981" i="18"/>
  <c r="D1981" i="18"/>
  <c r="E1981" i="18"/>
  <c r="F1981" i="18"/>
  <c r="G1981" i="18"/>
  <c r="H1981" i="18"/>
  <c r="I1981" i="18"/>
  <c r="J1981" i="18"/>
  <c r="A1982" i="18"/>
  <c r="B1982" i="18"/>
  <c r="C1982" i="18"/>
  <c r="D1982" i="18"/>
  <c r="E1982" i="18"/>
  <c r="F1982" i="18"/>
  <c r="G1982" i="18"/>
  <c r="H1982" i="18"/>
  <c r="I1982" i="18"/>
  <c r="J1982" i="18"/>
  <c r="A1983" i="18"/>
  <c r="B1983" i="18"/>
  <c r="C1983" i="18"/>
  <c r="D1983" i="18"/>
  <c r="E1983" i="18"/>
  <c r="F1983" i="18"/>
  <c r="G1983" i="18"/>
  <c r="H1983" i="18"/>
  <c r="I1983" i="18"/>
  <c r="J1983" i="18"/>
  <c r="A1984" i="18"/>
  <c r="B1984" i="18"/>
  <c r="C1984" i="18"/>
  <c r="D1984" i="18"/>
  <c r="E1984" i="18"/>
  <c r="F1984" i="18"/>
  <c r="G1984" i="18"/>
  <c r="H1984" i="18"/>
  <c r="I1984" i="18"/>
  <c r="J1984" i="18"/>
  <c r="A1985" i="18"/>
  <c r="B1985" i="18"/>
  <c r="C1985" i="18"/>
  <c r="D1985" i="18"/>
  <c r="E1985" i="18"/>
  <c r="F1985" i="18"/>
  <c r="G1985" i="18"/>
  <c r="H1985" i="18"/>
  <c r="I1985" i="18"/>
  <c r="J1985" i="18"/>
  <c r="A1986" i="18"/>
  <c r="B1986" i="18"/>
  <c r="C1986" i="18"/>
  <c r="D1986" i="18"/>
  <c r="E1986" i="18"/>
  <c r="F1986" i="18"/>
  <c r="G1986" i="18"/>
  <c r="H1986" i="18"/>
  <c r="I1986" i="18"/>
  <c r="J1986" i="18"/>
  <c r="A1987" i="18"/>
  <c r="B1987" i="18"/>
  <c r="C1987" i="18"/>
  <c r="D1987" i="18"/>
  <c r="E1987" i="18"/>
  <c r="F1987" i="18"/>
  <c r="G1987" i="18"/>
  <c r="H1987" i="18"/>
  <c r="I1987" i="18"/>
  <c r="J1987" i="18"/>
  <c r="A1988" i="18"/>
  <c r="B1988" i="18"/>
  <c r="C1988" i="18"/>
  <c r="D1988" i="18"/>
  <c r="E1988" i="18"/>
  <c r="F1988" i="18"/>
  <c r="G1988" i="18"/>
  <c r="H1988" i="18"/>
  <c r="I1988" i="18"/>
  <c r="J1988" i="18"/>
  <c r="A1989" i="18"/>
  <c r="B1989" i="18"/>
  <c r="C1989" i="18"/>
  <c r="D1989" i="18"/>
  <c r="E1989" i="18"/>
  <c r="F1989" i="18"/>
  <c r="G1989" i="18"/>
  <c r="H1989" i="18"/>
  <c r="I1989" i="18"/>
  <c r="J1989" i="18"/>
  <c r="A1990" i="18"/>
  <c r="B1990" i="18"/>
  <c r="C1990" i="18"/>
  <c r="D1990" i="18"/>
  <c r="E1990" i="18"/>
  <c r="F1990" i="18"/>
  <c r="G1990" i="18"/>
  <c r="H1990" i="18"/>
  <c r="I1990" i="18"/>
  <c r="J1990" i="18"/>
  <c r="A1991" i="18"/>
  <c r="B1991" i="18"/>
  <c r="C1991" i="18"/>
  <c r="D1991" i="18"/>
  <c r="E1991" i="18"/>
  <c r="F1991" i="18"/>
  <c r="G1991" i="18"/>
  <c r="H1991" i="18"/>
  <c r="I1991" i="18"/>
  <c r="J1991" i="18"/>
  <c r="A1992" i="18"/>
  <c r="B1992" i="18"/>
  <c r="C1992" i="18"/>
  <c r="D1992" i="18"/>
  <c r="E1992" i="18"/>
  <c r="F1992" i="18"/>
  <c r="G1992" i="18"/>
  <c r="H1992" i="18"/>
  <c r="I1992" i="18"/>
  <c r="J1992" i="18"/>
  <c r="A1993" i="18"/>
  <c r="B1993" i="18"/>
  <c r="C1993" i="18"/>
  <c r="D1993" i="18"/>
  <c r="E1993" i="18"/>
  <c r="F1993" i="18"/>
  <c r="G1993" i="18"/>
  <c r="H1993" i="18"/>
  <c r="I1993" i="18"/>
  <c r="J1993" i="18"/>
  <c r="A1994" i="18"/>
  <c r="B1994" i="18"/>
  <c r="C1994" i="18"/>
  <c r="D1994" i="18"/>
  <c r="E1994" i="18"/>
  <c r="F1994" i="18"/>
  <c r="G1994" i="18"/>
  <c r="H1994" i="18"/>
  <c r="I1994" i="18"/>
  <c r="J1994" i="18"/>
  <c r="A1995" i="18"/>
  <c r="B1995" i="18"/>
  <c r="C1995" i="18"/>
  <c r="D1995" i="18"/>
  <c r="E1995" i="18"/>
  <c r="F1995" i="18"/>
  <c r="G1995" i="18"/>
  <c r="H1995" i="18"/>
  <c r="I1995" i="18"/>
  <c r="J1995" i="18"/>
  <c r="A1996" i="18"/>
  <c r="B1996" i="18"/>
  <c r="C1996" i="18"/>
  <c r="D1996" i="18"/>
  <c r="E1996" i="18"/>
  <c r="F1996" i="18"/>
  <c r="G1996" i="18"/>
  <c r="H1996" i="18"/>
  <c r="I1996" i="18"/>
  <c r="J1996" i="18"/>
  <c r="A1997" i="18"/>
  <c r="B1997" i="18"/>
  <c r="C1997" i="18"/>
  <c r="D1997" i="18"/>
  <c r="E1997" i="18"/>
  <c r="F1997" i="18"/>
  <c r="G1997" i="18"/>
  <c r="H1997" i="18"/>
  <c r="I1997" i="18"/>
  <c r="J1997" i="18"/>
  <c r="A1998" i="18"/>
  <c r="B1998" i="18"/>
  <c r="C1998" i="18"/>
  <c r="D1998" i="18"/>
  <c r="E1998" i="18"/>
  <c r="F1998" i="18"/>
  <c r="G1998" i="18"/>
  <c r="H1998" i="18"/>
  <c r="I1998" i="18"/>
  <c r="J1998" i="18"/>
  <c r="A1999" i="18"/>
  <c r="B1999" i="18"/>
  <c r="C1999" i="18"/>
  <c r="D1999" i="18"/>
  <c r="E1999" i="18"/>
  <c r="F1999" i="18"/>
  <c r="G1999" i="18"/>
  <c r="H1999" i="18"/>
  <c r="I1999" i="18"/>
  <c r="J1999" i="18"/>
  <c r="A2000" i="18"/>
  <c r="B2000" i="18"/>
  <c r="C2000" i="18"/>
  <c r="D2000" i="18"/>
  <c r="E2000" i="18"/>
  <c r="F2000" i="18"/>
  <c r="G2000" i="18"/>
  <c r="H2000" i="18"/>
  <c r="I2000" i="18"/>
  <c r="J2000" i="18"/>
  <c r="A2001" i="18"/>
  <c r="B2001" i="18"/>
  <c r="C2001" i="18"/>
  <c r="D2001" i="18"/>
  <c r="E2001" i="18"/>
  <c r="F2001" i="18"/>
  <c r="G2001" i="18"/>
  <c r="H2001" i="18"/>
  <c r="I2001" i="18"/>
  <c r="J2001" i="18"/>
  <c r="A2002" i="18"/>
  <c r="B2002" i="18"/>
  <c r="C2002" i="18"/>
  <c r="D2002" i="18"/>
  <c r="E2002" i="18"/>
  <c r="F2002" i="18"/>
  <c r="G2002" i="18"/>
  <c r="H2002" i="18"/>
  <c r="I2002" i="18"/>
  <c r="J2002" i="18"/>
  <c r="A2003" i="18"/>
  <c r="B2003" i="18"/>
  <c r="C2003" i="18"/>
  <c r="D2003" i="18"/>
  <c r="E2003" i="18"/>
  <c r="F2003" i="18"/>
  <c r="G2003" i="18"/>
  <c r="H2003" i="18"/>
  <c r="I2003" i="18"/>
  <c r="J2003" i="18"/>
  <c r="A2004" i="18"/>
  <c r="B2004" i="18"/>
  <c r="C2004" i="18"/>
  <c r="D2004" i="18"/>
  <c r="E2004" i="18"/>
  <c r="F2004" i="18"/>
  <c r="G2004" i="18"/>
  <c r="H2004" i="18"/>
  <c r="I2004" i="18"/>
  <c r="J2004" i="18"/>
  <c r="A2005" i="18"/>
  <c r="B2005" i="18"/>
  <c r="C2005" i="18"/>
  <c r="D2005" i="18"/>
  <c r="E2005" i="18"/>
  <c r="F2005" i="18"/>
  <c r="G2005" i="18"/>
  <c r="H2005" i="18"/>
  <c r="I2005" i="18"/>
  <c r="J2005" i="18"/>
  <c r="A2006" i="18"/>
  <c r="B2006" i="18"/>
  <c r="C2006" i="18"/>
  <c r="D2006" i="18"/>
  <c r="E2006" i="18"/>
  <c r="F2006" i="18"/>
  <c r="G2006" i="18"/>
  <c r="H2006" i="18"/>
  <c r="I2006" i="18"/>
  <c r="J2006" i="18"/>
  <c r="A2007" i="18"/>
  <c r="B2007" i="18"/>
  <c r="C2007" i="18"/>
  <c r="D2007" i="18"/>
  <c r="E2007" i="18"/>
  <c r="F2007" i="18"/>
  <c r="G2007" i="18"/>
  <c r="H2007" i="18"/>
  <c r="I2007" i="18"/>
  <c r="J2007" i="18"/>
  <c r="A2008" i="18"/>
  <c r="B2008" i="18"/>
  <c r="C2008" i="18"/>
  <c r="D2008" i="18"/>
  <c r="E2008" i="18"/>
  <c r="F2008" i="18"/>
  <c r="G2008" i="18"/>
  <c r="H2008" i="18"/>
  <c r="I2008" i="18"/>
  <c r="J2008" i="18"/>
  <c r="A2009" i="18"/>
  <c r="B2009" i="18"/>
  <c r="C2009" i="18"/>
  <c r="D2009" i="18"/>
  <c r="E2009" i="18"/>
  <c r="F2009" i="18"/>
  <c r="G2009" i="18"/>
  <c r="H2009" i="18"/>
  <c r="I2009" i="18"/>
  <c r="J2009" i="18"/>
  <c r="A2010" i="18"/>
  <c r="B2010" i="18"/>
  <c r="C2010" i="18"/>
  <c r="D2010" i="18"/>
  <c r="E2010" i="18"/>
  <c r="F2010" i="18"/>
  <c r="G2010" i="18"/>
  <c r="H2010" i="18"/>
  <c r="I2010" i="18"/>
  <c r="J2010" i="18"/>
  <c r="A2011" i="18"/>
  <c r="B2011" i="18"/>
  <c r="C2011" i="18"/>
  <c r="D2011" i="18"/>
  <c r="E2011" i="18"/>
  <c r="F2011" i="18"/>
  <c r="G2011" i="18"/>
  <c r="H2011" i="18"/>
  <c r="I2011" i="18"/>
  <c r="J2011" i="18"/>
  <c r="A2012" i="18"/>
  <c r="B2012" i="18"/>
  <c r="C2012" i="18"/>
  <c r="D2012" i="18"/>
  <c r="E2012" i="18"/>
  <c r="F2012" i="18"/>
  <c r="G2012" i="18"/>
  <c r="H2012" i="18"/>
  <c r="I2012" i="18"/>
  <c r="J2012" i="18"/>
  <c r="A2013" i="18"/>
  <c r="B2013" i="18"/>
  <c r="C2013" i="18"/>
  <c r="D2013" i="18"/>
  <c r="E2013" i="18"/>
  <c r="F2013" i="18"/>
  <c r="G2013" i="18"/>
  <c r="H2013" i="18"/>
  <c r="I2013" i="18"/>
  <c r="J2013" i="18"/>
  <c r="A2014" i="18"/>
  <c r="B2014" i="18"/>
  <c r="C2014" i="18"/>
  <c r="D2014" i="18"/>
  <c r="E2014" i="18"/>
  <c r="F2014" i="18"/>
  <c r="G2014" i="18"/>
  <c r="H2014" i="18"/>
  <c r="I2014" i="18"/>
  <c r="J2014" i="18"/>
  <c r="A2015" i="18"/>
  <c r="B2015" i="18"/>
  <c r="C2015" i="18"/>
  <c r="D2015" i="18"/>
  <c r="E2015" i="18"/>
  <c r="F2015" i="18"/>
  <c r="G2015" i="18"/>
  <c r="H2015" i="18"/>
  <c r="I2015" i="18"/>
  <c r="J2015" i="18"/>
  <c r="A2016" i="18"/>
  <c r="B2016" i="18"/>
  <c r="C2016" i="18"/>
  <c r="D2016" i="18"/>
  <c r="E2016" i="18"/>
  <c r="F2016" i="18"/>
  <c r="G2016" i="18"/>
  <c r="H2016" i="18"/>
  <c r="I2016" i="18"/>
  <c r="J2016" i="18"/>
  <c r="A2017" i="18"/>
  <c r="B2017" i="18"/>
  <c r="C2017" i="18"/>
  <c r="D2017" i="18"/>
  <c r="E2017" i="18"/>
  <c r="F2017" i="18"/>
  <c r="G2017" i="18"/>
  <c r="H2017" i="18"/>
  <c r="I2017" i="18"/>
  <c r="J2017" i="18"/>
  <c r="A2018" i="18"/>
  <c r="B2018" i="18"/>
  <c r="C2018" i="18"/>
  <c r="D2018" i="18"/>
  <c r="E2018" i="18"/>
  <c r="F2018" i="18"/>
  <c r="G2018" i="18"/>
  <c r="H2018" i="18"/>
  <c r="I2018" i="18"/>
  <c r="J2018" i="18"/>
  <c r="A2019" i="18"/>
  <c r="B2019" i="18"/>
  <c r="C2019" i="18"/>
  <c r="D2019" i="18"/>
  <c r="E2019" i="18"/>
  <c r="F2019" i="18"/>
  <c r="G2019" i="18"/>
  <c r="H2019" i="18"/>
  <c r="I2019" i="18"/>
  <c r="J2019" i="18"/>
  <c r="A2020" i="18"/>
  <c r="B2020" i="18"/>
  <c r="C2020" i="18"/>
  <c r="D2020" i="18"/>
  <c r="E2020" i="18"/>
  <c r="F2020" i="18"/>
  <c r="G2020" i="18"/>
  <c r="H2020" i="18"/>
  <c r="I2020" i="18"/>
  <c r="J2020" i="18"/>
  <c r="A2021" i="18"/>
  <c r="B2021" i="18"/>
  <c r="C2021" i="18"/>
  <c r="D2021" i="18"/>
  <c r="E2021" i="18"/>
  <c r="F2021" i="18"/>
  <c r="G2021" i="18"/>
  <c r="H2021" i="18"/>
  <c r="I2021" i="18"/>
  <c r="J2021" i="18"/>
  <c r="A2022" i="18"/>
  <c r="B2022" i="18"/>
  <c r="C2022" i="18"/>
  <c r="D2022" i="18"/>
  <c r="E2022" i="18"/>
  <c r="F2022" i="18"/>
  <c r="G2022" i="18"/>
  <c r="H2022" i="18"/>
  <c r="I2022" i="18"/>
  <c r="J2022" i="18"/>
  <c r="A2023" i="18"/>
  <c r="B2023" i="18"/>
  <c r="C2023" i="18"/>
  <c r="D2023" i="18"/>
  <c r="E2023" i="18"/>
  <c r="F2023" i="18"/>
  <c r="G2023" i="18"/>
  <c r="H2023" i="18"/>
  <c r="I2023" i="18"/>
  <c r="J2023" i="18"/>
  <c r="A2024" i="18"/>
  <c r="B2024" i="18"/>
  <c r="C2024" i="18"/>
  <c r="D2024" i="18"/>
  <c r="E2024" i="18"/>
  <c r="F2024" i="18"/>
  <c r="G2024" i="18"/>
  <c r="H2024" i="18"/>
  <c r="I2024" i="18"/>
  <c r="J2024" i="18"/>
  <c r="A2025" i="18"/>
  <c r="B2025" i="18"/>
  <c r="C2025" i="18"/>
  <c r="D2025" i="18"/>
  <c r="E2025" i="18"/>
  <c r="F2025" i="18"/>
  <c r="G2025" i="18"/>
  <c r="H2025" i="18"/>
  <c r="I2025" i="18"/>
  <c r="J2025" i="18"/>
  <c r="A2026" i="18"/>
  <c r="B2026" i="18"/>
  <c r="C2026" i="18"/>
  <c r="D2026" i="18"/>
  <c r="E2026" i="18"/>
  <c r="F2026" i="18"/>
  <c r="G2026" i="18"/>
  <c r="H2026" i="18"/>
  <c r="I2026" i="18"/>
  <c r="J2026" i="18"/>
  <c r="A2027" i="18"/>
  <c r="B2027" i="18"/>
  <c r="C2027" i="18"/>
  <c r="D2027" i="18"/>
  <c r="E2027" i="18"/>
  <c r="F2027" i="18"/>
  <c r="G2027" i="18"/>
  <c r="H2027" i="18"/>
  <c r="I2027" i="18"/>
  <c r="J2027" i="18"/>
  <c r="A2028" i="18"/>
  <c r="B2028" i="18"/>
  <c r="C2028" i="18"/>
  <c r="D2028" i="18"/>
  <c r="E2028" i="18"/>
  <c r="F2028" i="18"/>
  <c r="G2028" i="18"/>
  <c r="H2028" i="18"/>
  <c r="I2028" i="18"/>
  <c r="J2028" i="18"/>
  <c r="A2029" i="18"/>
  <c r="B2029" i="18"/>
  <c r="C2029" i="18"/>
  <c r="D2029" i="18"/>
  <c r="E2029" i="18"/>
  <c r="F2029" i="18"/>
  <c r="G2029" i="18"/>
  <c r="H2029" i="18"/>
  <c r="I2029" i="18"/>
  <c r="J2029" i="18"/>
  <c r="A2030" i="18"/>
  <c r="B2030" i="18"/>
  <c r="C2030" i="18"/>
  <c r="D2030" i="18"/>
  <c r="E2030" i="18"/>
  <c r="F2030" i="18"/>
  <c r="G2030" i="18"/>
  <c r="H2030" i="18"/>
  <c r="I2030" i="18"/>
  <c r="J2030" i="18"/>
  <c r="A2031" i="18"/>
  <c r="B2031" i="18"/>
  <c r="C2031" i="18"/>
  <c r="D2031" i="18"/>
  <c r="E2031" i="18"/>
  <c r="F2031" i="18"/>
  <c r="G2031" i="18"/>
  <c r="H2031" i="18"/>
  <c r="I2031" i="18"/>
  <c r="J2031" i="18"/>
  <c r="A2032" i="18"/>
  <c r="B2032" i="18"/>
  <c r="C2032" i="18"/>
  <c r="D2032" i="18"/>
  <c r="E2032" i="18"/>
  <c r="F2032" i="18"/>
  <c r="G2032" i="18"/>
  <c r="H2032" i="18"/>
  <c r="I2032" i="18"/>
  <c r="J2032" i="18"/>
  <c r="A2033" i="18"/>
  <c r="B2033" i="18"/>
  <c r="C2033" i="18"/>
  <c r="D2033" i="18"/>
  <c r="E2033" i="18"/>
  <c r="F2033" i="18"/>
  <c r="G2033" i="18"/>
  <c r="H2033" i="18"/>
  <c r="I2033" i="18"/>
  <c r="J2033" i="18"/>
  <c r="A2034" i="18"/>
  <c r="B2034" i="18"/>
  <c r="C2034" i="18"/>
  <c r="D2034" i="18"/>
  <c r="E2034" i="18"/>
  <c r="F2034" i="18"/>
  <c r="G2034" i="18"/>
  <c r="H2034" i="18"/>
  <c r="I2034" i="18"/>
  <c r="J2034" i="18"/>
  <c r="A2035" i="18"/>
  <c r="B2035" i="18"/>
  <c r="C2035" i="18"/>
  <c r="D2035" i="18"/>
  <c r="E2035" i="18"/>
  <c r="F2035" i="18"/>
  <c r="G2035" i="18"/>
  <c r="H2035" i="18"/>
  <c r="I2035" i="18"/>
  <c r="J2035" i="18"/>
  <c r="A2036" i="18"/>
  <c r="B2036" i="18"/>
  <c r="C2036" i="18"/>
  <c r="D2036" i="18"/>
  <c r="E2036" i="18"/>
  <c r="F2036" i="18"/>
  <c r="G2036" i="18"/>
  <c r="H2036" i="18"/>
  <c r="I2036" i="18"/>
  <c r="J2036" i="18"/>
  <c r="A3" i="18"/>
  <c r="B3" i="18"/>
  <c r="C3" i="18"/>
  <c r="D3" i="18"/>
  <c r="E3" i="18"/>
  <c r="F3" i="18"/>
  <c r="G3" i="18"/>
  <c r="H3" i="18"/>
  <c r="I3" i="18"/>
  <c r="J3" i="18"/>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A7" i="18"/>
  <c r="B7" i="18"/>
  <c r="C7" i="18"/>
  <c r="D7" i="18"/>
  <c r="E7" i="18"/>
  <c r="F7" i="18"/>
  <c r="G7" i="18"/>
  <c r="H7" i="18"/>
  <c r="I7" i="18"/>
  <c r="J7" i="18"/>
  <c r="A8" i="18"/>
  <c r="B8" i="18"/>
  <c r="C8" i="18"/>
  <c r="D8" i="18"/>
  <c r="E8" i="18"/>
  <c r="F8" i="18"/>
  <c r="G8" i="18"/>
  <c r="H8" i="18"/>
  <c r="I8" i="18"/>
  <c r="J8" i="18"/>
  <c r="A9" i="18"/>
  <c r="B9" i="18"/>
  <c r="C9" i="18"/>
  <c r="D9" i="18"/>
  <c r="E9" i="18"/>
  <c r="F9" i="18"/>
  <c r="G9" i="18"/>
  <c r="H9" i="18"/>
  <c r="I9" i="18"/>
  <c r="J9" i="18"/>
  <c r="A10" i="18"/>
  <c r="B10" i="18"/>
  <c r="C10" i="18"/>
  <c r="D10" i="18"/>
  <c r="E10" i="18"/>
  <c r="F10" i="18"/>
  <c r="G10" i="18"/>
  <c r="H10" i="18"/>
  <c r="I10" i="18"/>
  <c r="J10" i="18"/>
  <c r="A11" i="18"/>
  <c r="B11" i="18"/>
  <c r="C11" i="18"/>
  <c r="D11" i="18"/>
  <c r="E11" i="18"/>
  <c r="F11" i="18"/>
  <c r="G11" i="18"/>
  <c r="H11" i="18"/>
  <c r="I11" i="18"/>
  <c r="J11" i="18"/>
  <c r="A12" i="18"/>
  <c r="B12" i="18"/>
  <c r="C12" i="18"/>
  <c r="D12" i="18"/>
  <c r="E12" i="18"/>
  <c r="F12" i="18"/>
  <c r="G12" i="18"/>
  <c r="H12" i="18"/>
  <c r="I12" i="18"/>
  <c r="J12" i="18"/>
  <c r="A13" i="18"/>
  <c r="B13" i="18"/>
  <c r="C13" i="18"/>
  <c r="D13" i="18"/>
  <c r="E13" i="18"/>
  <c r="F13" i="18"/>
  <c r="G13" i="18"/>
  <c r="H13" i="18"/>
  <c r="I13" i="18"/>
  <c r="J13" i="18"/>
  <c r="A14" i="18"/>
  <c r="B14" i="18"/>
  <c r="C14" i="18"/>
  <c r="D14" i="18"/>
  <c r="E14" i="18"/>
  <c r="F14" i="18"/>
  <c r="G14" i="18"/>
  <c r="H14" i="18"/>
  <c r="I14" i="18"/>
  <c r="J14" i="18"/>
  <c r="A15" i="18"/>
  <c r="B15" i="18"/>
  <c r="C15" i="18"/>
  <c r="D15" i="18"/>
  <c r="E15" i="18"/>
  <c r="F15" i="18"/>
  <c r="G15" i="18"/>
  <c r="H15" i="18"/>
  <c r="I15" i="18"/>
  <c r="J15" i="18"/>
  <c r="A16" i="18"/>
  <c r="B16" i="18"/>
  <c r="C16" i="18"/>
  <c r="D16" i="18"/>
  <c r="E16" i="18"/>
  <c r="F16" i="18"/>
  <c r="G16" i="18"/>
  <c r="H16" i="18"/>
  <c r="I16" i="18"/>
  <c r="J16" i="18"/>
  <c r="A17" i="18"/>
  <c r="B17" i="18"/>
  <c r="C17" i="18"/>
  <c r="D17" i="18"/>
  <c r="E17" i="18"/>
  <c r="F17" i="18"/>
  <c r="G17" i="18"/>
  <c r="H17" i="18"/>
  <c r="I17" i="18"/>
  <c r="J17" i="18"/>
  <c r="A18" i="18"/>
  <c r="B18" i="18"/>
  <c r="C18" i="18"/>
  <c r="D18" i="18"/>
  <c r="E18" i="18"/>
  <c r="F18" i="18"/>
  <c r="G18" i="18"/>
  <c r="H18" i="18"/>
  <c r="I18" i="18"/>
  <c r="J18" i="18"/>
  <c r="A19" i="18"/>
  <c r="B19" i="18"/>
  <c r="C19" i="18"/>
  <c r="D19" i="18"/>
  <c r="E19" i="18"/>
  <c r="F19" i="18"/>
  <c r="G19" i="18"/>
  <c r="H19" i="18"/>
  <c r="I19" i="18"/>
  <c r="J19" i="18"/>
  <c r="A20" i="18"/>
  <c r="B20" i="18"/>
  <c r="C20" i="18"/>
  <c r="D20" i="18"/>
  <c r="E20" i="18"/>
  <c r="F20" i="18"/>
  <c r="G20" i="18"/>
  <c r="H20" i="18"/>
  <c r="I20" i="18"/>
  <c r="J20" i="18"/>
  <c r="A21" i="18"/>
  <c r="B21" i="18"/>
  <c r="C21" i="18"/>
  <c r="D21" i="18"/>
  <c r="E21" i="18"/>
  <c r="F21" i="18"/>
  <c r="G21" i="18"/>
  <c r="H21" i="18"/>
  <c r="I21" i="18"/>
  <c r="J21" i="18"/>
  <c r="A22" i="18"/>
  <c r="B22" i="18"/>
  <c r="C22" i="18"/>
  <c r="D22" i="18"/>
  <c r="E22" i="18"/>
  <c r="F22" i="18"/>
  <c r="G22" i="18"/>
  <c r="H22" i="18"/>
  <c r="I22" i="18"/>
  <c r="J22" i="18"/>
  <c r="A23" i="18"/>
  <c r="B23" i="18"/>
  <c r="C23" i="18"/>
  <c r="D23" i="18"/>
  <c r="E23" i="18"/>
  <c r="F23" i="18"/>
  <c r="G23" i="18"/>
  <c r="H23" i="18"/>
  <c r="I23" i="18"/>
  <c r="J23" i="18"/>
  <c r="A24" i="18"/>
  <c r="B24" i="18"/>
  <c r="C24" i="18"/>
  <c r="D24" i="18"/>
  <c r="E24" i="18"/>
  <c r="F24" i="18"/>
  <c r="G24" i="18"/>
  <c r="H24" i="18"/>
  <c r="I24" i="18"/>
  <c r="J24" i="18"/>
  <c r="A25" i="18"/>
  <c r="B25" i="18"/>
  <c r="C25" i="18"/>
  <c r="D25" i="18"/>
  <c r="E25" i="18"/>
  <c r="F25" i="18"/>
  <c r="G25" i="18"/>
  <c r="H25" i="18"/>
  <c r="I25" i="18"/>
  <c r="J25" i="18"/>
  <c r="A26" i="18"/>
  <c r="B26" i="18"/>
  <c r="C26" i="18"/>
  <c r="D26" i="18"/>
  <c r="E26" i="18"/>
  <c r="F26" i="18"/>
  <c r="G26" i="18"/>
  <c r="H26" i="18"/>
  <c r="I26" i="18"/>
  <c r="J26" i="18"/>
  <c r="A27" i="18"/>
  <c r="B27" i="18"/>
  <c r="C27" i="18"/>
  <c r="D27" i="18"/>
  <c r="E27" i="18"/>
  <c r="F27" i="18"/>
  <c r="G27" i="18"/>
  <c r="H27" i="18"/>
  <c r="I27" i="18"/>
  <c r="J27" i="18"/>
  <c r="A28" i="18"/>
  <c r="B28" i="18"/>
  <c r="C28" i="18"/>
  <c r="D28" i="18"/>
  <c r="E28" i="18"/>
  <c r="F28" i="18"/>
  <c r="G28" i="18"/>
  <c r="H28" i="18"/>
  <c r="I28" i="18"/>
  <c r="J28" i="18"/>
  <c r="A29" i="18"/>
  <c r="B29" i="18"/>
  <c r="C29" i="18"/>
  <c r="D29" i="18"/>
  <c r="E29" i="18"/>
  <c r="F29" i="18"/>
  <c r="G29" i="18"/>
  <c r="H29" i="18"/>
  <c r="I29" i="18"/>
  <c r="J29" i="18"/>
  <c r="A30" i="18"/>
  <c r="B30" i="18"/>
  <c r="C30" i="18"/>
  <c r="D30" i="18"/>
  <c r="E30" i="18"/>
  <c r="F30" i="18"/>
  <c r="G30" i="18"/>
  <c r="H30" i="18"/>
  <c r="I30" i="18"/>
  <c r="J30" i="18"/>
  <c r="A31" i="18"/>
  <c r="B31" i="18"/>
  <c r="C31" i="18"/>
  <c r="D31" i="18"/>
  <c r="E31" i="18"/>
  <c r="F31" i="18"/>
  <c r="G31" i="18"/>
  <c r="H31" i="18"/>
  <c r="I31" i="18"/>
  <c r="J31" i="18"/>
  <c r="A32" i="18"/>
  <c r="B32" i="18"/>
  <c r="C32" i="18"/>
  <c r="D32" i="18"/>
  <c r="E32" i="18"/>
  <c r="F32" i="18"/>
  <c r="G32" i="18"/>
  <c r="H32" i="18"/>
  <c r="I32" i="18"/>
  <c r="J32" i="18"/>
  <c r="A33" i="18"/>
  <c r="B33" i="18"/>
  <c r="C33" i="18"/>
  <c r="D33" i="18"/>
  <c r="E33" i="18"/>
  <c r="F33" i="18"/>
  <c r="G33" i="18"/>
  <c r="H33" i="18"/>
  <c r="I33" i="18"/>
  <c r="J33" i="18"/>
  <c r="A34" i="18"/>
  <c r="B34" i="18"/>
  <c r="C34" i="18"/>
  <c r="D34" i="18"/>
  <c r="E34" i="18"/>
  <c r="F34" i="18"/>
  <c r="G34" i="18"/>
  <c r="H34" i="18"/>
  <c r="I34" i="18"/>
  <c r="J34" i="18"/>
  <c r="A35" i="18"/>
  <c r="B35" i="18"/>
  <c r="C35" i="18"/>
  <c r="D35" i="18"/>
  <c r="E35" i="18"/>
  <c r="F35" i="18"/>
  <c r="G35" i="18"/>
  <c r="H35" i="18"/>
  <c r="I35" i="18"/>
  <c r="J35" i="18"/>
  <c r="A36" i="18"/>
  <c r="B36" i="18"/>
  <c r="C36" i="18"/>
  <c r="D36" i="18"/>
  <c r="E36" i="18"/>
  <c r="F36" i="18"/>
  <c r="G36" i="18"/>
  <c r="H36" i="18"/>
  <c r="I36" i="18"/>
  <c r="J36" i="18"/>
  <c r="A37" i="18"/>
  <c r="B37" i="18"/>
  <c r="C37" i="18"/>
  <c r="D37" i="18"/>
  <c r="E37" i="18"/>
  <c r="F37" i="18"/>
  <c r="G37" i="18"/>
  <c r="H37" i="18"/>
  <c r="I37" i="18"/>
  <c r="J37" i="18"/>
  <c r="A38" i="18"/>
  <c r="B38" i="18"/>
  <c r="C38" i="18"/>
  <c r="D38" i="18"/>
  <c r="E38" i="18"/>
  <c r="F38" i="18"/>
  <c r="G38" i="18"/>
  <c r="H38" i="18"/>
  <c r="I38" i="18"/>
  <c r="J38" i="18"/>
  <c r="A39" i="18"/>
  <c r="B39" i="18"/>
  <c r="C39" i="18"/>
  <c r="D39" i="18"/>
  <c r="E39" i="18"/>
  <c r="F39" i="18"/>
  <c r="G39" i="18"/>
  <c r="H39" i="18"/>
  <c r="I39" i="18"/>
  <c r="J39" i="18"/>
  <c r="A40" i="18"/>
  <c r="B40" i="18"/>
  <c r="C40" i="18"/>
  <c r="D40" i="18"/>
  <c r="E40" i="18"/>
  <c r="F40" i="18"/>
  <c r="G40" i="18"/>
  <c r="H40" i="18"/>
  <c r="I40" i="18"/>
  <c r="J40" i="18"/>
  <c r="A41" i="18"/>
  <c r="B41" i="18"/>
  <c r="C41" i="18"/>
  <c r="D41" i="18"/>
  <c r="E41" i="18"/>
  <c r="F41" i="18"/>
  <c r="G41" i="18"/>
  <c r="H41" i="18"/>
  <c r="I41" i="18"/>
  <c r="J41" i="18"/>
  <c r="A42" i="18"/>
  <c r="B42" i="18"/>
  <c r="C42" i="18"/>
  <c r="D42" i="18"/>
  <c r="E42" i="18"/>
  <c r="F42" i="18"/>
  <c r="G42" i="18"/>
  <c r="H42" i="18"/>
  <c r="I42" i="18"/>
  <c r="J42" i="18"/>
  <c r="A43" i="18"/>
  <c r="B43" i="18"/>
  <c r="C43" i="18"/>
  <c r="D43" i="18"/>
  <c r="E43" i="18"/>
  <c r="F43" i="18"/>
  <c r="G43" i="18"/>
  <c r="H43" i="18"/>
  <c r="I43" i="18"/>
  <c r="J43" i="18"/>
  <c r="A44" i="18"/>
  <c r="B44" i="18"/>
  <c r="C44" i="18"/>
  <c r="D44" i="18"/>
  <c r="E44" i="18"/>
  <c r="F44" i="18"/>
  <c r="G44" i="18"/>
  <c r="H44" i="18"/>
  <c r="I44" i="18"/>
  <c r="J44" i="18"/>
  <c r="A45" i="18"/>
  <c r="B45" i="18"/>
  <c r="C45" i="18"/>
  <c r="D45" i="18"/>
  <c r="E45" i="18"/>
  <c r="F45" i="18"/>
  <c r="G45" i="18"/>
  <c r="H45" i="18"/>
  <c r="I45" i="18"/>
  <c r="J45" i="18"/>
  <c r="A46" i="18"/>
  <c r="B46" i="18"/>
  <c r="C46" i="18"/>
  <c r="D46" i="18"/>
  <c r="E46" i="18"/>
  <c r="F46" i="18"/>
  <c r="G46" i="18"/>
  <c r="H46" i="18"/>
  <c r="I46" i="18"/>
  <c r="J46" i="18"/>
  <c r="A47" i="18"/>
  <c r="B47" i="18"/>
  <c r="C47" i="18"/>
  <c r="D47" i="18"/>
  <c r="E47" i="18"/>
  <c r="F47" i="18"/>
  <c r="G47" i="18"/>
  <c r="H47" i="18"/>
  <c r="I47" i="18"/>
  <c r="J47" i="18"/>
  <c r="A48" i="18"/>
  <c r="B48" i="18"/>
  <c r="C48" i="18"/>
  <c r="D48" i="18"/>
  <c r="E48" i="18"/>
  <c r="F48" i="18"/>
  <c r="G48" i="18"/>
  <c r="H48" i="18"/>
  <c r="I48" i="18"/>
  <c r="J48" i="18"/>
  <c r="A49" i="18"/>
  <c r="B49" i="18"/>
  <c r="C49" i="18"/>
  <c r="D49" i="18"/>
  <c r="E49" i="18"/>
  <c r="F49" i="18"/>
  <c r="G49" i="18"/>
  <c r="H49" i="18"/>
  <c r="I49" i="18"/>
  <c r="J49" i="18"/>
  <c r="A50" i="18"/>
  <c r="B50" i="18"/>
  <c r="C50" i="18"/>
  <c r="D50" i="18"/>
  <c r="E50" i="18"/>
  <c r="F50" i="18"/>
  <c r="G50" i="18"/>
  <c r="I50" i="18"/>
  <c r="J50" i="18"/>
  <c r="A51" i="18"/>
  <c r="B51" i="18"/>
  <c r="C51" i="18"/>
  <c r="D51" i="18"/>
  <c r="E51" i="18"/>
  <c r="F51" i="18"/>
  <c r="G51" i="18"/>
  <c r="I51" i="18"/>
  <c r="J51" i="18"/>
  <c r="A52" i="18"/>
  <c r="B52" i="18"/>
  <c r="C52" i="18"/>
  <c r="D52" i="18"/>
  <c r="E52" i="18"/>
  <c r="F52" i="18"/>
  <c r="G52" i="18"/>
  <c r="H52" i="18"/>
  <c r="I52" i="18"/>
  <c r="J52" i="18"/>
  <c r="A53" i="18"/>
  <c r="B53" i="18"/>
  <c r="C53" i="18"/>
  <c r="D53" i="18"/>
  <c r="E53" i="18"/>
  <c r="F53" i="18"/>
  <c r="G53" i="18"/>
  <c r="H53" i="18"/>
  <c r="I53" i="18"/>
  <c r="J53" i="18"/>
  <c r="A54" i="18"/>
  <c r="B54" i="18"/>
  <c r="C54" i="18"/>
  <c r="D54" i="18"/>
  <c r="E54" i="18"/>
  <c r="F54" i="18"/>
  <c r="G54" i="18"/>
  <c r="H54" i="18"/>
  <c r="I54" i="18"/>
  <c r="J54" i="18"/>
  <c r="A55" i="18"/>
  <c r="B55" i="18"/>
  <c r="C55" i="18"/>
  <c r="D55" i="18"/>
  <c r="E55" i="18"/>
  <c r="F55" i="18"/>
  <c r="G55" i="18"/>
  <c r="H55" i="18"/>
  <c r="I55" i="18"/>
  <c r="J55" i="18"/>
  <c r="A56" i="18"/>
  <c r="B56" i="18"/>
  <c r="C56" i="18"/>
  <c r="D56" i="18"/>
  <c r="E56" i="18"/>
  <c r="F56" i="18"/>
  <c r="G56" i="18"/>
  <c r="H56" i="18"/>
  <c r="I56" i="18"/>
  <c r="J56" i="18"/>
  <c r="A57" i="18"/>
  <c r="B57" i="18"/>
  <c r="C57" i="18"/>
  <c r="D57" i="18"/>
  <c r="E57" i="18"/>
  <c r="F57" i="18"/>
  <c r="G57" i="18"/>
  <c r="H57" i="18"/>
  <c r="I57" i="18"/>
  <c r="J57" i="18"/>
  <c r="A58" i="18"/>
  <c r="B58" i="18"/>
  <c r="C58" i="18"/>
  <c r="D58" i="18"/>
  <c r="E58" i="18"/>
  <c r="F58" i="18"/>
  <c r="G58" i="18"/>
  <c r="H58" i="18"/>
  <c r="I58" i="18"/>
  <c r="J58" i="18"/>
  <c r="A59" i="18"/>
  <c r="B59" i="18"/>
  <c r="C59" i="18"/>
  <c r="D59" i="18"/>
  <c r="E59" i="18"/>
  <c r="F59" i="18"/>
  <c r="G59" i="18"/>
  <c r="H59" i="18"/>
  <c r="I59" i="18"/>
  <c r="J59" i="18"/>
  <c r="A60" i="18"/>
  <c r="B60" i="18"/>
  <c r="C60" i="18"/>
  <c r="D60" i="18"/>
  <c r="E60" i="18"/>
  <c r="F60" i="18"/>
  <c r="G60" i="18"/>
  <c r="H60" i="18"/>
  <c r="I60" i="18"/>
  <c r="J60" i="18"/>
  <c r="A61" i="18"/>
  <c r="B61" i="18"/>
  <c r="C61" i="18"/>
  <c r="D61" i="18"/>
  <c r="E61" i="18"/>
  <c r="F61" i="18"/>
  <c r="G61" i="18"/>
  <c r="H61" i="18"/>
  <c r="I61" i="18"/>
  <c r="J61" i="18"/>
  <c r="A62" i="18"/>
  <c r="B62" i="18"/>
  <c r="C62" i="18"/>
  <c r="D62" i="18"/>
  <c r="E62" i="18"/>
  <c r="F62" i="18"/>
  <c r="G62" i="18"/>
  <c r="H62" i="18"/>
  <c r="I62" i="18"/>
  <c r="J62" i="18"/>
  <c r="A63" i="18"/>
  <c r="B63" i="18"/>
  <c r="C63" i="18"/>
  <c r="D63" i="18"/>
  <c r="E63" i="18"/>
  <c r="F63" i="18"/>
  <c r="G63" i="18"/>
  <c r="H63" i="18"/>
  <c r="I63" i="18"/>
  <c r="J63" i="18"/>
  <c r="A64" i="18"/>
  <c r="B64" i="18"/>
  <c r="C64" i="18"/>
  <c r="D64" i="18"/>
  <c r="E64" i="18"/>
  <c r="F64" i="18"/>
  <c r="G64" i="18"/>
  <c r="H64" i="18"/>
  <c r="I64" i="18"/>
  <c r="J64" i="18"/>
  <c r="A65" i="18"/>
  <c r="B65" i="18"/>
  <c r="C65" i="18"/>
  <c r="D65" i="18"/>
  <c r="E65" i="18"/>
  <c r="F65" i="18"/>
  <c r="G65" i="18"/>
  <c r="H65" i="18"/>
  <c r="I65" i="18"/>
  <c r="J65" i="18"/>
  <c r="A66" i="18"/>
  <c r="B66" i="18"/>
  <c r="C66" i="18"/>
  <c r="D66" i="18"/>
  <c r="E66" i="18"/>
  <c r="F66" i="18"/>
  <c r="G66" i="18"/>
  <c r="H66" i="18"/>
  <c r="I66" i="18"/>
  <c r="J66" i="18"/>
  <c r="A67" i="18"/>
  <c r="B67" i="18"/>
  <c r="C67" i="18"/>
  <c r="D67" i="18"/>
  <c r="E67" i="18"/>
  <c r="F67" i="18"/>
  <c r="G67" i="18"/>
  <c r="H67" i="18"/>
  <c r="I67" i="18"/>
  <c r="J67" i="18"/>
  <c r="A68" i="18"/>
  <c r="B68" i="18"/>
  <c r="C68" i="18"/>
  <c r="D68" i="18"/>
  <c r="E68" i="18"/>
  <c r="F68" i="18"/>
  <c r="G68" i="18"/>
  <c r="H68" i="18"/>
  <c r="I68" i="18"/>
  <c r="J68" i="18"/>
  <c r="A69" i="18"/>
  <c r="B69" i="18"/>
  <c r="C69" i="18"/>
  <c r="D69" i="18"/>
  <c r="E69" i="18"/>
  <c r="F69" i="18"/>
  <c r="G69" i="18"/>
  <c r="H69" i="18"/>
  <c r="I69" i="18"/>
  <c r="J69" i="18"/>
  <c r="A70" i="18"/>
  <c r="B70" i="18"/>
  <c r="C70" i="18"/>
  <c r="D70" i="18"/>
  <c r="E70" i="18"/>
  <c r="F70" i="18"/>
  <c r="G70" i="18"/>
  <c r="H70" i="18"/>
  <c r="I70" i="18"/>
  <c r="J70" i="18"/>
  <c r="A71" i="18"/>
  <c r="B71" i="18"/>
  <c r="C71" i="18"/>
  <c r="D71" i="18"/>
  <c r="E71" i="18"/>
  <c r="F71" i="18"/>
  <c r="G71" i="18"/>
  <c r="H71" i="18"/>
  <c r="I71" i="18"/>
  <c r="J71" i="18"/>
  <c r="A72" i="18"/>
  <c r="B72" i="18"/>
  <c r="C72" i="18"/>
  <c r="D72" i="18"/>
  <c r="E72" i="18"/>
  <c r="F72" i="18"/>
  <c r="G72" i="18"/>
  <c r="H72" i="18"/>
  <c r="I72" i="18"/>
  <c r="J72" i="18"/>
  <c r="A73" i="18"/>
  <c r="B73" i="18"/>
  <c r="C73" i="18"/>
  <c r="D73" i="18"/>
  <c r="E73" i="18"/>
  <c r="F73" i="18"/>
  <c r="G73" i="18"/>
  <c r="H73" i="18"/>
  <c r="I73" i="18"/>
  <c r="J73" i="18"/>
  <c r="A74" i="18"/>
  <c r="B74" i="18"/>
  <c r="C74" i="18"/>
  <c r="D74" i="18"/>
  <c r="E74" i="18"/>
  <c r="F74" i="18"/>
  <c r="G74" i="18"/>
  <c r="H74" i="18"/>
  <c r="I74" i="18"/>
  <c r="J74" i="18"/>
  <c r="A75" i="18"/>
  <c r="B75" i="18"/>
  <c r="C75" i="18"/>
  <c r="D75" i="18"/>
  <c r="E75" i="18"/>
  <c r="F75" i="18"/>
  <c r="G75" i="18"/>
  <c r="H75" i="18"/>
  <c r="I75" i="18"/>
  <c r="J75" i="18"/>
  <c r="A76" i="18"/>
  <c r="B76" i="18"/>
  <c r="C76" i="18"/>
  <c r="D76" i="18"/>
  <c r="E76" i="18"/>
  <c r="F76" i="18"/>
  <c r="G76" i="18"/>
  <c r="H76" i="18"/>
  <c r="I76" i="18"/>
  <c r="J76" i="18"/>
  <c r="A77" i="18"/>
  <c r="B77" i="18"/>
  <c r="C77" i="18"/>
  <c r="D77" i="18"/>
  <c r="E77" i="18"/>
  <c r="F77" i="18"/>
  <c r="G77" i="18"/>
  <c r="H77" i="18"/>
  <c r="I77" i="18"/>
  <c r="J77" i="18"/>
  <c r="A78" i="18"/>
  <c r="B78" i="18"/>
  <c r="C78" i="18"/>
  <c r="D78" i="18"/>
  <c r="E78" i="18"/>
  <c r="F78" i="18"/>
  <c r="G78" i="18"/>
  <c r="H78" i="18"/>
  <c r="I78" i="18"/>
  <c r="J78" i="18"/>
  <c r="D2" i="18"/>
  <c r="E2" i="18"/>
  <c r="F2" i="18"/>
  <c r="G2" i="18"/>
  <c r="H2" i="18"/>
  <c r="I2" i="18"/>
  <c r="J2" i="18"/>
  <c r="C2" i="18"/>
  <c r="B2" i="18"/>
  <c r="A2" i="18"/>
  <c r="W16" i="15" l="1"/>
  <c r="F86" i="18" l="1"/>
  <c r="F206" i="18" l="1"/>
  <c r="E156" i="18"/>
  <c r="E155" i="18"/>
  <c r="F205" i="18" l="1"/>
  <c r="F114" i="18"/>
  <c r="F111" i="18"/>
  <c r="H51" i="18" l="1"/>
  <c r="H50"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Anousha A Bansropun</author>
    <author>Martine Thevenet-Combes</author>
    <author>Sandra Chellapah Naick</author>
    <author>Sébastien Legeant</author>
    <author>Prisha Ramessur</author>
  </authors>
  <commentList>
    <comment ref="AG51" authorId="0" shapeId="0" xr:uid="{800EE820-63E4-4BAA-A562-0E86E67E9BC4}">
      <text>
        <r>
          <rPr>
            <b/>
            <sz val="9"/>
            <color indexed="81"/>
            <rFont val="Tahoma"/>
            <family val="2"/>
          </rPr>
          <t>Anousha A Bansropun:</t>
        </r>
        <r>
          <rPr>
            <sz val="9"/>
            <color indexed="81"/>
            <rFont val="Tahoma"/>
            <family val="2"/>
          </rPr>
          <t xml:space="preserve">
FOB Charges for PO Amendment </t>
        </r>
      </text>
    </comment>
    <comment ref="D122" authorId="1" shapeId="0" xr:uid="{5AE54D65-CE73-416D-AEB8-48157108A301}">
      <text>
        <r>
          <rPr>
            <b/>
            <sz val="12"/>
            <color indexed="81"/>
            <rFont val="Tahoma"/>
            <family val="2"/>
          </rPr>
          <t>PO closed on 26.03.2025 as per mail from Jeysen to Sandra dated 24.01.2025 - Sally Anne dashboard updated accordingly</t>
        </r>
        <r>
          <rPr>
            <sz val="9"/>
            <color indexed="81"/>
            <rFont val="Tahoma"/>
            <family val="2"/>
          </rPr>
          <t xml:space="preserve">
</t>
        </r>
      </text>
    </comment>
    <comment ref="AE124" authorId="2" shapeId="0" xr:uid="{5A8EC131-E462-40CF-B886-BFAC8892FBD0}">
      <text>
        <r>
          <rPr>
            <b/>
            <sz val="9"/>
            <color indexed="81"/>
            <rFont val="Tahoma"/>
            <family val="2"/>
          </rPr>
          <t>Sandra Chellapah Naick:</t>
        </r>
        <r>
          <rPr>
            <sz val="9"/>
            <color indexed="81"/>
            <rFont val="Tahoma"/>
            <family val="2"/>
          </rPr>
          <t xml:space="preserve">
21/02/2025 paid</t>
        </r>
      </text>
    </comment>
    <comment ref="R127" authorId="1" shapeId="0" xr:uid="{A4A8B7C3-BD03-4F9F-B65F-5F7901B0D291}">
      <text>
        <r>
          <rPr>
            <b/>
            <sz val="9"/>
            <color indexed="81"/>
            <rFont val="Tahoma"/>
            <family val="2"/>
          </rPr>
          <t>Martine Thevenet-Combes:</t>
        </r>
        <r>
          <rPr>
            <sz val="9"/>
            <color indexed="81"/>
            <rFont val="Tahoma"/>
            <family val="2"/>
          </rPr>
          <t xml:space="preserve">
</t>
        </r>
      </text>
    </comment>
    <comment ref="Q128" authorId="3" shapeId="0" xr:uid="{3EBFA9E6-6C03-4043-8469-D1EF633D60B0}">
      <text>
        <r>
          <rPr>
            <b/>
            <sz val="14"/>
            <color indexed="81"/>
            <rFont val="Tahoma"/>
            <family val="2"/>
          </rPr>
          <t>Sébastien Legeant:</t>
        </r>
        <r>
          <rPr>
            <sz val="9"/>
            <color indexed="81"/>
            <rFont val="Tahoma"/>
            <family val="2"/>
          </rPr>
          <t xml:space="preserve">
</t>
        </r>
        <r>
          <rPr>
            <sz val="14"/>
            <color indexed="81"/>
            <rFont val="Tahoma"/>
            <family val="2"/>
          </rPr>
          <t>Mail sent to supplier for COA-13/03/2025</t>
        </r>
      </text>
    </comment>
    <comment ref="G129" authorId="1" shapeId="0" xr:uid="{FF91B766-F92F-4196-8164-3D3D8A76FA10}">
      <text>
        <r>
          <rPr>
            <sz val="14"/>
            <color indexed="81"/>
            <rFont val="Tahoma"/>
            <family val="2"/>
          </rPr>
          <t>To cancel order - to follow with Sally Anna</t>
        </r>
        <r>
          <rPr>
            <sz val="9"/>
            <color indexed="81"/>
            <rFont val="Tahoma"/>
            <family val="2"/>
          </rPr>
          <t xml:space="preserve">
</t>
        </r>
      </text>
    </comment>
    <comment ref="AH136" authorId="1" shapeId="0" xr:uid="{8640E51C-0CFA-4C11-B378-F5B01E930CC5}">
      <text>
        <r>
          <rPr>
            <sz val="9"/>
            <color indexed="81"/>
            <rFont val="Tahoma"/>
            <family val="2"/>
          </rPr>
          <t xml:space="preserve">RFP SIGNED BY DN
</t>
        </r>
      </text>
    </comment>
    <comment ref="AH140" authorId="1" shapeId="0" xr:uid="{A3CBF434-E08E-4DDF-B202-D873D4FE1FD3}">
      <text>
        <r>
          <rPr>
            <b/>
            <sz val="9"/>
            <color indexed="81"/>
            <rFont val="Tahoma"/>
            <family val="2"/>
          </rPr>
          <t>RFP approved by DN</t>
        </r>
        <r>
          <rPr>
            <sz val="9"/>
            <color indexed="81"/>
            <rFont val="Tahoma"/>
            <family val="2"/>
          </rPr>
          <t xml:space="preserve">
</t>
        </r>
      </text>
    </comment>
    <comment ref="AH151" authorId="1" shapeId="0" xr:uid="{0F2E9F08-48B9-4CC4-9EF6-0F7181AA1E97}">
      <text>
        <r>
          <rPr>
            <b/>
            <sz val="9"/>
            <color indexed="81"/>
            <rFont val="Tahoma"/>
            <family val="2"/>
          </rPr>
          <t>RFP approved by DN</t>
        </r>
        <r>
          <rPr>
            <sz val="9"/>
            <color indexed="81"/>
            <rFont val="Tahoma"/>
            <family val="2"/>
          </rPr>
          <t xml:space="preserve">
</t>
        </r>
      </text>
    </comment>
    <comment ref="R158" authorId="1" shapeId="0" xr:uid="{54A1FD9A-74B7-40CF-9146-23945827EEC8}">
      <text>
        <r>
          <rPr>
            <b/>
            <sz val="9"/>
            <color indexed="81"/>
            <rFont val="Tahoma"/>
            <family val="2"/>
          </rPr>
          <t>Martine Thevenet-Combes:</t>
        </r>
        <r>
          <rPr>
            <sz val="9"/>
            <color indexed="81"/>
            <rFont val="Tahoma"/>
            <family val="2"/>
          </rPr>
          <t xml:space="preserve">
</t>
        </r>
      </text>
    </comment>
    <comment ref="G173" authorId="1" shapeId="0" xr:uid="{6AC57522-A257-48D2-A253-C7D9C07925C3}">
      <text>
        <r>
          <rPr>
            <sz val="14"/>
            <color indexed="81"/>
            <rFont val="Tahoma"/>
            <family val="2"/>
          </rPr>
          <t xml:space="preserve">Mail sent to Sally on 19.03.2025 requesting to add 520 cases  since this quantity  was cancelled on their  Dashboard </t>
        </r>
      </text>
    </comment>
    <comment ref="P177" authorId="1" shapeId="0" xr:uid="{9287FA1E-664D-4BC0-A9B9-585B081967D3}">
      <text>
        <r>
          <rPr>
            <b/>
            <sz val="16"/>
            <color indexed="81"/>
            <rFont val="Calibri"/>
            <family val="2"/>
            <scheme val="minor"/>
          </rPr>
          <t xml:space="preserve"> TO DO PIP UPON RECEIPT OF DOCS
</t>
        </r>
      </text>
    </comment>
    <comment ref="P178" authorId="1" shapeId="0" xr:uid="{585D33EF-0323-4445-ADA2-55C767FD8FB3}">
      <text>
        <r>
          <rPr>
            <b/>
            <sz val="16"/>
            <color indexed="81"/>
            <rFont val="Tahoma"/>
            <family val="2"/>
          </rPr>
          <t xml:space="preserve"> TO DO PIP UPON RECEIPT OF DOCS</t>
        </r>
        <r>
          <rPr>
            <b/>
            <sz val="9"/>
            <color indexed="81"/>
            <rFont val="Tahoma"/>
            <family val="2"/>
          </rPr>
          <t xml:space="preserve">
</t>
        </r>
        <r>
          <rPr>
            <sz val="9"/>
            <color indexed="81"/>
            <rFont val="Tahoma"/>
            <family val="2"/>
          </rPr>
          <t xml:space="preserve">
</t>
        </r>
      </text>
    </comment>
    <comment ref="Z202" authorId="1" shapeId="0" xr:uid="{2E02FE21-4870-4FB6-AB5E-B653BC978370}">
      <text>
        <r>
          <rPr>
            <sz val="9"/>
            <color indexed="81"/>
            <rFont val="Tahoma"/>
            <family val="2"/>
          </rPr>
          <t xml:space="preserve">
TO CONFIRM THE PAYMENT TERMS</t>
        </r>
      </text>
    </comment>
    <comment ref="W230" authorId="1" shapeId="0" xr:uid="{28359E09-28D5-422B-9848-3D5E2BBE4CCE}">
      <text>
        <r>
          <rPr>
            <b/>
            <sz val="9"/>
            <color indexed="81"/>
            <rFont val="Tahoma"/>
            <family val="2"/>
          </rPr>
          <t>To follow ETA on Tracking MSC</t>
        </r>
      </text>
    </comment>
    <comment ref="W231" authorId="1" shapeId="0" xr:uid="{1560F65C-85BB-49E4-9190-DBE104655ACF}">
      <text>
        <r>
          <rPr>
            <sz val="14"/>
            <color indexed="81"/>
            <rFont val="Tahoma"/>
            <family val="2"/>
          </rPr>
          <t>To follow ETA on Tracking MSC</t>
        </r>
        <r>
          <rPr>
            <sz val="9"/>
            <color indexed="81"/>
            <rFont val="Tahoma"/>
            <family val="2"/>
          </rPr>
          <t xml:space="preserve">
</t>
        </r>
      </text>
    </comment>
    <comment ref="W355" authorId="1" shapeId="0" xr:uid="{9EB15F0F-7649-44A7-AD52-63159D7A2870}">
      <text>
        <r>
          <rPr>
            <b/>
            <sz val="9"/>
            <color indexed="81"/>
            <rFont val="Tahoma"/>
            <family val="2"/>
          </rPr>
          <t>To follow ETA on Tracking MSC</t>
        </r>
      </text>
    </comment>
    <comment ref="G367" authorId="1" shapeId="0" xr:uid="{22CD9F1C-60DF-4283-930C-32F8E9D73601}">
      <text>
        <r>
          <rPr>
            <sz val="14"/>
            <color indexed="81"/>
            <rFont val="Tahoma"/>
            <family val="2"/>
          </rPr>
          <t>To request Sally Anne to add 2370 cases of Appletiser 330ml instead of Grapetiser 330ml - 
*** Grapetiser 2370 to cancel</t>
        </r>
        <r>
          <rPr>
            <sz val="9"/>
            <color indexed="81"/>
            <rFont val="Tahoma"/>
            <family val="2"/>
          </rPr>
          <t xml:space="preserve">
</t>
        </r>
      </text>
    </comment>
    <comment ref="W376" authorId="1" shapeId="0" xr:uid="{A0670AE3-AAE6-4493-A3A7-8DFE34FC4F8F}">
      <text>
        <r>
          <rPr>
            <b/>
            <sz val="9"/>
            <color indexed="81"/>
            <rFont val="Tahoma"/>
            <family val="2"/>
          </rPr>
          <t>To follow ETA on Tracking MSC</t>
        </r>
      </text>
    </comment>
    <comment ref="D559" authorId="2" shapeId="0" xr:uid="{78F96156-CC5E-41D9-9CA2-C73EAA62BCCC}">
      <text>
        <r>
          <rPr>
            <b/>
            <sz val="9"/>
            <color indexed="81"/>
            <rFont val="Tahoma"/>
            <family val="2"/>
          </rPr>
          <t>Sandra Chellapah Naick:</t>
        </r>
        <r>
          <rPr>
            <sz val="9"/>
            <color indexed="81"/>
            <rFont val="Tahoma"/>
            <family val="2"/>
          </rPr>
          <t xml:space="preserve">
TO MSEE IF SHOULD CANCEL PO</t>
        </r>
      </text>
    </comment>
    <comment ref="U574" authorId="4" shapeId="0" xr:uid="{70A7AD5F-8893-42F3-ACE7-A5A3C8194E97}">
      <text>
        <r>
          <rPr>
            <b/>
            <sz val="9"/>
            <color indexed="81"/>
            <rFont val="Tahoma"/>
            <family val="2"/>
          </rPr>
          <t>msc vilda shift to msc Antonia</t>
        </r>
      </text>
    </comment>
    <comment ref="U643" authorId="4" shapeId="0" xr:uid="{C43DA4AB-A9B0-40C3-9035-896F4C974545}">
      <text>
        <r>
          <rPr>
            <b/>
            <sz val="9"/>
            <color indexed="81"/>
            <rFont val="Tahoma"/>
            <family val="2"/>
          </rPr>
          <t>As per mail from Vishesh dd 12/11/2025</t>
        </r>
      </text>
    </comment>
    <comment ref="U644" authorId="4" shapeId="0" xr:uid="{37CFCD51-7868-4509-8A20-3B1CE541576D}">
      <text>
        <r>
          <rPr>
            <b/>
            <sz val="9"/>
            <color indexed="81"/>
            <rFont val="Tahoma"/>
            <family val="2"/>
          </rPr>
          <t>As per mail from Vishesh dd 12/11/2025</t>
        </r>
      </text>
    </comment>
    <comment ref="U645" authorId="4" shapeId="0" xr:uid="{8F18D34A-C185-4FE9-9873-FA4704FD6ABA}">
      <text>
        <r>
          <rPr>
            <b/>
            <sz val="9"/>
            <color indexed="81"/>
            <rFont val="Tahoma"/>
            <family val="2"/>
          </rPr>
          <t>As per mail from Vishesh dd 12/11/2025</t>
        </r>
      </text>
    </comment>
    <comment ref="U646" authorId="4" shapeId="0" xr:uid="{69482A0B-8AEE-403A-86B6-0C5DA578DD3A}">
      <text>
        <r>
          <rPr>
            <b/>
            <sz val="9"/>
            <color indexed="81"/>
            <rFont val="Tahoma"/>
            <family val="2"/>
          </rPr>
          <t>As per mail from Vishesh dd 12/11/2025</t>
        </r>
      </text>
    </comment>
    <comment ref="U693" authorId="4" shapeId="0" xr:uid="{BF7B2B80-050A-47F3-8E97-3EDC1750D437}">
      <text>
        <r>
          <rPr>
            <b/>
            <sz val="9"/>
            <color indexed="81"/>
            <rFont val="Tahoma"/>
            <family val="2"/>
          </rPr>
          <t>As per mail from Vishesh dd 12/11/2025</t>
        </r>
      </text>
    </comment>
    <comment ref="AB710" authorId="1" shapeId="0" xr:uid="{83A61F39-AB58-4A6B-A727-74C3A27876A1}">
      <text>
        <r>
          <rPr>
            <b/>
            <sz val="11"/>
            <color indexed="81"/>
            <rFont val="Tahoma"/>
            <family val="2"/>
          </rPr>
          <t>Payment on hold with AC dept since shipment postpone for Dec- Endof Oct to review</t>
        </r>
      </text>
    </comment>
    <comment ref="U713" authorId="4" shapeId="0" xr:uid="{FE38F691-6701-4C2C-BDAB-B01DBACE7C1E}">
      <text>
        <r>
          <rPr>
            <b/>
            <sz val="9"/>
            <color indexed="81"/>
            <rFont val="Tahoma"/>
            <family val="2"/>
          </rPr>
          <t>As per mail from Vishesh dd 12/11/2025</t>
        </r>
      </text>
    </comment>
  </commentList>
</comments>
</file>

<file path=xl/sharedStrings.xml><?xml version="1.0" encoding="utf-8"?>
<sst xmlns="http://schemas.openxmlformats.org/spreadsheetml/2006/main" count="12135" uniqueCount="5437">
  <si>
    <t>Date of order</t>
  </si>
  <si>
    <t>Claimant</t>
  </si>
  <si>
    <t>IPR Number</t>
  </si>
  <si>
    <t>Supplier</t>
  </si>
  <si>
    <t>Quantity</t>
  </si>
  <si>
    <t>No. of Container</t>
  </si>
  <si>
    <t>PAYMENT DUE DATE</t>
  </si>
  <si>
    <t>USD</t>
  </si>
  <si>
    <t>EUR</t>
  </si>
  <si>
    <t>GBP</t>
  </si>
  <si>
    <t>ZAR</t>
  </si>
  <si>
    <t>PAYMENT STATUS as at that date</t>
  </si>
  <si>
    <t>Shipping Terms</t>
  </si>
  <si>
    <t>E.T.D.</t>
  </si>
  <si>
    <t>E.T.A.</t>
  </si>
  <si>
    <t>COVID 19 FROM 20.03.20 TO 04.05.20
ORDERS RELEASED BY MSC WITHOUT BILL OF LADING TO BE
SUBMITTED AFTER LOCKDOWN
AND OTHER INFORMATION RELATED TO THAT PERIOD</t>
  </si>
  <si>
    <t>Date Requested By Department</t>
  </si>
  <si>
    <t>Purchasing Officer</t>
  </si>
  <si>
    <t>C&amp;F</t>
  </si>
  <si>
    <t>TBC</t>
  </si>
  <si>
    <t>EXW</t>
  </si>
  <si>
    <t>MC</t>
  </si>
  <si>
    <t>FOB</t>
  </si>
  <si>
    <t xml:space="preserve">30 DAYS INVOICE DATE </t>
  </si>
  <si>
    <t>SL</t>
  </si>
  <si>
    <t>FCA</t>
  </si>
  <si>
    <t>90 days Invoice date</t>
  </si>
  <si>
    <t>SC</t>
  </si>
  <si>
    <t>CFR</t>
  </si>
  <si>
    <t>60 days Bill of Lading</t>
  </si>
  <si>
    <t>CPT</t>
  </si>
  <si>
    <t>Crown Emirates Co. LTD</t>
  </si>
  <si>
    <t>50% Advance</t>
  </si>
  <si>
    <t xml:space="preserve">60 DAYS INVOICE DATE </t>
  </si>
  <si>
    <t xml:space="preserve">FOB </t>
  </si>
  <si>
    <t>MPACT  LIMITED</t>
  </si>
  <si>
    <t>Coca-Cola Swaziland</t>
  </si>
  <si>
    <t>100% advance payment</t>
  </si>
  <si>
    <t>NGOC NGHIA INDUSTRY</t>
  </si>
  <si>
    <t>AMMATGLASS INDUSTRIES FZE - UAE</t>
  </si>
  <si>
    <t xml:space="preserve">SC </t>
  </si>
  <si>
    <t>Blackhawk Molding Co., Inc</t>
  </si>
  <si>
    <t>CAPS- CRYSTAL-JAR NSPILL 18.9L</t>
  </si>
  <si>
    <t>1X40''</t>
  </si>
  <si>
    <t>RESILUX NV</t>
  </si>
  <si>
    <t>DD WILLIAMSON</t>
  </si>
  <si>
    <t xml:space="preserve">21 DAYS BL DATE </t>
  </si>
  <si>
    <t>50% Advance payment</t>
  </si>
  <si>
    <t>CHF</t>
  </si>
  <si>
    <t>C &amp; F</t>
  </si>
  <si>
    <t>60 days Invoice date</t>
  </si>
  <si>
    <t>CPT DURBAN</t>
  </si>
  <si>
    <t xml:space="preserve">45 DAYS INVOICE DATE </t>
  </si>
  <si>
    <t>AUD</t>
  </si>
  <si>
    <t>60 DAYS INVOICE DATE</t>
  </si>
  <si>
    <t>30 DAYS INVOICE DATE</t>
  </si>
  <si>
    <t>Waiting for POP</t>
  </si>
  <si>
    <t>14.04.2022</t>
  </si>
  <si>
    <t>W/AROUND-PHOENIX REJUV-33CLX15-(MPACT)
W/AROUND-PHOENIX REJUV-33CLX18-(MPACT)
W/AROUND-PHOENIX REJUV-33CLX24</t>
  </si>
  <si>
    <t>CONC-PEARONA BASE-XX-XX</t>
  </si>
  <si>
    <t>MMP Corporation Ltd</t>
  </si>
  <si>
    <t>100% ADVANCE PAYMENT</t>
  </si>
  <si>
    <t>Kerry Food Ingredients &amp; Flavours Ltd</t>
  </si>
  <si>
    <t>FPO09520</t>
  </si>
  <si>
    <t>Della Toffola SPA</t>
  </si>
  <si>
    <t>Sugar Discoloration Project</t>
  </si>
  <si>
    <t>FPO09525</t>
  </si>
  <si>
    <t>IPR116360</t>
  </si>
  <si>
    <t>Quarterly as per total volume of preforms ordered last quarter</t>
  </si>
  <si>
    <t>Payment processed.</t>
  </si>
  <si>
    <t>AF470</t>
  </si>
  <si>
    <t xml:space="preserve">ORICON ENTERPRISES LTD </t>
  </si>
  <si>
    <t>Approx. mid November 2022 at PBL
if timeline is followed closely</t>
  </si>
  <si>
    <t>Coca Cola Beverages South Africa</t>
  </si>
  <si>
    <t>APPLETISER SA PTY LTD</t>
  </si>
  <si>
    <t>AF0470</t>
  </si>
  <si>
    <t>45 DAYS BILL OF LADING DATE</t>
  </si>
  <si>
    <t>FROM FREEPORT</t>
  </si>
  <si>
    <t>23.08.2022</t>
  </si>
  <si>
    <t>LES GRANDS CHAIS DE FRANCE</t>
  </si>
  <si>
    <t>Empak Africa LTD - Intergulf LTD</t>
  </si>
  <si>
    <t xml:space="preserve">STATUS </t>
  </si>
  <si>
    <t>Description</t>
  </si>
  <si>
    <t>Partners Makine TIC</t>
  </si>
  <si>
    <t>FPO09835</t>
  </si>
  <si>
    <t>IPR119742</t>
  </si>
  <si>
    <t>Spare Parts for Labellers Limo Line 3 &amp; 4</t>
  </si>
  <si>
    <t>CANPACK FRANCE SAS</t>
  </si>
  <si>
    <t>50% Advance payment before shipment</t>
  </si>
  <si>
    <t>60 DAYS BL</t>
  </si>
  <si>
    <t>WINE</t>
  </si>
  <si>
    <t>18.02.2023</t>
  </si>
  <si>
    <t>19.02.2023</t>
  </si>
  <si>
    <t>50% remaining</t>
  </si>
  <si>
    <t>WINES</t>
  </si>
  <si>
    <t>Holland Malt</t>
  </si>
  <si>
    <t xml:space="preserve">METAL CROWN LTD </t>
  </si>
  <si>
    <t>SYMRISE AG</t>
  </si>
  <si>
    <t>BOORTMALT ASIA PACIFIC PTY LTD</t>
  </si>
  <si>
    <t>60 DAYS BILL OF LADING</t>
  </si>
  <si>
    <t>FPO10333</t>
  </si>
  <si>
    <t>IPR125294</t>
  </si>
  <si>
    <t>DIAGEO IRELAND</t>
  </si>
  <si>
    <t>90 DAYS INVOICE DATE</t>
  </si>
  <si>
    <t>METAROM FRANCE</t>
  </si>
  <si>
    <t xml:space="preserve">Greyson Trading LTD </t>
  </si>
  <si>
    <t>FPO10489</t>
  </si>
  <si>
    <t>IPR126817</t>
  </si>
  <si>
    <t>50% shipment</t>
  </si>
  <si>
    <t>50% WITH INVOICE</t>
  </si>
  <si>
    <t>FINISHED PRODUCTS</t>
  </si>
  <si>
    <t>AIR FREIGHT</t>
  </si>
  <si>
    <t>MALT LOT 9</t>
  </si>
  <si>
    <t>45 DAYS INVOICE DATE</t>
  </si>
  <si>
    <t>PRISHA RAMESSUR</t>
  </si>
  <si>
    <t>30 DAYS BILL OF LADING</t>
  </si>
  <si>
    <t xml:space="preserve">PAYMENT AGAINST BL </t>
  </si>
  <si>
    <t>FPO10954</t>
  </si>
  <si>
    <t>IPR131863</t>
  </si>
  <si>
    <t>45 days invoice date</t>
  </si>
  <si>
    <t xml:space="preserve">CROWN CORK </t>
  </si>
  <si>
    <t>VSPT WINE GROUP</t>
  </si>
  <si>
    <t>FPO10897</t>
  </si>
  <si>
    <t>IPR131385</t>
  </si>
  <si>
    <t xml:space="preserve">50% ON SCAN BL </t>
  </si>
  <si>
    <t>FPO11138</t>
  </si>
  <si>
    <t>IPR133079</t>
  </si>
  <si>
    <t>INDIAN OCEAN EXPORT</t>
  </si>
  <si>
    <t>BULK WINE CABERNET SAUVIGNON</t>
  </si>
  <si>
    <t>FPO11139</t>
  </si>
  <si>
    <t>IPR133080</t>
  </si>
  <si>
    <t>BULK WINE MERLOT</t>
  </si>
  <si>
    <t>FPO11156</t>
  </si>
  <si>
    <t>IPR133459</t>
  </si>
  <si>
    <t>FPO11152</t>
  </si>
  <si>
    <t>IPR132418</t>
  </si>
  <si>
    <t>FPO11153</t>
  </si>
  <si>
    <t>IPR133442</t>
  </si>
  <si>
    <t>After receipt of documents</t>
  </si>
  <si>
    <t>FPO11195</t>
  </si>
  <si>
    <t>IPR133603</t>
  </si>
  <si>
    <t>SAS VIGNEAU CHEVREAU</t>
  </si>
  <si>
    <t>COLLEGIALE DES DOMAINES DE LOIRE</t>
  </si>
  <si>
    <t>BAUDRY DUTOUR SAS</t>
  </si>
  <si>
    <t>SAS MELODY</t>
  </si>
  <si>
    <t>BONNIE &amp; CLYDE</t>
  </si>
  <si>
    <t>GRAPETISER + APPLTISER 275+ 330ml (3rd  LOT)</t>
  </si>
  <si>
    <t>SARL JOEL DELAUNAY</t>
  </si>
  <si>
    <t>BERE BENE</t>
  </si>
  <si>
    <t>LA MARTINIQUAISE</t>
  </si>
  <si>
    <t xml:space="preserve">50% net 45 days </t>
  </si>
  <si>
    <t xml:space="preserve">FUZE TEA CLOSURES  </t>
  </si>
  <si>
    <t>FPO11282</t>
  </si>
  <si>
    <t>IPR134329</t>
  </si>
  <si>
    <t>DOHLER GMBH</t>
  </si>
  <si>
    <t>SCHWEPPES INTERNATIONAL LIMITED</t>
  </si>
  <si>
    <r>
      <t xml:space="preserve">20.09.2022: Payment processed by A/C
10.10.2022: Reminder sent to supplier to confirm readiness of order
12.10.2022: Reminder sent to supplier
19.10.2022: Supplier confirmed receipt of payment - Awaiting update on order readiness
25.10.2022: Reminder sent to supplier
17.11.2022: Reminder sent to supplier
23.11.2022 - To follow shipping details
29.11.2022 - Phoned Omer for shipping details
07.02.2023 - Jaypal is following with supplier for shipment details
14.02.2023 - to follow shipment date
14.03.2023 - shipment arrived - under clearance - 
10.04.2023 - clearance obtained - awaiting GRN  - To do RFP for remaining 50%
26.04.2023 - RFP done  - To follow POP
09.05.2023 - Discrepencies on qty received and ordered - mail sent to Omer - chased again
15.05.2023 - various items missing - sent mail to supplier to querry - supplier confirmed having sent. Giovanni recheck and confirm non receipt
13.06.2023 - sent mail to Omer to know the way forward - if refunds will be made or missing to be sent
03.07.2023 - supplier will send on warranty missing part - to follow POP
02.10.2023 - chased for flight details - Phoned supplier - no reply - To see with Belinda way forward
04.12.2023 - supplier replied that they will send the missing parts shortly
24.01.2024 - Chased supplier again for items missing
</t>
    </r>
    <r>
      <rPr>
        <sz val="14"/>
        <color rgb="FFFF0000"/>
        <rFont val="Calibri"/>
        <family val="2"/>
        <scheme val="minor"/>
      </rPr>
      <t>13.05.2024 - Sent mail to Henri to know the final decision whether to close or not</t>
    </r>
  </si>
  <si>
    <t>FPO11310</t>
  </si>
  <si>
    <t>IPR134516</t>
  </si>
  <si>
    <t>FPO11311</t>
  </si>
  <si>
    <t>FPO11312</t>
  </si>
  <si>
    <t>IPR134727</t>
  </si>
  <si>
    <t>FPO11313</t>
  </si>
  <si>
    <t>IPR134728</t>
  </si>
  <si>
    <t>CONC- FUZE TEA - PEACH-84
As per SAP order No. 0209941119 dated 21/12/2023</t>
  </si>
  <si>
    <t xml:space="preserve">CAPS FOR RGB BOTTLES </t>
  </si>
  <si>
    <t>FPO11336</t>
  </si>
  <si>
    <t>IPR134932</t>
  </si>
  <si>
    <t>FPO11339</t>
  </si>
  <si>
    <t>IPR134936</t>
  </si>
  <si>
    <r>
      <rPr>
        <b/>
        <u/>
        <sz val="14"/>
        <rFont val="Calibri"/>
        <family val="2"/>
        <scheme val="minor"/>
      </rPr>
      <t xml:space="preserve">CROSS TRADE ORDER MADAGASCAR </t>
    </r>
    <r>
      <rPr>
        <sz val="14"/>
        <rFont val="Calibri"/>
        <family val="2"/>
        <scheme val="minor"/>
      </rPr>
      <t xml:space="preserve">
MONSTER ENERGY PRODUCTS 
Monster Energy Original 500ML CAN X 24
MONSTER ROSSI 500ml CAN X 24
MONSTER ULTRA WHITE 500ML CANS X 24
500ml Can Monster Mucho Loco
500ml Can Monster Pipeline Punch x24
500ml Can Monster Pacific Punch x24
500ml Can Monster Mariposa x24
500ml Can Monster Aussie Limonade x24</t>
    </r>
  </si>
  <si>
    <t>FPO11368</t>
  </si>
  <si>
    <t>IPR135228</t>
  </si>
  <si>
    <t>BANGKOK CAN MANUFACTURING CO LTD</t>
  </si>
  <si>
    <t>BBASE- FANTA PINEAPPLE-40
As per SAP order No. 0209941119 dated 21/12/2023</t>
  </si>
  <si>
    <t>CONC- FUZE TEA -MANGO CAMOMILE-84
As per SAP order No. 0209941119 dated 21/12/2023</t>
  </si>
  <si>
    <t xml:space="preserve">
CONC - FUZE TEA - MANGO BAOBAB-12
SAP order No. 0209976354 dated 19/01/2024</t>
  </si>
  <si>
    <t xml:space="preserve">STASSEN SA </t>
  </si>
  <si>
    <t>MSC ISHYKA ZS424R</t>
  </si>
  <si>
    <t xml:space="preserve">MSC LAUSANNE
</t>
  </si>
  <si>
    <t>12.06.2024</t>
  </si>
  <si>
    <t>17.06.2024</t>
  </si>
  <si>
    <t xml:space="preserve">45 jours fin de mois </t>
  </si>
  <si>
    <t>PRANAV BEELTAH</t>
  </si>
  <si>
    <t>FPO11434</t>
  </si>
  <si>
    <t>IPR135525</t>
  </si>
  <si>
    <t>18.06.2024</t>
  </si>
  <si>
    <t>PRANAV</t>
  </si>
  <si>
    <t>FPO11444</t>
  </si>
  <si>
    <t>IPR135789</t>
  </si>
  <si>
    <t>60 DAYS INV DATE</t>
  </si>
  <si>
    <t>FPO11443</t>
  </si>
  <si>
    <t>IPR135788</t>
  </si>
  <si>
    <t>FPO11446</t>
  </si>
  <si>
    <t>IPR135784</t>
  </si>
  <si>
    <t>60 DAYS INVICE DATE</t>
  </si>
  <si>
    <t>FPO11447</t>
  </si>
  <si>
    <t>IPR135785</t>
  </si>
  <si>
    <t>FPO11419</t>
  </si>
  <si>
    <t>IPR135590</t>
  </si>
  <si>
    <t>FPO11418</t>
  </si>
  <si>
    <t>IPR135587</t>
  </si>
  <si>
    <t>FPO11452</t>
  </si>
  <si>
    <t>IPR135898</t>
  </si>
  <si>
    <t>5,075,460 UNITS PHOENIX BEER CANS</t>
  </si>
  <si>
    <t>FPO11463</t>
  </si>
  <si>
    <t>IPR135915</t>
  </si>
  <si>
    <t>FPO11499</t>
  </si>
  <si>
    <t>IPR136213</t>
  </si>
  <si>
    <t>FPO11500</t>
  </si>
  <si>
    <t>IPR136228</t>
  </si>
  <si>
    <t xml:space="preserve">COCA COLA Beverages South Africa </t>
  </si>
  <si>
    <t>60 DAYA INVOICE DATE</t>
  </si>
  <si>
    <t>FPO11501</t>
  </si>
  <si>
    <t>IPR136229</t>
  </si>
  <si>
    <t>FCA, FRANCE</t>
  </si>
  <si>
    <t>FPO11494</t>
  </si>
  <si>
    <t>IPR136097</t>
  </si>
  <si>
    <t>FPO11503</t>
  </si>
  <si>
    <t>IPR136084</t>
  </si>
  <si>
    <t>FPO11508</t>
  </si>
  <si>
    <t>IPR135651</t>
  </si>
  <si>
    <t>Yesman Marketing</t>
  </si>
  <si>
    <t>Brandshade</t>
  </si>
  <si>
    <t>MALT LOT 8</t>
  </si>
  <si>
    <r>
      <rPr>
        <strike/>
        <sz val="14"/>
        <rFont val="Calibri"/>
        <family val="2"/>
        <scheme val="minor"/>
      </rPr>
      <t>30/06/2024</t>
    </r>
    <r>
      <rPr>
        <sz val="14"/>
        <rFont val="Calibri"/>
        <family val="2"/>
        <scheme val="minor"/>
      </rPr>
      <t xml:space="preserve">
15/08/2024</t>
    </r>
  </si>
  <si>
    <t>CONC- FUZE TEA -MANGO CAMOMILE-300
SAP order No. 0209976354 dated 19/01/2024</t>
  </si>
  <si>
    <t>PBEELTAH</t>
  </si>
  <si>
    <t>For Production - October 2024</t>
  </si>
  <si>
    <t>FPO11549</t>
  </si>
  <si>
    <t>IPR136732</t>
  </si>
  <si>
    <r>
      <rPr>
        <sz val="14"/>
        <rFont val="Calibri"/>
        <family val="2"/>
        <scheme val="minor"/>
      </rPr>
      <t>21.12.2023: FPO SENT TO SUPPLIER / OC received.
04.06.2024 :Remaining balance booked on MSC LAUSANNE/To follow ETD.
11.06.2024 - to follow shipping documents
17.06.2024 - vessel sailed - docs received - arrived - to follow clearance</t>
    </r>
    <r>
      <rPr>
        <sz val="14"/>
        <color rgb="FFFF3300"/>
        <rFont val="Calibri"/>
        <family val="2"/>
        <scheme val="minor"/>
      </rPr>
      <t xml:space="preserve">
</t>
    </r>
    <r>
      <rPr>
        <sz val="14"/>
        <rFont val="Calibri"/>
        <family val="2"/>
        <scheme val="minor"/>
      </rPr>
      <t>10.07.2024 : Clearance obtained/Delivered/GRN done/Waiting for POP.</t>
    </r>
    <r>
      <rPr>
        <sz val="14"/>
        <color rgb="FFFF3300"/>
        <rFont val="Calibri"/>
        <family val="2"/>
        <scheme val="minor"/>
      </rPr>
      <t xml:space="preserve">
</t>
    </r>
    <r>
      <rPr>
        <sz val="14"/>
        <rFont val="Calibri"/>
        <family val="2"/>
        <scheme val="minor"/>
      </rPr>
      <t>16.07.2024 :Waiting for POP.</t>
    </r>
    <r>
      <rPr>
        <sz val="14"/>
        <color rgb="FFFF3300"/>
        <rFont val="Calibri"/>
        <family val="2"/>
        <scheme val="minor"/>
      </rPr>
      <t xml:space="preserve">
</t>
    </r>
    <r>
      <rPr>
        <sz val="14"/>
        <color rgb="FFFF0000"/>
        <rFont val="Calibri"/>
        <family val="2"/>
        <scheme val="minor"/>
      </rPr>
      <t>29.07.2024 :Payment processed.</t>
    </r>
  </si>
  <si>
    <r>
      <t xml:space="preserve">14.04.2022: Order sent to supplier
15.04.2022: Supplier confirmed receipt of order.
26.04.2022: Reminder sent to supplier to confirm receipt of order and to send invoice for 30% Advance payment
05.05.2022: Awaiting proof of payment
09.05.2022: Supplier confirmed receipt of payment
23.05.2022: Order confirmation received - to sign and send to supplier
07.06.2022: Revised order confirmation with delivery time amended to 20 weeks after receipt of downpayment, received and signed
19.07.2022: As per timeline, order will be ready approximately on 09.10.2022 - As per payment terms 50% payment against shipping documents will be due as at that date
20.09.2022: Mail from supplier - Timeline as per agreement
04.10.2022: Mail sent to supplier to send complete information on cables - Invoice received for 50% advance payment before shipment- Packing cost (50% della toffolla not included - Belinda sent mail for amended invoice
19.10.2022: Reminder sent to supplier - RFP sent to A/C for 50% advance payment before shipment - Awaiting POP
25.10.2022: Awaiting POP - As per conversation with Gilbert, payment will be processed within this week
10.11.2022: Mail sent to supplier for cables to be shipped separately
23.11.2022: Mail from forwarder, supplier not reverting back with queries - Mail sent to supplier
11.04.2023: Installation planned
19.02.2024 - RFP Done - POP received - 
01.04.2024 - Sent mail to Henri for update on commissionning - March 2024
04.06.2024 - mail from Henri on 16.04.2024-Commissioning will be scheduled once new boiler installed and commissioned.
ETA end of April 24.
</t>
    </r>
    <r>
      <rPr>
        <sz val="14"/>
        <color rgb="FFFF0000"/>
        <rFont val="Calibri"/>
        <family val="2"/>
        <scheme val="minor"/>
      </rPr>
      <t>11.06.2024 -  commissioning of equipment and staff training  scheduled for the end of June 2024 -
30.07.2024 -  Talked to Mike Varpins, the latter revert back with expiry date.  Asked for 2 months extension of Performance Bond - Awaiting feedback</t>
    </r>
    <r>
      <rPr>
        <sz val="14"/>
        <rFont val="Calibri"/>
        <family val="2"/>
        <scheme val="minor"/>
      </rPr>
      <t xml:space="preserve">
</t>
    </r>
  </si>
  <si>
    <t>FPO11569</t>
  </si>
  <si>
    <t>IPR137042</t>
  </si>
  <si>
    <t>FPO11571</t>
  </si>
  <si>
    <t>IPR137047</t>
  </si>
  <si>
    <t>CARAMEL</t>
  </si>
  <si>
    <t xml:space="preserve">FOOD COLOURING RED </t>
  </si>
  <si>
    <t>FPO11573</t>
  </si>
  <si>
    <t>IPR137050</t>
  </si>
  <si>
    <t>Terms of Payment</t>
  </si>
  <si>
    <t xml:space="preserve">RKW ST FRERES EMBALLAGES </t>
  </si>
  <si>
    <t>Request for Payment to A/C Department - No. and date :</t>
  </si>
  <si>
    <t>FPO11583</t>
  </si>
  <si>
    <t>IPR137079</t>
  </si>
  <si>
    <t>FPO11584</t>
  </si>
  <si>
    <t>IPR137128</t>
  </si>
  <si>
    <t xml:space="preserve">FINISHED PRODUCTS - 1st lot </t>
  </si>
  <si>
    <t xml:space="preserve">FINISHED PRODUCTS -2nd lot </t>
  </si>
  <si>
    <t>FINISHED PRODUCTS -1st lot</t>
  </si>
  <si>
    <t xml:space="preserve">FINISHED PRODUCTS - 2nd lot </t>
  </si>
  <si>
    <t>FPO11589</t>
  </si>
  <si>
    <t>IPR137256</t>
  </si>
  <si>
    <t>CONC-ESKI VANILLA (CREAM SODA)
CONC-ESKI ALMOND</t>
  </si>
  <si>
    <t>IPR137255</t>
  </si>
  <si>
    <t>CONC-ESKI ALMOND</t>
  </si>
  <si>
    <t>69.60LT</t>
  </si>
  <si>
    <t>FPO11588</t>
  </si>
  <si>
    <t>FPO11587</t>
  </si>
  <si>
    <t>IPR137243</t>
  </si>
  <si>
    <t>FPO11586</t>
  </si>
  <si>
    <t>IPR137234</t>
  </si>
  <si>
    <t>FPO11576</t>
  </si>
  <si>
    <t>IPR137056</t>
  </si>
  <si>
    <t>45 jours fin de mois</t>
  </si>
  <si>
    <t>50% ADVANCE</t>
  </si>
  <si>
    <t>FINISHED PRODUCTS - MONSTER (LOT 4)</t>
  </si>
  <si>
    <t xml:space="preserve">APL SAVANNAH </t>
  </si>
  <si>
    <t>12x20</t>
  </si>
  <si>
    <t>FPO11626</t>
  </si>
  <si>
    <t>IPR137729</t>
  </si>
  <si>
    <t>PFILM-PHOENIX 33CL-530MMXR555X65MIC-LOCAL/EXPORT</t>
  </si>
  <si>
    <t>FPO11627</t>
  </si>
  <si>
    <t>IPR137731</t>
  </si>
  <si>
    <t>IPR137684</t>
  </si>
  <si>
    <t>FPO11620</t>
  </si>
  <si>
    <t>FPO11621</t>
  </si>
  <si>
    <t>IPR137688</t>
  </si>
  <si>
    <t xml:space="preserve">BBASE- COKE-3200
BBASE- COKE NO SUGAR( KAIZEN)-400
BBASE- COKE NO SUGAR POSTMIX-16
BBASE- SPRITE-1440
BBASE- FANTA PASSION-128
BBASE- SCHWEPPE SODA-24
BBASE- DASANI WATER- WA64-64
BBASE- COKE EINSTEIN (30% LESS SUGAR)-480
</t>
  </si>
  <si>
    <t>MSC APOLLO ZF431R</t>
  </si>
  <si>
    <r>
      <rPr>
        <strike/>
        <sz val="14"/>
        <rFont val="Calibri"/>
        <family val="2"/>
        <scheme val="minor"/>
      </rPr>
      <t>MSC INGRID IB429R</t>
    </r>
    <r>
      <rPr>
        <sz val="14"/>
        <rFont val="Calibri"/>
        <family val="2"/>
        <scheme val="minor"/>
      </rPr>
      <t xml:space="preserve">
MSC SABRINA III KC432R</t>
    </r>
  </si>
  <si>
    <t>FPO11623</t>
  </si>
  <si>
    <t>IPR137248</t>
  </si>
  <si>
    <t>CONC- ORANGINA [1DRUM=7UN]-630
CONC- POTASSIUM SORBATE(1 CARTON=28UN)-616
For Production - December 2024</t>
  </si>
  <si>
    <t xml:space="preserve">FINISHED PRODUCTS - 2nd  lot </t>
  </si>
  <si>
    <t>FPO11633</t>
  </si>
  <si>
    <t>IPR137783</t>
  </si>
  <si>
    <t>FPO11634</t>
  </si>
  <si>
    <t xml:space="preserve">
PREFORM-CRYSTAL BLUE 29/25-23.5GM
PREFORM-CRYSTAL BLUE 29/25-27GM
PREFORM- CLEAR-38MM-30GM
PREFORM- CLEAR-38MM-52GM</t>
  </si>
  <si>
    <t>IPR137813</t>
  </si>
  <si>
    <t>FPO11655</t>
  </si>
  <si>
    <t>IPR138047</t>
  </si>
  <si>
    <t>PREFORM-CRYSTAL BLUE 29/25-12GM
PREFORM-CRYSTAL BLUE 29/25-23.5GM
PREFORM-CRYSTAL BLUE 29/25-27GM
PREFORM- CLEAR-38MM-30GM
PREFORM- CLEAR-38MM-52GM</t>
  </si>
  <si>
    <t>2,500,000 units Phoenix Beer 50 cl Rejuv
500,000 units Blue Marlin 50cl</t>
  </si>
  <si>
    <t>BOORTMALT NV</t>
  </si>
  <si>
    <t>MSC MELISSA</t>
  </si>
  <si>
    <t>FPO11668</t>
  </si>
  <si>
    <t>IPR138069</t>
  </si>
  <si>
    <t>560,160 units Phoenix Rejuv Export BPA-NI</t>
  </si>
  <si>
    <t>FPO11669</t>
  </si>
  <si>
    <t>IPR137995</t>
  </si>
  <si>
    <t>BBASE- SCHWEPPE GINGER ALE-42
BBASE- CRYSTAL WATER- WA12-2160
BCONC- FUZE TEA -MANGO CAMOMILE -Full sugar-210
CONC- FUZE TEA - APPLE LEMONGRASS-48</t>
  </si>
  <si>
    <t>FPO11648</t>
  </si>
  <si>
    <t>IPR138014</t>
  </si>
  <si>
    <t>FPO11650</t>
  </si>
  <si>
    <t>IPR137967</t>
  </si>
  <si>
    <t>IPR137952</t>
  </si>
  <si>
    <t>FPO11651</t>
  </si>
  <si>
    <t>FPO11664</t>
  </si>
  <si>
    <t>IPR138097</t>
  </si>
  <si>
    <t xml:space="preserve">MANJUSHREE TECHNOPACK ( Ex Oricon ) </t>
  </si>
  <si>
    <t xml:space="preserve"> Malt LOT 7</t>
  </si>
  <si>
    <t>16x20</t>
  </si>
  <si>
    <t>CONTI CORTESIA</t>
  </si>
  <si>
    <r>
      <rPr>
        <sz val="14"/>
        <rFont val="Calibri"/>
        <family val="2"/>
        <scheme val="minor"/>
      </rPr>
      <t>21.12.2023: FPO SENT TO SUPPLIER / OC received.
15.05.2024 :To follow remaining balance.
22.05.2024 :Waiting for confirmation of fresh batch for Mango Chamomile.
04.06.2024 :Avite to check receipts of fresh ingredients and advise on production schedule for order-ready status for Mango Chamomile.
17.06.2024 - Ingredients received as per Avite dd 04/06/2024 - One more ingredient missing
23.07.2024 : Refer to column vessel with Prov. Booking.</t>
    </r>
    <r>
      <rPr>
        <sz val="14"/>
        <color rgb="FFFF3300"/>
        <rFont val="Calibri"/>
        <family val="2"/>
        <scheme val="minor"/>
      </rPr>
      <t xml:space="preserve">
</t>
    </r>
    <r>
      <rPr>
        <sz val="14"/>
        <rFont val="Calibri"/>
        <family val="2"/>
        <scheme val="minor"/>
      </rPr>
      <t>05.08.2024 :Supplier to advise if stacking firm and shipment well sailed.
19.08.2024 :Shipment reached MRU/Custom clearance has started/To proceed with RFP.
03.09.2024 :Delivered/GRN done/Waiting for POP.</t>
    </r>
    <r>
      <rPr>
        <sz val="14"/>
        <color rgb="FFFF3300"/>
        <rFont val="Calibri"/>
        <family val="2"/>
        <scheme val="minor"/>
      </rPr>
      <t xml:space="preserve">
</t>
    </r>
    <r>
      <rPr>
        <sz val="14"/>
        <rFont val="Calibri"/>
        <family val="2"/>
        <scheme val="minor"/>
      </rPr>
      <t>17/09/2024 :Waiting for POP.</t>
    </r>
    <r>
      <rPr>
        <sz val="14"/>
        <color rgb="FFFF0000"/>
        <rFont val="Calibri"/>
        <family val="2"/>
        <scheme val="minor"/>
      </rPr>
      <t xml:space="preserve">
24.09.2024 :Payment processed.</t>
    </r>
  </si>
  <si>
    <r>
      <t>19/01/2024 : FPO sent to supplier/OC received.
15.05.2024 :To follow remaining balance readiness.
04.06.2024 :Waiting for confirmation of fresh batch for Mango Chamomile and availability of the Mango Baobab.
17.06.2024 - Ingredients received as per Avite dd 04/06/2024 - One more ingredient missing
23.07.2024 : Refer to column vessel with Prov. Booking.
05.08.2024 :Supplier to advise if stacking firm and shipment well sailed.
19.08.2024 :Shipment reached MRU/Custom clearance has started/To proceed with RFP.</t>
    </r>
    <r>
      <rPr>
        <sz val="14"/>
        <color rgb="FFFF0000"/>
        <rFont val="Calibri"/>
        <family val="2"/>
        <scheme val="minor"/>
      </rPr>
      <t xml:space="preserve">
</t>
    </r>
    <r>
      <rPr>
        <sz val="14"/>
        <rFont val="Calibri"/>
        <family val="2"/>
        <scheme val="minor"/>
      </rPr>
      <t xml:space="preserve">03.09.2024 :Delivered/GRN done/Waiting for POP.
17/09/2024 :Waiting for POP.
</t>
    </r>
    <r>
      <rPr>
        <sz val="14"/>
        <color rgb="FFFF0000"/>
        <rFont val="Calibri"/>
        <family val="2"/>
        <scheme val="minor"/>
      </rPr>
      <t>24.09.2024 :Payment processed.</t>
    </r>
  </si>
  <si>
    <r>
      <rPr>
        <strike/>
        <sz val="14"/>
        <rFont val="Calibri"/>
        <family val="2"/>
        <scheme val="minor"/>
      </rPr>
      <t xml:space="preserve">MSC AGIOS DIMITRIOS
Provisional Stacks:
22 to 25 July 2024
</t>
    </r>
    <r>
      <rPr>
        <sz val="14"/>
        <rFont val="Calibri"/>
        <family val="2"/>
        <scheme val="minor"/>
      </rPr>
      <t xml:space="preserve">MSC VILDA X
</t>
    </r>
    <r>
      <rPr>
        <strike/>
        <sz val="14"/>
        <rFont val="Calibri"/>
        <family val="2"/>
        <scheme val="minor"/>
      </rPr>
      <t>Provisional Stacks:
23 to 26 July 2024</t>
    </r>
  </si>
  <si>
    <t>CAPS- CRYSTAL WATER 29/25 (SUPPLIER: ORICON)</t>
  </si>
  <si>
    <r>
      <t xml:space="preserve">22.04.2022: FPO sent to supplier - Awaiting confirmation
26.04.2022: Reminder sent to supplier - Supplier advise PO will need to be amended - Mr. Marlon will revert back - production of change parts already initiated
09.05.2022: Sample parts required by supplier dispatched by TNT - scheduled on 10.05.2022 flight
17.05.2022: Parts will be delivred to supplier on 18.05.2022
23.05.2022: Supplier confirmed receipt of samples - The ordered change parts kit for 1881 neck for line-3 &amp; line-4 items will be ready for delivery on 4th July’22 (ex-works) except the line-4 one item Spindle with cover(sample yet to be received)” - Line 4 spindle ordered with Sidel
01.06.2022: Reminder received from supplier in regards to balance parts
10.06.2022: Parts to be delivered to Limo and Henri to hand over to Intergulf technician
14.06.2022: Phone conversation with Henri parts already handed to technician.
28.06.2022: Part of Order will be ready 4th of July - Line 4 items will be ready approximately 8th of July
12.07.2022: Mail from supplier - Parts already received at Empak - BRN certificate sent to supplier to update database - Awaiting BOE for Teps payment
19.07.2022: Reminder sent to supplier
26.07.2022: Delivery scheduled at Limo
02.08.2022: Awaiting GRN
22.08.2022: GRN done
26.10.2022: To initiate amortisation of costs after receipt of PO sent to Empak from local department (approx. in Oct 22)
23.11.2022: Invoice received - However, supplier on invoice is incorrect- Stacy to do needful
17.03.2023 - RFP done for amortisation.
26.06.2023 - RFP done for Jan to March 2023 - To follow next quarter payment
24.07.2023 - Talked to Stacy - by Mid of July 23  - She is still awaiting for supplier's invoice
01.08.2023 - Stacy received the amount 
11.09.2023 - RFP done - Period April to June 2023
30.10.2023 - To follow amortisation cost with Stacy 
07.11.2023 - Talked to Stacy today - same under approval with DN
18.12.2023 - RFP done - Period July to Sept 2023
08.01.2024 - Talked to Stacy - AC not yet reconciliate  -
30.01.2024 - Still  not yet ready -- end of Jan 24
06.02.2024 - Sent mail to Stacy 
04.03.2024 - RFP done  for Perios Oct - Dec 23- to follow POP
24.04.2024 - To follow for Period Jan to March 24
20.05.2024 - talked to Stacy  since 29.04.2024- available mid of May 2024 
11.06.2024 - still not ready - Chased Stacy
24.06.2024 - RFP done for Period Jan-March 2024 - 
01.07.2024 - Payment done - 
15.07.2024 - to follow next quarter i.e April to June 2024 - 
30.07.2024 - to follow with Stacy end of July 24 
</t>
    </r>
    <r>
      <rPr>
        <sz val="14"/>
        <color rgb="FFFF0000"/>
        <rFont val="Calibri"/>
        <family val="2"/>
        <scheme val="minor"/>
      </rPr>
      <t>16.09.2024 - RFP done for April to June 2024 - to follow POP</t>
    </r>
  </si>
  <si>
    <r>
      <t xml:space="preserve">20.09.2022: Payment processed by A/C
10.10.2022: Reminder sent to supplier to confirm readiness of order
12.10.2022: Reminder sent to supplier
19.10.2022: Supplier confirmed receipt of payment - Awaiting update on order readiness
25.10.2022: Reminder sent to supplier
1711.2022: Reminder sent to supplier
 23.11.2022 - sent mail to supplier for shipping details
29.11.2022 - Phoned Omer for shipping details
10.01.2022 - 50 % Advance Done
14.02.2023 -to follow shipment date
21.03.2023 - shipment arrived - under clearance
26.04.2023 - clearance obtained - all items checked - store will proceed with GRN
23.05.2023 - various items missing - sent mail to supplier to querry - supplier confirmed having sent. Giovanni recheck and confirm non receipt
13.06.2023 - sent mail to Omer to know the way forward - if refunds will be made or missing to be sent
03.07.2023 - supplier will send on warranty missing part
02.10.2023 - chased for flight details - Phoned supplier - no reply - To see with Belinda way forwards
04.12.2023 - supplier replied that they will send the missing parts shortly
23.01.2024 - Chased supplier again for items missing
</t>
    </r>
    <r>
      <rPr>
        <sz val="14"/>
        <color rgb="FFFF0000"/>
        <rFont val="Calibri"/>
        <family val="2"/>
        <scheme val="minor"/>
      </rPr>
      <t>13.05.2024 - Sent mail to Henri to know the final decision whether to close or not
23.09.2024 - mail sent again to Henri  - no reply</t>
    </r>
  </si>
  <si>
    <t>FPO11690</t>
  </si>
  <si>
    <t>IPR138149</t>
  </si>
  <si>
    <t>CONC- FUZE TEA LIQUID - PART2B-768 Units</t>
  </si>
  <si>
    <t>45 days bill of lading</t>
  </si>
  <si>
    <t>FPO11685</t>
  </si>
  <si>
    <t>IPR138269</t>
  </si>
  <si>
    <t>45 JOURS FIN DE MOIS</t>
  </si>
  <si>
    <t>CONC-CIDER-XX-ALCOHOLIC CANNING ONLY
CONC-PEARONA BASE-XX-XX</t>
  </si>
  <si>
    <t>EXW, SOUTH AFRICA</t>
  </si>
  <si>
    <r>
      <rPr>
        <strike/>
        <sz val="14"/>
        <rFont val="Calibri"/>
        <family val="2"/>
        <scheme val="minor"/>
      </rPr>
      <t>MSC PALATIUM III JO437A</t>
    </r>
    <r>
      <rPr>
        <sz val="14"/>
        <rFont val="Calibri"/>
        <family val="2"/>
        <scheme val="minor"/>
      </rPr>
      <t xml:space="preserve">
MSC ALBA F KB440R</t>
    </r>
  </si>
  <si>
    <r>
      <t>21.06.2024 - FPO sent to Avite - to follow PFI
28.08.2024 :Avite to confirm the order readiness.
09.09.2024 :Order ready/Shipment well sailed/To follow ETA/To proceed with RFP.
10.09.2024 :Shipment reached MRU/Custom clearance has started/RFP processed/Waiting for POP.
17.09.2024 :Under delivery/Waiting for POP.</t>
    </r>
    <r>
      <rPr>
        <sz val="14"/>
        <color rgb="FFFF0000"/>
        <rFont val="Calibri"/>
        <family val="2"/>
        <scheme val="minor"/>
      </rPr>
      <t xml:space="preserve">
</t>
    </r>
    <r>
      <rPr>
        <sz val="14"/>
        <rFont val="Calibri"/>
        <family val="2"/>
        <scheme val="minor"/>
      </rPr>
      <t>30.09.2024 :Delivered/GRN done/Waiting for POP.</t>
    </r>
    <r>
      <rPr>
        <sz val="14"/>
        <color rgb="FFFF0000"/>
        <rFont val="Calibri"/>
        <family val="2"/>
        <scheme val="minor"/>
      </rPr>
      <t xml:space="preserve">
08.10.2024 :Payment processed.</t>
    </r>
    <r>
      <rPr>
        <sz val="14"/>
        <rFont val="Calibri"/>
        <family val="2"/>
        <scheme val="minor"/>
      </rPr>
      <t xml:space="preserve">
</t>
    </r>
  </si>
  <si>
    <t xml:space="preserve">BBASE- CRYSTAL WATER- WA12-1080
CONC- FUZE TEA - PEACH-60
SCHWEPPES TONIC-100
</t>
  </si>
  <si>
    <t>MSC AINO
STACKS: 09 to 12 Oct</t>
  </si>
  <si>
    <t>SANTA CRUZ 244S</t>
  </si>
  <si>
    <t>FPO11622</t>
  </si>
  <si>
    <t>IPR137690</t>
  </si>
  <si>
    <t>FINISHED PRODUCTS (4th lot)</t>
  </si>
  <si>
    <t>FPO11712</t>
  </si>
  <si>
    <t>IPR138662</t>
  </si>
  <si>
    <t>DSM FOOD SPECIALTIES</t>
  </si>
  <si>
    <t>90 DAYS NET</t>
  </si>
  <si>
    <t>FPO11720</t>
  </si>
  <si>
    <t>IPR138817</t>
  </si>
  <si>
    <t>DRAVIN GLOBAL TRADES PRIVATE LTD</t>
  </si>
  <si>
    <t>BEER BOTTLE</t>
  </si>
  <si>
    <t xml:space="preserve">50% SCAN BL </t>
  </si>
  <si>
    <t>FPO11732</t>
  </si>
  <si>
    <t>IPR138854</t>
  </si>
  <si>
    <t>WHISKY</t>
  </si>
  <si>
    <t>FPO11734</t>
  </si>
  <si>
    <t>IPR138663</t>
  </si>
  <si>
    <t>FPO11735</t>
  </si>
  <si>
    <t>IPR138760</t>
  </si>
  <si>
    <t>FPO11736</t>
  </si>
  <si>
    <t>IPR138753</t>
  </si>
  <si>
    <t>FPO11724</t>
  </si>
  <si>
    <t>IPR138774</t>
  </si>
  <si>
    <t>FPO11725</t>
  </si>
  <si>
    <t>IPR138769</t>
  </si>
  <si>
    <t>IPR138777</t>
  </si>
  <si>
    <t>FPO11726</t>
  </si>
  <si>
    <r>
      <t xml:space="preserve">21.06.2024 - FPO sent to Avite - to follow PFI
28.08.2024 :Avite to confirm the order readiness.
09.09.2024 :Order ready/Shipment well sailed/To follow ETA/To proceed with RFP.
17.09.2024 :To follow ETA/To proceed with RFP.
24.09.2024 :Shipment reached MRU/Custom clearance has started/To proceed with RFP.
16.10.2024 :Delivered/GRN done/RFP processed/To follow POP.
</t>
    </r>
    <r>
      <rPr>
        <sz val="14"/>
        <color rgb="FFFF0000"/>
        <rFont val="Calibri"/>
        <family val="2"/>
        <scheme val="minor"/>
      </rPr>
      <t>22.10.2024 :Payment processed.</t>
    </r>
  </si>
  <si>
    <t>FPO11740</t>
  </si>
  <si>
    <t>IPR138983</t>
  </si>
  <si>
    <t>BBASE- COKE-1920
BBASE- COKE NO SUGAR( KAIZEN)-120
BBASE- SPRITE-832
BBASE- FANTA PASSION-128
BBASE- SCHWEPPE SODA-12
BBASE- CRYSTAL WATER- WA12-1080
BBASE- DASANI WATER- WA64-48
BBASE- COKE EINSTEIN (30% LESS SUGAR)-160
CONC- FUZE TEA - PEACH-120</t>
  </si>
  <si>
    <t>FPO11741</t>
  </si>
  <si>
    <t>IPR138988</t>
  </si>
  <si>
    <t>FPO11753</t>
  </si>
  <si>
    <t>IPR138980</t>
  </si>
  <si>
    <t>MSC ELLEN IP44R</t>
  </si>
  <si>
    <t>FPO11748</t>
  </si>
  <si>
    <t>IPR138917</t>
  </si>
  <si>
    <t>SARL CHERRIER FRERE</t>
  </si>
  <si>
    <t>FPO11757</t>
  </si>
  <si>
    <t>IPR138922</t>
  </si>
  <si>
    <t>FPO11758</t>
  </si>
  <si>
    <t>IPR138923</t>
  </si>
  <si>
    <t>FPO11759</t>
  </si>
  <si>
    <t>IPR138925</t>
  </si>
  <si>
    <t>FPO11760</t>
  </si>
  <si>
    <t>IPR138932</t>
  </si>
  <si>
    <t>VINS DE FONTENILLE SAS</t>
  </si>
  <si>
    <t>FPO11761</t>
  </si>
  <si>
    <t>IPR138935</t>
  </si>
  <si>
    <t>FPO11771</t>
  </si>
  <si>
    <t>IPR138936</t>
  </si>
  <si>
    <t>FPO11775</t>
  </si>
  <si>
    <t>IPR139153</t>
  </si>
  <si>
    <t>CAN-GUINNESS-33CL-XX - HG - 133,038units
CAN-MALTA GUINNESS-33CL-XX - HG - 266,076units
CAN-PHOENIX SPECIALE-33CL-XX - DG - 133,038units</t>
  </si>
  <si>
    <t>FPO11773</t>
  </si>
  <si>
    <t>FPO11768</t>
  </si>
  <si>
    <t>IPR139177</t>
  </si>
  <si>
    <t xml:space="preserve">1980000 UNITS </t>
  </si>
  <si>
    <t>FPO11769</t>
  </si>
  <si>
    <t>IPR139196</t>
  </si>
  <si>
    <t xml:space="preserve">AFTER RECEIPT OF BL DOCS </t>
  </si>
  <si>
    <t>FPO11766</t>
  </si>
  <si>
    <t>IPR139149</t>
  </si>
  <si>
    <t>FPO11767</t>
  </si>
  <si>
    <t>IPR139156</t>
  </si>
  <si>
    <t>IPR138992</t>
  </si>
  <si>
    <t xml:space="preserve">PFILM - STRETCH </t>
  </si>
  <si>
    <t>FINISHED PRODUCTS- MONSTER - 1st lot</t>
  </si>
  <si>
    <t>FINISHED PRODUCTS- MONSTER -2nd lot</t>
  </si>
  <si>
    <t>FINISHED PRODUCTS -MONSTER -1st lot</t>
  </si>
  <si>
    <t>12.12.2024</t>
  </si>
  <si>
    <t xml:space="preserve">MSC Davao 449 </t>
  </si>
  <si>
    <r>
      <t xml:space="preserve">09/07/2024 - FPO sent to supplier - To do RFP for 50% advance
15/07/2024 - RFP done - to follow POP
23/07/2024 - POP received - however one digit missing in bank ac no - awaiting Gilbert to revert
30.07.2024 - Gilbert did the amendment - to follow new POP </t>
    </r>
    <r>
      <rPr>
        <sz val="14"/>
        <color rgb="FFFF0000"/>
        <rFont val="Calibri"/>
        <family val="2"/>
        <scheme val="minor"/>
      </rPr>
      <t>- 
04.11.2024 - received the new POP - follow on next line</t>
    </r>
  </si>
  <si>
    <r>
      <rPr>
        <strike/>
        <sz val="14"/>
        <rFont val="Calibri"/>
        <family val="2"/>
        <scheme val="minor"/>
      </rPr>
      <t>01/11/2024</t>
    </r>
    <r>
      <rPr>
        <sz val="14"/>
        <rFont val="Calibri"/>
        <family val="2"/>
        <scheme val="minor"/>
      </rPr>
      <t xml:space="preserve">
30/11/2024</t>
    </r>
  </si>
  <si>
    <t>MC EASYFREIGHT/EK0703</t>
  </si>
  <si>
    <r>
      <t>CONC- ESKI VANILLA(CREAM SODA)-56.979
CONC- ESKI ALMOND-</t>
    </r>
    <r>
      <rPr>
        <strike/>
        <sz val="14"/>
        <rFont val="Calibri"/>
        <family val="2"/>
        <scheme val="minor"/>
      </rPr>
      <t>139.20</t>
    </r>
    <r>
      <rPr>
        <sz val="14"/>
        <rFont val="Calibri"/>
        <family val="2"/>
        <scheme val="minor"/>
      </rPr>
      <t>/New quantity: 69lts
CONC- ESKI STRAWBERRY-24.295</t>
    </r>
  </si>
  <si>
    <r>
      <t>21.06.2024 - FPO sent to Avite - to follow PFI
17.09.2024 :To follow stacking.
16.10.2024 :To follow ETA.
30.10.2024 :Shipment reached MRU/Custom clearance has been started/to proceed with RFP.
04.11.2024 :Delivered/GRN done/Waiting for POP.</t>
    </r>
    <r>
      <rPr>
        <sz val="14"/>
        <color rgb="FFFF0000"/>
        <rFont val="Calibri"/>
        <family val="2"/>
        <scheme val="minor"/>
      </rPr>
      <t xml:space="preserve">
05.11.2024 :Payment processed.</t>
    </r>
  </si>
  <si>
    <t>BBASE- COKE-1600
BBASE- COKE NO SUGAR POSTMIX-16
BBASE- SPRITE-800
BBASE- FANTA PASSION-128
BBASE- CRYSTAL WATER- WA12-1260
BBASE- DASANI WATER- WA64-16
BBASE- COKE EINSTEIN (30% LESS SUGAR)-320
SAP order No. 2000303620 dated 12/08/2024</t>
  </si>
  <si>
    <t>FINISHED PRODUCTS -2nd lot</t>
  </si>
  <si>
    <t>FINISHED PRODUCTS -MONSTER -2ND lot</t>
  </si>
  <si>
    <t xml:space="preserve">MSC CANDICE </t>
  </si>
  <si>
    <t>2024/IMP/972</t>
  </si>
  <si>
    <t>FPO11747</t>
  </si>
  <si>
    <t xml:space="preserve">BREWER CLAREX  FOR NOV 24 </t>
  </si>
  <si>
    <t xml:space="preserve">BREWER CLAREX  FOR NOV 24 - AIRFREIGHT </t>
  </si>
  <si>
    <r>
      <rPr>
        <strike/>
        <sz val="14"/>
        <rFont val="Calibri"/>
        <family val="2"/>
        <scheme val="minor"/>
      </rPr>
      <t xml:space="preserve">30/11/2024
</t>
    </r>
    <r>
      <rPr>
        <sz val="14"/>
        <rFont val="Calibri"/>
        <family val="2"/>
        <scheme val="minor"/>
      </rPr>
      <t>10/12/2024</t>
    </r>
  </si>
  <si>
    <t>FPO11711</t>
  </si>
  <si>
    <t xml:space="preserve">FINISHED PRODUCTS -3RD lot </t>
  </si>
  <si>
    <t>FINISHED PRODUCTS - MONSTER (3nd lot)</t>
  </si>
  <si>
    <t>FPO11783</t>
  </si>
  <si>
    <t>IPR138933</t>
  </si>
  <si>
    <t>FPO11784</t>
  </si>
  <si>
    <t>SCEA HENRY MARIONNET</t>
  </si>
  <si>
    <t>IPR138930</t>
  </si>
  <si>
    <t>FPO11785</t>
  </si>
  <si>
    <t>SARL DOMAINE OLGA RAFFAULT</t>
  </si>
  <si>
    <t>PAIEMENT EN AVANCE</t>
  </si>
  <si>
    <t>FPO11791</t>
  </si>
  <si>
    <t>IPR139167</t>
  </si>
  <si>
    <t>SARL FRANCOIS D'ALLAINES</t>
  </si>
  <si>
    <t>FPO11792</t>
  </si>
  <si>
    <t>IPR139337</t>
  </si>
  <si>
    <t>SARL DOMAINE RAPET PERE ET FILS</t>
  </si>
  <si>
    <t>FPO11793</t>
  </si>
  <si>
    <t>IPR139338</t>
  </si>
  <si>
    <t>DOMAINE LEJEUNE</t>
  </si>
  <si>
    <r>
      <rPr>
        <strike/>
        <sz val="14"/>
        <rFont val="Calibri"/>
        <family val="2"/>
        <scheme val="minor"/>
      </rPr>
      <t>08/10/2024</t>
    </r>
    <r>
      <rPr>
        <sz val="14"/>
        <rFont val="Calibri"/>
        <family val="2"/>
        <scheme val="minor"/>
      </rPr>
      <t xml:space="preserve">
</t>
    </r>
    <r>
      <rPr>
        <strike/>
        <sz val="14"/>
        <rFont val="Calibri"/>
        <family val="2"/>
        <scheme val="minor"/>
      </rPr>
      <t>30/11/2024</t>
    </r>
    <r>
      <rPr>
        <sz val="14"/>
        <rFont val="Calibri"/>
        <family val="2"/>
        <scheme val="minor"/>
      </rPr>
      <t xml:space="preserve">
30/01/2025</t>
    </r>
  </si>
  <si>
    <t>FPO11749</t>
  </si>
  <si>
    <t>IPR138920</t>
  </si>
  <si>
    <t>60 JOURS DATE DE FACTURE</t>
  </si>
  <si>
    <t>30 DATE DATE D'ENLEVEMENT</t>
  </si>
  <si>
    <t>30 JOURS FACTURE</t>
  </si>
  <si>
    <t>30 JOURS</t>
  </si>
  <si>
    <t>30 JOURS DATE D'ENLEVEMENT</t>
  </si>
  <si>
    <t>30 JOURS INVOICE</t>
  </si>
  <si>
    <t>FPO11795</t>
  </si>
  <si>
    <t>IPR139513</t>
  </si>
  <si>
    <t>Spirit Run Import</t>
  </si>
  <si>
    <t>For Sales - December 2024</t>
  </si>
  <si>
    <r>
      <rPr>
        <b/>
        <u/>
        <sz val="14"/>
        <rFont val="Calibri"/>
        <family val="2"/>
        <scheme val="minor"/>
      </rPr>
      <t>1ST CONS</t>
    </r>
    <r>
      <rPr>
        <sz val="14"/>
        <rFont val="Calibri"/>
        <family val="2"/>
        <scheme val="minor"/>
      </rPr>
      <t xml:space="preserve">
BEER BOTTLE</t>
    </r>
  </si>
  <si>
    <r>
      <rPr>
        <b/>
        <u/>
        <sz val="14"/>
        <rFont val="Calibri"/>
        <family val="2"/>
        <scheme val="minor"/>
      </rPr>
      <t xml:space="preserve">2ND CONS </t>
    </r>
    <r>
      <rPr>
        <sz val="14"/>
        <rFont val="Calibri"/>
        <family val="2"/>
        <scheme val="minor"/>
      </rPr>
      <t xml:space="preserve">
BEER BOTTLE</t>
    </r>
  </si>
  <si>
    <t>FPO11804</t>
  </si>
  <si>
    <t>IPR139544</t>
  </si>
  <si>
    <t>FINISHED PRODUCTS (5th lot)</t>
  </si>
  <si>
    <t>FINISHED PRODUCTS - 1ST LOT</t>
  </si>
  <si>
    <t>FPO11796</t>
  </si>
  <si>
    <t>IPR139459</t>
  </si>
  <si>
    <t>SARL Sarrazin Michel &amp; Fils</t>
  </si>
  <si>
    <t>Wines ( Bourgognes)</t>
  </si>
  <si>
    <t>FPO11818</t>
  </si>
  <si>
    <t>IPR139593</t>
  </si>
  <si>
    <t>COCA-COLA MIDI FRANCE</t>
  </si>
  <si>
    <t>CONC- FUZE TEA LIQUID - PART2B</t>
  </si>
  <si>
    <t>FPO11819</t>
  </si>
  <si>
    <t>IPR139696</t>
  </si>
  <si>
    <t>MSC DESIREE</t>
  </si>
  <si>
    <t>FPO11814</t>
  </si>
  <si>
    <t>IPR139616</t>
  </si>
  <si>
    <t>FPO11816</t>
  </si>
  <si>
    <t>IPR139703</t>
  </si>
  <si>
    <t xml:space="preserve">GREEN CLOSURES - FUZE TEA </t>
  </si>
  <si>
    <t>FPO11815</t>
  </si>
  <si>
    <t>IPR139702</t>
  </si>
  <si>
    <t xml:space="preserve">CLOSURES  - CRYSTAL WATER </t>
  </si>
  <si>
    <t>FPO11817</t>
  </si>
  <si>
    <t>IPR139705</t>
  </si>
  <si>
    <r>
      <rPr>
        <strike/>
        <sz val="14"/>
        <rFont val="Calibri"/>
        <family val="2"/>
        <scheme val="minor"/>
      </rPr>
      <t>14/06/2024</t>
    </r>
    <r>
      <rPr>
        <sz val="14"/>
        <rFont val="Calibri"/>
        <family val="2"/>
        <scheme val="minor"/>
      </rPr>
      <t xml:space="preserve">
</t>
    </r>
    <r>
      <rPr>
        <strike/>
        <sz val="14"/>
        <rFont val="Calibri"/>
        <family val="2"/>
        <scheme val="minor"/>
      </rPr>
      <t>25/06/2024</t>
    </r>
    <r>
      <rPr>
        <sz val="14"/>
        <rFont val="Calibri"/>
        <family val="2"/>
        <scheme val="minor"/>
      </rPr>
      <t xml:space="preserve">
</t>
    </r>
    <r>
      <rPr>
        <strike/>
        <sz val="14"/>
        <rFont val="Calibri"/>
        <family val="2"/>
        <scheme val="minor"/>
      </rPr>
      <t>25/07/2024</t>
    </r>
    <r>
      <rPr>
        <sz val="14"/>
        <rFont val="Calibri"/>
        <family val="2"/>
        <scheme val="minor"/>
      </rPr>
      <t xml:space="preserve">
</t>
    </r>
    <r>
      <rPr>
        <strike/>
        <sz val="14"/>
        <rFont val="Calibri"/>
        <family val="2"/>
        <scheme val="minor"/>
      </rPr>
      <t>30/10/2024</t>
    </r>
    <r>
      <rPr>
        <sz val="14"/>
        <rFont val="Calibri"/>
        <family val="2"/>
        <scheme val="minor"/>
      </rPr>
      <t xml:space="preserve">
28/02/2025</t>
    </r>
  </si>
  <si>
    <r>
      <rPr>
        <strike/>
        <sz val="14"/>
        <rFont val="Calibri"/>
        <family val="2"/>
        <scheme val="minor"/>
      </rPr>
      <t>28/06/2024</t>
    </r>
    <r>
      <rPr>
        <sz val="14"/>
        <rFont val="Calibri"/>
        <family val="2"/>
        <scheme val="minor"/>
      </rPr>
      <t xml:space="preserve">
</t>
    </r>
    <r>
      <rPr>
        <strike/>
        <sz val="14"/>
        <rFont val="Calibri"/>
        <family val="2"/>
        <scheme val="minor"/>
      </rPr>
      <t>10/07/2024</t>
    </r>
    <r>
      <rPr>
        <sz val="14"/>
        <rFont val="Calibri"/>
        <family val="2"/>
        <scheme val="minor"/>
      </rPr>
      <t xml:space="preserve">
</t>
    </r>
    <r>
      <rPr>
        <strike/>
        <sz val="14"/>
        <rFont val="Calibri"/>
        <family val="2"/>
        <scheme val="minor"/>
      </rPr>
      <t>25/07/2024</t>
    </r>
    <r>
      <rPr>
        <sz val="14"/>
        <rFont val="Calibri"/>
        <family val="2"/>
        <scheme val="minor"/>
      </rPr>
      <t xml:space="preserve">
</t>
    </r>
    <r>
      <rPr>
        <strike/>
        <sz val="14"/>
        <rFont val="Calibri"/>
        <family val="2"/>
        <scheme val="minor"/>
      </rPr>
      <t>30/08/2024</t>
    </r>
    <r>
      <rPr>
        <sz val="14"/>
        <rFont val="Calibri"/>
        <family val="2"/>
        <scheme val="minor"/>
      </rPr>
      <t xml:space="preserve">
</t>
    </r>
    <r>
      <rPr>
        <strike/>
        <sz val="14"/>
        <rFont val="Calibri"/>
        <family val="2"/>
        <scheme val="minor"/>
      </rPr>
      <t>30/10/2024</t>
    </r>
    <r>
      <rPr>
        <sz val="14"/>
        <rFont val="Calibri"/>
        <family val="2"/>
        <scheme val="minor"/>
      </rPr>
      <t xml:space="preserve">
28/02/2025</t>
    </r>
  </si>
  <si>
    <t>MSC RACHELLE</t>
  </si>
  <si>
    <t>CONC - FUZE TEA - MANGO BAOBAB-60</t>
  </si>
  <si>
    <t xml:space="preserve">CONC- FUZE TEA - APPLE LEMONGRASS-48
</t>
  </si>
  <si>
    <t xml:space="preserve">
BBASE- COKE NO SUGAR( KAIZEN)-80
BBASE- SCHWEPPE TONIC-14
CONC- FUZE TEA - PEACH-96
CONC- FUZE TEA - APPLE LEMONGRASS-108
CONC- FUZE TEA -MANGO CAMOMILE-66
CONC - FUZE TEA - MANGO BAOBAB-60
SAP order No. 2000303620 dated 12/08/2024</t>
  </si>
  <si>
    <t xml:space="preserve">
BBASE- SCHWEPPE TONIC-16
CONC - FUZE TEA - MANGO BAOBAB-12
SAP order No. 2000303620 dated 12/08/2024</t>
  </si>
  <si>
    <t>BBASE- COKE-1600
BBASE- COKE NO SUGAR( KAIZEN)-140
BBASE- COKE NO SUGAR POSTMIX-16
BBASE- SPRITE-480
BBASE- FANTA PASSION-128
BBASE- SCHWEPPE GINGER ALE-24
BBASE- SCHWEPPE SODA-12
BBASE- CRYSTAL WATER- WA12-2700
BBASE- DASANI WATER- WA64-32
BBASE- COKE EINSTEIN (30% LESS SUGAR)-320
CONC- FUZE TEA - PEACH-108
CONC- FUZE TEA - APPLE LEMONGRASS-48
CONC- FUZE TEA -MANGO CAMOMILE-90
SAP No. 2000303625 dated 12/08/24</t>
  </si>
  <si>
    <t>BBASE- SCHWEPPE TONIC-30
BBASE- SCHWEPPE GINGER ALE-24
CONC- FUZE TEA - PEACH-60
CONC- FUZE TEA - APPLE LEMONGRASS-36
CONC - FUZE TEA - MANGO BAOBAB-72
SAP No. 2000303625 dated 12/08/24</t>
  </si>
  <si>
    <t>SOMATRANS/APL BOSTON</t>
  </si>
  <si>
    <t>FPO11809</t>
  </si>
  <si>
    <t>IPR139538</t>
  </si>
  <si>
    <t>MONSTER PRODUCTS -4th lot</t>
  </si>
  <si>
    <t>MSC SHRISTI IB447A</t>
  </si>
  <si>
    <t>FPO11807</t>
  </si>
  <si>
    <t>IPR139532</t>
  </si>
  <si>
    <t>FPO11808</t>
  </si>
  <si>
    <t>IPR139539</t>
  </si>
  <si>
    <t>FPO11821</t>
  </si>
  <si>
    <t>IPR139727</t>
  </si>
  <si>
    <t>FPO11822</t>
  </si>
  <si>
    <t>IPR139744</t>
  </si>
  <si>
    <t>SCEA LES DUCS D'AQUITAINE</t>
  </si>
  <si>
    <t>30 DAYS INVOICE</t>
  </si>
  <si>
    <t>FPO11823</t>
  </si>
  <si>
    <t>IPR139840</t>
  </si>
  <si>
    <t>FPO11827</t>
  </si>
  <si>
    <t>IPR139777</t>
  </si>
  <si>
    <t>HOP PRODUCT OF AUSTRALIA</t>
  </si>
  <si>
    <t>HOPS AUS TOPAZ/ELLA/GALAXY</t>
  </si>
  <si>
    <t>FPO11832</t>
  </si>
  <si>
    <t>IPR139932</t>
  </si>
  <si>
    <t>MALT LOT 12</t>
  </si>
  <si>
    <t>MSC TOKYO MA443R</t>
  </si>
  <si>
    <t>15.11.2024</t>
  </si>
  <si>
    <t>MSC DESIREE IP445R</t>
  </si>
  <si>
    <t>19.11.2024</t>
  </si>
  <si>
    <t>FPO11833</t>
  </si>
  <si>
    <t>IPR139987</t>
  </si>
  <si>
    <t>MALTEUROP</t>
  </si>
  <si>
    <r>
      <rPr>
        <strike/>
        <sz val="14"/>
        <rFont val="Calibri"/>
        <family val="2"/>
        <scheme val="minor"/>
      </rPr>
      <t>30/11/2024</t>
    </r>
    <r>
      <rPr>
        <sz val="14"/>
        <rFont val="Calibri"/>
        <family val="2"/>
        <scheme val="minor"/>
      </rPr>
      <t xml:space="preserve">
15/12/2024</t>
    </r>
  </si>
  <si>
    <t>FPO11830</t>
  </si>
  <si>
    <t>IPR139731</t>
  </si>
  <si>
    <t xml:space="preserve">7 DAYS PRIOR SHIPMENT </t>
  </si>
  <si>
    <t>2024/IMP/1064</t>
  </si>
  <si>
    <t>FPO11834</t>
  </si>
  <si>
    <t>IPR139926</t>
  </si>
  <si>
    <t>FPO11835</t>
  </si>
  <si>
    <t>IPR139925</t>
  </si>
  <si>
    <t>FLAVOUR EMULSION</t>
  </si>
  <si>
    <t>FPO11836</t>
  </si>
  <si>
    <t>IPR139924</t>
  </si>
  <si>
    <t>CONC-GUINESS GFE-2%</t>
  </si>
  <si>
    <r>
      <rPr>
        <sz val="14"/>
        <rFont val="Calibri"/>
        <family val="2"/>
        <scheme val="minor"/>
      </rPr>
      <t>12/08/2024- FPO SENT AND WAITING FOR OC &amp; PFI.
30/09/2024 :OC &amp; PFI received/Waiting for Order readiness.</t>
    </r>
    <r>
      <rPr>
        <sz val="14"/>
        <color rgb="FFFF0000"/>
        <rFont val="Calibri"/>
        <family val="2"/>
        <scheme val="minor"/>
      </rPr>
      <t xml:space="preserve">
</t>
    </r>
    <r>
      <rPr>
        <sz val="14"/>
        <rFont val="Calibri"/>
        <family val="2"/>
        <scheme val="minor"/>
      </rPr>
      <t>08.10.2024 :Prov. Booking shared/To follow stacking.</t>
    </r>
    <r>
      <rPr>
        <sz val="14"/>
        <color rgb="FFFF0000"/>
        <rFont val="Calibri"/>
        <family val="2"/>
        <scheme val="minor"/>
      </rPr>
      <t xml:space="preserve">
</t>
    </r>
    <r>
      <rPr>
        <sz val="14"/>
        <rFont val="Calibri"/>
        <family val="2"/>
        <scheme val="minor"/>
      </rPr>
      <t>10.10.2024 : Supplier to confirm if shipment well sailed.
22.10.2024 :Shipment reached MRU/Custom clearance has started.
05.11.2024 :Delivered/GRN done/To proceed with RFP.</t>
    </r>
    <r>
      <rPr>
        <sz val="14"/>
        <color rgb="FFFF0000"/>
        <rFont val="Calibri"/>
        <family val="2"/>
        <scheme val="minor"/>
      </rPr>
      <t xml:space="preserve">
</t>
    </r>
    <r>
      <rPr>
        <sz val="14"/>
        <rFont val="Calibri"/>
        <family val="2"/>
        <scheme val="minor"/>
      </rPr>
      <t>08.11.2024 :RFP not processed yet as credit to be sent by supplier/To follow with Lindo.
18.11.2024 :Reminder sent to Lindo regarding credit note.
22.11.2024 :RFP processed/Waiting for POP/Credit note to be processed on next payment.</t>
    </r>
    <r>
      <rPr>
        <sz val="14"/>
        <color rgb="FFFF0000"/>
        <rFont val="Calibri"/>
        <family val="2"/>
        <scheme val="minor"/>
      </rPr>
      <t xml:space="preserve">
</t>
    </r>
    <r>
      <rPr>
        <sz val="14"/>
        <rFont val="Calibri"/>
        <family val="2"/>
        <scheme val="minor"/>
      </rPr>
      <t>26.11.2024 :Waiting for POP.</t>
    </r>
    <r>
      <rPr>
        <sz val="14"/>
        <color rgb="FFFF0000"/>
        <rFont val="Calibri"/>
        <family val="2"/>
        <scheme val="minor"/>
      </rPr>
      <t xml:space="preserve">
03.12.2024 :Payment processed.</t>
    </r>
  </si>
  <si>
    <t>MSC RACHELLE ZF444R</t>
  </si>
  <si>
    <t xml:space="preserve">FINISHED PRODUCTS - 1st  lot </t>
  </si>
  <si>
    <t xml:space="preserve">FINISHED PRODUCTS- 1st lot </t>
  </si>
  <si>
    <t xml:space="preserve">FINISHED PRODUCTS- 2nd lot </t>
  </si>
  <si>
    <t xml:space="preserve">FINISHED PRODUCTS -2ND LOT </t>
  </si>
  <si>
    <t>MSC MAEVA IB448R</t>
  </si>
  <si>
    <t>MSC URSULA ZF448R</t>
  </si>
  <si>
    <t xml:space="preserve">FINISHED PRODUCTS - MONSTER - 1ST LOT </t>
  </si>
  <si>
    <t xml:space="preserve">FINISHED PRODUCTS - MONSTER -2ND SHIPT </t>
  </si>
  <si>
    <t>FPO11842</t>
  </si>
  <si>
    <t>IPR140092</t>
  </si>
  <si>
    <t>HOUT BAY HARBOUR DISTILLERY</t>
  </si>
  <si>
    <t>SPIRITS FOR JANUARY 2025 SALES</t>
  </si>
  <si>
    <t>50% ADVANCE PAYMENT</t>
  </si>
  <si>
    <t xml:space="preserve">
MSC UNITE VI ZF448A</t>
  </si>
  <si>
    <t>APL VANCOUVER 0NNJZE</t>
  </si>
  <si>
    <r>
      <rPr>
        <b/>
        <u/>
        <sz val="14"/>
        <rFont val="Calibri"/>
        <family val="2"/>
        <scheme val="minor"/>
      </rPr>
      <t xml:space="preserve">3rd CONS </t>
    </r>
    <r>
      <rPr>
        <sz val="14"/>
        <rFont val="Calibri"/>
        <family val="2"/>
        <scheme val="minor"/>
      </rPr>
      <t xml:space="preserve">
BEER BOTTLE</t>
    </r>
  </si>
  <si>
    <t>msc archimidis ma443a</t>
  </si>
  <si>
    <t>FPO11857</t>
  </si>
  <si>
    <t>IPR140180</t>
  </si>
  <si>
    <t>BERICAP POLSKA SP.Z.O.O</t>
  </si>
  <si>
    <t>CAPS FUZE TEA TETHERED</t>
  </si>
  <si>
    <t>2024/IMP/1099</t>
  </si>
  <si>
    <t>FPO11862</t>
  </si>
  <si>
    <t>IPR140231</t>
  </si>
  <si>
    <t xml:space="preserve">CAPS - CRYSTAL WATER </t>
  </si>
  <si>
    <t>1X20'</t>
  </si>
  <si>
    <t>FPO11864</t>
  </si>
  <si>
    <t>IPR140203</t>
  </si>
  <si>
    <t>FPO11865</t>
  </si>
  <si>
    <t>IPR140205</t>
  </si>
  <si>
    <t>FPO11866</t>
  </si>
  <si>
    <t>IPR140208</t>
  </si>
  <si>
    <t>FPO11867</t>
  </si>
  <si>
    <t>IPR140202</t>
  </si>
  <si>
    <t xml:space="preserve">60 days invoice date </t>
  </si>
  <si>
    <r>
      <rPr>
        <strike/>
        <sz val="14"/>
        <rFont val="Calibri"/>
        <family val="2"/>
        <scheme val="minor"/>
      </rPr>
      <t>21/11/2024</t>
    </r>
    <r>
      <rPr>
        <sz val="14"/>
        <rFont val="Calibri"/>
        <family val="2"/>
        <scheme val="minor"/>
      </rPr>
      <t xml:space="preserve">
14.12.2024</t>
    </r>
  </si>
  <si>
    <t>509,728.45.</t>
  </si>
  <si>
    <t xml:space="preserve">MSC GREENWICH/IP504R </t>
  </si>
  <si>
    <t xml:space="preserve">30 days Invoice </t>
  </si>
  <si>
    <t>MSC UNITE VI ZF448A</t>
  </si>
  <si>
    <r>
      <rPr>
        <strike/>
        <sz val="14"/>
        <rFont val="Calibri"/>
        <family val="2"/>
        <scheme val="minor"/>
      </rPr>
      <t>04/12/2024</t>
    </r>
    <r>
      <rPr>
        <sz val="14"/>
        <rFont val="Calibri"/>
        <family val="2"/>
        <scheme val="minor"/>
      </rPr>
      <t xml:space="preserve">
08/12/2024</t>
    </r>
  </si>
  <si>
    <t>MSC ABIDJAN MA448A</t>
  </si>
  <si>
    <t>FPO11879</t>
  </si>
  <si>
    <t>IPR140233</t>
  </si>
  <si>
    <t>FPO11880</t>
  </si>
  <si>
    <t>IPR140375</t>
  </si>
  <si>
    <t xml:space="preserve">MALAYA GLASS </t>
  </si>
  <si>
    <t>FPO11881</t>
  </si>
  <si>
    <t>IPR140306</t>
  </si>
  <si>
    <r>
      <rPr>
        <strike/>
        <sz val="14"/>
        <rFont val="Calibri"/>
        <family val="2"/>
        <scheme val="minor"/>
      </rPr>
      <t>30/12/2024</t>
    </r>
    <r>
      <rPr>
        <sz val="14"/>
        <rFont val="Calibri"/>
        <family val="2"/>
        <scheme val="minor"/>
      </rPr>
      <t xml:space="preserve">
15/01/2025</t>
    </r>
  </si>
  <si>
    <t>FPO11876</t>
  </si>
  <si>
    <t>IPR140270</t>
  </si>
  <si>
    <t>CONC ESKI VANILLA-75.972LT
CONC ESKI ALMOND-18.56LT
CONC ESKI STRAWBERRY-24.295LT</t>
  </si>
  <si>
    <t>FPO11877</t>
  </si>
  <si>
    <t>IPR140349</t>
  </si>
  <si>
    <t>CONC-ORANGINA-602UN
CONC-POTASSIUM SORBATE-616UN</t>
  </si>
  <si>
    <t>FPO11863</t>
  </si>
  <si>
    <t>IPR140166</t>
  </si>
  <si>
    <t>18.12.2024</t>
  </si>
  <si>
    <t>20.12.2024</t>
  </si>
  <si>
    <t xml:space="preserve">CAN-BLUE MARLIN-33CL-XX - DG - 546,156units
CAN-MALTA GUINNESS-33CL-XX - HG - 427,122units
CAN-SMIRNOFF ICE RED-33CL-XX - HG - 266,076 units
</t>
  </si>
  <si>
    <t>MSC Korea 502</t>
  </si>
  <si>
    <t>16.01.2025</t>
  </si>
  <si>
    <t>MSC Glory 504</t>
  </si>
  <si>
    <t>13.02.2025</t>
  </si>
  <si>
    <t>FPO11874</t>
  </si>
  <si>
    <t>Malt LOT 12</t>
  </si>
  <si>
    <t xml:space="preserve">60 days Invoice </t>
  </si>
  <si>
    <t>MSC ELLEN NZ447A</t>
  </si>
  <si>
    <t>17.11.2024</t>
  </si>
  <si>
    <t>MSC URSULA VI ZF448R</t>
  </si>
  <si>
    <r>
      <rPr>
        <strike/>
        <sz val="14"/>
        <rFont val="Calibri"/>
        <family val="2"/>
        <scheme val="minor"/>
      </rPr>
      <t>30/08/2024</t>
    </r>
    <r>
      <rPr>
        <sz val="14"/>
        <rFont val="Calibri"/>
        <family val="2"/>
        <scheme val="minor"/>
      </rPr>
      <t xml:space="preserve">
</t>
    </r>
    <r>
      <rPr>
        <strike/>
        <sz val="14"/>
        <rFont val="Calibri"/>
        <family val="2"/>
        <scheme val="minor"/>
      </rPr>
      <t>30.09.2024</t>
    </r>
    <r>
      <rPr>
        <sz val="14"/>
        <rFont val="Calibri"/>
        <family val="2"/>
        <scheme val="minor"/>
      </rPr>
      <t xml:space="preserve">
</t>
    </r>
    <r>
      <rPr>
        <strike/>
        <sz val="14"/>
        <rFont val="Calibri"/>
        <family val="2"/>
        <scheme val="minor"/>
      </rPr>
      <t>30.10.2024</t>
    </r>
    <r>
      <rPr>
        <sz val="14"/>
        <rFont val="Calibri"/>
        <family val="2"/>
        <scheme val="minor"/>
      </rPr>
      <t xml:space="preserve">
30.11.2024
31.12.2024</t>
    </r>
  </si>
  <si>
    <r>
      <rPr>
        <b/>
        <sz val="14"/>
        <rFont val="Calibri"/>
        <family val="2"/>
        <scheme val="minor"/>
      </rPr>
      <t xml:space="preserve"> 2ND CONS - COLLOADED WITH FPO11655 &amp; FPO11814</t>
    </r>
    <r>
      <rPr>
        <sz val="14"/>
        <rFont val="Calibri"/>
        <family val="2"/>
        <scheme val="minor"/>
      </rPr>
      <t xml:space="preserve">
PREFORM-CRYSTAL BLUE 29/25-23.5GM
</t>
    </r>
  </si>
  <si>
    <t>PREFORM- CLEAR-38MM-30GM</t>
  </si>
  <si>
    <t xml:space="preserve">FPO11886 </t>
  </si>
  <si>
    <t>IPR140419</t>
  </si>
  <si>
    <t xml:space="preserve">SHEET PLASTIC </t>
  </si>
  <si>
    <t xml:space="preserve">PLASTIC SHEET </t>
  </si>
  <si>
    <t>FPO11885</t>
  </si>
  <si>
    <t>IPR140415</t>
  </si>
  <si>
    <t>FPO11884</t>
  </si>
  <si>
    <t>IPR140363</t>
  </si>
  <si>
    <t>FPO11887</t>
  </si>
  <si>
    <t>IPR140365</t>
  </si>
  <si>
    <t>FPO11888</t>
  </si>
  <si>
    <t>IPR140367</t>
  </si>
  <si>
    <t>1120320 units Coca Cola Can Export Mayco/Local BPANI</t>
  </si>
  <si>
    <r>
      <rPr>
        <strike/>
        <sz val="14"/>
        <rFont val="Calibri"/>
        <family val="2"/>
        <scheme val="minor"/>
      </rPr>
      <t>04/12/2024</t>
    </r>
    <r>
      <rPr>
        <sz val="14"/>
        <rFont val="Calibri"/>
        <family val="2"/>
        <scheme val="minor"/>
      </rPr>
      <t xml:space="preserve">
31/01/2025</t>
    </r>
  </si>
  <si>
    <r>
      <t xml:space="preserve">26.03.2024 - FPO sent. Awaiting OC &amp; confirmation on ETA Mauritius
16.04.2024 - OC received 
27.05.2024 - to follow booking confirmation
04.06.2024 - chased for booking details
11.06.2024 - As per mail Jessica on 07.06.2024 - loading was done - requested vessel details
17.06.2024 - to follow vessel departure and shipping docs
24.06.2024 - vessel sailed - requested shipping docs
01.07.2024 - awaiting remaining docs
09.07.2024 - received docs - 
15.07.2024 - to follow ETA
</t>
    </r>
    <r>
      <rPr>
        <sz val="12"/>
        <rFont val="Calibri"/>
        <family val="2"/>
        <scheme val="minor"/>
      </rPr>
      <t>2</t>
    </r>
    <r>
      <rPr>
        <sz val="14"/>
        <rFont val="Calibri"/>
        <family val="2"/>
        <scheme val="minor"/>
      </rPr>
      <t xml:space="preserve">3.07.2024 - leakage of container in Port Elizabeth - mail sent to City Broker - surveyor in SA appointed - to follow survey date
30.07.2024 - inspection with W.E Fox has been confirmed for Thursday the 1st August ’24 at Coega Port - to follow 
12.08.2024 - As per IOEC - survey has been done - to follow with Insurer on survey report
20.08.2024 - survey report received from City Broker - mail sent to Clive to know if cross pumping done
02.09.2024 - cros pumping started - awaiting survey report
14.10.2024 - report received - awaiting more update from IOEC &amp; Insurer &amp; new sample bottles received and sent for tasting and testing - awaiting feedback
30.10.2024 - tasting not good - new sample is being resend - flexi tank suspected to be defect - awaiting the final result of same.
</t>
    </r>
    <r>
      <rPr>
        <b/>
        <sz val="14"/>
        <color rgb="FFFF0000"/>
        <rFont val="Calibri"/>
        <family val="2"/>
        <scheme val="minor"/>
      </rPr>
      <t xml:space="preserve">02.12.2024 - tasting not good - IOEC team proposed to come in SA for tasting of wines 
</t>
    </r>
    <r>
      <rPr>
        <b/>
        <sz val="14"/>
        <color rgb="FF00B0F0"/>
        <rFont val="Calibri"/>
        <family val="2"/>
        <scheme val="minor"/>
      </rPr>
      <t xml:space="preserve">02.12.2024 - flexi tank suspected to be defect - awaiting the final result of same. received salvage value from IOEC which has been communicated to City Broker
</t>
    </r>
    <r>
      <rPr>
        <b/>
        <sz val="14"/>
        <color rgb="FF7030A0"/>
        <rFont val="Calibri"/>
        <family val="2"/>
        <scheme val="minor"/>
      </rPr>
      <t>23.12.2024 - Order has been cancelled</t>
    </r>
  </si>
  <si>
    <t>(SC MONTREAL / 452S</t>
  </si>
  <si>
    <r>
      <rPr>
        <strike/>
        <sz val="14"/>
        <rFont val="Calibri"/>
        <family val="2"/>
        <scheme val="minor"/>
      </rPr>
      <t>01/12/2024</t>
    </r>
    <r>
      <rPr>
        <sz val="14"/>
        <rFont val="Calibri"/>
        <family val="2"/>
        <scheme val="minor"/>
      </rPr>
      <t xml:space="preserve">
30/01/2025</t>
    </r>
  </si>
  <si>
    <t>FPO11903</t>
  </si>
  <si>
    <t>IPR140512</t>
  </si>
  <si>
    <t>MALT LOT 1</t>
  </si>
  <si>
    <t>17.12.2024</t>
  </si>
  <si>
    <t>MSC LUNDRA VIII IP449R</t>
  </si>
  <si>
    <t>FPO11907</t>
  </si>
  <si>
    <t>IPR140556</t>
  </si>
  <si>
    <t>LE HAVRE MA448R</t>
  </si>
  <si>
    <t>20.01.2025</t>
  </si>
  <si>
    <t>10.01.2025</t>
  </si>
  <si>
    <t>25.12.2024</t>
  </si>
  <si>
    <t>FPO11911</t>
  </si>
  <si>
    <t>IPR140652</t>
  </si>
  <si>
    <t xml:space="preserve">SOCAVER </t>
  </si>
  <si>
    <t>CATHERINE C ZF450A</t>
  </si>
  <si>
    <t xml:space="preserve">15/12/2024
</t>
  </si>
  <si>
    <t xml:space="preserve">EMPTY GLASS BOTTLE / GUINNESS GENIUS </t>
  </si>
  <si>
    <t>40FT REEFER-APL VANCOUVER 0NNJZE</t>
  </si>
  <si>
    <r>
      <t>21.06.2024 - FPO sent to Avite - to follow PFI
18.11.2024 :Lindo to confirm the next trageted vessel.
20.11.2024 :Remaining order booked/To follow ETA.
26.11.2024 :To follow ETA/To proceed with RFP.
03.12.2024 :Shipment reached MRU/Under custom clearance/To proceed with RFP.
10.12.2024 :Under delivery/To proceed with RFP.</t>
    </r>
    <r>
      <rPr>
        <sz val="14"/>
        <color rgb="FFFF0000"/>
        <rFont val="Calibri"/>
        <family val="2"/>
        <scheme val="minor"/>
      </rPr>
      <t xml:space="preserve">
</t>
    </r>
    <r>
      <rPr>
        <sz val="14"/>
        <rFont val="Calibri"/>
        <family val="2"/>
        <scheme val="minor"/>
      </rPr>
      <t xml:space="preserve">16.12.2024 :Delivered/GRN done/To proceed with RFP.
</t>
    </r>
    <r>
      <rPr>
        <sz val="14"/>
        <color rgb="FFFF0000"/>
        <rFont val="Calibri"/>
        <family val="2"/>
        <scheme val="minor"/>
      </rPr>
      <t>06.01.2025 :Payment processed.</t>
    </r>
  </si>
  <si>
    <r>
      <rPr>
        <sz val="14"/>
        <rFont val="Calibri"/>
        <family val="2"/>
        <scheme val="minor"/>
      </rPr>
      <t>12/08/2024- FPO SENT AND WAITING FOR OC &amp; PFI.
18.11.2024 :To follow remaining balance.
20.11.2024 :Remaining order booked/To follow ETA.
26.11.2024 :To follow ETA/To proceed with RFP.
03.12.2024 :Shipment reached MRU/Under custom clearance/To proceed with RFP.
10.12.2024 :Under delivery/To proceed with RFP.</t>
    </r>
    <r>
      <rPr>
        <sz val="14"/>
        <color rgb="FFFF0000"/>
        <rFont val="Calibri"/>
        <family val="2"/>
        <scheme val="minor"/>
      </rPr>
      <t xml:space="preserve">
</t>
    </r>
    <r>
      <rPr>
        <sz val="14"/>
        <rFont val="Calibri"/>
        <family val="2"/>
        <scheme val="minor"/>
      </rPr>
      <t>16.12.2024 :Delivered/GRN done/To proceed with RFP.</t>
    </r>
    <r>
      <rPr>
        <sz val="14"/>
        <color rgb="FFFF0000"/>
        <rFont val="Calibri"/>
        <family val="2"/>
        <scheme val="minor"/>
      </rPr>
      <t xml:space="preserve">
06.01.2025 :Payment processed.</t>
    </r>
  </si>
  <si>
    <r>
      <rPr>
        <sz val="14"/>
        <rFont val="Calibri"/>
        <family val="2"/>
        <scheme val="minor"/>
      </rPr>
      <t>12/08/2024- FPO SENT AND WAITING FOR OC &amp; PFI.</t>
    </r>
    <r>
      <rPr>
        <sz val="14"/>
        <color rgb="FFFF0000"/>
        <rFont val="Calibri"/>
        <family val="2"/>
        <scheme val="minor"/>
      </rPr>
      <t xml:space="preserve">
</t>
    </r>
    <r>
      <rPr>
        <sz val="14"/>
        <rFont val="Calibri"/>
        <family val="2"/>
        <scheme val="minor"/>
      </rPr>
      <t>18/11/2024 :OC &amp; PFI received/Waiting for Order readiness.
20.11.2024 :Remaining order booked/To follow ETA.
26.11.2024 :To follow ETA/To proceed with RFP.</t>
    </r>
    <r>
      <rPr>
        <sz val="14"/>
        <color rgb="FFFF0000"/>
        <rFont val="Calibri"/>
        <family val="2"/>
        <scheme val="minor"/>
      </rPr>
      <t xml:space="preserve">
</t>
    </r>
    <r>
      <rPr>
        <sz val="14"/>
        <rFont val="Calibri"/>
        <family val="2"/>
        <scheme val="minor"/>
      </rPr>
      <t>03.12.2024 :Shipment reached MRU/Under custom clearance/To proceed with RFP.
10.12.2024 :Under delivery/To proceed with RFP.</t>
    </r>
    <r>
      <rPr>
        <sz val="14"/>
        <color rgb="FFFF0000"/>
        <rFont val="Calibri"/>
        <family val="2"/>
        <scheme val="minor"/>
      </rPr>
      <t xml:space="preserve">
</t>
    </r>
    <r>
      <rPr>
        <sz val="14"/>
        <rFont val="Calibri"/>
        <family val="2"/>
        <scheme val="minor"/>
      </rPr>
      <t>16.12.2024 :Delivered/GRN done/To proceed with RFP.</t>
    </r>
    <r>
      <rPr>
        <sz val="14"/>
        <color rgb="FFFF0000"/>
        <rFont val="Calibri"/>
        <family val="2"/>
        <scheme val="minor"/>
      </rPr>
      <t xml:space="preserve">
06.01.2025 :Payment processed.</t>
    </r>
  </si>
  <si>
    <t>MSC ADELAIDE</t>
  </si>
  <si>
    <t>MSC ALABAMA III HO451A</t>
  </si>
  <si>
    <t>CMA CGM GULF EXPRESS</t>
  </si>
  <si>
    <t>30.12.2024</t>
  </si>
  <si>
    <r>
      <t xml:space="preserve">26.03.2024 - FPO sent. Awaiting OC &amp; confirmation on ETA Mauritius
16.04.2024 - OC received - 
06.05.2024 - logistic to organise shipment
27.05.2024 - to follow booking confirmation
04.06.2024 - chased for booking details
11.06.2024 - As per mail Jessica on 07.06.2024 - loading was done - 
17.06.2024 - to follow vessel departure and shipping docs
24.06.2024 - vessel sailed - requested shipping docs
01.07.2024 - awaiting remaining docs
09.07.2024 - received docs - 
15.07.2024 - to follow ETA
23.07.2024 - leakage of container in Port Elizabeth - mail sent to City Broker - surveyor in SA appointed - to follow survey date
30.07.2024 - inspection with W.E Fox has been confirmed for Thursday the 1st August ’24 at Coega Port - to follow
06.08.2024 - As per IOEC - survey has been done - to follow with Insurer on survey report
12.08.2024 - report received - to see BT for further.
20.08.2024 - survey report received from City Broker - mail sent to Clive to know if cross pumping done
02.09.2024 - cros pumping started - awaiting survey report
14.10.2024 - report received - awaiting more update from IOEC &amp; Insurer &amp; new sample bottles received and sent for tasting and testing - awaiting feedback
</t>
    </r>
    <r>
      <rPr>
        <b/>
        <sz val="14"/>
        <color rgb="FFFF0000"/>
        <rFont val="Calibri"/>
        <family val="2"/>
        <scheme val="minor"/>
      </rPr>
      <t xml:space="preserve">02.12.2024 - tasting not good - IOEC team proposed to come in SA for tasting of wines 
</t>
    </r>
    <r>
      <rPr>
        <b/>
        <sz val="14"/>
        <color rgb="FF00B0F0"/>
        <rFont val="Calibri"/>
        <family val="2"/>
        <scheme val="minor"/>
      </rPr>
      <t xml:space="preserve">02.12.2024 - flexi tank suspected to be defect - awaiting the final result of same. received salvage value from IOEC which has been communicated to City Broker
07.01.2025 - chased for survey report
</t>
    </r>
    <r>
      <rPr>
        <b/>
        <sz val="14"/>
        <color rgb="FF7030A0"/>
        <rFont val="Calibri"/>
        <family val="2"/>
        <scheme val="minor"/>
      </rPr>
      <t xml:space="preserve">23.12.2024 - Order has been cancelled </t>
    </r>
  </si>
  <si>
    <t>MSC ELLEN ZF451R</t>
  </si>
  <si>
    <t>FINISHED PRODUCTS -MONSTER- 1ST SHIPT</t>
  </si>
  <si>
    <t xml:space="preserve">MONSTER PRODUCTS -3rd lot </t>
  </si>
  <si>
    <t>FINIESHED PRODUCTS - MONSTER- 1ST LOT</t>
  </si>
  <si>
    <t>FPO11914</t>
  </si>
  <si>
    <t>IPR140645</t>
  </si>
  <si>
    <t xml:space="preserve">WINE </t>
  </si>
  <si>
    <t>FPO11895</t>
  </si>
  <si>
    <t>IPR140387</t>
  </si>
  <si>
    <t xml:space="preserve">INDIAN OCEAN EXPORT </t>
  </si>
  <si>
    <t xml:space="preserve">30 DAYS BILL OF LADING </t>
  </si>
  <si>
    <t>2025/IMP/001</t>
  </si>
  <si>
    <t>JOGELA / 200N / 9619402</t>
  </si>
  <si>
    <t>13.01.2025</t>
  </si>
  <si>
    <r>
      <rPr>
        <strike/>
        <sz val="14"/>
        <rFont val="Calibri"/>
        <family val="2"/>
        <scheme val="minor"/>
      </rPr>
      <t>01/12/2024</t>
    </r>
    <r>
      <rPr>
        <sz val="14"/>
        <rFont val="Calibri"/>
        <family val="2"/>
        <scheme val="minor"/>
      </rPr>
      <t xml:space="preserve">
15/01/2025</t>
    </r>
  </si>
  <si>
    <t xml:space="preserve">MSC MARGARET </t>
  </si>
  <si>
    <t>MSC SABRINA III KC501A
MSC MARIA LAURA II SI450R</t>
  </si>
  <si>
    <r>
      <t>MSC FIE X</t>
    </r>
    <r>
      <rPr>
        <sz val="14"/>
        <color rgb="FF0A2F41"/>
        <rFont val="Calibri"/>
        <family val="2"/>
        <scheme val="minor"/>
      </rPr>
      <t xml:space="preserve"> </t>
    </r>
  </si>
  <si>
    <t>FPO11918</t>
  </si>
  <si>
    <t>IPR140656</t>
  </si>
  <si>
    <t>MALT LOT 13</t>
  </si>
  <si>
    <t>Conti Courage IP451R</t>
  </si>
  <si>
    <t>24.12.2024</t>
  </si>
  <si>
    <t>03.02.2025</t>
  </si>
  <si>
    <t>FPO11919</t>
  </si>
  <si>
    <t>IPR140504</t>
  </si>
  <si>
    <t>Gin Belle Rive</t>
  </si>
  <si>
    <t>EXWORK</t>
  </si>
  <si>
    <r>
      <t xml:space="preserve">16.09.2024 - FPO sent to supplier - </t>
    </r>
    <r>
      <rPr>
        <sz val="14"/>
        <color theme="1"/>
        <rFont val="Calibri"/>
        <family val="2"/>
        <scheme val="minor"/>
      </rPr>
      <t xml:space="preserve">
30.10.2024 - to follow shipping docs and etd &amp; to do RFP upon departure of vessel
04.11.2024 - received - Doc</t>
    </r>
    <r>
      <rPr>
        <sz val="14"/>
        <rFont val="Calibri"/>
        <family val="2"/>
        <scheme val="minor"/>
      </rPr>
      <t xml:space="preserve">s  
13.11.2024 - RFP done &amp; to follow ETA
02.12.2024 - delay in ETA due to vessel went to Colombo
12.12.2024 - to follow NOA
17.12.2024 - arrived 
23.12.2024 -  under clearance
31.12.2024 - Clearance obtained - to follow delivery of containers
07.01.2025 - received containers - to follow GRN
</t>
    </r>
    <r>
      <rPr>
        <sz val="14"/>
        <color rgb="FFFF0000"/>
        <rFont val="Calibri"/>
        <family val="2"/>
        <scheme val="minor"/>
      </rPr>
      <t>15.01.2025 - GRN received</t>
    </r>
  </si>
  <si>
    <t>19.01.2025</t>
  </si>
  <si>
    <t>17.01.2025</t>
  </si>
  <si>
    <r>
      <rPr>
        <sz val="14"/>
        <rFont val="Calibri"/>
        <family val="2"/>
        <scheme val="minor"/>
      </rPr>
      <t>28.10.2024: FPO sent to supplier/Awt PFI.</t>
    </r>
    <r>
      <rPr>
        <sz val="14"/>
        <color rgb="FFFF0000"/>
        <rFont val="Calibri"/>
        <family val="2"/>
        <scheme val="minor"/>
      </rPr>
      <t xml:space="preserve">
15.01.2025 - Production scheduled end of January 2025</t>
    </r>
  </si>
  <si>
    <r>
      <t xml:space="preserve">09/07/2024 - upon completion of payment - to follow order availability date &amp; mock ups prior to shipment
15/07/2024 - received the final artwork submitted by supplier - to follow approval from Diana et Yessen
30/07/2024 - artwork is being reworked by Yesen - to follow
06.08.2024 - received new POP. All artwork approved by Yesen except for Eski &amp; Pearona
26.08.2024 - All artwork approved by Yesen except for Eski &amp; Pearona - to follow the bulk production
02.09.2024 - Under production - 
14.10.2024 - will be ready on the 18-10-2024.
30.10.2024 - RFP done for 50% balance - to follow same &amp; to send to supplier - then logistic to nominate
04.11.2024 - POP received - 
13.11.2024 - Logistic to nominate forwarder.
25.11.2024 - Nominated forwarder: Speedfreight - collection done - 
02.12.2024 - to follow vessel departure
17.12.2024 - vessel sailed to follow shipping docs
23.12.2024 - arrived - under clearance
07.01.2025 - still under clearance - packing list missing
</t>
    </r>
    <r>
      <rPr>
        <sz val="14"/>
        <color rgb="FFFF0000"/>
        <rFont val="Calibri"/>
        <family val="2"/>
        <scheme val="minor"/>
      </rPr>
      <t xml:space="preserve">15.01.2025 - received packing list - under clearance
</t>
    </r>
    <r>
      <rPr>
        <sz val="14"/>
        <rFont val="Calibri"/>
        <family val="2"/>
        <scheme val="minor"/>
      </rPr>
      <t xml:space="preserve">
</t>
    </r>
    <r>
      <rPr>
        <sz val="14"/>
        <color rgb="FFFF0000"/>
        <rFont val="Calibri"/>
        <family val="2"/>
        <scheme val="minor"/>
      </rPr>
      <t xml:space="preserve">
</t>
    </r>
  </si>
  <si>
    <t xml:space="preserve">MSC KERRY </t>
  </si>
  <si>
    <r>
      <rPr>
        <strike/>
        <sz val="14"/>
        <rFont val="Calibri"/>
        <family val="2"/>
        <scheme val="minor"/>
      </rPr>
      <t>01/01/2025</t>
    </r>
    <r>
      <rPr>
        <sz val="14"/>
        <rFont val="Calibri"/>
        <family val="2"/>
        <scheme val="minor"/>
      </rPr>
      <t xml:space="preserve">
15/02/2025</t>
    </r>
  </si>
  <si>
    <t>MSC MARIA LAURA II
MSC STELLA ZF501A</t>
  </si>
  <si>
    <t>SEA FREIGHT
(CMA CGM DAVAO / 504W)</t>
  </si>
  <si>
    <r>
      <rPr>
        <strike/>
        <sz val="14"/>
        <rFont val="Calibri"/>
        <family val="2"/>
        <scheme val="minor"/>
      </rPr>
      <t>MSC LA SEINE</t>
    </r>
    <r>
      <rPr>
        <sz val="14"/>
        <rFont val="Calibri"/>
        <family val="2"/>
        <scheme val="minor"/>
      </rPr>
      <t xml:space="preserve"> 
CMA CGM TAGE </t>
    </r>
  </si>
  <si>
    <r>
      <rPr>
        <strike/>
        <sz val="14"/>
        <rFont val="Calibri"/>
        <family val="2"/>
        <scheme val="minor"/>
      </rPr>
      <t>01/02/2025</t>
    </r>
    <r>
      <rPr>
        <sz val="14"/>
        <rFont val="Calibri"/>
        <family val="2"/>
        <scheme val="minor"/>
      </rPr>
      <t xml:space="preserve">
10/03/2025</t>
    </r>
  </si>
  <si>
    <t xml:space="preserve">MSC MARIANETTA </t>
  </si>
  <si>
    <t>SJ</t>
  </si>
  <si>
    <t>MUR</t>
  </si>
  <si>
    <t xml:space="preserve">LPO NO. </t>
  </si>
  <si>
    <r>
      <rPr>
        <sz val="14"/>
        <color theme="1"/>
        <rFont val="Calibri"/>
        <family val="2"/>
        <scheme val="minor"/>
      </rPr>
      <t xml:space="preserve">26/08/2024- Fpo sent and awt readiness
04/11/2024- Awt readiness
04/12/2024- Under clearance + awt invoice with amended gross weight
</t>
    </r>
    <r>
      <rPr>
        <sz val="14"/>
        <color rgb="FFFF0000"/>
        <rFont val="Calibri"/>
        <family val="2"/>
        <scheme val="minor"/>
      </rPr>
      <t>27/01/2025- DELIVRED , AWT POP</t>
    </r>
  </si>
  <si>
    <t>MSC LAGOS X ZF502R</t>
  </si>
  <si>
    <t>21/01/2025
27.01.2025</t>
  </si>
  <si>
    <t>cma cgm tage onnkfe</t>
  </si>
  <si>
    <t xml:space="preserve">cma cgm tage onnke </t>
  </si>
  <si>
    <t xml:space="preserve">cma cgm tage onnkfe </t>
  </si>
  <si>
    <t>FPO11922</t>
  </si>
  <si>
    <t>IPR140672</t>
  </si>
  <si>
    <t>SHANDONG ANGU LOCK</t>
  </si>
  <si>
    <t xml:space="preserve">POSTMIX TAG </t>
  </si>
  <si>
    <t>FPO11920</t>
  </si>
  <si>
    <t>IPR140671</t>
  </si>
  <si>
    <t>WAGNER</t>
  </si>
  <si>
    <t xml:space="preserve">POSTMIX CAP </t>
  </si>
  <si>
    <t>FPO11943</t>
  </si>
  <si>
    <t>IPR140867</t>
  </si>
  <si>
    <r>
      <t>28/10/2024 : Fpo sent to supplier - Acknowledge good receipt  
25/11/2024 :  Ready for collection Week 49 - (02/12/2024 - 06/12/2024)</t>
    </r>
    <r>
      <rPr>
        <sz val="14"/>
        <color rgb="FFFF0000"/>
        <rFont val="Calibri"/>
        <family val="2"/>
        <scheme val="minor"/>
      </rPr>
      <t xml:space="preserve">
</t>
    </r>
    <r>
      <rPr>
        <sz val="14"/>
        <rFont val="Calibri"/>
        <family val="2"/>
        <scheme val="minor"/>
      </rPr>
      <t xml:space="preserve">02/12/2024 : RFP done - booking done . 
27/12/2024 :  to follow up with  NOA . 
06/01/2025 : UNDER CLEARANCE 
14/01/2025 : Clearance obtained - 
20/01/2025 : Follow up GRN 
</t>
    </r>
    <r>
      <rPr>
        <sz val="14"/>
        <color rgb="FFFF0000"/>
        <rFont val="Calibri"/>
        <family val="2"/>
        <scheme val="minor"/>
      </rPr>
      <t xml:space="preserve">21/01/2025: SJ- TAKEOVER - GRN COMPLETED </t>
    </r>
  </si>
  <si>
    <r>
      <t xml:space="preserve">29/10/2024 : FPO sent to supplier - Acknowledge good receipt 
27/12/2024 : to follow up on production 
06/01/2025 : Shipping docs received. To do the RFP .
14/01/2025 : RFP done - to follow up with POP and NOA
20/01/2025 : Clearance obtained . Delivery is under process. 
</t>
    </r>
    <r>
      <rPr>
        <sz val="14"/>
        <color rgb="FFFF0000"/>
        <rFont val="Calibri"/>
        <family val="2"/>
        <scheme val="minor"/>
      </rPr>
      <t>23/01/2025: SJ - TAKEOVER - GRN COMPLETED</t>
    </r>
  </si>
  <si>
    <t>FPO11942</t>
  </si>
  <si>
    <t>IPR140930</t>
  </si>
  <si>
    <t xml:space="preserve">60 DAYS BL DATE </t>
  </si>
  <si>
    <t>IPR140928</t>
  </si>
  <si>
    <t xml:space="preserve">CROWN CORK-PHOENIX BEER-XX-(BPA-NI)
CROWN CORK-PLAIN HEALTH MESSAGE-XX-(BPA-NI) 
CROWN- CORK- COKE RED MTIUS
CROWN- CORK- SPRITE
CROWN- CORK- FANTA ORANGE
</t>
  </si>
  <si>
    <t>FPO11931</t>
  </si>
  <si>
    <t>IPR140805</t>
  </si>
  <si>
    <t xml:space="preserve"> CONC- FUZE TEA LIQUID - PART2B</t>
  </si>
  <si>
    <t>FPO11889</t>
  </si>
  <si>
    <t>IPR140445</t>
  </si>
  <si>
    <t>BIOFINE CLEAR A3</t>
  </si>
  <si>
    <t>FPO11890</t>
  </si>
  <si>
    <t>IPR140444</t>
  </si>
  <si>
    <t>CONC -PEARONA BASE</t>
  </si>
  <si>
    <t>FPO11861</t>
  </si>
  <si>
    <t>IPR140238</t>
  </si>
  <si>
    <t>FPO11950</t>
  </si>
  <si>
    <t>IPR141016</t>
  </si>
  <si>
    <t>OP SARL</t>
  </si>
  <si>
    <t>OP RACKS FOR JARS</t>
  </si>
  <si>
    <t>FPO11948</t>
  </si>
  <si>
    <t>IPR140988</t>
  </si>
  <si>
    <t>MILCO PLASTIC</t>
  </si>
  <si>
    <t>FPO11940</t>
  </si>
  <si>
    <t>IPR140950</t>
  </si>
  <si>
    <t xml:space="preserve">MMP Corporation Ltd </t>
  </si>
  <si>
    <t>PFILM - STRETCH 50CM/25MIC/1500M</t>
  </si>
  <si>
    <t xml:space="preserve">7 DAYS BEFORE SHIPMENT </t>
  </si>
  <si>
    <t>FPO11937</t>
  </si>
  <si>
    <t>IPR141044</t>
  </si>
  <si>
    <t>PFILM-PHOENIX 33CL-530MMXR555X65MIC</t>
  </si>
  <si>
    <t>FPO11933</t>
  </si>
  <si>
    <t>IPR140808</t>
  </si>
  <si>
    <t>FPO11932</t>
  </si>
  <si>
    <t>IPR140807</t>
  </si>
  <si>
    <r>
      <rPr>
        <sz val="14"/>
        <color theme="1"/>
        <rFont val="Calibri"/>
        <family val="2"/>
        <scheme val="minor"/>
      </rPr>
      <t xml:space="preserve">06/05/2024 : FPO sent to supplier 
</t>
    </r>
    <r>
      <rPr>
        <sz val="14"/>
        <rFont val="Calibri"/>
        <family val="2"/>
        <scheme val="minor"/>
      </rPr>
      <t xml:space="preserve">24/06/2024 : To follow  on production status . 
07/10/2024 : PFI received / ready for collection the 01/12/2024 , to do Rfp
04/11/2024 - Received Pf , To do rfp </t>
    </r>
    <r>
      <rPr>
        <sz val="14"/>
        <color rgb="FFFF0000"/>
        <rFont val="Calibri"/>
        <family val="2"/>
        <scheme val="minor"/>
      </rPr>
      <t xml:space="preserve">
</t>
    </r>
    <r>
      <rPr>
        <sz val="14"/>
        <rFont val="Calibri"/>
        <family val="2"/>
        <scheme val="minor"/>
      </rPr>
      <t xml:space="preserve">16/12/2024 : RFP done - POP sent to supplier - to follow next line </t>
    </r>
  </si>
  <si>
    <r>
      <rPr>
        <sz val="14"/>
        <color theme="1"/>
        <rFont val="Calibri"/>
        <family val="2"/>
        <scheme val="minor"/>
      </rPr>
      <t xml:space="preserve">06/05/2024 : FPO sent to supplier 
24/06/2024 : To follow  on production status . 
03/10/2024  : Same as above </t>
    </r>
    <r>
      <rPr>
        <sz val="14"/>
        <color rgb="FFFF0000"/>
        <rFont val="Calibri"/>
        <family val="2"/>
        <scheme val="minor"/>
      </rPr>
      <t xml:space="preserve">
</t>
    </r>
    <r>
      <rPr>
        <sz val="14"/>
        <rFont val="Calibri"/>
        <family val="2"/>
        <scheme val="minor"/>
      </rPr>
      <t xml:space="preserve">11/11/2024- To follow up with production  
02/12/2024 : Order ready for collection  / to follow up with booking / to process 50% balance upon receipt of scan Bl 
09/12/2024 : Shipping docs received .  RFP done 
27/12/2024 : to follow up with NOA  
06/01/2025 : under clearance
20/01/2025 : clearance obtained - under delivery - to follow up with GRN . 
</t>
    </r>
    <r>
      <rPr>
        <sz val="14"/>
        <color rgb="FFFF0000"/>
        <rFont val="Calibri"/>
        <family val="2"/>
        <scheme val="minor"/>
      </rPr>
      <t>10/01/2025 : GRN posted &amp; Completed</t>
    </r>
    <r>
      <rPr>
        <sz val="14"/>
        <rFont val="Calibri"/>
        <family val="2"/>
        <scheme val="minor"/>
      </rPr>
      <t xml:space="preserve"> </t>
    </r>
  </si>
  <si>
    <t>FPO11947</t>
  </si>
  <si>
    <t>IPR141066</t>
  </si>
  <si>
    <t>FPO11929</t>
  </si>
  <si>
    <t>IPR140803</t>
  </si>
  <si>
    <r>
      <t xml:space="preserve">09.08.2024 - FPO sent to supplier 
12.08.2024 -  awaiting PFI
20.08.2024 - OC received - 
02.09.2024 - supplier asked to split 2.5M, maybe 1M in ETA mid Oct and 1.5M in ETA mid Nov? Demand planning to reply
23.09.2024 - Production plan as follows: Blue Marlin  0.5 Mpcs Week 41 (9-11 Oct) Phoenix Rebirth 1.5 MpcsWeek 42  (14-16 Oct) Phoenix Rebirth1 Mpcs Week 44  (29-31 Oct)
14.10.2024- Demand planning requested to  split in 2 shipments &amp; ship first batch in Dec to reach us in Jan 25. We can , i.e. ETA Mauritius Jan &amp; Feb. 
To include Blue marlin in 1st batch. 
21.10.2024 - to follow production date
12.12.2024 - shipment as follows: 1st shipment Phoenix Rebirth 1.5M + Blue Marlin 0.5M ETD Mid Dec’24 to ETA Jan’25  - 2nd shipment Phoenix Rebirth 1 M                                                   ETD Jan’25 to ETA Feb’25 
17.12.2024 - Production completed for Blue Marlin - 145 pls/ 502,860 pcs Phoenix Rebirth 405 pls/ 1,404,540 pcs - LOE  10 pls/ 1,907,400 pcs. to follow vessel details
23.12.2024 - . To follow vessel departure &amp; shipping docs
31.12.2024 - mail sent to confirm vessel departure.
07.01.2025 - vessel sailed - shipping docs received - to do RFP
15.01.2025 - RFP done - to follow ETA &amp; POP
</t>
    </r>
    <r>
      <rPr>
        <sz val="14"/>
        <color rgb="FFFF0000"/>
        <rFont val="Calibri"/>
        <family val="2"/>
        <scheme val="minor"/>
      </rPr>
      <t>31.01.2025 - arrived - Under Clearance</t>
    </r>
  </si>
  <si>
    <r>
      <t xml:space="preserve">26.11.2024 - FPO raised- shipping docs  - vessel ETD 
17.12.2024 - To follow ETA 
23.12.2024 - arrived - Under Clearance
31.12.2024 - Clearance obtained -
15.01.2025 - To follow delivery of containers
</t>
    </r>
    <r>
      <rPr>
        <sz val="14"/>
        <color rgb="FFFF0000"/>
        <rFont val="Calibri"/>
        <family val="2"/>
        <scheme val="minor"/>
      </rPr>
      <t>31.01.2025 - GRN received</t>
    </r>
  </si>
  <si>
    <r>
      <t xml:space="preserve">26.11.2024 - FPO raised- shipping docs  - vessel ETD 
02.12.2024 - To follow ETA &amp; to do RFP
12.12.2024 - To follow ETA - RFP done - 
17.12.2024 - arrived - under clearance - 
23.12.2024 - To follow GRN &amp;  POP
07.01.2025 - GRN received - 
</t>
    </r>
    <r>
      <rPr>
        <sz val="14"/>
        <color rgb="FFFF0000"/>
        <rFont val="Calibri"/>
        <family val="2"/>
        <scheme val="minor"/>
      </rPr>
      <t>15.01.2025 - to follow POP
31.01.25 - received</t>
    </r>
  </si>
  <si>
    <t>MALT LOT 2</t>
  </si>
  <si>
    <t>MSC TOKYO MA502A</t>
  </si>
  <si>
    <t>23.02.2025</t>
  </si>
  <si>
    <r>
      <t xml:space="preserve">27.06.2024 - FPO sent to supplier - 
30.07.2024 - awaiting PFI 
06.08.2024 - demand planning requested to received order earlier - request made to supplier - to follow
12.08.2024 - supplier is ok to produce earlier - to do RFP
20.08.2024 - RFP done 
16.09.2024 - Production 1st week of Oct 2024
07.10.2024 - demand planning requested to postpone eta to read 11.01.2025
25.11.2024 - to follow payment around 29.11.2024 and production date
02.12.2024 - Payment will be done in EUR - 
12.12.2024 - POP sent to supplier - 
23.12.2024 - production 3rd week of Dec 24
31.12.2024 - chased for vessel details
07.01.2025 - vessel sailed - shipping docs received (except COA) - to follow ETA
15.01.2025 - arrived - clearance obtained - to follow delivery of containers
</t>
    </r>
    <r>
      <rPr>
        <sz val="14"/>
        <color rgb="FFFF0000"/>
        <rFont val="Calibri"/>
        <family val="2"/>
        <scheme val="minor"/>
      </rPr>
      <t>31.01.2025 - GRN received</t>
    </r>
  </si>
  <si>
    <t xml:space="preserve">MSC Alabama 506 </t>
  </si>
  <si>
    <r>
      <rPr>
        <sz val="14"/>
        <rFont val="Calibri"/>
        <family val="2"/>
        <scheme val="minor"/>
      </rPr>
      <t>26/07/2024- Fpo sent and awt readiness &amp; OC.</t>
    </r>
    <r>
      <rPr>
        <sz val="14"/>
        <color rgb="FFFF0000"/>
        <rFont val="Calibri"/>
        <family val="2"/>
        <scheme val="minor"/>
      </rPr>
      <t xml:space="preserve">
</t>
    </r>
    <r>
      <rPr>
        <sz val="14"/>
        <rFont val="Calibri"/>
        <family val="2"/>
        <scheme val="minor"/>
      </rPr>
      <t>13.08.2024 :To amend order on portal/Demand planning to advise.</t>
    </r>
    <r>
      <rPr>
        <sz val="14"/>
        <color rgb="FFFF0000"/>
        <rFont val="Calibri"/>
        <family val="2"/>
        <scheme val="minor"/>
      </rPr>
      <t xml:space="preserve">
</t>
    </r>
    <r>
      <rPr>
        <sz val="14"/>
        <rFont val="Calibri"/>
        <family val="2"/>
        <scheme val="minor"/>
      </rPr>
      <t>20.08.2024 :Order amended by supplier/Belinda to approve PO.</t>
    </r>
    <r>
      <rPr>
        <sz val="14"/>
        <color rgb="FFFF0000"/>
        <rFont val="Calibri"/>
        <family val="2"/>
        <scheme val="minor"/>
      </rPr>
      <t xml:space="preserve">
</t>
    </r>
    <r>
      <rPr>
        <sz val="14"/>
        <color theme="1"/>
        <rFont val="Calibri"/>
        <family val="2"/>
        <scheme val="minor"/>
      </rPr>
      <t xml:space="preserve">27.08.2024 :PO amended and processed on Portal/Acknowledgement reaceived/To follow OC.
30.10.2024 :OC received/Order to be ready 23.10.2024.
03.12.2024 :To follow ETA.
10.12.2024 :Shipment reached MRU/Custom clearance has started/To proceed with RFP.
16.12.2024 :Under delivery/To proceed with RFP.
06.01.2025 :RFP processed/Waiting for POP.
</t>
    </r>
    <r>
      <rPr>
        <sz val="14"/>
        <color rgb="FFFF0000"/>
        <rFont val="Calibri"/>
        <family val="2"/>
        <scheme val="minor"/>
      </rPr>
      <t xml:space="preserve">31/01/2025- Paid &amp; delivered </t>
    </r>
  </si>
  <si>
    <t xml:space="preserve">CIDER CONC
PEARONA CONC 
</t>
  </si>
  <si>
    <r>
      <t>02/08/2024: FPO SENT TO SUPPLIER / AWAITING FOR ORDER ACKNOWLEDGEMENT
24.09.2024 :Order to be ready 27.09.2024/Mail sent to claimant.</t>
    </r>
    <r>
      <rPr>
        <sz val="14"/>
        <color rgb="FFFF0000"/>
        <rFont val="Calibri"/>
        <family val="2"/>
        <scheme val="minor"/>
      </rPr>
      <t xml:space="preserve">
</t>
    </r>
    <r>
      <rPr>
        <sz val="14"/>
        <rFont val="Calibri"/>
        <family val="2"/>
        <scheme val="minor"/>
      </rPr>
      <t>30.09.2024 :Reminder sent to supplier for order readiness.</t>
    </r>
    <r>
      <rPr>
        <sz val="14"/>
        <color rgb="FFFF0000"/>
        <rFont val="Calibri"/>
        <family val="2"/>
        <scheme val="minor"/>
      </rPr>
      <t xml:space="preserve">
</t>
    </r>
    <r>
      <rPr>
        <sz val="14"/>
        <rFont val="Calibri"/>
        <family val="2"/>
        <scheme val="minor"/>
      </rPr>
      <t>12.11.2024 :Order ready/To follow ETA.</t>
    </r>
    <r>
      <rPr>
        <sz val="14"/>
        <color rgb="FFFF0000"/>
        <rFont val="Calibri"/>
        <family val="2"/>
        <scheme val="minor"/>
      </rPr>
      <t xml:space="preserve">
</t>
    </r>
    <r>
      <rPr>
        <sz val="14"/>
        <rFont val="Calibri"/>
        <family val="2"/>
        <scheme val="minor"/>
      </rPr>
      <t xml:space="preserve">18.11.2024 :Shipment reached MRU/Custom clearance has started/To proceed with RFP.
</t>
    </r>
    <r>
      <rPr>
        <sz val="14"/>
        <color theme="1"/>
        <rFont val="Calibri"/>
        <family val="2"/>
        <scheme val="minor"/>
      </rPr>
      <t xml:space="preserve">26.11.2024 :Under delivery/To proceed with RFP.
</t>
    </r>
    <r>
      <rPr>
        <sz val="14"/>
        <rFont val="Calibri"/>
        <family val="2"/>
        <scheme val="minor"/>
      </rPr>
      <t>16.12.2024 :Under delivery/RFP processed/Waiting for POP.</t>
    </r>
    <r>
      <rPr>
        <sz val="14"/>
        <color theme="1"/>
        <rFont val="Calibri"/>
        <family val="2"/>
        <scheme val="minor"/>
      </rPr>
      <t xml:space="preserve">
06.01.2025 :Payment processed/To follow GRN.
</t>
    </r>
    <r>
      <rPr>
        <sz val="14"/>
        <color rgb="FFFF0000"/>
        <rFont val="Calibri"/>
        <family val="2"/>
        <scheme val="minor"/>
      </rPr>
      <t xml:space="preserve">30/01/2025- Grn done </t>
    </r>
    <r>
      <rPr>
        <sz val="14"/>
        <rFont val="Calibri"/>
        <family val="2"/>
        <scheme val="minor"/>
      </rPr>
      <t xml:space="preserve">
</t>
    </r>
  </si>
  <si>
    <t>SL/SC</t>
  </si>
  <si>
    <r>
      <rPr>
        <sz val="14"/>
        <rFont val="Calibri"/>
        <family val="2"/>
        <scheme val="minor"/>
      </rPr>
      <t>12/08/2024- FPO SENT AND WAITING FOR OC &amp; PFI.</t>
    </r>
    <r>
      <rPr>
        <sz val="14"/>
        <color rgb="FFFF0000"/>
        <rFont val="Calibri"/>
        <family val="2"/>
        <scheme val="minor"/>
      </rPr>
      <t xml:space="preserve">
</t>
    </r>
    <r>
      <rPr>
        <sz val="14"/>
        <rFont val="Calibri"/>
        <family val="2"/>
        <scheme val="minor"/>
      </rPr>
      <t>19/08/2024 :OC &amp; PFI received/Waiting for order readiness.</t>
    </r>
    <r>
      <rPr>
        <sz val="14"/>
        <color rgb="FFFF0000"/>
        <rFont val="Calibri"/>
        <family val="2"/>
        <scheme val="minor"/>
      </rPr>
      <t xml:space="preserve">
</t>
    </r>
    <r>
      <rPr>
        <sz val="14"/>
        <rFont val="Calibri"/>
        <family val="2"/>
        <scheme val="minor"/>
      </rPr>
      <t>08.10.2024 :Order to be ready 15.10.2024.</t>
    </r>
    <r>
      <rPr>
        <sz val="14"/>
        <color rgb="FFFF0000"/>
        <rFont val="Calibri"/>
        <family val="2"/>
        <scheme val="minor"/>
      </rPr>
      <t xml:space="preserve">
</t>
    </r>
    <r>
      <rPr>
        <sz val="14"/>
        <rFont val="Calibri"/>
        <family val="2"/>
        <scheme val="minor"/>
      </rPr>
      <t>25.10.2024 :Order ready/Waiting for Booking details and shipping documents.
26.10.2024 :Booking details received/To follow ETA.
27.10.2024 :Shipment reached MRU/Custom clearance has started/To proceed with RFP.
05.11.2024 :Under delivery/To proceed with RFP.
12.11.2024 :Under delivery/RFP processed/Waiting for POP.</t>
    </r>
    <r>
      <rPr>
        <sz val="14"/>
        <color rgb="FFFF0000"/>
        <rFont val="Calibri"/>
        <family val="2"/>
        <scheme val="minor"/>
      </rPr>
      <t xml:space="preserve">
</t>
    </r>
    <r>
      <rPr>
        <sz val="14"/>
        <rFont val="Calibri"/>
        <family val="2"/>
        <scheme val="minor"/>
      </rPr>
      <t>26.11.2024 :Delivered/GRN done/Waiting for POP.</t>
    </r>
    <r>
      <rPr>
        <sz val="14"/>
        <color rgb="FFFF0000"/>
        <rFont val="Calibri"/>
        <family val="2"/>
        <scheme val="minor"/>
      </rPr>
      <t xml:space="preserve">
06.01.2025 :Waiting for POP.
31/01/2025- PAID </t>
    </r>
  </si>
  <si>
    <t>EK703</t>
  </si>
  <si>
    <t xml:space="preserve">FED EX </t>
  </si>
  <si>
    <t>FPO11959</t>
  </si>
  <si>
    <t>IPR141194</t>
  </si>
  <si>
    <t>DEMATECH LTD</t>
  </si>
  <si>
    <t xml:space="preserve">YEAST - SAFALE WB-06
YEAST - SAFALE US-05
YEAST - FERMENTIS SAFALE WB-06
</t>
  </si>
  <si>
    <t>FPO11935</t>
  </si>
  <si>
    <t>IPR140876</t>
  </si>
  <si>
    <t>FPO11958</t>
  </si>
  <si>
    <t>30 DAYS AFTER BL</t>
  </si>
  <si>
    <t>CONTI CORTESIA MA451A</t>
  </si>
  <si>
    <r>
      <rPr>
        <sz val="14"/>
        <color theme="1"/>
        <rFont val="Calibri"/>
        <family val="2"/>
        <scheme val="minor"/>
      </rPr>
      <t xml:space="preserve">04/07/2024 : FPO sent to supplier 
09/07/2024 : Acknowledge good receipt 
23/09/2024 :  PFI received to do  payment 50% RFP 
03/10/2024 : RFP done - to follow up with POP
11/10/2024- Mail sent to a/c dept for POP </t>
    </r>
    <r>
      <rPr>
        <sz val="14"/>
        <color rgb="FFFF0000"/>
        <rFont val="Calibri"/>
        <family val="2"/>
        <scheme val="minor"/>
      </rPr>
      <t xml:space="preserve">
14/01/2025- Pop to supplier , see next line for further updates on order  availability</t>
    </r>
  </si>
  <si>
    <t>FPO11949</t>
  </si>
  <si>
    <t xml:space="preserve">NATURAL FLAVOUR LEMON-XX-XX-XX - AIR FREIGHT </t>
  </si>
  <si>
    <t>LX8070</t>
  </si>
  <si>
    <t>FINISHED PRODUCTS-1ST LOT</t>
  </si>
  <si>
    <r>
      <rPr>
        <sz val="14"/>
        <color theme="1"/>
        <rFont val="Calibri"/>
        <family val="2"/>
        <scheme val="minor"/>
      </rPr>
      <t xml:space="preserve">11/09/2024- Fpo send and awt readiness 
25/11/2024- Awt readiness 
09/12/2024- Monitor Eta + docs 
23/12/2024- under clearance - weight issue 
27/01/2025- Delivered + to process  rfp 
</t>
    </r>
    <r>
      <rPr>
        <sz val="14"/>
        <color rgb="FFFF0000"/>
        <rFont val="Calibri"/>
        <family val="2"/>
        <scheme val="minor"/>
      </rPr>
      <t xml:space="preserve">06/02/2025- AWT pop </t>
    </r>
  </si>
  <si>
    <r>
      <rPr>
        <sz val="14"/>
        <color theme="1"/>
        <rFont val="Calibri"/>
        <family val="2"/>
        <scheme val="minor"/>
      </rPr>
      <t xml:space="preserve">09/12/2024- Monitor eta+ awt docs
23/12/2024- under clearance, note Received docs on 16/12/20234 @00H38 + issue with gw on invoice 
07/01/2025-Cleared , awt Grn + rfp  
27/01/2025- Delivered + to process rfp 
</t>
    </r>
    <r>
      <rPr>
        <sz val="14"/>
        <color rgb="FFFF0000"/>
        <rFont val="Calibri"/>
        <family val="2"/>
        <scheme val="minor"/>
      </rPr>
      <t xml:space="preserve">06/02/2025- AWT POP , ALREADY DELIVERED 
</t>
    </r>
  </si>
  <si>
    <t xml:space="preserve">Vessel Name </t>
  </si>
  <si>
    <t xml:space="preserve">Forthcoming Payment </t>
  </si>
  <si>
    <t>Order sent to supplier</t>
  </si>
  <si>
    <t xml:space="preserve">PO Acknowlegment </t>
  </si>
  <si>
    <t xml:space="preserve">Production Date </t>
  </si>
  <si>
    <t xml:space="preserve">Readiness date </t>
  </si>
  <si>
    <t xml:space="preserve">FPO No </t>
  </si>
  <si>
    <t xml:space="preserve">IPR No </t>
  </si>
  <si>
    <t xml:space="preserve">Advance Payment </t>
  </si>
  <si>
    <r>
      <t xml:space="preserve">19/01/2024 : FPO sent to supplier/OC received.
17.09.2024 :To follow remaining balance readiness/Production will start CW39 (23-27 Sept 2024)
20.11.2024 :Shipment in transit/To follow ETA.
18.12.2024 :Shipment reached MRU &amp; Custom clearance has started/To proceed with RFP.
19.12.2024 :Rfp processed/Waiting for POP.
</t>
    </r>
    <r>
      <rPr>
        <sz val="14"/>
        <color rgb="FFFF0000"/>
        <rFont val="Calibri"/>
        <family val="2"/>
        <scheme val="minor"/>
      </rPr>
      <t>26.12.2024 :Payment processed.</t>
    </r>
    <r>
      <rPr>
        <sz val="14"/>
        <rFont val="Calibri"/>
        <family val="2"/>
        <scheme val="minor"/>
      </rPr>
      <t xml:space="preserve">
</t>
    </r>
  </si>
  <si>
    <r>
      <t xml:space="preserve">21.06.2024 - FPO sent to Avite - to follow PFI
20.11.2024 :Shipment in transit/To follow ETA.
18.12.2024 :Shipment reached MRU &amp; Custom clearance has started/To proceed with RFP.
19.12.2024 :Rfp processed/Waiting for POP.
</t>
    </r>
    <r>
      <rPr>
        <sz val="14"/>
        <color rgb="FFFF0000"/>
        <rFont val="Calibri"/>
        <family val="2"/>
        <scheme val="minor"/>
      </rPr>
      <t>26.12.2024 :Payment processed.</t>
    </r>
  </si>
  <si>
    <t>Approved Request for Payment by AB/MC</t>
  </si>
  <si>
    <t>RFP not approved  - Inv dated Nov, new price applied
New Price List applicable as from 06.12.24</t>
  </si>
  <si>
    <r>
      <rPr>
        <sz val="14"/>
        <color theme="1"/>
        <rFont val="Calibri"/>
        <family val="2"/>
        <scheme val="minor"/>
      </rPr>
      <t>11/11/2024- Clearance  + to process rfp</t>
    </r>
    <r>
      <rPr>
        <sz val="14"/>
        <color rgb="FFFF0000"/>
        <rFont val="Calibri"/>
        <family val="2"/>
        <scheme val="minor"/>
      </rPr>
      <t xml:space="preserve">
27/01/2025-Delivered , </t>
    </r>
  </si>
  <si>
    <t xml:space="preserve">T/T TRANSFER </t>
  </si>
  <si>
    <t>NATURAL FLAVOUR LEMON-XX-XX-XX - SEA FREIGHT</t>
  </si>
  <si>
    <r>
      <t>05/09/2024  FPO sent to supplier /Acknowledge good receipt  
03/10/2024 : to follow up  production status . 
05/11/2024 :  Loading scheduled 05.11.2024 (as per mail received on 08.10.2024)</t>
    </r>
    <r>
      <rPr>
        <sz val="14"/>
        <color rgb="FFFF0000"/>
        <rFont val="Calibri"/>
        <family val="2"/>
        <scheme val="minor"/>
      </rPr>
      <t xml:space="preserve">
</t>
    </r>
    <r>
      <rPr>
        <sz val="14"/>
        <rFont val="Calibri"/>
        <family val="2"/>
        <scheme val="minor"/>
      </rPr>
      <t xml:space="preserve">11/11/2024 : Ready for collection 13/11/2024 </t>
    </r>
    <r>
      <rPr>
        <sz val="14"/>
        <color rgb="FFFF0000"/>
        <rFont val="Calibri"/>
        <family val="2"/>
        <scheme val="minor"/>
      </rPr>
      <t xml:space="preserve">
</t>
    </r>
    <r>
      <rPr>
        <sz val="14"/>
        <rFont val="Calibri"/>
        <family val="2"/>
        <scheme val="minor"/>
      </rPr>
      <t xml:space="preserve">18/11/2024 : follow up with loading confirmation 
02/12/2024 : to follow up with shipping details
27/12/2024 : shipping documents received /
20/01/2025 : RFP done / under clearance  - to follow up with POP
10/02/2025 : GRN DONE -14/01/2025 &amp;  PAID </t>
    </r>
    <r>
      <rPr>
        <sz val="14"/>
        <color rgb="FFFF0000"/>
        <rFont val="Calibri"/>
        <family val="2"/>
        <scheme val="minor"/>
      </rPr>
      <t xml:space="preserve">
</t>
    </r>
  </si>
  <si>
    <t>FPO11973</t>
  </si>
  <si>
    <t>IPR140602</t>
  </si>
  <si>
    <t xml:space="preserve">KIOO LIMITED </t>
  </si>
  <si>
    <t>300 ml MP Fanta - Flint - FLINT
300 ml Schweppes Soda - FLINT
300 ml Coke Ultra - English - (Red Print) - FLINT</t>
  </si>
  <si>
    <t>FPO11972</t>
  </si>
  <si>
    <t>IPR141269</t>
  </si>
  <si>
    <t>MALT-MELANOIDIN-XX-XX</t>
  </si>
  <si>
    <t>FPO11975</t>
  </si>
  <si>
    <t>FPO11974</t>
  </si>
  <si>
    <t>IPR11974</t>
  </si>
  <si>
    <t>IPR141348</t>
  </si>
  <si>
    <t>Plastic Sheets 1290 x 920 x 3.5mm</t>
  </si>
  <si>
    <t>33CL  EMPTY GLASS BOTTLES GREEN - 1ST LOT</t>
  </si>
  <si>
    <r>
      <t xml:space="preserve">06/12/2024: FOLLOW-UP ON ORDER READINESS
26/12/2024: ORDER WILL BE READY WEEK 02 OF 2025 (06.01 - 10.01.2025) / TO FOLLOW
06/01/2025: ORDER READY THIS WEEK / LOGISTIC TO NOMINATE FREIGHT FORWARDER / TO FOLLOW
13/01/2025: ORDER READY BY 15.01.2025 / F.FORWARDER NOMINATED (MC EASY) / FOLLOW-UP ON ETD &amp; ETA
</t>
    </r>
    <r>
      <rPr>
        <sz val="14"/>
        <color rgb="FFFF0000"/>
        <rFont val="Calibri"/>
        <family val="2"/>
        <scheme val="minor"/>
      </rPr>
      <t xml:space="preserve">20/01/2025: ORDER COLLECTED BY F.FORWARDER (MC EASY) / ETD SCHEDULED FOR 25.01 &amp; ETA 04.02, see next line for further details on shipping dates </t>
    </r>
  </si>
  <si>
    <t xml:space="preserve">FINISHED PRODUCTS </t>
  </si>
  <si>
    <t>FPO11936</t>
  </si>
  <si>
    <t>IPR140875</t>
  </si>
  <si>
    <t>AEB AFRICA</t>
  </si>
  <si>
    <t>30 days invoice date</t>
  </si>
  <si>
    <t>FPO11882</t>
  </si>
  <si>
    <t>IPR140422</t>
  </si>
  <si>
    <t>ADVINI SA</t>
  </si>
  <si>
    <t>90 days invoice date</t>
  </si>
  <si>
    <r>
      <rPr>
        <sz val="14"/>
        <color theme="1"/>
        <rFont val="Calibri"/>
        <family val="2"/>
        <scheme val="minor"/>
      </rPr>
      <t xml:space="preserve">09/12/2024-FPO SENT AND TO PROCESS RFP 
16/12/2024- Awt Pop of advance payment(reminder sent) 
23/12/2024- Bank details to a/c dept + call back done , awt pop 
07/01/2025- Pop to supplier, order readiness today 07/01/2025, mawb full packing details to arrange collection
</t>
    </r>
    <r>
      <rPr>
        <sz val="14"/>
        <color rgb="FFFF0000"/>
        <rFont val="Calibri"/>
        <family val="2"/>
        <scheme val="minor"/>
      </rPr>
      <t xml:space="preserve">21/01/2025- PAID + DELIKVERED </t>
    </r>
  </si>
  <si>
    <t>FPO11927</t>
  </si>
  <si>
    <t>IPR140793</t>
  </si>
  <si>
    <t>FPO11928</t>
  </si>
  <si>
    <t>IPR140796</t>
  </si>
  <si>
    <t>FPO11926</t>
  </si>
  <si>
    <t>IPR140791</t>
  </si>
  <si>
    <t>Shipping Documents Receipt/ Validation / modification V/S FPO</t>
  </si>
  <si>
    <t>Logistic  / Booking</t>
  </si>
  <si>
    <t>COA POSTED DATE</t>
  </si>
  <si>
    <r>
      <rPr>
        <sz val="14"/>
        <color theme="1"/>
        <rFont val="Calibri"/>
        <family val="2"/>
        <scheme val="minor"/>
      </rPr>
      <t xml:space="preserve">06/02/2025- Under clearance and awoiting revised SADC + Health certificate </t>
    </r>
    <r>
      <rPr>
        <sz val="14"/>
        <color rgb="FFFF0000"/>
        <rFont val="Calibri"/>
        <family val="2"/>
        <scheme val="minor"/>
      </rPr>
      <t xml:space="preserve">
13/02/2025- Goods cleared , note amended SADC + hc received </t>
    </r>
  </si>
  <si>
    <r>
      <rPr>
        <sz val="14"/>
        <color theme="1"/>
        <rFont val="Calibri"/>
        <family val="2"/>
        <scheme val="minor"/>
      </rPr>
      <t xml:space="preserve">26/08/2024- Fpo sent and awt readiness
07/10/2024- Awt readiness 
06/11/2024- Monitor Eta + awt shipping docs 
23/12/2024-Monitor Eta  + issue with weight on invoice , Gross weight to be as per Bl 
07/01/2025- Clearance + to process RFP 
</t>
    </r>
    <r>
      <rPr>
        <sz val="14"/>
        <color rgb="FFFF0000"/>
        <rFont val="Calibri"/>
        <family val="2"/>
        <scheme val="minor"/>
      </rPr>
      <t>12/02/2025- Delivered + awt Pop ( note Credit note R20000069 + R20000611 - ZAR 533814.30 DEDUTED FROM THIS PO)</t>
    </r>
  </si>
  <si>
    <t>FPO11978</t>
  </si>
  <si>
    <t>IPR140877</t>
  </si>
  <si>
    <t>FILTRASE</t>
  </si>
  <si>
    <t>FPO11961</t>
  </si>
  <si>
    <t>IPR141077</t>
  </si>
  <si>
    <t>SAVANNAH BRANDS COMPANY LIMITED</t>
  </si>
  <si>
    <t>GIN</t>
  </si>
  <si>
    <t>FPO11960</t>
  </si>
  <si>
    <t>IPR140870</t>
  </si>
  <si>
    <t>CONCENTRATE GUINESS</t>
  </si>
  <si>
    <t xml:space="preserve">15/01/2025
</t>
  </si>
  <si>
    <t>Spirit Brothers</t>
  </si>
  <si>
    <t>n/a</t>
  </si>
  <si>
    <r>
      <t xml:space="preserve">24/10/2024 : FPO sent to supplier 
04/11/2024 :Acknowledge good receipt .
</t>
    </r>
    <r>
      <rPr>
        <sz val="14"/>
        <rFont val="Calibri"/>
        <family val="2"/>
        <scheme val="minor"/>
      </rPr>
      <t xml:space="preserve">20/01/2025: PFI received / RFP DONE -  POP SENT OT SUPPLIER - TO FOLLOW UP NEXT LINE
</t>
    </r>
    <r>
      <rPr>
        <sz val="14"/>
        <color rgb="FFFF0000"/>
        <rFont val="Calibri"/>
        <family val="2"/>
        <scheme val="minor"/>
      </rPr>
      <t xml:space="preserve">04/02/2025: RFP - Done -To Follow up on POP &amp; NOA
</t>
    </r>
    <r>
      <rPr>
        <sz val="14"/>
        <color theme="1"/>
        <rFont val="Calibri"/>
        <family val="2"/>
        <scheme val="minor"/>
      </rPr>
      <t xml:space="preserve">
</t>
    </r>
  </si>
  <si>
    <t>MC Montreal / 509S</t>
  </si>
  <si>
    <r>
      <rPr>
        <sz val="14"/>
        <color theme="1"/>
        <rFont val="Calibri"/>
        <family val="2"/>
        <scheme val="minor"/>
      </rPr>
      <t xml:space="preserve">04/07/2024 : FPO sent to supplier 
03/10/2024 : Same as above </t>
    </r>
    <r>
      <rPr>
        <sz val="14"/>
        <color rgb="FFFF0000"/>
        <rFont val="Calibri"/>
        <family val="2"/>
        <scheme val="minor"/>
      </rPr>
      <t xml:space="preserve">
</t>
    </r>
    <r>
      <rPr>
        <sz val="14"/>
        <rFont val="Calibri"/>
        <family val="2"/>
        <scheme val="minor"/>
      </rPr>
      <t xml:space="preserve">28/10/2024 : Order ready for collection - booking done </t>
    </r>
    <r>
      <rPr>
        <sz val="14"/>
        <color rgb="FFFF0000"/>
        <rFont val="Calibri"/>
        <family val="2"/>
        <scheme val="minor"/>
      </rPr>
      <t xml:space="preserve">
</t>
    </r>
    <r>
      <rPr>
        <sz val="14"/>
        <rFont val="Calibri"/>
        <family val="2"/>
        <scheme val="minor"/>
      </rPr>
      <t xml:space="preserve">02/12/2024 : Shipping docs received  and  50% balance payment done - </t>
    </r>
    <r>
      <rPr>
        <sz val="14"/>
        <color rgb="FFFF0000"/>
        <rFont val="Calibri"/>
        <family val="2"/>
        <scheme val="minor"/>
      </rPr>
      <t xml:space="preserve">
</t>
    </r>
    <r>
      <rPr>
        <sz val="14"/>
        <rFont val="Calibri"/>
        <family val="2"/>
        <scheme val="minor"/>
      </rPr>
      <t>20/01/2025 : to follow up  NOA
27/01/2025: SJ - Takeover -  Vessel delayed - Clearence started</t>
    </r>
    <r>
      <rPr>
        <sz val="14"/>
        <color rgb="FFFF0000"/>
        <rFont val="Calibri"/>
        <family val="2"/>
        <scheme val="minor"/>
      </rPr>
      <t xml:space="preserve">
31/01/2025 : Clearence obtained - GRN raised - 03/02/2025
</t>
    </r>
  </si>
  <si>
    <r>
      <t xml:space="preserve">25/11/2024 : FPO  sent to suppier 
02/12/2024 :  OC received . 
20/01/2025 : RFP done  - to follow up with POP - Done
</t>
    </r>
    <r>
      <rPr>
        <sz val="14"/>
        <color rgb="FFFF0000"/>
        <rFont val="Calibri"/>
        <family val="2"/>
        <scheme val="minor"/>
      </rPr>
      <t>13/02/2025: Booking done - FOLLOW UP ON BL &amp; SHIPPING DOCS</t>
    </r>
  </si>
  <si>
    <r>
      <t xml:space="preserve">18/11/2024 : FPO sent to supplier - Waiting for the OC 
02/12/2024 : Acknowledge good receipt and PFI received. 
14/01/2025 : To follow up with production 
17/01/2025 : Production completed . Shipping docs received . RFP done and to be signed by BT .  To follow up  NOA . 
</t>
    </r>
    <r>
      <rPr>
        <sz val="14"/>
        <color rgb="FFFF0000"/>
        <rFont val="Calibri"/>
        <family val="2"/>
        <scheme val="minor"/>
      </rPr>
      <t xml:space="preserve">14/02/2025: Order Cleared  To follow up on GRN - 50K units received free of charged for Tonic </t>
    </r>
  </si>
  <si>
    <r>
      <rPr>
        <b/>
        <u/>
        <sz val="14"/>
        <rFont val="Calibri"/>
        <family val="2"/>
        <scheme val="minor"/>
      </rPr>
      <t>Coloaded with FPO11633 &amp; FPO11655</t>
    </r>
    <r>
      <rPr>
        <sz val="14"/>
        <rFont val="Calibri"/>
        <family val="2"/>
        <scheme val="minor"/>
      </rPr>
      <t xml:space="preserve">
25/11/2024 : FPO  sent to suppier /
02/12/2024 :  Acknowledge good receipt
27/12/2024 : loading the 19/12 - to follow up with shipping documents . </t>
    </r>
    <r>
      <rPr>
        <sz val="14"/>
        <color rgb="FFFF0000"/>
        <rFont val="Calibri"/>
        <family val="2"/>
        <scheme val="minor"/>
      </rPr>
      <t xml:space="preserve">
</t>
    </r>
    <r>
      <rPr>
        <sz val="14"/>
        <rFont val="Calibri"/>
        <family val="2"/>
        <scheme val="minor"/>
      </rPr>
      <t>14/01/2025 : Shipping docs received .</t>
    </r>
    <r>
      <rPr>
        <sz val="14"/>
        <color rgb="FFFF0000"/>
        <rFont val="Calibri"/>
        <family val="2"/>
        <scheme val="minor"/>
      </rPr>
      <t xml:space="preserve">
</t>
    </r>
    <r>
      <rPr>
        <sz val="14"/>
        <rFont val="Calibri"/>
        <family val="2"/>
        <scheme val="minor"/>
      </rPr>
      <t xml:space="preserve">20/01/2025 : RFP  DONE / To follow up NOA   
10/02/2025 : IMPORT DISCHARGE 08/02/2025 
</t>
    </r>
    <r>
      <rPr>
        <sz val="14"/>
        <color rgb="FFFF0000"/>
        <rFont val="Calibri"/>
        <family val="2"/>
        <scheme val="minor"/>
      </rPr>
      <t xml:space="preserve">14/02/2025: clearence obtained  &amp; GRN </t>
    </r>
  </si>
  <si>
    <r>
      <rPr>
        <b/>
        <u/>
        <sz val="14"/>
        <rFont val="Calibri"/>
        <family val="2"/>
        <scheme val="minor"/>
      </rPr>
      <t xml:space="preserve">Colloaded with   FPO11633 &amp;  FPO11814 </t>
    </r>
    <r>
      <rPr>
        <sz val="14"/>
        <rFont val="Calibri"/>
        <family val="2"/>
        <scheme val="minor"/>
      </rPr>
      <t xml:space="preserve">
13/09/2024 : FPO sent to supplier 
03/10/2024 :  Awaiting for the Acknowledge good receipt . 
27/12/2024 - Loading scheduled 19.12.2024  - To follow up with shipping documents .
10/01/2025 : Shipping docs received . To do RFP 
20/01/2025 : RFP done / follow up NOA    
10/02/2025 : IMPORT DISCHARGE 08/02/2025 
</t>
    </r>
    <r>
      <rPr>
        <sz val="14"/>
        <color rgb="FFFF0000"/>
        <rFont val="Calibri"/>
        <family val="2"/>
        <scheme val="minor"/>
      </rPr>
      <t xml:space="preserve">14/02/2025: clearence obtained  &amp; GRN </t>
    </r>
  </si>
  <si>
    <r>
      <t xml:space="preserve">05/02/2025 - ORDER DELIVERED - GRN DONE 09/12/2024 - FOR 1ST BATCH 
10/02/2025 - Awaiting for clearance &amp; GRN of 2nd shipment - 550 000 units ( ADD ON ) 23.5 G 
</t>
    </r>
    <r>
      <rPr>
        <sz val="14"/>
        <color rgb="FFFF0000"/>
        <rFont val="Calibri"/>
        <family val="2"/>
        <scheme val="minor"/>
      </rPr>
      <t xml:space="preserve">14/02/2025: clearence obtained  &amp; GRN </t>
    </r>
  </si>
  <si>
    <t>N/A</t>
  </si>
  <si>
    <t>19.02.2025</t>
  </si>
  <si>
    <t xml:space="preserve">01/11/2024
</t>
  </si>
  <si>
    <t>20.02.2025</t>
  </si>
  <si>
    <t>14.02.2025</t>
  </si>
  <si>
    <r>
      <rPr>
        <sz val="14"/>
        <rFont val="Calibri"/>
        <family val="2"/>
        <scheme val="minor"/>
      </rPr>
      <t>21.12.2023: FPO SENT TO SUPPLIER / OC received.</t>
    </r>
    <r>
      <rPr>
        <sz val="14"/>
        <color rgb="FFFF3300"/>
        <rFont val="Calibri"/>
        <family val="2"/>
        <scheme val="minor"/>
      </rPr>
      <t xml:space="preserve">
</t>
    </r>
    <r>
      <rPr>
        <sz val="14"/>
        <rFont val="Calibri"/>
        <family val="2"/>
        <scheme val="minor"/>
      </rPr>
      <t>15.05.2024 :To follow remaining balance.</t>
    </r>
    <r>
      <rPr>
        <sz val="14"/>
        <color rgb="FFFF3300"/>
        <rFont val="Calibri"/>
        <family val="2"/>
        <scheme val="minor"/>
      </rPr>
      <t xml:space="preserve">
</t>
    </r>
    <r>
      <rPr>
        <sz val="14"/>
        <rFont val="Calibri"/>
        <family val="2"/>
        <scheme val="minor"/>
      </rPr>
      <t>22.05.2024 :Waiting for confirmation of fresh batch for Mango Chamomile.</t>
    </r>
    <r>
      <rPr>
        <sz val="14"/>
        <color rgb="FFFF3300"/>
        <rFont val="Calibri"/>
        <family val="2"/>
        <scheme val="minor"/>
      </rPr>
      <t xml:space="preserve">
</t>
    </r>
    <r>
      <rPr>
        <sz val="14"/>
        <rFont val="Calibri"/>
        <family val="2"/>
        <scheme val="minor"/>
      </rPr>
      <t>10.02.2025:Lindo to check receipts of fresh ingredients (DM to consider cancelling order - to follow)</t>
    </r>
    <r>
      <rPr>
        <sz val="14"/>
        <color rgb="FFFF0000"/>
        <rFont val="Calibri"/>
        <family val="2"/>
        <scheme val="minor"/>
      </rPr>
      <t xml:space="preserve">
17.02.2025 :To close PO.</t>
    </r>
  </si>
  <si>
    <r>
      <rPr>
        <sz val="14"/>
        <rFont val="Calibri"/>
        <family val="2"/>
        <scheme val="minor"/>
      </rPr>
      <t>07/08/2024- FPO SENT AND WAITING FOR OC &amp; PFI.</t>
    </r>
    <r>
      <rPr>
        <sz val="14"/>
        <color rgb="FFFF0000"/>
        <rFont val="Calibri"/>
        <family val="2"/>
        <scheme val="minor"/>
      </rPr>
      <t xml:space="preserve">
</t>
    </r>
    <r>
      <rPr>
        <sz val="14"/>
        <rFont val="Calibri"/>
        <family val="2"/>
        <scheme val="minor"/>
      </rPr>
      <t>13/08/2024 :OC &amp; PFI received/Waiting for order readiness.</t>
    </r>
    <r>
      <rPr>
        <sz val="14"/>
        <color rgb="FFFF0000"/>
        <rFont val="Calibri"/>
        <family val="2"/>
        <scheme val="minor"/>
      </rPr>
      <t xml:space="preserve">
</t>
    </r>
    <r>
      <rPr>
        <sz val="14"/>
        <rFont val="Calibri"/>
        <family val="2"/>
        <scheme val="minor"/>
      </rPr>
      <t>28/08/2024 :OC received/Waiting for order readiness.</t>
    </r>
    <r>
      <rPr>
        <sz val="14"/>
        <color rgb="FFFF0000"/>
        <rFont val="Calibri"/>
        <family val="2"/>
        <scheme val="minor"/>
      </rPr>
      <t xml:space="preserve">
</t>
    </r>
    <r>
      <rPr>
        <sz val="14"/>
        <color theme="1"/>
        <rFont val="Calibri"/>
        <family val="2"/>
        <scheme val="minor"/>
      </rPr>
      <t>03.09.2024 :Reminder sent for order readiness.
30.09.2024 :Order to be ready 06/11/2024.
06.12.2024 :Order postponed to december as per demand planning/Waiting for order readiness.
06.01.2025 :Order ready/To follow ETA.</t>
    </r>
    <r>
      <rPr>
        <sz val="14"/>
        <rFont val="Calibri"/>
        <family val="2"/>
        <scheme val="minor"/>
      </rPr>
      <t xml:space="preserve">
05/02/2025- Delivered, awt grn + to process RFP</t>
    </r>
    <r>
      <rPr>
        <sz val="14"/>
        <color rgb="FFFF0000"/>
        <rFont val="Calibri"/>
        <family val="2"/>
        <scheme val="minor"/>
      </rPr>
      <t xml:space="preserve">
</t>
    </r>
    <r>
      <rPr>
        <sz val="14"/>
        <rFont val="Calibri"/>
        <family val="2"/>
        <scheme val="minor"/>
      </rPr>
      <t>10.02.2025 :RFP processed/Waiting for POP.</t>
    </r>
    <r>
      <rPr>
        <sz val="14"/>
        <color rgb="FFFF0000"/>
        <rFont val="Calibri"/>
        <family val="2"/>
        <scheme val="minor"/>
      </rPr>
      <t xml:space="preserve">
17.02.2025 :Payment processed.</t>
    </r>
  </si>
  <si>
    <r>
      <rPr>
        <sz val="14"/>
        <rFont val="Calibri"/>
        <family val="2"/>
        <scheme val="minor"/>
      </rPr>
      <t>12/08/2024- FPO SENT AND WAITING FOR OC &amp; PFI.</t>
    </r>
    <r>
      <rPr>
        <sz val="14"/>
        <color rgb="FFFF0000"/>
        <rFont val="Calibri"/>
        <family val="2"/>
        <scheme val="minor"/>
      </rPr>
      <t xml:space="preserve">
</t>
    </r>
    <r>
      <rPr>
        <sz val="14"/>
        <rFont val="Calibri"/>
        <family val="2"/>
        <scheme val="minor"/>
      </rPr>
      <t>13/08/2024 :OC &amp; PFI received/Waiting for order readiness.</t>
    </r>
    <r>
      <rPr>
        <sz val="14"/>
        <color rgb="FFFF0000"/>
        <rFont val="Calibri"/>
        <family val="2"/>
        <scheme val="minor"/>
      </rPr>
      <t xml:space="preserve">
</t>
    </r>
    <r>
      <rPr>
        <sz val="14"/>
        <rFont val="Calibri"/>
        <family val="2"/>
        <scheme val="minor"/>
      </rPr>
      <t>30.10.2024 :Order ready 15.11.2024</t>
    </r>
    <r>
      <rPr>
        <sz val="14"/>
        <color rgb="FFFF0000"/>
        <rFont val="Calibri"/>
        <family val="2"/>
        <scheme val="minor"/>
      </rPr>
      <t xml:space="preserve">
</t>
    </r>
    <r>
      <rPr>
        <sz val="14"/>
        <rFont val="Calibri"/>
        <family val="2"/>
        <scheme val="minor"/>
      </rPr>
      <t>18.11.2024 :Order ready/Logistic team working on nominated forwarder.
22.11.2024 :MC EASYFREIGHT nominated/Booking done/To follow ETA.
26.11.2024 :Shipment reached MRU/Custom clearance has started/To proceed with RFP.</t>
    </r>
    <r>
      <rPr>
        <sz val="14"/>
        <color rgb="FFFF0000"/>
        <rFont val="Calibri"/>
        <family val="2"/>
        <scheme val="minor"/>
      </rPr>
      <t xml:space="preserve">
</t>
    </r>
    <r>
      <rPr>
        <sz val="14"/>
        <rFont val="Calibri"/>
        <family val="2"/>
        <scheme val="minor"/>
      </rPr>
      <t xml:space="preserve">16.12.2024 :Delivered/GRN done/To proceed with RFP.
17.12.2024 :RFP processed/Waiting for POP.
</t>
    </r>
    <r>
      <rPr>
        <sz val="14"/>
        <color rgb="FFFF0000"/>
        <rFont val="Calibri"/>
        <family val="2"/>
        <scheme val="minor"/>
      </rPr>
      <t>17.02.2025 :Payment processed.</t>
    </r>
  </si>
  <si>
    <r>
      <rPr>
        <sz val="14"/>
        <color theme="1"/>
        <rFont val="Calibri"/>
        <family val="2"/>
        <scheme val="minor"/>
      </rPr>
      <t xml:space="preserve">30/08/2024 :FPO processed on portal/Waitng for OC. 
05.11.2024 :OC received/Order to be ready 13/11/2024.
05.12.2024 :Order to be postponed in January/Waiting for supplier to response.
10.12.2024 :Order ready/Waiting for booking details.
11.12.2024 : Booking details received/To follow ETA and to proceed with RFP.
06.01.2025 :To follow ETA and to proceed with RFP.
</t>
    </r>
    <r>
      <rPr>
        <sz val="14"/>
        <rFont val="Calibri"/>
        <family val="2"/>
        <scheme val="minor"/>
      </rPr>
      <t>05/02/2025- DELIVERED, TO PROCESS RFP 
06.02.2025 :RFP processed/Waiting for POP.
10.02.2025 :Waiting for POP.</t>
    </r>
    <r>
      <rPr>
        <sz val="14"/>
        <color rgb="FFFF0000"/>
        <rFont val="Calibri"/>
        <family val="2"/>
        <scheme val="minor"/>
      </rPr>
      <t xml:space="preserve">
17.02.2025 :Payment processed.
</t>
    </r>
  </si>
  <si>
    <t>MSC GREENWICH - IP504R</t>
  </si>
  <si>
    <t>Approx. 28.02.2025</t>
  </si>
  <si>
    <t>Approx. 28.03.2025</t>
  </si>
  <si>
    <t xml:space="preserve">MSC WEST V V </t>
  </si>
  <si>
    <t>04.02.2025</t>
  </si>
  <si>
    <t>UBENA</t>
  </si>
  <si>
    <t>Aluminium Cans Coca Cola 33cl Export Mayco/Local BPANI 
Phoenix Rejuv Export BPA-NI</t>
  </si>
  <si>
    <r>
      <rPr>
        <sz val="14"/>
        <rFont val="Calibri"/>
        <family val="2"/>
        <scheme val="minor"/>
      </rPr>
      <t xml:space="preserve">
02/09/2024 : FPO sento to supplier - Acknowledge good receipt </t>
    </r>
    <r>
      <rPr>
        <sz val="14"/>
        <color rgb="FFFF0000"/>
        <rFont val="Calibri"/>
        <family val="2"/>
        <scheme val="minor"/>
      </rPr>
      <t xml:space="preserve">
</t>
    </r>
    <r>
      <rPr>
        <sz val="14"/>
        <rFont val="Calibri"/>
        <family val="2"/>
        <scheme val="minor"/>
      </rPr>
      <t xml:space="preserve">16/09/2024 : To follow up with production 
03/10/2024  : ready the 23.09.2024
05/11/2024 : under booking process 
18/11/2024 : booking done / shipping docs received 
27/12/2024 :  Clearance obtained  / To amend quantity 
14/01/2025 :  RFP done / To follow up with GRN - POP / 
20/01/2025 : To follow up with POP and issue with Damaged  Rolls . 
</t>
    </r>
    <r>
      <rPr>
        <sz val="14"/>
        <color rgb="FFFF0000"/>
        <rFont val="Calibri"/>
        <family val="2"/>
        <scheme val="minor"/>
      </rPr>
      <t xml:space="preserve">30/01/2025 : GRN Done 
</t>
    </r>
  </si>
  <si>
    <r>
      <rPr>
        <sz val="14"/>
        <rFont val="Calibri"/>
        <family val="2"/>
        <scheme val="minor"/>
      </rPr>
      <t xml:space="preserve">
02/09/2024 : FPO sento to supplier - Acknowledge good receipt 
15/10/2024 :  Ready for collection the 24/10/2024 
05/11/2024 : under booking process </t>
    </r>
    <r>
      <rPr>
        <sz val="14"/>
        <color rgb="FFFF0000"/>
        <rFont val="Calibri"/>
        <family val="2"/>
        <scheme val="minor"/>
      </rPr>
      <t xml:space="preserve">
</t>
    </r>
    <r>
      <rPr>
        <sz val="14"/>
        <rFont val="Calibri"/>
        <family val="2"/>
        <scheme val="minor"/>
      </rPr>
      <t xml:space="preserve">18/11/2024 : Booking done /
25/11/2024 :  Shipping documents received . 
27/12/2024 : Clearance obtained /  To amend quantity 
20/01/2025 : RFP and GRN  done  /To follow up with  POP 
</t>
    </r>
    <r>
      <rPr>
        <sz val="14"/>
        <color rgb="FFFF0000"/>
        <rFont val="Calibri"/>
        <family val="2"/>
        <scheme val="minor"/>
      </rPr>
      <t xml:space="preserve">30/01/2025 : GRN Done </t>
    </r>
    <r>
      <rPr>
        <sz val="14"/>
        <rFont val="Calibri"/>
        <family val="2"/>
        <scheme val="minor"/>
      </rPr>
      <t xml:space="preserve">
</t>
    </r>
  </si>
  <si>
    <t xml:space="preserve">on going </t>
  </si>
  <si>
    <t xml:space="preserve">01/05/2024
</t>
  </si>
  <si>
    <r>
      <rPr>
        <b/>
        <sz val="14"/>
        <rFont val="Calibri"/>
        <family val="2"/>
        <scheme val="minor"/>
      </rPr>
      <t>LOT344D</t>
    </r>
    <r>
      <rPr>
        <sz val="14"/>
        <rFont val="Calibri"/>
        <family val="2"/>
        <scheme val="minor"/>
      </rPr>
      <t xml:space="preserve">
2,135,610 units Phoenix Beer 33cl 
14,004 units Sample Cans Size 500ml
</t>
    </r>
  </si>
  <si>
    <t>BBASE- COKE-1600
BBASE- COKE NO SUGAR( KAIZEN)-300
BBASE- COKE NO SUGAR POSTMIX-16
BBASE- SPRITE-800
BBASE- FANTA ORANGE-875
BBASE- FANTA PASSION-160
BBASE- SCHWEPPE TONIC-60
BBASE- SCHWEPPE GINGER ALE-48
BBASE- SCHWEPPE SODA-12
BBASE- CRYSTAL WATER- WA12-360
BBASE- DASANI WATER- WA64-32
BBASE- COKE EINSTEIN (30% LESS SUGAR)-160
CONC- FUZE TEA - PEACH-240
CONC- FUZE TEA - APPLE LEMONGRASS-96
CONC- FUZE TEA -MANGO CAMOMILE-102
CONC - FUZE TEA - MANGO BAOBAB-72</t>
  </si>
  <si>
    <t xml:space="preserve">BBASE- SCHWEPPE TONIC-50
</t>
  </si>
  <si>
    <r>
      <t xml:space="preserve">24/10/2024 : FPO sent to supplier 
06/01/2025  : order ready  - BOOKING DONE .
20/01/2025 : To follow up loading confirmation and shipping docs </t>
    </r>
    <r>
      <rPr>
        <sz val="14"/>
        <color rgb="FFFF0000"/>
        <rFont val="Calibri"/>
        <family val="2"/>
        <scheme val="minor"/>
      </rPr>
      <t xml:space="preserve">
</t>
    </r>
    <r>
      <rPr>
        <sz val="14"/>
        <rFont val="Calibri"/>
        <family val="2"/>
        <scheme val="minor"/>
      </rPr>
      <t xml:space="preserve">27/01/2025: SJ - Takeover -  Vessel sailed- To do RFP &amp; to follow ETA
04/02/2025: RFP - Done -To Follow up on POP
</t>
    </r>
    <r>
      <rPr>
        <sz val="14"/>
        <color rgb="FFFF0000"/>
        <rFont val="Calibri"/>
        <family val="2"/>
        <scheme val="minor"/>
      </rPr>
      <t xml:space="preserve">13/02/2025 : To follow up on NOA -  ETA 13/03/2025
</t>
    </r>
  </si>
  <si>
    <r>
      <t xml:space="preserve">20/12/2024 : FPO sent to supplier 
14/01/2025 : Acknowledge good reeipt .PFI received </t>
    </r>
    <r>
      <rPr>
        <sz val="14"/>
        <color rgb="FFFF0000"/>
        <rFont val="Calibri"/>
        <family val="2"/>
        <scheme val="minor"/>
      </rPr>
      <t xml:space="preserve">
</t>
    </r>
    <r>
      <rPr>
        <sz val="14"/>
        <rFont val="Calibri"/>
        <family val="2"/>
        <scheme val="minor"/>
      </rPr>
      <t xml:space="preserve">20/01/2025 : To follow up production and loading confirmation 
04/02/2025: ETA confirmed - RFP Done - </t>
    </r>
    <r>
      <rPr>
        <sz val="14"/>
        <color rgb="FFFF0000"/>
        <rFont val="Calibri"/>
        <family val="2"/>
        <scheme val="minor"/>
      </rPr>
      <t xml:space="preserve">
</t>
    </r>
    <r>
      <rPr>
        <sz val="14"/>
        <rFont val="Calibri"/>
        <family val="2"/>
        <scheme val="minor"/>
      </rPr>
      <t xml:space="preserve">14/02/2025 To follow up on shipping docs - Packing List unavailable - relance by mail - 
</t>
    </r>
    <r>
      <rPr>
        <sz val="14"/>
        <color rgb="FFFF0000"/>
        <rFont val="Calibri"/>
        <family val="2"/>
        <scheme val="minor"/>
      </rPr>
      <t>18/02/2025 - Packing List Received - Follow NOA</t>
    </r>
  </si>
  <si>
    <r>
      <rPr>
        <sz val="14"/>
        <color theme="1"/>
        <rFont val="Calibri"/>
        <family val="2"/>
        <scheme val="minor"/>
      </rPr>
      <t xml:space="preserve">02/10/2024- FPO sent and awt readiness
09/12/2024- MONITOR ETA + DOCS 
16/12/2024- under clearance, note Received docs on 16/12/20234 @00H38 , to check 
23/12/2024- Clearance - inv to be amended to show same gw as bl + rfp 
07/01/2025- under clearance  + rfp 
12/02/2025- DELIVERED, PROCESS RFP 
</t>
    </r>
    <r>
      <rPr>
        <sz val="14"/>
        <color rgb="FFFF0000"/>
        <rFont val="Calibri"/>
        <family val="2"/>
        <scheme val="minor"/>
      </rPr>
      <t xml:space="preserve">18/02/2025- Awt pop </t>
    </r>
  </si>
  <si>
    <r>
      <rPr>
        <sz val="14"/>
        <color theme="1"/>
        <rFont val="Calibri"/>
        <family val="2"/>
        <scheme val="minor"/>
      </rPr>
      <t xml:space="preserve">02/10/2024- FPO sent and awt readiness
07/01/2025- MONITOR ETA + DOCS 
14/01/2025- Under clearance +  to check docs 
27/01/2025- Cleared, awt grn + to process rfp 
12/02/2025- DELIVERED, PROCESS RFP 
</t>
    </r>
    <r>
      <rPr>
        <sz val="14"/>
        <color rgb="FFFF0000"/>
        <rFont val="Calibri"/>
        <family val="2"/>
        <scheme val="minor"/>
      </rPr>
      <t xml:space="preserve">18/02/2025- Awt pop 
</t>
    </r>
  </si>
  <si>
    <t>LPO10013682</t>
  </si>
  <si>
    <t>PB</t>
  </si>
  <si>
    <t>IPR140809</t>
  </si>
  <si>
    <t>ALPLA</t>
  </si>
  <si>
    <t>PREFORM - FEB 2025</t>
  </si>
  <si>
    <t xml:space="preserve">
01/02/2025
</t>
  </si>
  <si>
    <t>21.02.2025</t>
  </si>
  <si>
    <r>
      <rPr>
        <sz val="14"/>
        <color theme="1"/>
        <rFont val="Calibri"/>
        <family val="2"/>
        <scheme val="minor"/>
      </rPr>
      <t xml:space="preserve">19/12/2024- MONITOR ETA + AWT DOCS
27/01/2025- Under clearance - SADC MISSING + TO PROCESS RFP 
</t>
    </r>
    <r>
      <rPr>
        <sz val="14"/>
        <color rgb="FFFF0000"/>
        <rFont val="Calibri"/>
        <family val="2"/>
        <scheme val="minor"/>
      </rPr>
      <t xml:space="preserve">18/02/2025- AWT POP (in red in a/c dpt file , to monitor ) </t>
    </r>
  </si>
  <si>
    <t xml:space="preserve">26/08/2024- Fpo sent and awt readiness
04/11/2024- Awt readiness 
18/11/2024- Logisitics to finalise booking 
23/12/2024- MONITOR ETA+ AWT DOCS 
27/01/2025- Clearance - SADC  MISSING + TO PROCESS RFP 
12/02/2025- AWT GRN 
18/02/2025- Grn done </t>
  </si>
  <si>
    <r>
      <rPr>
        <sz val="14"/>
        <color theme="1"/>
        <rFont val="Calibri"/>
        <family val="2"/>
        <scheme val="minor"/>
      </rPr>
      <t xml:space="preserve">30/09/2024- Fpo sent and awt readiness
04/11/2024- Awt readiness 
02/12/2024-Logistics will finalise booking with supplier once booking for the 10 containers have been completed(as maximum loading capacity 10TC)
05/12/2024- Under clearance + gross weight to be amended on invoice to show same as packing list 
</t>
    </r>
    <r>
      <rPr>
        <sz val="14"/>
        <color rgb="FFFF0000"/>
        <rFont val="Calibri"/>
        <family val="2"/>
        <scheme val="minor"/>
      </rPr>
      <t>18/02/2024- Delivered, Amended invoice received &amp; RFP processed +  AWT POP</t>
    </r>
  </si>
  <si>
    <r>
      <rPr>
        <sz val="14"/>
        <color theme="1"/>
        <rFont val="Calibri"/>
        <family val="2"/>
        <scheme val="minor"/>
      </rPr>
      <t xml:space="preserve">27/01/2025- Delivered  + to process RFP </t>
    </r>
    <r>
      <rPr>
        <sz val="14"/>
        <color rgb="FFFF0000"/>
        <rFont val="Calibri"/>
        <family val="2"/>
        <scheme val="minor"/>
      </rPr>
      <t xml:space="preserve">
18/02/2025- AWT POP 
</t>
    </r>
  </si>
  <si>
    <r>
      <rPr>
        <sz val="14"/>
        <color theme="1"/>
        <rFont val="Calibri"/>
        <family val="2"/>
        <scheme val="minor"/>
      </rPr>
      <t xml:space="preserve">26/08/2024- Fpo sent and awt readiness
07/10/2024- Awt readiness 
06/11/2021-Monitor Eta + awt shipping docs 
09/12/2024-monito Eta + docs 
23/12/2024- Monitor Eta + inv Gross weight should be amended to show same Gw as bl
27/01/2025- Delivered  + to process rfp 
</t>
    </r>
    <r>
      <rPr>
        <sz val="14"/>
        <color rgb="FFFF0000"/>
        <rFont val="Calibri"/>
        <family val="2"/>
        <scheme val="minor"/>
      </rPr>
      <t xml:space="preserve">18/02/2025- DELIVERED, AWT POP </t>
    </r>
  </si>
  <si>
    <r>
      <rPr>
        <sz val="14"/>
        <color theme="1"/>
        <rFont val="Calibri"/>
        <family val="2"/>
        <scheme val="minor"/>
      </rPr>
      <t xml:space="preserve">27/08/2024- FPO SENT AND AWT R
25/11/2024- Awt readiness 
16/12/2024- under clearance, note Received docs on 16/12/20234 @00H38 , to check 
23/12/2024- Clearance - inv to be amended to show same gw as bl + rfp 
07/01/2025- Under clearance + rfp 
</t>
    </r>
    <r>
      <rPr>
        <sz val="14"/>
        <rFont val="Calibri"/>
        <family val="2"/>
        <scheme val="minor"/>
      </rPr>
      <t xml:space="preserve">27/01/2025- Delivered+ to process rfp </t>
    </r>
    <r>
      <rPr>
        <sz val="14"/>
        <color rgb="FFFF0000"/>
        <rFont val="Calibri"/>
        <family val="2"/>
        <scheme val="minor"/>
      </rPr>
      <t xml:space="preserve">
18.02.2025 :AWT  POP and see next line for further details on 2nd lot </t>
    </r>
  </si>
  <si>
    <r>
      <rPr>
        <sz val="14"/>
        <color theme="1"/>
        <rFont val="Calibri"/>
        <family val="2"/>
        <scheme val="minor"/>
      </rPr>
      <t>04/11/2024- FPO SENT AND AWT READINESS
18/11/2024- Ready 06/11/2024, logistic doing needful for collection 
02/12/2024- Received etd and eta details but no vessel details + awt docs incl BL
09/12/2024- Monitor Eta + Rfp 
23/12/2024- Clearance obtained, awt grn + to process rfp 
27/01/2025- Delivered, TO PROCESS RFP</t>
    </r>
    <r>
      <rPr>
        <sz val="14"/>
        <color rgb="FFFF0000"/>
        <rFont val="Calibri"/>
        <family val="2"/>
        <scheme val="minor"/>
      </rPr>
      <t xml:space="preserve">
18/02/2025- Delivered , Awt Pop </t>
    </r>
  </si>
  <si>
    <r>
      <rPr>
        <sz val="14"/>
        <color theme="1"/>
        <rFont val="Calibri"/>
        <family val="2"/>
        <scheme val="minor"/>
      </rPr>
      <t>02/12/2024- Awt readiness (reminder sent)  - See next line for seafreight</t>
    </r>
    <r>
      <rPr>
        <sz val="14"/>
        <color rgb="FFFF0000"/>
        <rFont val="Calibri"/>
        <family val="2"/>
        <scheme val="minor"/>
      </rPr>
      <t xml:space="preserve">
</t>
    </r>
    <r>
      <rPr>
        <sz val="14"/>
        <color theme="1"/>
        <rFont val="Calibri"/>
        <family val="2"/>
        <scheme val="minor"/>
      </rPr>
      <t xml:space="preserve">09/12/2024- Under clearance + Rfp 
</t>
    </r>
    <r>
      <rPr>
        <sz val="14"/>
        <color rgb="FFFF0000"/>
        <rFont val="Calibri"/>
        <family val="2"/>
        <scheme val="minor"/>
      </rPr>
      <t>18/01/2025- Delivered + AWT POP</t>
    </r>
  </si>
  <si>
    <r>
      <rPr>
        <sz val="14"/>
        <color theme="1"/>
        <rFont val="Calibri"/>
        <family val="2"/>
        <scheme val="minor"/>
      </rPr>
      <t xml:space="preserve">07/10/2024- FPO SENT AND AWT READINESS
15/10/2024- AWT READINESS 
04/12/2024- Received shipping details from supplier for ocean freight , to monitor Eta 
</t>
    </r>
    <r>
      <rPr>
        <sz val="14"/>
        <color rgb="FFFF0000"/>
        <rFont val="Calibri"/>
        <family val="2"/>
        <scheme val="minor"/>
      </rPr>
      <t>18/01/2025- Delivered , awt POP</t>
    </r>
  </si>
  <si>
    <r>
      <rPr>
        <strike/>
        <sz val="14"/>
        <rFont val="Calibri"/>
        <family val="2"/>
        <scheme val="minor"/>
      </rPr>
      <t xml:space="preserve">31/01/2025
</t>
    </r>
    <r>
      <rPr>
        <sz val="14"/>
        <rFont val="Calibri"/>
        <family val="2"/>
        <scheme val="minor"/>
      </rPr>
      <t>23/02/2025</t>
    </r>
  </si>
  <si>
    <t>17.02.2025</t>
  </si>
  <si>
    <t>18.02.2025</t>
  </si>
  <si>
    <t>FPO11967</t>
  </si>
  <si>
    <t>IPR141239</t>
  </si>
  <si>
    <t>MALT-LOT 10</t>
  </si>
  <si>
    <t>APL NEW YORK</t>
  </si>
  <si>
    <t xml:space="preserve">BBASE- SCHWEPPE SODA-12
</t>
  </si>
  <si>
    <t xml:space="preserve">
CONC- FUZE TEA -MANGO CAMOMILE-102
</t>
  </si>
  <si>
    <t>MSC KERRY VII ZF503R</t>
  </si>
  <si>
    <t>FPO11969</t>
  </si>
  <si>
    <t>IPR141253</t>
  </si>
  <si>
    <t>Malt Lot 1</t>
  </si>
  <si>
    <t>CMA CGM TAGE</t>
  </si>
  <si>
    <t>FPO11981</t>
  </si>
  <si>
    <t>IPR141283</t>
  </si>
  <si>
    <t>FPO11996</t>
  </si>
  <si>
    <t>IPR141282</t>
  </si>
  <si>
    <t>FPO11980</t>
  </si>
  <si>
    <t>FPO12001</t>
  </si>
  <si>
    <t>BOTTLES -65 CL GUINESS GENIUS - 276,640 UNITS</t>
  </si>
  <si>
    <t xml:space="preserve">60 DAYS END OF MONTH </t>
  </si>
  <si>
    <t xml:space="preserve">ON GOING </t>
  </si>
  <si>
    <t>LPO10013683</t>
  </si>
  <si>
    <t>IPR140810</t>
  </si>
  <si>
    <t>PREFORM - MAR 2025</t>
  </si>
  <si>
    <t xml:space="preserve">61 DAYS END OF MONTH </t>
  </si>
  <si>
    <t xml:space="preserve">Note </t>
  </si>
  <si>
    <t xml:space="preserve">Call of by warehouse </t>
  </si>
  <si>
    <t>LPO10013699</t>
  </si>
  <si>
    <t>IPR140935</t>
  </si>
  <si>
    <t xml:space="preserve">ARCHEMICS LTD </t>
  </si>
  <si>
    <t>GLUE - AQUENCE- GL330</t>
  </si>
  <si>
    <t>1200 KG</t>
  </si>
  <si>
    <t>1,388,800 UNIT</t>
  </si>
  <si>
    <t>434,000 UNIT</t>
  </si>
  <si>
    <t>30 DAYS END OF MONTH</t>
  </si>
  <si>
    <t>LPO10013681</t>
  </si>
  <si>
    <t>IPR140811</t>
  </si>
  <si>
    <t>BDC</t>
  </si>
  <si>
    <t xml:space="preserve">PFILM </t>
  </si>
  <si>
    <t>11,000 KG</t>
  </si>
  <si>
    <t>LPO10013703</t>
  </si>
  <si>
    <t>IPR140881</t>
  </si>
  <si>
    <t>BLYCHEM</t>
  </si>
  <si>
    <t>PAPAIN CRYSTALASE</t>
  </si>
  <si>
    <t xml:space="preserve">500 KG </t>
  </si>
  <si>
    <t>LPO10013705</t>
  </si>
  <si>
    <t>IPR140951</t>
  </si>
  <si>
    <t>1000 KG</t>
  </si>
  <si>
    <t>LPO10014149</t>
  </si>
  <si>
    <t>IPR141459</t>
  </si>
  <si>
    <t>CARACTERE LTEE</t>
  </si>
  <si>
    <t>LABEL - GUINNESS 33 CL - BACK
LABEL - GUINNESS 65 CL - BACK</t>
  </si>
  <si>
    <t>100,000
100,000</t>
  </si>
  <si>
    <t>LPO10014018</t>
  </si>
  <si>
    <t>IPR141457</t>
  </si>
  <si>
    <t>LABEL - MANAWA IPA 33 CL - BACK
LABEL - MANAWA GOLDEN ALE 65 CL - BACK</t>
  </si>
  <si>
    <t>50,000
50,000</t>
  </si>
  <si>
    <t>LPO10013704</t>
  </si>
  <si>
    <t>IPR140873</t>
  </si>
  <si>
    <t>COROI</t>
  </si>
  <si>
    <t>TRISODIUM CITRATE-XX-XX-FOOD GRADE
CITRIC ACID-XX-XX-FOOD GRADE MONOHYDRATE
POTASSIUM SORBATE-XX-XX-XX
CALCIUM CHLORIDE-XX-XX-FOOD GRADE</t>
  </si>
  <si>
    <t>200
200
25
200</t>
  </si>
  <si>
    <t>LPO10013702</t>
  </si>
  <si>
    <t>IPR140911</t>
  </si>
  <si>
    <t xml:space="preserve">CHEM PLUS LTD </t>
  </si>
  <si>
    <t>SODIUM BENZOATE</t>
  </si>
  <si>
    <t>100 KG</t>
  </si>
  <si>
    <t>LPO10013700</t>
  </si>
  <si>
    <t>IPR140934</t>
  </si>
  <si>
    <t>CARTON &amp; BOXES CO LTD</t>
  </si>
  <si>
    <t>CTRAY - PLAIN WHITE CANS - 33CLX24</t>
  </si>
  <si>
    <t>20,000 UNIT</t>
  </si>
  <si>
    <t>LPO10013694</t>
  </si>
  <si>
    <t>IPR140786</t>
  </si>
  <si>
    <t>DAKRI</t>
  </si>
  <si>
    <t>CTRAY - PHX -REJUV-CANS - 50CLX24</t>
  </si>
  <si>
    <t>10000 UNIT</t>
  </si>
  <si>
    <t>LPO10013701</t>
  </si>
  <si>
    <t>IPR140933</t>
  </si>
  <si>
    <t xml:space="preserve">CBOX- GUINNESS -65CLX12 - EXPORT 
CBOX- GUINNESS -33CLX12 - EXPORT 
</t>
  </si>
  <si>
    <t>5500
3000</t>
  </si>
  <si>
    <t>LPO10013791</t>
  </si>
  <si>
    <t>IPR141007</t>
  </si>
  <si>
    <t>IDL</t>
  </si>
  <si>
    <t>ALCOHOL NEUTRAL - 23% abv</t>
  </si>
  <si>
    <t>LPO10013684</t>
  </si>
  <si>
    <t>IPR140806</t>
  </si>
  <si>
    <t xml:space="preserve">LABELLING INDUSTRIES LTD </t>
  </si>
  <si>
    <t>LABEL - CRYSTAL  BOPP CLR</t>
  </si>
  <si>
    <t>LPO10014113</t>
  </si>
  <si>
    <t>IPR141428</t>
  </si>
  <si>
    <t>MSS</t>
  </si>
  <si>
    <t>SUGAR - WHITE</t>
  </si>
  <si>
    <t>600,000 KG</t>
  </si>
  <si>
    <t>LPO10013790</t>
  </si>
  <si>
    <t>IPR140947</t>
  </si>
  <si>
    <t>OMNICANE</t>
  </si>
  <si>
    <t>LPO10013792</t>
  </si>
  <si>
    <t>IPR141003</t>
  </si>
  <si>
    <t>LPO10013793</t>
  </si>
  <si>
    <t>IPR141009</t>
  </si>
  <si>
    <t>60 days BL</t>
  </si>
  <si>
    <t>FPO 11911 split on FPO12001</t>
  </si>
  <si>
    <r>
      <rPr>
        <sz val="14"/>
        <rFont val="Calibri"/>
        <family val="2"/>
        <scheme val="minor"/>
      </rPr>
      <t>29/10/2024 : FPO sent to supplier - Acknowledge good receipt
09/12/2024 :  to follow up on production - Mise a Disposition le 16/12/2024
16/12/2024 : Production done 13.12.2024 . Under booking process.</t>
    </r>
    <r>
      <rPr>
        <sz val="14"/>
        <color rgb="FFFF0000"/>
        <rFont val="Calibri"/>
        <family val="2"/>
        <scheme val="minor"/>
      </rPr>
      <t xml:space="preserve">
</t>
    </r>
    <r>
      <rPr>
        <sz val="14"/>
        <rFont val="Calibri"/>
        <family val="2"/>
        <scheme val="minor"/>
      </rPr>
      <t>23/12/2024 : Booking done .</t>
    </r>
    <r>
      <rPr>
        <sz val="14"/>
        <color rgb="FFFF0000"/>
        <rFont val="Calibri"/>
        <family val="2"/>
        <scheme val="minor"/>
      </rPr>
      <t xml:space="preserve">
</t>
    </r>
    <r>
      <rPr>
        <sz val="14"/>
        <rFont val="Calibri"/>
        <family val="2"/>
        <scheme val="minor"/>
      </rPr>
      <t xml:space="preserve">06/01/2025 :  Shipping docs received  and to follow up with loading confirmation . 
</t>
    </r>
    <r>
      <rPr>
        <sz val="14"/>
        <color rgb="FFFF0000"/>
        <rFont val="Calibri"/>
        <family val="2"/>
        <scheme val="minor"/>
      </rPr>
      <t xml:space="preserve">28/01/2025 : GRN done 
</t>
    </r>
  </si>
  <si>
    <r>
      <rPr>
        <sz val="14"/>
        <rFont val="Calibri"/>
        <family val="2"/>
        <scheme val="minor"/>
      </rPr>
      <t xml:space="preserve">28/10/2024-Moulds have already been transferred to Pondicherry plant. Production  to start around end of the month - to process balance payment upon receipt of scan BL 
16/12/2024 :  Shipping docs received / Awaiting for the final BL 
23/12/2024 : RFP done / POP sent to supplier 
14/01/2025 :  Delay due to port congestion - shipping docs received. 
20/01/2025 : To follow up with NOA 
</t>
    </r>
    <r>
      <rPr>
        <sz val="14"/>
        <color rgb="FFFF0000"/>
        <rFont val="Calibri"/>
        <family val="2"/>
        <scheme val="minor"/>
      </rPr>
      <t xml:space="preserve">13/02/2025: CLEARANCE OBTAINED - WAIT FOR GRN </t>
    </r>
  </si>
  <si>
    <r>
      <rPr>
        <sz val="14"/>
        <rFont val="Calibri"/>
        <family val="2"/>
        <scheme val="minor"/>
      </rPr>
      <t xml:space="preserve">09/12/2024 :  To follow up with acknowledge good receipt for amended FPO . </t>
    </r>
    <r>
      <rPr>
        <sz val="14"/>
        <color rgb="FFFF0000"/>
        <rFont val="Calibri"/>
        <family val="2"/>
        <scheme val="minor"/>
      </rPr>
      <t xml:space="preserve">
13/02/2025: CLEARANCE OBTAINED - WAIT FOR GRN </t>
    </r>
  </si>
  <si>
    <r>
      <rPr>
        <sz val="14"/>
        <rFont val="Calibri"/>
        <family val="2"/>
        <scheme val="minor"/>
      </rPr>
      <t>28/10/2024-Moulds have already been transferred to Pondicherry plant. Production  to start around end of the month - to process balance payment upon receipt of scan BL 
16/12/2024 : shipping docs received /  Awaiting for the final BL 
23/12/2024 : RFP done / POP sent to supplier -  
14/01/2025 :  Delay due to port congestion - shipping docs received. 
20/01/2025 : To follow up with NOA</t>
    </r>
    <r>
      <rPr>
        <sz val="14"/>
        <color rgb="FFFF0000"/>
        <rFont val="Calibri"/>
        <family val="2"/>
        <scheme val="minor"/>
      </rPr>
      <t xml:space="preserve"> 
13/02/2025: CLEARANCE OBTAINED - GRN DONE </t>
    </r>
  </si>
  <si>
    <r>
      <t xml:space="preserve">23.12.2024 - FPO raised - shipping docs received - 
15.01.2025 - to follow ETA &amp; to do RFP
31.01.2025 - arrived - clearance obtained - RFP done - to follow POP &amp; delivery of containers
</t>
    </r>
    <r>
      <rPr>
        <sz val="14"/>
        <color rgb="FFFF0000"/>
        <rFont val="Calibri"/>
        <family val="2"/>
        <scheme val="minor"/>
      </rPr>
      <t>24.02.2025 :Payment processed.</t>
    </r>
  </si>
  <si>
    <r>
      <t xml:space="preserve">23.12.2024 - FPO raised - shipping docs received - 
07.01.2025- to follow ETA &amp; to do RFP
15.01.2025 - RFP done - to follow POP &amp; ETA
31.01.2025 - arrived - Clearance obtained - to follow POP &amp; delivery of container
</t>
    </r>
    <r>
      <rPr>
        <sz val="14"/>
        <color rgb="FFFF0000"/>
        <rFont val="Calibri"/>
        <family val="2"/>
        <scheme val="minor"/>
      </rPr>
      <t>24.02.2025 :Payment processed.</t>
    </r>
  </si>
  <si>
    <r>
      <rPr>
        <sz val="14"/>
        <color theme="1"/>
        <rFont val="Calibri"/>
        <family val="2"/>
        <scheme val="minor"/>
      </rPr>
      <t>21/01/2025 - FPO SENT AND AWT READINESS</t>
    </r>
    <r>
      <rPr>
        <sz val="14"/>
        <color rgb="FFFF0000"/>
        <rFont val="Calibri"/>
        <family val="2"/>
        <scheme val="minor"/>
      </rPr>
      <t xml:space="preserve">
17/02/2025- awt docs/Approx. loading date 28.02.2025.
18.02.2025 - to cancel order.</t>
    </r>
  </si>
  <si>
    <t>12.02.2025</t>
  </si>
  <si>
    <r>
      <rPr>
        <sz val="14"/>
        <color theme="1"/>
        <rFont val="Calibri"/>
        <family val="2"/>
        <scheme val="minor"/>
      </rPr>
      <t xml:space="preserve">25/11/2024- AWT readiness 
23/12/2024- Monitor Eta + docs 
27/01/2025- Under clearance - SADC MISSING + to process RFP 
</t>
    </r>
    <r>
      <rPr>
        <sz val="14"/>
        <color rgb="FFFF0000"/>
        <rFont val="Calibri"/>
        <family val="2"/>
        <scheme val="minor"/>
      </rPr>
      <t xml:space="preserve">24/02/2025- GRN DONE 
</t>
    </r>
  </si>
  <si>
    <r>
      <rPr>
        <sz val="14"/>
        <color theme="1"/>
        <rFont val="Calibri"/>
        <family val="2"/>
        <scheme val="minor"/>
      </rPr>
      <t xml:space="preserve">04/11/2024- Fpo send and awt readiness
18/11/2024- Logistics to finalise booking
05/12/2024- Clearance (gross weight to be amended on invoice + rfp  
</t>
    </r>
    <r>
      <rPr>
        <sz val="14"/>
        <color rgb="FFFF0000"/>
        <rFont val="Calibri"/>
        <family val="2"/>
        <scheme val="minor"/>
      </rPr>
      <t xml:space="preserve">18/02/2025- Delivered </t>
    </r>
  </si>
  <si>
    <r>
      <rPr>
        <sz val="14"/>
        <color theme="1"/>
        <rFont val="Calibri"/>
        <family val="2"/>
        <scheme val="minor"/>
      </rPr>
      <t xml:space="preserve">26/08/2024- Fpo sent and awt readiness
23/12/2024- Monitor eta+ docs 
27/01/2025- Clearance - SADC  MISSING + TO PROCESS RFP 
</t>
    </r>
    <r>
      <rPr>
        <sz val="14"/>
        <color rgb="FFFF0000"/>
        <rFont val="Calibri"/>
        <family val="2"/>
        <scheme val="minor"/>
      </rPr>
      <t xml:space="preserve">18/02/2025- delivered </t>
    </r>
  </si>
  <si>
    <r>
      <rPr>
        <sz val="14"/>
        <color theme="1"/>
        <rFont val="Calibri"/>
        <family val="2"/>
        <scheme val="minor"/>
      </rPr>
      <t xml:space="preserve">11/09/2024- Fpo send and awt readiness 
04/11/2024- Awt readiness 
18/11/2024- Logistics to finalise booking 
02/12/2024-Logistics will finalise booking with supplier once booking for the 10 containers have been completed(as maximum loading capacity 10TC)
05/12/2024- Under clearance  + weight to be amended on invoice 
</t>
    </r>
    <r>
      <rPr>
        <sz val="14"/>
        <color rgb="FFFF0000"/>
        <rFont val="Calibri"/>
        <family val="2"/>
        <scheme val="minor"/>
      </rPr>
      <t xml:space="preserve">24/02/2024 - Delivered </t>
    </r>
  </si>
  <si>
    <r>
      <rPr>
        <sz val="14"/>
        <color theme="1"/>
        <rFont val="Calibri"/>
        <family val="2"/>
        <scheme val="minor"/>
      </rPr>
      <t xml:space="preserve">18/0/2025- clearance obtained , awt grn + awt signed rfp </t>
    </r>
    <r>
      <rPr>
        <sz val="14"/>
        <color rgb="FFFF0000"/>
        <rFont val="Calibri"/>
        <family val="2"/>
        <scheme val="minor"/>
      </rPr>
      <t xml:space="preserve">
24/02/2025- Delivered , awt Pop </t>
    </r>
  </si>
  <si>
    <t>MSC SOPHIE VII IW504R</t>
  </si>
  <si>
    <r>
      <rPr>
        <sz val="14"/>
        <color theme="1"/>
        <rFont val="Calibri"/>
        <family val="2"/>
        <scheme val="minor"/>
      </rPr>
      <t xml:space="preserve">07/01/2025- Monitor Eta + awt docs </t>
    </r>
    <r>
      <rPr>
        <sz val="14"/>
        <color rgb="FFFF0000"/>
        <rFont val="Calibri"/>
        <family val="2"/>
        <scheme val="minor"/>
      </rPr>
      <t xml:space="preserve">
24/02/2025- Delivered , Awt pop</t>
    </r>
  </si>
  <si>
    <r>
      <rPr>
        <sz val="14"/>
        <color theme="1"/>
        <rFont val="Calibri"/>
        <family val="2"/>
        <scheme val="minor"/>
      </rPr>
      <t xml:space="preserve">18/11/2024- Awt readiness </t>
    </r>
    <r>
      <rPr>
        <sz val="14"/>
        <color rgb="FFFF0000"/>
        <rFont val="Calibri"/>
        <family val="2"/>
        <scheme val="minor"/>
      </rPr>
      <t xml:space="preserve">
</t>
    </r>
    <r>
      <rPr>
        <sz val="14"/>
        <color theme="1"/>
        <rFont val="Calibri"/>
        <family val="2"/>
        <scheme val="minor"/>
      </rPr>
      <t xml:space="preserve">09/12/2024- Monitor Eta + docs 
23/12/2024- Landed , under clearance + received docs on 16/12/2024@ 00:38, to check + certificate of analysis+_ hc missing 
</t>
    </r>
    <r>
      <rPr>
        <sz val="14"/>
        <color rgb="FFFF0000"/>
        <rFont val="Calibri"/>
        <family val="2"/>
        <scheme val="minor"/>
      </rPr>
      <t>18/02/2025- Delivered</t>
    </r>
  </si>
  <si>
    <r>
      <rPr>
        <sz val="14"/>
        <color theme="1"/>
        <rFont val="Calibri"/>
        <family val="2"/>
        <scheme val="minor"/>
      </rPr>
      <t xml:space="preserve">07/01/2025- Monitor eta + awt docs 
27/01/2025- Cleared, awt Grn + to process RFP 
</t>
    </r>
    <r>
      <rPr>
        <sz val="14"/>
        <color rgb="FFFF0000"/>
        <rFont val="Calibri"/>
        <family val="2"/>
        <scheme val="minor"/>
      </rPr>
      <t xml:space="preserve">24/02/2025- Awt pop </t>
    </r>
  </si>
  <si>
    <r>
      <rPr>
        <sz val="14"/>
        <color theme="1"/>
        <rFont val="Calibri"/>
        <family val="2"/>
        <scheme val="minor"/>
      </rPr>
      <t>26/08/2024- Fpo sent and awt readiness
07/10/2024- Awt readiness 
06/11/2021-Monitor Eta + awt shipping docs 
23/12/2024-monitor Eta + docs 
14/01/2025- Clearance (HC + coa missing ) + rfp 
27/01/2025- Delivered, to procedd rfp 
24/</t>
    </r>
    <r>
      <rPr>
        <sz val="14"/>
        <color rgb="FFFF0000"/>
        <rFont val="Calibri"/>
        <family val="2"/>
        <scheme val="minor"/>
      </rPr>
      <t xml:space="preserve">02/2025- DELIVERED ,AWT POP </t>
    </r>
  </si>
  <si>
    <r>
      <rPr>
        <sz val="14"/>
        <color theme="1"/>
        <rFont val="Calibri"/>
        <family val="2"/>
        <scheme val="minor"/>
      </rPr>
      <t xml:space="preserve">23/12/2024-Monitor Eta + docs
07/01/2025- Monitor Eta + awt docs 
14/01/2025- Under clearance + to check docs 
12/02/2025- DELIVERED , TO PROCESS RFP 
</t>
    </r>
    <r>
      <rPr>
        <sz val="14"/>
        <color rgb="FFFF0000"/>
        <rFont val="Calibri"/>
        <family val="2"/>
        <scheme val="minor"/>
      </rPr>
      <t xml:space="preserve">24/02/2025- Awt pop </t>
    </r>
  </si>
  <si>
    <r>
      <rPr>
        <sz val="14"/>
        <color theme="1"/>
        <rFont val="Calibri"/>
        <family val="2"/>
        <scheme val="minor"/>
      </rPr>
      <t xml:space="preserve">26/08/2024- Fpo sent and awt readiness
29/10/2024- Awt readiness 
06/11/2024 -Monitor Eta , awt shipping documents 
16/12/2024-Monitor Eta + check docs 
23/12/2024- Clearance - inv to be amended to show same gw as bl + rfp 
27/01/2025- delivered + to process rfp 
</t>
    </r>
    <r>
      <rPr>
        <sz val="14"/>
        <color rgb="FFFF0000"/>
        <rFont val="Calibri"/>
        <family val="2"/>
        <scheme val="minor"/>
      </rPr>
      <t xml:space="preserve">24/02/2025- AWT POP </t>
    </r>
  </si>
  <si>
    <r>
      <rPr>
        <sz val="14"/>
        <color theme="1"/>
        <rFont val="Calibri"/>
        <family val="2"/>
        <scheme val="minor"/>
      </rPr>
      <t xml:space="preserve">09/12/2024- MONITOR ETA + AWT DOCS
16/12/2024- under clearance, note Received docs on 16/12/20234 @00H38 , to check 
23/12/2024- monitor Eta  - inv to be amended to show same gw as bl + rfp 
</t>
    </r>
    <r>
      <rPr>
        <sz val="14"/>
        <color rgb="FFFF0000"/>
        <rFont val="Calibri"/>
        <family val="2"/>
        <scheme val="minor"/>
      </rPr>
      <t xml:space="preserve">24/02/2025- AWT POP </t>
    </r>
  </si>
  <si>
    <r>
      <rPr>
        <sz val="14"/>
        <color theme="1"/>
        <rFont val="Calibri"/>
        <family val="2"/>
        <scheme val="minor"/>
      </rPr>
      <t xml:space="preserve">26/08/2024- Fpo sent and awt readiness
04/11/2024- Awt readiness
06/11/2024- Monitor eta+ awt docs
23/12/2024-Monitor Eta + AWT DOCS
14/01/2025- Under clearance - Hc + coa missing+product certificate missing
27/01/2025-Delivered, to process rdp
</t>
    </r>
    <r>
      <rPr>
        <sz val="14"/>
        <color rgb="FFFF0000"/>
        <rFont val="Calibri"/>
        <family val="2"/>
        <scheme val="minor"/>
      </rPr>
      <t xml:space="preserve">24/02/2025- AWT POP </t>
    </r>
  </si>
  <si>
    <t>CROWN CORK-PHOENIX BEER-XX-(BPA-NI) - 1,029,000
CROWN CORK-PLAIN HEALTH MESSAGE-XX-(BPA-NI) - 3,641,000
CROWN CORK-PEARONA-XX-(BPA-NI) - 509,000</t>
  </si>
  <si>
    <t>CROWN CORK-PHOENIX BEER-XX-(BPA-NI) - 1,958,000
CROWN CORK-PLAIN HEALTH MESSAGE-XX-(BPA-NI) - 1,056,000
CROWN CORK-BLUE MARLIN-XX-(BPA-NI) - 2,042,000</t>
  </si>
  <si>
    <r>
      <rPr>
        <sz val="14"/>
        <color theme="1"/>
        <rFont val="Calibri"/>
        <family val="2"/>
        <scheme val="minor"/>
      </rPr>
      <t xml:space="preserve">10/10/2024- FPO SENT AND TO DO RFP FOR 50% ADV </t>
    </r>
    <r>
      <rPr>
        <sz val="14"/>
        <color rgb="FFFF0000"/>
        <rFont val="Calibri"/>
        <family val="2"/>
        <scheme val="minor"/>
      </rPr>
      <t xml:space="preserve">
</t>
    </r>
    <r>
      <rPr>
        <sz val="14"/>
        <color theme="1"/>
        <rFont val="Calibri"/>
        <family val="2"/>
        <scheme val="minor"/>
      </rPr>
      <t>14/10/2024- Awt Pop adv payment</t>
    </r>
    <r>
      <rPr>
        <sz val="14"/>
        <color rgb="FFFF0000"/>
        <rFont val="Calibri"/>
        <family val="2"/>
        <scheme val="minor"/>
      </rPr>
      <t xml:space="preserve">
</t>
    </r>
    <r>
      <rPr>
        <sz val="14"/>
        <rFont val="Calibri"/>
        <family val="2"/>
        <scheme val="minor"/>
      </rPr>
      <t xml:space="preserve">20/01/2025- Pop to supplier, see next line for further details </t>
    </r>
  </si>
  <si>
    <r>
      <t xml:space="preserve">11/12/2024 : FPO sent to supplier 
27/12/2024 : Acknowledge receipt
13/02/2025 : to follow up with production 
</t>
    </r>
    <r>
      <rPr>
        <sz val="14"/>
        <color rgb="FFFF0000"/>
        <rFont val="Calibri"/>
        <family val="2"/>
        <scheme val="minor"/>
      </rPr>
      <t xml:space="preserve">24/02/2025 : Order ready - follow booking </t>
    </r>
  </si>
  <si>
    <r>
      <t xml:space="preserve">12/08/2024- FPO SENT AND WAITING FOR OC &amp; PFI.
03.01.2025 :Remaining balance has been shipped/To follow ETA.
08.01.2025 :Shipment reached MRU/Custom clearance has started/To proceed with RFP.
16.01.2025 :Delivered/GRN done/RFP processed/Waiting for POP.
</t>
    </r>
    <r>
      <rPr>
        <sz val="14"/>
        <rFont val="Calibri"/>
        <family val="2"/>
        <scheme val="minor"/>
      </rPr>
      <t>17.02.2025 :Waiting for POP.</t>
    </r>
    <r>
      <rPr>
        <sz val="14"/>
        <color theme="1"/>
        <rFont val="Calibri"/>
        <family val="2"/>
        <scheme val="minor"/>
      </rPr>
      <t xml:space="preserve">
</t>
    </r>
    <r>
      <rPr>
        <sz val="14"/>
        <color rgb="FFFF0000"/>
        <rFont val="Calibri"/>
        <family val="2"/>
        <scheme val="minor"/>
      </rPr>
      <t>24.02.2025 :Payment processed.</t>
    </r>
  </si>
  <si>
    <r>
      <rPr>
        <sz val="14"/>
        <color theme="1"/>
        <rFont val="Calibri"/>
        <family val="2"/>
        <scheme val="minor"/>
      </rPr>
      <t xml:space="preserve">10/09/2024: FPO sent to supplier - Awaiting fort he akcnowledge good receipt . 
03.01.2025 :Remaining balance has been shipped/To follow ETA.
08.01.2025 :Shipment reached MRU/Custom clearance has started/To proceed with RFP.
16.01.2025 :Delivered/GRN done/RFP processed/Waiting for POP.
</t>
    </r>
    <r>
      <rPr>
        <sz val="14"/>
        <rFont val="Calibri"/>
        <family val="2"/>
        <scheme val="minor"/>
      </rPr>
      <t>17.02.2025 :Waiting for POP.</t>
    </r>
    <r>
      <rPr>
        <sz val="14"/>
        <color rgb="FFFF0000"/>
        <rFont val="Calibri"/>
        <family val="2"/>
        <scheme val="minor"/>
      </rPr>
      <t xml:space="preserve">
24.02.2025 :Payment processed.</t>
    </r>
  </si>
  <si>
    <r>
      <t>12/08/2024- FPO SENT AND WAITING FOR OC &amp; PFI.
28.12.2024 :To follow remaining balance.
03.01.2025 :Remaining balance has been shipped/To follow ETA.
08.01.2025 :Shipment reached MRU/Custom clearance has started/To proceed with RFP.
16.01.2025 :Delivered/GRN done/RFP processed/Waiting for POP.
17.02.2025 :Waiting for POP.</t>
    </r>
    <r>
      <rPr>
        <sz val="14"/>
        <color rgb="FFFF0000"/>
        <rFont val="Calibri"/>
        <family val="2"/>
        <scheme val="minor"/>
      </rPr>
      <t xml:space="preserve">
24.02.2025 :Payment processed.
</t>
    </r>
    <r>
      <rPr>
        <sz val="14"/>
        <rFont val="Calibri"/>
        <family val="2"/>
        <scheme val="minor"/>
      </rPr>
      <t xml:space="preserve">
</t>
    </r>
  </si>
  <si>
    <r>
      <rPr>
        <sz val="14"/>
        <color theme="1"/>
        <rFont val="Calibri"/>
        <family val="2"/>
        <scheme val="minor"/>
      </rPr>
      <t xml:space="preserve">10/09/2024: FPO sent to supplier - Awaiting fort he akcnowledge good receipt . 
</t>
    </r>
    <r>
      <rPr>
        <sz val="14"/>
        <rFont val="Calibri"/>
        <family val="2"/>
        <scheme val="minor"/>
      </rPr>
      <t xml:space="preserve">17.02.2025 :Delivered/To follow GRN &amp; POP
</t>
    </r>
    <r>
      <rPr>
        <sz val="14"/>
        <color rgb="FFFF0000"/>
        <rFont val="Calibri"/>
        <family val="2"/>
        <scheme val="minor"/>
      </rPr>
      <t>24.02.2025 :Payment processed/GRN done.</t>
    </r>
  </si>
  <si>
    <r>
      <rPr>
        <sz val="14"/>
        <rFont val="Calibri"/>
        <family val="2"/>
        <scheme val="minor"/>
      </rPr>
      <t>18/10/2024- FPO SENT AND AWT READINESS</t>
    </r>
    <r>
      <rPr>
        <sz val="14"/>
        <color rgb="FFFF0000"/>
        <rFont val="Calibri"/>
        <family val="2"/>
        <scheme val="minor"/>
      </rPr>
      <t xml:space="preserve">
</t>
    </r>
    <r>
      <rPr>
        <sz val="14"/>
        <rFont val="Calibri"/>
        <family val="2"/>
        <scheme val="minor"/>
      </rPr>
      <t>06.01.2025 :OC received/Waiting for order readiness.
31.01.2025 :Order has been shipped/To follow ETA.
05.02.2025: Shipment reached MRU/Custom clearance has started.
10.02.2025 :Waiting for cheque for Gov. Napro. To proceed with clearance.</t>
    </r>
    <r>
      <rPr>
        <sz val="14"/>
        <color rgb="FFFF0000"/>
        <rFont val="Calibri"/>
        <family val="2"/>
        <scheme val="minor"/>
      </rPr>
      <t xml:space="preserve">
</t>
    </r>
    <r>
      <rPr>
        <sz val="14"/>
        <rFont val="Calibri"/>
        <family val="2"/>
        <scheme val="minor"/>
      </rPr>
      <t>12.02.2025 :Cheque received and sent to NAPRO/Waiting for receipt to proceed with clearance on Tradenet.</t>
    </r>
    <r>
      <rPr>
        <sz val="14"/>
        <color rgb="FFFF0000"/>
        <rFont val="Calibri"/>
        <family val="2"/>
        <scheme val="minor"/>
      </rPr>
      <t xml:space="preserve">
</t>
    </r>
    <r>
      <rPr>
        <sz val="14"/>
        <rFont val="Calibri"/>
        <family val="2"/>
        <scheme val="minor"/>
      </rPr>
      <t xml:space="preserve">17.02.2025 :NAPRO clearance received/Shipment under delivery/To proceed with RFP.
20.02.2025 :Delivered/To follow GRN and POP.
</t>
    </r>
    <r>
      <rPr>
        <sz val="14"/>
        <color rgb="FFFF0000"/>
        <rFont val="Calibri"/>
        <family val="2"/>
        <scheme val="minor"/>
      </rPr>
      <t>24.02.2025 :Payment processed/GRN done.</t>
    </r>
  </si>
  <si>
    <t xml:space="preserve">MSC Santa Maria / ZFS09R           </t>
  </si>
  <si>
    <r>
      <rPr>
        <sz val="14"/>
        <rFont val="Calibri"/>
        <family val="2"/>
        <scheme val="minor"/>
      </rPr>
      <t>09/12/2024-FPO SENT, waiting for OC &amp; PFI
05/02/2024- to check file + process rfp
10.02.2025 :RFP processed/Waiting for POP.</t>
    </r>
    <r>
      <rPr>
        <sz val="14"/>
        <color rgb="FFFF0000"/>
        <rFont val="Calibri"/>
        <family val="2"/>
        <scheme val="minor"/>
      </rPr>
      <t xml:space="preserve">
</t>
    </r>
    <r>
      <rPr>
        <sz val="14"/>
        <rFont val="Calibri"/>
        <family val="2"/>
        <scheme val="minor"/>
      </rPr>
      <t>17.02.2025 :POP.</t>
    </r>
    <r>
      <rPr>
        <sz val="14"/>
        <color rgb="FFFF0000"/>
        <rFont val="Calibri"/>
        <family val="2"/>
        <scheme val="minor"/>
      </rPr>
      <t xml:space="preserve">
25.02.2025 :Payment processed.</t>
    </r>
  </si>
  <si>
    <r>
      <rPr>
        <sz val="14"/>
        <rFont val="Calibri"/>
        <family val="2"/>
        <scheme val="minor"/>
      </rPr>
      <t xml:space="preserve">31/01/2025: FPO SENT TO SUPLLIER - TO FOLLOW ON RFP  </t>
    </r>
    <r>
      <rPr>
        <sz val="14"/>
        <color rgb="FFFF0000"/>
        <rFont val="Calibri"/>
        <family val="2"/>
        <scheme val="minor"/>
      </rPr>
      <t xml:space="preserve">
</t>
    </r>
    <r>
      <rPr>
        <sz val="14"/>
        <rFont val="Calibri"/>
        <family val="2"/>
        <scheme val="minor"/>
      </rPr>
      <t xml:space="preserve">04/02/2025: RFP done - To follow up on POP &amp; PACKING DETAILS </t>
    </r>
    <r>
      <rPr>
        <sz val="14"/>
        <color rgb="FFFF0000"/>
        <rFont val="Calibri"/>
        <family val="2"/>
        <scheme val="minor"/>
      </rPr>
      <t xml:space="preserve">
</t>
    </r>
    <r>
      <rPr>
        <sz val="14"/>
        <rFont val="Calibri"/>
        <family val="2"/>
        <scheme val="minor"/>
      </rPr>
      <t>17.02.2025 :POP sent to supplier/Shipment reached MRU/Under custom clearance.</t>
    </r>
    <r>
      <rPr>
        <sz val="14"/>
        <color rgb="FFFF0000"/>
        <rFont val="Calibri"/>
        <family val="2"/>
        <scheme val="minor"/>
      </rPr>
      <t xml:space="preserve">
25.02.2025 :Delievered/GRN done.</t>
    </r>
  </si>
  <si>
    <t>MK844</t>
  </si>
  <si>
    <t>MALT-LOT 1</t>
  </si>
  <si>
    <r>
      <t>12.12.2024 - FPO raised - shipping docs received - 
23.12.2024 - to follow ETA &amp; to do RFP
31.12.2024 - arrived - under clearance - 
07.01.2025 -  clearance will be  obtained upon verification by custom in our premises. 
15.01.2025 - RFP done - to follow POP</t>
    </r>
    <r>
      <rPr>
        <sz val="14"/>
        <color rgb="FFFF0000"/>
        <rFont val="Calibri"/>
        <family val="2"/>
        <scheme val="minor"/>
      </rPr>
      <t xml:space="preserve">
25/02/2025 :Payment processed.</t>
    </r>
  </si>
  <si>
    <r>
      <t xml:space="preserve">09.01.2025 - FPO raised - shipping docs received - 
</t>
    </r>
    <r>
      <rPr>
        <sz val="14"/>
        <color rgb="FFFF0000"/>
        <rFont val="Calibri"/>
        <family val="2"/>
        <scheme val="minor"/>
      </rPr>
      <t>15.01.2025 - to follow ETA &amp; POP
25.02.2025 :Shipment delivered/Payment processed.</t>
    </r>
  </si>
  <si>
    <t>FPO11999</t>
  </si>
  <si>
    <t>IPR141557</t>
  </si>
  <si>
    <t>MALT LOT 3</t>
  </si>
  <si>
    <t xml:space="preserve">Northern Jamboree </t>
  </si>
  <si>
    <t>FPO11998</t>
  </si>
  <si>
    <t>IPR141468</t>
  </si>
  <si>
    <t>BBASE- SCHWEPPE TONIC-60UN</t>
  </si>
  <si>
    <t>45 days Bill of Lading</t>
  </si>
  <si>
    <t>ANTIOXIN</t>
  </si>
  <si>
    <t xml:space="preserve">06/01/2024
</t>
  </si>
  <si>
    <t>MALT  - LOT 2</t>
  </si>
  <si>
    <r>
      <rPr>
        <sz val="14"/>
        <color theme="1"/>
        <rFont val="Calibri"/>
        <family val="2"/>
        <scheme val="minor"/>
      </rPr>
      <t xml:space="preserve">14/01/2025- Under clearance + Hc &amp; coa  missing
27/01/2025-Delivered, to process RFP  
</t>
    </r>
    <r>
      <rPr>
        <sz val="14"/>
        <color rgb="FFFF0000"/>
        <rFont val="Calibri"/>
        <family val="2"/>
        <scheme val="minor"/>
      </rPr>
      <t xml:space="preserve">25/02/2025- AWT POP </t>
    </r>
  </si>
  <si>
    <r>
      <rPr>
        <sz val="14"/>
        <color theme="1"/>
        <rFont val="Calibri"/>
        <family val="2"/>
        <scheme val="minor"/>
      </rPr>
      <t xml:space="preserve">05/12/2024- FPO SENT AND AWT READINESS
07/01/2025- MONITOR ETA + DOCS 
14/01/2025- Under clearance + to check docs 
</t>
    </r>
    <r>
      <rPr>
        <sz val="14"/>
        <color rgb="FFFF0000"/>
        <rFont val="Calibri"/>
        <family val="2"/>
        <scheme val="minor"/>
      </rPr>
      <t xml:space="preserve">25/02/2025- DELIVERED , awt pop
</t>
    </r>
  </si>
  <si>
    <r>
      <t xml:space="preserve">23/12/2024- FPO SENT AND AWT READINESS
07/01/2025- Monitor Eta + awt docs 
14/01/2025- Under clearance + to check docs 
12/02/2025- DELIVERED  + to process rfp
</t>
    </r>
    <r>
      <rPr>
        <sz val="14"/>
        <color rgb="FFFF0000"/>
        <rFont val="Calibri"/>
        <family val="2"/>
        <scheme val="minor"/>
      </rPr>
      <t xml:space="preserve">25/02/2025- Awt Pop , see next line for 2nd lot  </t>
    </r>
  </si>
  <si>
    <r>
      <rPr>
        <sz val="14"/>
        <color theme="1"/>
        <rFont val="Calibri"/>
        <family val="2"/>
        <scheme val="minor"/>
      </rPr>
      <t xml:space="preserve">04/11/2024- FPO SENT AND AWT READINESS
25/11/2024- Readiness 27/11/2024 , chargement end nov (29/11/2024), to monitor readiness
27/01/2025- under clearance + to process  rfp 
12/02/2025- Delivered, to process rfp 
</t>
    </r>
    <r>
      <rPr>
        <sz val="14"/>
        <color rgb="FFFF0000"/>
        <rFont val="Calibri"/>
        <family val="2"/>
        <scheme val="minor"/>
      </rPr>
      <t xml:space="preserve">25/02/2025- Awt Pop </t>
    </r>
  </si>
  <si>
    <r>
      <t xml:space="preserve">,SC YORK VII VIP503R
</t>
    </r>
    <r>
      <rPr>
        <sz val="14"/>
        <rFont val="Calibri"/>
        <family val="2"/>
        <scheme val="minor"/>
      </rPr>
      <t>MSC CANDICE V.IP506R</t>
    </r>
  </si>
  <si>
    <t>MSC HIMANSHI OA508A</t>
  </si>
  <si>
    <t>MSC BASEL V V.H1508R</t>
  </si>
  <si>
    <t>FPO12013</t>
  </si>
  <si>
    <t>IPR141592</t>
  </si>
  <si>
    <t xml:space="preserve">CONC ESKI VANILLA-18.993LT
CONC ESKI ALMOND-32.48LT
</t>
  </si>
  <si>
    <t>FPO12014</t>
  </si>
  <si>
    <t>IPR141744</t>
  </si>
  <si>
    <t>Givaudan</t>
  </si>
  <si>
    <t>FLAVOUR GUARANA-200KG (8x25kg)</t>
  </si>
  <si>
    <r>
      <rPr>
        <sz val="14"/>
        <color theme="1"/>
        <rFont val="Calibri"/>
        <family val="2"/>
        <scheme val="minor"/>
      </rPr>
      <t xml:space="preserve">24.09.2024 - FPO sent to supplier /Waiting for OC and availability date.
06.01.2025 :OC received/Waiting for order readiness.
17.01.2025 :Order ready for shipment/To folow ETA.
03.02.2025 :To follow ETA/To proceed with RFP (Note: Issue on quantity ordered, mail send to supplier).
</t>
    </r>
    <r>
      <rPr>
        <sz val="14"/>
        <rFont val="Calibri"/>
        <family val="2"/>
        <scheme val="minor"/>
      </rPr>
      <t xml:space="preserve">05/02/2025- check inv + do rfp
10.02.2025 :RFP processed/Waiting for POP.
24.02.2025 :Waiting for POP.
</t>
    </r>
    <r>
      <rPr>
        <sz val="14"/>
        <color rgb="FFFF0000"/>
        <rFont val="Calibri"/>
        <family val="2"/>
        <scheme val="minor"/>
      </rPr>
      <t>03.03.2025 :Payment processed.</t>
    </r>
  </si>
  <si>
    <t>FPO11930</t>
  </si>
  <si>
    <t>IPR140800</t>
  </si>
  <si>
    <t>FPO11997</t>
  </si>
  <si>
    <t>IPR141467</t>
  </si>
  <si>
    <r>
      <t xml:space="preserve">10/08/2024: FPO SENT TO SUPPLIER / AWAITING FOR ORDER ACKNOWLEDGEMENT
13/08/2024 :Reminder sent for OC &amp; PFI.
28/08/2024 :OC received/Waiting for order readiness.
</t>
    </r>
    <r>
      <rPr>
        <sz val="14"/>
        <color theme="1"/>
        <rFont val="Calibri"/>
        <family val="2"/>
        <scheme val="minor"/>
      </rPr>
      <t xml:space="preserve">03.09.2024 :Reminder sent for order readiness.
24/09/2024 :Order to be ready 04/10/2024.
</t>
    </r>
    <r>
      <rPr>
        <sz val="14"/>
        <rFont val="Calibri"/>
        <family val="2"/>
        <scheme val="minor"/>
      </rPr>
      <t xml:space="preserve">05/12/2024 :Order postponed to december as per demand planning/Waiting for order readiness.
16.12.2024 :To follow ETA.
17.12.2024 :Shipment reached MRU/Custom clearance has started.
</t>
    </r>
    <r>
      <rPr>
        <sz val="14"/>
        <color theme="1"/>
        <rFont val="Calibri"/>
        <family val="2"/>
        <scheme val="minor"/>
      </rPr>
      <t xml:space="preserve">06.01.2025 :Under delivery/To proceed with RFP.
</t>
    </r>
    <r>
      <rPr>
        <sz val="14"/>
        <rFont val="Calibri"/>
        <family val="2"/>
        <scheme val="minor"/>
      </rPr>
      <t xml:space="preserve">05/02/2025- Delivered , awt Pop - check if paid 
10.02.2025 :RFP processed/Waiting for POP.
25.02.2025 :POP
</t>
    </r>
    <r>
      <rPr>
        <sz val="14"/>
        <color rgb="FFFF0000"/>
        <rFont val="Calibri"/>
        <family val="2"/>
        <scheme val="minor"/>
      </rPr>
      <t>03.03.2025 :Payment processed.</t>
    </r>
  </si>
  <si>
    <t>MSC CANDICE V IP506R</t>
  </si>
  <si>
    <t>IPR141183</t>
  </si>
  <si>
    <t>LPO10014383</t>
  </si>
  <si>
    <t>IPR141674</t>
  </si>
  <si>
    <t>ESKI- ASPARTAME-50
ESKI- ACESULFAME-25
ESKI- CITRIC ACID ANHYDROUS-300
ESKI- CREAM SODA PMP(GREEN COLOUR)-10</t>
  </si>
  <si>
    <t>LPO10014389</t>
  </si>
  <si>
    <t>IPR141739</t>
  </si>
  <si>
    <t>SUGAR GLUCOSE-XX-XX-DEXTROSE MONOHYDRATE</t>
  </si>
  <si>
    <t>1000KG</t>
  </si>
  <si>
    <t>50KG
25KG
300KG
10KG</t>
  </si>
  <si>
    <t>FPO12021</t>
  </si>
  <si>
    <t>IPR141856</t>
  </si>
  <si>
    <t>BARKER &amp; QUIN(PTY) LTD</t>
  </si>
  <si>
    <t>TONIC WATER</t>
  </si>
  <si>
    <t>FPO12004</t>
  </si>
  <si>
    <t>IPR141517</t>
  </si>
  <si>
    <t>FPO12002</t>
  </si>
  <si>
    <t>IPR141513</t>
  </si>
  <si>
    <t>FPO12003</t>
  </si>
  <si>
    <t>IPR141515</t>
  </si>
  <si>
    <t xml:space="preserve">LX8078 </t>
  </si>
  <si>
    <t xml:space="preserve">FINISHED PRODUCTS -2nd lot
Grapetiser 330ml - 2370 </t>
  </si>
  <si>
    <r>
      <rPr>
        <sz val="14"/>
        <color theme="1"/>
        <rFont val="Calibri"/>
        <family val="2"/>
        <scheme val="minor"/>
      </rPr>
      <t xml:space="preserve">12/02/2025- clearance obtained , awt grn  + TO PROCESS RFP </t>
    </r>
    <r>
      <rPr>
        <sz val="14"/>
        <color rgb="FFFF0000"/>
        <rFont val="Calibri"/>
        <family val="2"/>
        <scheme val="minor"/>
      </rPr>
      <t xml:space="preserve">
03/03/2025-   Awt Pop </t>
    </r>
  </si>
  <si>
    <r>
      <rPr>
        <sz val="14"/>
        <color theme="1"/>
        <rFont val="Calibri"/>
        <family val="2"/>
        <scheme val="minor"/>
      </rPr>
      <t xml:space="preserve">25/11/2024- FPO SENT AND AWT READINESS
23/12/2024- Montor eta + docs 
12/02/2025- clearance obtained, awt grn + to process rfp
</t>
    </r>
    <r>
      <rPr>
        <sz val="14"/>
        <color rgb="FFFF0000"/>
        <rFont val="Calibri"/>
        <family val="2"/>
        <scheme val="minor"/>
      </rPr>
      <t xml:space="preserve">24/02/2025- Delivered , </t>
    </r>
  </si>
  <si>
    <r>
      <rPr>
        <sz val="14"/>
        <color theme="1"/>
        <rFont val="Calibri"/>
        <family val="2"/>
        <scheme val="minor"/>
      </rPr>
      <t>23/12/2024- FPO SENT AND AWT READINESS</t>
    </r>
    <r>
      <rPr>
        <sz val="14"/>
        <color rgb="FFFF0000"/>
        <rFont val="Calibri"/>
        <family val="2"/>
        <scheme val="minor"/>
      </rPr>
      <t xml:space="preserve">
</t>
    </r>
    <r>
      <rPr>
        <sz val="14"/>
        <color theme="1"/>
        <rFont val="Calibri"/>
        <family val="2"/>
        <scheme val="minor"/>
      </rPr>
      <t>12/02/2025-Clearance obtained + TO PROCESS RFP</t>
    </r>
    <r>
      <rPr>
        <sz val="14"/>
        <color rgb="FFFF0000"/>
        <rFont val="Calibri"/>
        <family val="2"/>
        <scheme val="minor"/>
      </rPr>
      <t xml:space="preserve">
24/02/2025- delivered</t>
    </r>
  </si>
  <si>
    <r>
      <rPr>
        <sz val="14"/>
        <color theme="1"/>
        <rFont val="Calibri"/>
        <family val="2"/>
        <scheme val="minor"/>
      </rPr>
      <t xml:space="preserve">25/11/2024- Awt Readiness 4TH lot 
07/01/2025- To monitor ETA  DOCS
14/01/2025- Clearance + To check docs 
12/02/2025- DELIVERED + to process rfp 
</t>
    </r>
    <r>
      <rPr>
        <sz val="14"/>
        <color rgb="FFFF0000"/>
        <rFont val="Calibri"/>
        <family val="2"/>
        <scheme val="minor"/>
      </rPr>
      <t xml:space="preserve">03/03/2025- Awt Pop 
</t>
    </r>
  </si>
  <si>
    <t>MSC ROBERTA</t>
  </si>
  <si>
    <t>FPO12019</t>
  </si>
  <si>
    <t>IPR141598</t>
  </si>
  <si>
    <t>PFILM - STRETCH UV -QTY 1035</t>
  </si>
  <si>
    <t>FPO12018</t>
  </si>
  <si>
    <t>IPR141733</t>
  </si>
  <si>
    <t>CAPS FUZE TEA 38 MM - 2,016,000</t>
  </si>
  <si>
    <t>FPO12017</t>
  </si>
  <si>
    <t>IPR141734</t>
  </si>
  <si>
    <t>PREFORM-CRYSTAL BLUE 29/25-23.5GM
PREFORM-CRYSTAL BLUE 29/25-27GM
PREFORM- CLEAR-38MM-52GM</t>
  </si>
  <si>
    <r>
      <t xml:space="preserve">19.12.2024 - FPO sent to supplier - 
23.12.2024 - to follow OC
31.01.2025 -to follow production date
</t>
    </r>
    <r>
      <rPr>
        <sz val="14"/>
        <color rgb="FFFF0000"/>
        <rFont val="Calibri"/>
        <family val="2"/>
        <scheme val="minor"/>
      </rPr>
      <t xml:space="preserve">17.02.2025 - to follow POP - send mail </t>
    </r>
    <r>
      <rPr>
        <sz val="14"/>
        <rFont val="Calibri"/>
        <family val="2"/>
        <scheme val="minor"/>
      </rPr>
      <t>- Done</t>
    </r>
  </si>
  <si>
    <t>MSC LAUSANNE VI IP508R</t>
  </si>
  <si>
    <t>01.03.2025</t>
  </si>
  <si>
    <t>28.03.2025</t>
  </si>
  <si>
    <t>12.03.25.</t>
  </si>
  <si>
    <t>11.03.25.</t>
  </si>
  <si>
    <t xml:space="preserve">30/10/2024
</t>
  </si>
  <si>
    <t>28.02.2025</t>
  </si>
  <si>
    <r>
      <rPr>
        <b/>
        <u/>
        <sz val="14"/>
        <rFont val="Calibri"/>
        <family val="2"/>
        <scheme val="minor"/>
      </rPr>
      <t>LOT 358</t>
    </r>
    <r>
      <rPr>
        <sz val="14"/>
        <rFont val="Calibri"/>
        <family val="2"/>
        <scheme val="minor"/>
      </rPr>
      <t xml:space="preserve">
266,076 units Blue Marlin 33cl
133,038 units Guinness 33cl
133,038 units Phoenix Speciale 33cl
266,076 units Smirnoff Ice Red 33cl</t>
    </r>
  </si>
  <si>
    <t>FPO12026</t>
  </si>
  <si>
    <t>IPR141860</t>
  </si>
  <si>
    <t>CHAMPAGNE DEUTZ</t>
  </si>
  <si>
    <t>CHAMPAGNE</t>
  </si>
  <si>
    <t xml:space="preserve">60 days net </t>
  </si>
  <si>
    <t>FPO12027</t>
  </si>
  <si>
    <t>IPR141867</t>
  </si>
  <si>
    <t>TREASURY WINE ESTATES VINTNERS LTD</t>
  </si>
  <si>
    <t xml:space="preserve">90 DAYS NET FROM INVOICE DATE </t>
  </si>
  <si>
    <t>FPO12028</t>
  </si>
  <si>
    <t>IPR141880</t>
  </si>
  <si>
    <t>SIX DOGS DISTILLERY (PTY) LTD</t>
  </si>
  <si>
    <t>FPO12029</t>
  </si>
  <si>
    <t>IPR141881</t>
  </si>
  <si>
    <t>SARL MAISON AUSTRUY</t>
  </si>
  <si>
    <t xml:space="preserve"> </t>
  </si>
  <si>
    <t>LPO10014461</t>
  </si>
  <si>
    <t>IPR141846</t>
  </si>
  <si>
    <t>1200KG</t>
  </si>
  <si>
    <t>FPO12022</t>
  </si>
  <si>
    <t>IPR141792</t>
  </si>
  <si>
    <t>90 DAYS INV DATE</t>
  </si>
  <si>
    <t>Maersk Cap Carmel</t>
  </si>
  <si>
    <t>11.03.2025</t>
  </si>
  <si>
    <t>90 DAYS BL DATE</t>
  </si>
  <si>
    <t>MSC DAMLA ZF508R</t>
  </si>
  <si>
    <t xml:space="preserve">06/03/2025- Goods under clearance </t>
  </si>
  <si>
    <t xml:space="preserve"> TBN 515 etd jkt 17/4</t>
  </si>
  <si>
    <t>on going</t>
  </si>
  <si>
    <t>50% Advance - 46,581.35
50% Before shipjment - 46,581.35</t>
  </si>
  <si>
    <t>50% Advance  -46,500.48
50% Balance - 46,500.48</t>
  </si>
  <si>
    <r>
      <t>16.09.2024 - FPO sent to supplier - 
23.09.2024 - OC received - 
13.11.2024 - awaiting PFI in December 24
25.11.2024 - mail sent to request PFI for payment purposes
02.12.2024 - Payment will be done in EUR - 
12.12.2024 - POP sent to supplier - 
31.12.2024 - production 3rd week of Jan 2025
15.01.2025 - New of BPANI lacquer is expected to arrive around January 17th in Dubai.  Production will be delayed - to follow
17.02.2025 - TO FOLLOW ETA</t>
    </r>
    <r>
      <rPr>
        <sz val="14"/>
        <color rgb="FFFF0000"/>
        <rFont val="Calibri"/>
        <family val="2"/>
        <scheme val="minor"/>
      </rPr>
      <t xml:space="preserve">
24/02/2025 - Clearence obtained / awaiting GRN 
</t>
    </r>
  </si>
  <si>
    <r>
      <t>16.12.2024- FPO sent to supplier - PFI received - 
31.12.2024 - production 3rd week of Jan 2025 - To do RFP in Jan 2025
15.01.2025 - New of BPANI lacquer is expected to arrive around January 17th in Dubai.  Production will be delayed - to follow
31.01.2025 - Production completed - to follow booking details
17.02.2025 - TO FOLLOW ETA</t>
    </r>
    <r>
      <rPr>
        <sz val="14"/>
        <color rgb="FFFF0000"/>
        <rFont val="Calibri"/>
        <family val="2"/>
        <scheme val="minor"/>
      </rPr>
      <t xml:space="preserve">
24/02/2025 - Clearence obtained /  awaiting GRN </t>
    </r>
  </si>
  <si>
    <t>FPO12035</t>
  </si>
  <si>
    <t>IPR141774</t>
  </si>
  <si>
    <t xml:space="preserve">
W/AROUND-PHOENIX REJUV-33CLX18-(MPACT) - 15,400
</t>
  </si>
  <si>
    <t>30 DAYS BL</t>
  </si>
  <si>
    <t>FPO12033</t>
  </si>
  <si>
    <t>IPR141723</t>
  </si>
  <si>
    <t>LABELS PLUS</t>
  </si>
  <si>
    <t>Label Crystal 18.9 L - QTY 50,000</t>
  </si>
  <si>
    <t xml:space="preserve">100 % ADVANCE PAYMENT </t>
  </si>
  <si>
    <t>FPO12034</t>
  </si>
  <si>
    <t>IPR141601</t>
  </si>
  <si>
    <t xml:space="preserve">CROWN CORK-PHOENIX BEER-XX-(BPA-NI) - 2,640,000
CROWN CORK-PLAIN HEALTH MESSAGE-XX-(BPA-NI) - 1,056,000
CROWN CORK-BLUE MARLIN-XX-(BPA-NI) - 1,584,000
</t>
  </si>
  <si>
    <t>MSC CONAKRY IV - OM505A</t>
  </si>
  <si>
    <r>
      <rPr>
        <sz val="14"/>
        <rFont val="Calibri"/>
        <family val="2"/>
        <scheme val="minor"/>
      </rPr>
      <t xml:space="preserve">24/01/2025: FPO SENT </t>
    </r>
    <r>
      <rPr>
        <sz val="14"/>
        <color rgb="FFFF0000"/>
        <rFont val="Calibri"/>
        <family val="2"/>
        <scheme val="minor"/>
      </rPr>
      <t xml:space="preserve">
</t>
    </r>
    <r>
      <rPr>
        <sz val="14"/>
        <rFont val="Calibri"/>
        <family val="2"/>
        <scheme val="minor"/>
      </rPr>
      <t>06/02/2025 : BL &amp; SHIPPING DOCS RECEIVED - RFP DONE</t>
    </r>
    <r>
      <rPr>
        <sz val="14"/>
        <color rgb="FFFF0000"/>
        <rFont val="Calibri"/>
        <family val="2"/>
        <scheme val="minor"/>
      </rPr>
      <t xml:space="preserve">
</t>
    </r>
    <r>
      <rPr>
        <sz val="14"/>
        <rFont val="Calibri"/>
        <family val="2"/>
        <scheme val="minor"/>
      </rPr>
      <t xml:space="preserve">13/02/2025 : TO FOLLOW UP ON NOA </t>
    </r>
    <r>
      <rPr>
        <sz val="14"/>
        <color rgb="FFFF0000"/>
        <rFont val="Calibri"/>
        <family val="2"/>
        <scheme val="minor"/>
      </rPr>
      <t xml:space="preserve">
24/02/2025: Clearence innitiated / GRN DONE</t>
    </r>
  </si>
  <si>
    <r>
      <t xml:space="preserve">29/10/2024 : FPO sent to supplier - Acknowledge good receipt . 
06/01/2025 : Production to be done Tuesday  - delay due to  difficulties on the machine which manufacturers your cartons at the moment
20/01/2025 : Production to be completed the 17/01/2025 - to follow up  completion and loading confirmation / shipping documents. 
05/02/2025: ETA -  Follow up on Clearance  &amp; RFP Done 
</t>
    </r>
    <r>
      <rPr>
        <sz val="14"/>
        <color rgb="FFFF0000"/>
        <rFont val="Calibri"/>
        <family val="2"/>
        <scheme val="minor"/>
      </rPr>
      <t>13/02/2025 : To Follow for GRN- GRN COMPLETED</t>
    </r>
  </si>
  <si>
    <r>
      <rPr>
        <b/>
        <u/>
        <sz val="14"/>
        <rFont val="Calibri"/>
        <family val="2"/>
        <scheme val="minor"/>
      </rPr>
      <t>LOT 360</t>
    </r>
    <r>
      <rPr>
        <sz val="14"/>
        <rFont val="Calibri"/>
        <family val="2"/>
        <scheme val="minor"/>
      </rPr>
      <t xml:space="preserve">
CAN-GUINNESS-33CL-XX -HG
CAN-SMIRNOFF ICE BLUE-33CL- (GUARANA) - DG
ENDS-ALUMINIUM-DIA 202-LARGE OPENING  - HG
ENDS-ALUMINIUM-DIA 202-LARGE OPENING - DG
</t>
    </r>
  </si>
  <si>
    <t>04.01.2025</t>
  </si>
  <si>
    <t>27.01.2025</t>
  </si>
  <si>
    <t>14.01.2025</t>
  </si>
  <si>
    <t>MSC FELIXSTOWE</t>
  </si>
  <si>
    <t>01.02.2025</t>
  </si>
  <si>
    <t>01.02.2025 - arrived / cleared &amp; delivered</t>
  </si>
  <si>
    <t>05.02.2025</t>
  </si>
  <si>
    <t>14.03.2025</t>
  </si>
  <si>
    <t xml:space="preserve">05.02.2025 - VESSEL SAILED - TO FOLLOW ETA  &amp; TO DO RFP
</t>
  </si>
  <si>
    <t>10.03.2025</t>
  </si>
  <si>
    <t>MSC ANCONA H0504R</t>
  </si>
  <si>
    <t>19.03.2025</t>
  </si>
  <si>
    <t xml:space="preserve">05.02.2025 - VESSEL SAILED - TO FOLLOW ETA  &amp; TO DO RFP - TO FOLLOW WITH GERALDINE - ERROR IN INVOICE - TO FOLLOW
</t>
  </si>
  <si>
    <t>Invoice sent to Account Dept for Costing Purposes</t>
  </si>
  <si>
    <t>Clearance Status</t>
  </si>
  <si>
    <t>Delivered / GRN</t>
  </si>
  <si>
    <t>MSC FARFIELD ZF507R</t>
  </si>
  <si>
    <t>FINISHED PRODUCTS- COCA COLA 300ML- 7290</t>
  </si>
  <si>
    <t>11/03/25025</t>
  </si>
  <si>
    <t>FINISHED PRODUCTS- COCA COLA 300ML- 2430</t>
  </si>
  <si>
    <t>FINIESHED PRODUCTS - MONSTER - 2nd lot
DOCTOR -880
ORIGINAL-880</t>
  </si>
  <si>
    <t>FINISHED PRODUCTS -MONSTER- 3rd lot 
-DOCTOR-960
ORIGINAL-800</t>
  </si>
  <si>
    <t xml:space="preserve">FINISHED PRODUCTS -5TH  LOT 
-MUCHO LOCO- 640
-ORIGINAL- 1120 </t>
  </si>
  <si>
    <t>IPR141999</t>
  </si>
  <si>
    <t>FPO12048</t>
  </si>
  <si>
    <t>DARLING CELLARS</t>
  </si>
  <si>
    <t>FPO12047</t>
  </si>
  <si>
    <t>IPR141977</t>
  </si>
  <si>
    <t>CAPE WINE</t>
  </si>
  <si>
    <t>FPO11432</t>
  </si>
  <si>
    <t>IPR11432</t>
  </si>
  <si>
    <t>PREFORM 52 G HOTFILL  - QTY 299,200</t>
  </si>
  <si>
    <t>FPO12046</t>
  </si>
  <si>
    <t>IPR141991</t>
  </si>
  <si>
    <t>MSC ANA CAMILA III KC511A</t>
  </si>
  <si>
    <t>60 days invoice date</t>
  </si>
  <si>
    <t>FPO12045</t>
  </si>
  <si>
    <t>IPR141992</t>
  </si>
  <si>
    <t>MALT LOT 11-(18x20FT)</t>
  </si>
  <si>
    <t>MALT LOT 2-(14x20FT)</t>
  </si>
  <si>
    <t>APL BOSTON 0NNKPE</t>
  </si>
  <si>
    <t>FPO12025</t>
  </si>
  <si>
    <t>IPR141806</t>
  </si>
  <si>
    <t>MALT LOT 4</t>
  </si>
  <si>
    <t>FPO12024</t>
  </si>
  <si>
    <t>IPR141801</t>
  </si>
  <si>
    <t>FPO12023</t>
  </si>
  <si>
    <t>IPR141796</t>
  </si>
  <si>
    <t>DIAGEO BRANDS BV</t>
  </si>
  <si>
    <t>FLAVOUR SMIRNOFF ICE RED-279.771LTS</t>
  </si>
  <si>
    <t>FPO12015</t>
  </si>
  <si>
    <t>IPR141741</t>
  </si>
  <si>
    <t>FLAVOUR-XX-XX-MIXED FRUIT</t>
  </si>
  <si>
    <r>
      <t xml:space="preserve">
</t>
    </r>
    <r>
      <rPr>
        <sz val="14"/>
        <color rgb="FFFF0000"/>
        <rFont val="Calibri"/>
        <family val="2"/>
        <scheme val="minor"/>
      </rPr>
      <t>13/03/2025 :Payment processed.</t>
    </r>
  </si>
  <si>
    <t>MSC GREENWICH IP504R</t>
  </si>
  <si>
    <r>
      <t xml:space="preserve">29.11.2024 - FPO sent to supplier - request made to supplier for a credit facility - 
02.12.2024 - awaiting reply prior to proceed with payment
12.12.2024 - credit facility of 30 days granted. PIP sent to supplier - 
15.01.2025 - to follow shipment date
25.02.2025 :To follow ETA/POP
</t>
    </r>
    <r>
      <rPr>
        <sz val="14"/>
        <color rgb="FFFF0000"/>
        <rFont val="Calibri"/>
        <family val="2"/>
        <scheme val="minor"/>
      </rPr>
      <t>13/03/2025 :To follow clearance and POP.</t>
    </r>
  </si>
  <si>
    <t>EK018</t>
  </si>
  <si>
    <t>MSC ROMA MA509A</t>
  </si>
  <si>
    <t xml:space="preserve">
CRYSTAL WATER-1260
DASANI-64</t>
  </si>
  <si>
    <t xml:space="preserve">BBASE- COKE-400
BBASE- COKE NO SUGAR( KAIZEN)-140
BBASE- COKE NO SUGAR POSTMIX-16
BBASE- SPRITE-608
BBASE- FANTA PASSION-64
BBASE- SCHWEPPE SODA-12
BBASE- CRYSTAL WATER- WA12-2160
BBASE- DASANI WATER- WA64-64
BBASE- COKE EINSTEIN (30% LESS SUGAR)-160
CONC- FUZE TEA - PEACH-120
CONC- FUZE TEA - APPLE LEMONGRASS-36
CONC - FUZE TEA - MANGO BAOBAB-72
</t>
  </si>
  <si>
    <t>MSC LUCY</t>
  </si>
  <si>
    <t xml:space="preserve">BBASE- COKE-640
</t>
  </si>
  <si>
    <t>BBASE- COKE-960
BBASE- COKE NO SUGAR POSTMIX-16
BBASE- SPRITE-400
BBASE- FANTA PASSION-64
BBASE- SCHWEPPE GINGER ALE-30
BBASE- CRYSTAL WATER- WA12-720
BBASE- COKE EINSTEIN (30% LESS SUGAR)-160
CONC- FUZE TEA - APPLE LEMONGRASS-12</t>
  </si>
  <si>
    <t>BBASE- FANTA ORANGE-750
CONC- FUZE TEA - APPLE LEMONGRASS-24</t>
  </si>
  <si>
    <t xml:space="preserve">BBASE - SCHWEPPE GINGER ALE-50
CRYSTAL WATER-3240
</t>
  </si>
  <si>
    <t xml:space="preserve">NATURAL FLAVORING LEMON (AIR FREIGHT)-43.72kg
</t>
  </si>
  <si>
    <t xml:space="preserve">
NATURAL FLAVORING LEMON (SEA FREIGHT)-60kg</t>
  </si>
  <si>
    <r>
      <rPr>
        <sz val="14"/>
        <rFont val="Calibri"/>
        <family val="2"/>
        <scheme val="minor"/>
      </rPr>
      <t xml:space="preserve">07/02/2025: FPO SENT TO SUPLLIER - TO FOLLOW ON RFP  </t>
    </r>
    <r>
      <rPr>
        <sz val="14"/>
        <color rgb="FFFF0000"/>
        <rFont val="Calibri"/>
        <family val="2"/>
        <scheme val="minor"/>
      </rPr>
      <t xml:space="preserve">
</t>
    </r>
    <r>
      <rPr>
        <sz val="14"/>
        <rFont val="Calibri"/>
        <family val="2"/>
        <scheme val="minor"/>
      </rPr>
      <t xml:space="preserve">10/02/2025: RFP done - To follow up on POP &amp; PACKING DETAILS </t>
    </r>
    <r>
      <rPr>
        <sz val="14"/>
        <color rgb="FFFF0000"/>
        <rFont val="Calibri"/>
        <family val="2"/>
        <scheme val="minor"/>
      </rPr>
      <t xml:space="preserve">
</t>
    </r>
    <r>
      <rPr>
        <sz val="14"/>
        <rFont val="Calibri"/>
        <family val="2"/>
        <scheme val="minor"/>
      </rPr>
      <t>17.02.2025 :POP sent to supplier/To follow order readiness and Phyto.</t>
    </r>
    <r>
      <rPr>
        <sz val="14"/>
        <color rgb="FFFF0000"/>
        <rFont val="Calibri"/>
        <family val="2"/>
        <scheme val="minor"/>
      </rPr>
      <t xml:space="preserve">
</t>
    </r>
    <r>
      <rPr>
        <sz val="14"/>
        <rFont val="Calibri"/>
        <family val="2"/>
        <scheme val="minor"/>
      </rPr>
      <t>25.02.2025 :Phyto received/Waiting for shipment manifest confirmation on board of MK.</t>
    </r>
    <r>
      <rPr>
        <sz val="14"/>
        <color rgb="FFFF0000"/>
        <rFont val="Calibri"/>
        <family val="2"/>
        <scheme val="minor"/>
      </rPr>
      <t xml:space="preserve">
</t>
    </r>
    <r>
      <rPr>
        <sz val="14"/>
        <rFont val="Calibri"/>
        <family val="2"/>
        <scheme val="minor"/>
      </rPr>
      <t>03.03.2025 :Under clearance/PIP clearance under process</t>
    </r>
    <r>
      <rPr>
        <sz val="14"/>
        <color rgb="FFFF0000"/>
        <rFont val="Calibri"/>
        <family val="2"/>
        <scheme val="minor"/>
      </rPr>
      <t xml:space="preserve">
13.03.2025 :Delivered/GRN done.</t>
    </r>
  </si>
  <si>
    <t>MSC PAMELA IP513R</t>
  </si>
  <si>
    <t>LPO10014568</t>
  </si>
  <si>
    <t>IPR141885</t>
  </si>
  <si>
    <t>9547LT</t>
  </si>
  <si>
    <t>LPO10014669</t>
  </si>
  <si>
    <t>IPR141971</t>
  </si>
  <si>
    <t>CERNOL LTD</t>
  </si>
  <si>
    <t>GLUE-ADVANTRA PHC9202-HOT MELT</t>
  </si>
  <si>
    <t>504KG</t>
  </si>
  <si>
    <t>140KG to be delivered 14/03/2025 as per call off/To follow remaining balance</t>
  </si>
  <si>
    <t>LPO10014562</t>
  </si>
  <si>
    <t>IPR141883</t>
  </si>
  <si>
    <t>LPO10014564</t>
  </si>
  <si>
    <t>IPR141882</t>
  </si>
  <si>
    <t>LPO10014570</t>
  </si>
  <si>
    <t>IPR141884</t>
  </si>
  <si>
    <t>INTERNATIONAL DISTILLERS LTD</t>
  </si>
  <si>
    <t>Delivery as per Ajagen planning.</t>
  </si>
  <si>
    <t>LPO10014497</t>
  </si>
  <si>
    <t>IPR141797</t>
  </si>
  <si>
    <t>TRISODIUM CITRATE-XX-XX-FOOD GRADE
CITRIC ACID-XX-XX-FOOD GRADE MONOHYDRATE
CALCIUM CHLORIDE-XX-XX-FOOD GRADE
SODIUM BENZOATE-XX-XX-FOOD GRADE
SUGAR GLUCOSE-XX-XX-DEXTROSE MONOHYDRATE</t>
  </si>
  <si>
    <t>350KG
1700KG
350KG
75KG
500KG</t>
  </si>
  <si>
    <t>To follow order readiness.</t>
  </si>
  <si>
    <t>MSC GRETA III</t>
  </si>
  <si>
    <t>FPO12050</t>
  </si>
  <si>
    <t>IPR141930</t>
  </si>
  <si>
    <t>Crown Commercial Italy SRL Co. LTD</t>
  </si>
  <si>
    <t>CAN-PHOENIX BEER-50CL-REJUV - (BPANI) - 373,440 units</t>
  </si>
  <si>
    <t>FPO12049</t>
  </si>
  <si>
    <t>IPR141843</t>
  </si>
  <si>
    <t>CAPS- CRYSTAL-JAR NSPILL 18.9L - 399,000 UNITS</t>
  </si>
  <si>
    <t>FPO12051</t>
  </si>
  <si>
    <t>IPR141849</t>
  </si>
  <si>
    <t>FPO12052</t>
  </si>
  <si>
    <t>IPR141879</t>
  </si>
  <si>
    <r>
      <rPr>
        <strike/>
        <sz val="14"/>
        <rFont val="Calibri"/>
        <family val="2"/>
        <scheme val="minor"/>
      </rPr>
      <t>MSC STELLA</t>
    </r>
    <r>
      <rPr>
        <sz val="14"/>
        <rFont val="Calibri"/>
        <family val="2"/>
        <scheme val="minor"/>
      </rPr>
      <t xml:space="preserve">
MSC ELAINE ZF508A</t>
    </r>
  </si>
  <si>
    <t>21.03.2025</t>
  </si>
  <si>
    <t>17/03/2025 :Under NPPO query/To amend PC as per NPPO requirements/POP.</t>
  </si>
  <si>
    <r>
      <rPr>
        <sz val="14"/>
        <color theme="1"/>
        <rFont val="Calibri"/>
        <family val="2"/>
        <scheme val="minor"/>
      </rPr>
      <t xml:space="preserve">12/02/2025- clearance obtained , awt grn  + TO PROCESS RFP </t>
    </r>
    <r>
      <rPr>
        <sz val="14"/>
        <color rgb="FFFF0000"/>
        <rFont val="Calibri"/>
        <family val="2"/>
        <scheme val="minor"/>
      </rPr>
      <t xml:space="preserve">
03/03/20/25-DELIVERED </t>
    </r>
  </si>
  <si>
    <t xml:space="preserve">N/A </t>
  </si>
  <si>
    <t>FINISHED PRODUCTS -
Appletiser 275ml - 618 
Grapetiser 275ml- 900
Appletiser 330ml- 1370
Grapetiser 330ml- 1000</t>
  </si>
  <si>
    <t>MSC LUCY ZF511R</t>
  </si>
  <si>
    <t xml:space="preserve">FINISHED PRODUCTS - MONSTER (LOT 6)
-Pipeline punch - 1600
- Monster Original - 160 </t>
  </si>
  <si>
    <t xml:space="preserve">18/03/2025= Awt Pop </t>
  </si>
  <si>
    <t>15/03/25025</t>
  </si>
  <si>
    <t>FPO12073</t>
  </si>
  <si>
    <t>WINE - SA - LAVENIR HORIZON SAUV BLAN 750ML
LAVENIR HORIZON PINOTAGE ROSE 750ML</t>
  </si>
  <si>
    <t xml:space="preserve">90 DAYS INV DATE </t>
  </si>
  <si>
    <t xml:space="preserve">FINISHED PRODUCTS- 
Grapetiser Red NBT 275ML- 1518 </t>
  </si>
  <si>
    <r>
      <t>FINISHED PRODUCTS- 3rd  lot 
Appletiser 330ML- 490</t>
    </r>
    <r>
      <rPr>
        <sz val="14"/>
        <color rgb="FFFF0000"/>
        <rFont val="Calibri"/>
        <family val="2"/>
        <scheme val="minor"/>
      </rPr>
      <t xml:space="preserve"> </t>
    </r>
    <r>
      <rPr>
        <sz val="14"/>
        <rFont val="Calibri"/>
        <family val="2"/>
        <scheme val="minor"/>
      </rPr>
      <t xml:space="preserve">
Grapetiser 330- 4250 </t>
    </r>
  </si>
  <si>
    <t>Appletiser 750ml - 238cases</t>
  </si>
  <si>
    <t>FINISHED PRODUCTS - MONSTER (LOT 5)
-MUCHO LOCO - 1761</t>
  </si>
  <si>
    <r>
      <rPr>
        <sz val="14"/>
        <color rgb="FFFF0000"/>
        <rFont val="Calibri"/>
        <family val="2"/>
        <scheme val="minor"/>
      </rPr>
      <t>18/03/2025- To close PO</t>
    </r>
    <r>
      <rPr>
        <sz val="14"/>
        <color theme="1"/>
        <rFont val="Calibri"/>
        <family val="2"/>
        <scheme val="minor"/>
      </rPr>
      <t xml:space="preserve">
</t>
    </r>
  </si>
  <si>
    <t xml:space="preserve">COCA COLA CAN 300 ML - 714
300ml Can Fanta Orange x24 - 1716
</t>
  </si>
  <si>
    <t>FPO12071</t>
  </si>
  <si>
    <t>IPR142164</t>
  </si>
  <si>
    <t>FPO12053</t>
  </si>
  <si>
    <t>IPR141850</t>
  </si>
  <si>
    <t>CAN-PHOENIX BEER-33CL-XX - 2,316,600
ENDS-ALUMINIUM-DIA 202-LARGE OPENING - 2,316,600</t>
  </si>
  <si>
    <t>FPO12072</t>
  </si>
  <si>
    <t>IPR142163</t>
  </si>
  <si>
    <t>CAPS- CRYSTAL BLUE AB 29 (72KN) 29/25 CLOSURE - 4,500,000</t>
  </si>
  <si>
    <r>
      <t xml:space="preserve">29/11/2024 : FPO sent to supplier 
09/12/2024 : Acknowledge good receipt .
12/12/2024 : Amendment done on order . Awaiting for the Acknowledge good receipt . 
23/12/2024 : Acknowledge good receipt .
06/01/2025:  Order will be ready by 10/01/2025
20/01/2025 :Loading confirmed  and  shipping docs received /  to follow up with NOA and to do RFP 
13/02/2025: Follow up - for amended invoice for RFP - Done 
</t>
    </r>
    <r>
      <rPr>
        <sz val="14"/>
        <color rgb="FFFF0000"/>
        <rFont val="Calibri"/>
        <family val="2"/>
        <scheme val="minor"/>
      </rPr>
      <t>24/02/2025: To follow POP</t>
    </r>
    <r>
      <rPr>
        <sz val="14"/>
        <rFont val="Calibri"/>
        <family val="2"/>
        <scheme val="minor"/>
      </rPr>
      <t xml:space="preserve"> - Clearance obtained </t>
    </r>
  </si>
  <si>
    <r>
      <rPr>
        <b/>
        <sz val="14"/>
        <rFont val="Calibri"/>
        <family val="2"/>
        <scheme val="minor"/>
      </rPr>
      <t>LOT 356</t>
    </r>
    <r>
      <rPr>
        <sz val="14"/>
        <rFont val="Calibri"/>
        <family val="2"/>
        <scheme val="minor"/>
      </rPr>
      <t xml:space="preserve">
133,038 UNITS PHOENIX FRESH 33CL
553,158 UNITS BLUE MARLIN 33CL
273,078 UNITS MALTA GUINESS 33CL
136,928 UNITS PHOENIX SPECIAL 33CL
266,076 UNITS SMIRNOFF ICE RED - 33CL
136,150 UNITS PHOENIX CIDER ALCO 33CL</t>
    </r>
  </si>
  <si>
    <r>
      <rPr>
        <b/>
        <sz val="14"/>
        <rFont val="Calibri"/>
        <family val="2"/>
        <scheme val="minor"/>
      </rPr>
      <t>LOT 357</t>
    </r>
    <r>
      <rPr>
        <sz val="14"/>
        <rFont val="Calibri"/>
        <family val="2"/>
        <scheme val="minor"/>
      </rPr>
      <t xml:space="preserve">
483,138 units Smirnoff Ice Red 33cl
266,076 units Smirnoff Ice Blue 33cl
133,038 units Stella Pils 33cl</t>
    </r>
  </si>
  <si>
    <t>MSC ANCONA III V. HO509R</t>
  </si>
  <si>
    <r>
      <rPr>
        <b/>
        <u/>
        <sz val="14"/>
        <rFont val="Calibri"/>
        <family val="2"/>
        <scheme val="minor"/>
      </rPr>
      <t>LOT 361</t>
    </r>
    <r>
      <rPr>
        <sz val="14"/>
        <rFont val="Calibri"/>
        <family val="2"/>
        <scheme val="minor"/>
      </rPr>
      <t xml:space="preserve">
CAN-PHOENIX BEER-33CL-XX -DG - 539,154 UNITS
CAN-BLUE MARLIN-33CL-XX - DG - 539,154 UNITS
CAN-PEARONA-33CL-XX - DG - 322,092 UNITS
CAN-PHOENIX SPECIALE-33CL-XX - DG - 133,038 UNITS
CAN-SMIRNOFF ICE RED-33CL-XX - HG - 322,092 UNITS
CAN-SMIRNOFF ICE BLUE-33CL- (GUARANA) - HG -  133,038 UNITS
ENDS-ALUMINIUM-DIA 202-LARGE OPENING - DG - 1,533,438 UNITS
ENDS-ALUMINIUM-DIA 202-LARGE OPENING - HG -  455,130 UNITS </t>
    </r>
  </si>
  <si>
    <t xml:space="preserve">MSC Aria 518 </t>
  </si>
  <si>
    <t>FPO12074</t>
  </si>
  <si>
    <t>IPR142230</t>
  </si>
  <si>
    <t>DEMATECH (PTY) LTD</t>
  </si>
  <si>
    <t>FPO12075</t>
  </si>
  <si>
    <t>IPR142222</t>
  </si>
  <si>
    <t>FPO12078</t>
  </si>
  <si>
    <t>IPR142134</t>
  </si>
  <si>
    <t>BBASE- COKE-960 UN
BBASE- COKE NO SUGAR( KAIZEN)-60 UN
BBASE- SPRITE-160 UN
BBASE- FANTA ORANGE-625 UN
BBASE- SCHWEPPE TONIC-24 UN
CONC- FUZE TEA - PEACH-120 UN</t>
  </si>
  <si>
    <t>LPO10014803</t>
  </si>
  <si>
    <t>IPR142137</t>
  </si>
  <si>
    <t xml:space="preserve">ESKI- CITRIC ACID ANHYDROUS-300
</t>
  </si>
  <si>
    <t>250KG</t>
  </si>
  <si>
    <t>PO sent to supplier/Delivery 01/05/2025</t>
  </si>
  <si>
    <t>IPR142135</t>
  </si>
  <si>
    <t>FPO12077</t>
  </si>
  <si>
    <t>CONC- FUZE TEA LIQUID - PART2B-768 UN</t>
  </si>
  <si>
    <t>FPO12076</t>
  </si>
  <si>
    <t>IPR142221</t>
  </si>
  <si>
    <t>FLAVOUR MIXED FRUIT-100 KG</t>
  </si>
  <si>
    <t>FPO12079</t>
  </si>
  <si>
    <t>IPR142145</t>
  </si>
  <si>
    <t>To cancel order , mail sent ot Sally. Dashboard CCBSA to be updated accordingly</t>
  </si>
  <si>
    <t xml:space="preserve">EF EMMA </t>
  </si>
  <si>
    <t>MSC WASHINGTON</t>
  </si>
  <si>
    <t>MSC LISBON IP511R</t>
  </si>
  <si>
    <t>21.03.2023 :To follow GRN.</t>
  </si>
  <si>
    <t>25.03.2025</t>
  </si>
  <si>
    <t xml:space="preserve">25-03-2025
</t>
  </si>
  <si>
    <t>DE2314</t>
  </si>
  <si>
    <t>18.03.2025</t>
  </si>
  <si>
    <t>MSC JOANNA IP512R</t>
  </si>
  <si>
    <r>
      <rPr>
        <sz val="14"/>
        <rFont val="Calibri"/>
        <family val="2"/>
        <scheme val="minor"/>
      </rPr>
      <t xml:space="preserve">27/01/2025-  FPO raised - shipping docs received - </t>
    </r>
    <r>
      <rPr>
        <sz val="14"/>
        <color rgb="FFFF0000"/>
        <rFont val="Calibri"/>
        <family val="2"/>
        <scheme val="minor"/>
      </rPr>
      <t xml:space="preserve">
</t>
    </r>
    <r>
      <rPr>
        <sz val="14"/>
        <rFont val="Calibri"/>
        <family val="2"/>
        <scheme val="minor"/>
      </rPr>
      <t>31.01.2025 - to follow ETA &amp; to do RFP</t>
    </r>
    <r>
      <rPr>
        <sz val="14"/>
        <color rgb="FFFF0000"/>
        <rFont val="Calibri"/>
        <family val="2"/>
        <scheme val="minor"/>
      </rPr>
      <t xml:space="preserve">
21.03.2025 :Payment processed.</t>
    </r>
  </si>
  <si>
    <t>17/03/2025 :GRN/POP.</t>
  </si>
  <si>
    <t>SL/MC</t>
  </si>
  <si>
    <t>SL/SJ</t>
  </si>
  <si>
    <t xml:space="preserve">MSC Lucy </t>
  </si>
  <si>
    <t xml:space="preserve">18.9 LT POLYCARBONATED JARS WITH HANDLE - UNIT 21,000
1st Shipping </t>
  </si>
  <si>
    <t xml:space="preserve">18.9 LT POLYCARBONATED JARS WITH HANDLE (2ND SHIPPMENT ) 
UNIT 21,000
2nd  Shipping </t>
  </si>
  <si>
    <t xml:space="preserve">Kota Nazim </t>
  </si>
  <si>
    <t xml:space="preserve">50%ADV  
50% ON SCAN BL </t>
  </si>
  <si>
    <t xml:space="preserve">Receive @ aquarelle </t>
  </si>
  <si>
    <t>50% A LA COMMANDE - EUR 1987.50 DUE  30/01/2025
50% 90 JOURS- 15/02/2025</t>
  </si>
  <si>
    <t>30% PAIEMENT EN AVANCE EUR 2173.50 DUE 12/11/2024
70% -  60 JOURS DATE D'ENLEVEMENT DUE 15/02/2025</t>
  </si>
  <si>
    <t>25.03.2025 - To follow GRN</t>
  </si>
  <si>
    <t>MSC  REN V V.HW515R</t>
  </si>
  <si>
    <r>
      <rPr>
        <sz val="14"/>
        <color rgb="FFFF0000"/>
        <rFont val="Calibri"/>
        <family val="2"/>
        <scheme val="minor"/>
      </rPr>
      <t>25.03.2025 -  CAP to follow upon arrival &amp; inform supplier</t>
    </r>
    <r>
      <rPr>
        <sz val="14"/>
        <rFont val="Calibri"/>
        <family val="2"/>
        <scheme val="minor"/>
      </rPr>
      <t xml:space="preserve">
</t>
    </r>
  </si>
  <si>
    <t>24.03.2025</t>
  </si>
  <si>
    <t>5x40 - VIA MAERSK</t>
  </si>
  <si>
    <t>5x40 VIA MSC</t>
  </si>
  <si>
    <t>RED CEDAR / 511W / 9231092</t>
  </si>
  <si>
    <t>24/03/20255</t>
  </si>
  <si>
    <t>FPO12087</t>
  </si>
  <si>
    <t>FPO12088</t>
  </si>
  <si>
    <t>IPR142166</t>
  </si>
  <si>
    <t>IPR142167</t>
  </si>
  <si>
    <t xml:space="preserve">GUALA CLOSURES SOUTH AFRICA </t>
  </si>
  <si>
    <t xml:space="preserve">CAP SCREW WINE </t>
  </si>
  <si>
    <t>FINISHED PRODUCTS-2ND  LOT - 
APPLETISER 275ML - 500 
GRAPETISER 275ML-1018</t>
  </si>
  <si>
    <t xml:space="preserve">FINISHED PRODUCTS - 1st lot 
appletiser 275ml -600
 Grapetiser 275ml-918
 Appletiser 330ml -750
Grapetiser 330ml-3990
</t>
  </si>
  <si>
    <t>FINISHED PRODUCTS - MONSTER 1st lot 
AUSSI LIMONADE - 3520</t>
  </si>
  <si>
    <t>FINISHED PRODUCTS - MONSTER
AUSSIE LEMONADE - 2080</t>
  </si>
  <si>
    <t>03.04.2025</t>
  </si>
  <si>
    <t>FINISHED PRODUCTS -MONSTER- 2ND  SHIPT - 10560</t>
  </si>
  <si>
    <t>05.04.2025</t>
  </si>
  <si>
    <t>Monster Energy Original 500ML CAN - 3520</t>
  </si>
  <si>
    <t xml:space="preserve">FINISHED PRODUCTS - 1st lot 
Monster Energy Original 500ml - 10240
Monster Rossi 500ml -160
Can Monster Ultra White-1120
Can Monster Pipeline Punch - 800
</t>
  </si>
  <si>
    <t>FPO12090</t>
  </si>
  <si>
    <t>IPR142168</t>
  </si>
  <si>
    <t>UNIVERRE SAS</t>
  </si>
  <si>
    <t>WINE - FRANCE</t>
  </si>
  <si>
    <t>20/03/2025 - rex no issue with supplier fontenille</t>
  </si>
  <si>
    <t xml:space="preserve">21/03/2025 - REX NUMBER WRONG </t>
  </si>
  <si>
    <t>FPO12083</t>
  </si>
  <si>
    <t>IPR142136</t>
  </si>
  <si>
    <t xml:space="preserve">LES GRANDS CHAIS DE FRANCE </t>
  </si>
  <si>
    <t>WINE-TC4</t>
  </si>
  <si>
    <t>FPO12082</t>
  </si>
  <si>
    <t>IPR142195</t>
  </si>
  <si>
    <t>FPO12080</t>
  </si>
  <si>
    <t>FPO12081</t>
  </si>
  <si>
    <t>WINE-TC3</t>
  </si>
  <si>
    <t>IPR142192</t>
  </si>
  <si>
    <t>IPR142191</t>
  </si>
  <si>
    <t>WINE-TC2</t>
  </si>
  <si>
    <t xml:space="preserve">WINE- TC1 </t>
  </si>
  <si>
    <t>FPO12085</t>
  </si>
  <si>
    <t>IPR142214</t>
  </si>
  <si>
    <t xml:space="preserve">MONKS DISTILLERY PTY LTD </t>
  </si>
  <si>
    <t>MEDALLA GIN</t>
  </si>
  <si>
    <t>31.03.2025</t>
  </si>
  <si>
    <t>26.03.2025</t>
  </si>
  <si>
    <t xml:space="preserve">20/03/2025 - </t>
  </si>
  <si>
    <t>FPO12064</t>
  </si>
  <si>
    <t>IPR142048</t>
  </si>
  <si>
    <t>FPO12066</t>
  </si>
  <si>
    <t>IPR142055</t>
  </si>
  <si>
    <t>FPO12067</t>
  </si>
  <si>
    <t>IPR142052</t>
  </si>
  <si>
    <t>COCA COLA CAN 300 ML - 21870
300ml Can Fanta Orange x24-4860</t>
  </si>
  <si>
    <t>fob</t>
  </si>
  <si>
    <t>MALT CARAHELL-400kg - Roasted 
MALT MUNICH TYPE 2-600 kg
MALT MELANOIDIN-300 kg</t>
  </si>
  <si>
    <t>FPO12096</t>
  </si>
  <si>
    <t>IPR142267</t>
  </si>
  <si>
    <t>FPO12099</t>
  </si>
  <si>
    <t>FPO12098</t>
  </si>
  <si>
    <t>IPR142266</t>
  </si>
  <si>
    <t>IPR142250</t>
  </si>
  <si>
    <t>CNF</t>
  </si>
  <si>
    <t xml:space="preserve">30 DAYS INVOICE </t>
  </si>
  <si>
    <t>28.03.2025 :To follow clearance.</t>
  </si>
  <si>
    <t xml:space="preserve">04.04.2025
</t>
  </si>
  <si>
    <t xml:space="preserve">MC EASY FREIGHT </t>
  </si>
  <si>
    <t>WEEK 14 (31/3/24 - 04/04/2025)</t>
  </si>
  <si>
    <t>EK701</t>
  </si>
  <si>
    <r>
      <rPr>
        <b/>
        <sz val="14"/>
        <rFont val="Calibri"/>
        <family val="2"/>
        <scheme val="minor"/>
      </rPr>
      <t>LOT 345C</t>
    </r>
    <r>
      <rPr>
        <sz val="14"/>
        <rFont val="Calibri"/>
        <family val="2"/>
        <scheme val="minor"/>
      </rPr>
      <t xml:space="preserve">
 441,126   units Phoenix Beer 33cl 
1ST SHIPMENT </t>
    </r>
  </si>
  <si>
    <r>
      <rPr>
        <b/>
        <sz val="14"/>
        <rFont val="Calibri"/>
        <family val="2"/>
        <scheme val="minor"/>
      </rPr>
      <t>LOT 345C</t>
    </r>
    <r>
      <rPr>
        <sz val="14"/>
        <rFont val="Calibri"/>
        <family val="2"/>
        <scheme val="minor"/>
      </rPr>
      <t xml:space="preserve">
 21,006 
 1,820,520  units Phoenix Beer 33cl 
2ND SHIPMENT </t>
    </r>
  </si>
  <si>
    <r>
      <rPr>
        <b/>
        <u/>
        <sz val="14"/>
        <rFont val="Calibri"/>
        <family val="2"/>
        <scheme val="minor"/>
      </rPr>
      <t>LOT 359</t>
    </r>
    <r>
      <rPr>
        <sz val="14"/>
        <rFont val="Calibri"/>
        <family val="2"/>
        <scheme val="minor"/>
      </rPr>
      <t xml:space="preserve">
Phoenix Fresh DG -119,034 
Blue Marlin DG - 392,112
Pearona DG - 224,064 
</t>
    </r>
    <r>
      <rPr>
        <sz val="14"/>
        <color rgb="FFFF0000"/>
        <rFont val="Calibri"/>
        <family val="2"/>
        <scheme val="minor"/>
      </rPr>
      <t xml:space="preserve">1 ST SHIPMENT </t>
    </r>
  </si>
  <si>
    <r>
      <rPr>
        <b/>
        <u/>
        <sz val="14"/>
        <rFont val="Calibri"/>
        <family val="2"/>
        <scheme val="minor"/>
      </rPr>
      <t>LOT 359</t>
    </r>
    <r>
      <rPr>
        <sz val="14"/>
        <rFont val="Calibri"/>
        <family val="2"/>
        <scheme val="minor"/>
      </rPr>
      <t xml:space="preserve">
Phoenix Fresh DG   19,061 
Blue Marlin DG 14,004 
Blue Marlin DG 21,006
Pearona DG 7,002 
Pearona DG 35,010 
</t>
    </r>
    <r>
      <rPr>
        <sz val="14"/>
        <color rgb="FFFF0000"/>
        <rFont val="Calibri"/>
        <family val="2"/>
        <scheme val="minor"/>
      </rPr>
      <t xml:space="preserve">2ND SHIPMENT </t>
    </r>
    <r>
      <rPr>
        <sz val="14"/>
        <rFont val="Calibri"/>
        <family val="2"/>
        <scheme val="minor"/>
      </rPr>
      <t xml:space="preserve">
</t>
    </r>
  </si>
  <si>
    <t xml:space="preserve">COCA COLA CAN 300 ML--2430
Fanta 300ml- 2430
</t>
  </si>
  <si>
    <t xml:space="preserve">COCA COLA CAN 300 ML-7290
</t>
  </si>
  <si>
    <r>
      <t xml:space="preserve">
</t>
    </r>
    <r>
      <rPr>
        <b/>
        <sz val="14"/>
        <color theme="1"/>
        <rFont val="Calibri"/>
        <family val="2"/>
        <scheme val="minor"/>
      </rPr>
      <t xml:space="preserve">24/02/2025- AWT REVISED INVOICE TO PROCESS RFP ( WRONG PRICE INVOICED ) 
To request credit note for wrong Invoicing &amp; update progress on next review week 03 - 07 Mar 2025 : 
Correct Price: 
3555 x 215.22= 765,107.10
3555 x 205.32= 729,912.60
Wrong Invoiced as follows : 
3555 x 230.31= 818,752.05
3555 x 205.77= 731,512.35
</t>
    </r>
    <r>
      <rPr>
        <sz val="14"/>
        <color rgb="FFFF0000"/>
        <rFont val="Calibri"/>
        <family val="2"/>
        <scheme val="minor"/>
      </rPr>
      <t xml:space="preserve">18/03/2025- Reminder sent for credit note , note supplier replied before stating she will passed on same upon receipt 
26.03.2025 - CREDIT NOTE RECEIVED - AWAITING MICHAEL TO UPDATE HOW TO PROCEED
02/04/2025- PO MODIFIED AND RFP PROCESSED </t>
    </r>
  </si>
  <si>
    <r>
      <rPr>
        <strike/>
        <sz val="14"/>
        <rFont val="Calibri"/>
        <family val="2"/>
        <scheme val="minor"/>
      </rPr>
      <t xml:space="preserve">MSC HIMANSHI / 
MSC ELAINE ZF512R
</t>
    </r>
    <r>
      <rPr>
        <sz val="14"/>
        <rFont val="Calibri"/>
        <family val="2"/>
        <scheme val="minor"/>
      </rPr>
      <t>MSC KRITTIKA XA512A</t>
    </r>
    <r>
      <rPr>
        <strike/>
        <sz val="14"/>
        <rFont val="Calibri"/>
        <family val="2"/>
        <scheme val="minor"/>
      </rPr>
      <t xml:space="preserve">
</t>
    </r>
  </si>
  <si>
    <r>
      <t xml:space="preserve">31/03/2025
</t>
    </r>
    <r>
      <rPr>
        <sz val="14"/>
        <rFont val="Calibri"/>
        <family val="2"/>
        <scheme val="minor"/>
      </rPr>
      <t>09/04/2025</t>
    </r>
  </si>
  <si>
    <r>
      <t xml:space="preserve">Angel tears 750ml (900 units)not shipped , supplier will send by air / Lcl , Note supplier informed of unavailability during a meeting with Thomy 
</t>
    </r>
    <r>
      <rPr>
        <b/>
        <sz val="14"/>
        <color rgb="FFFF0000"/>
        <rFont val="Calibri"/>
        <family val="2"/>
        <scheme val="minor"/>
      </rPr>
      <t xml:space="preserve">CLEARANCE OBTAINED </t>
    </r>
  </si>
  <si>
    <t xml:space="preserve">CLEARANCE OBTAINED </t>
  </si>
  <si>
    <t>WINE - SA</t>
  </si>
  <si>
    <t>LPO10015060</t>
  </si>
  <si>
    <t>IPR142538</t>
  </si>
  <si>
    <t>900KG</t>
  </si>
  <si>
    <r>
      <rPr>
        <sz val="14"/>
        <color rgb="FF00B050"/>
        <rFont val="Calibri"/>
        <family val="2"/>
        <scheme val="minor"/>
      </rPr>
      <t xml:space="preserve">100% ADVANCE PAYMENT-USD 41900 
</t>
    </r>
    <r>
      <rPr>
        <sz val="14"/>
        <color rgb="FFFF0000"/>
        <rFont val="Calibri"/>
        <family val="2"/>
        <scheme val="minor"/>
      </rPr>
      <t xml:space="preserve">PHYTOSANITARY &amp; INSPECTION - USD 1020 </t>
    </r>
  </si>
  <si>
    <t>FPO12115</t>
  </si>
  <si>
    <t>IPR142340</t>
  </si>
  <si>
    <t>FPO12105</t>
  </si>
  <si>
    <t>IPR142357</t>
  </si>
  <si>
    <t>CODIAL</t>
  </si>
  <si>
    <t xml:space="preserve">60 DAYS INVOICE </t>
  </si>
  <si>
    <t>CONTI CHIVALRY MA512A</t>
  </si>
  <si>
    <t>MSC NAIROBI IP514R</t>
  </si>
  <si>
    <t>02.04.2025</t>
  </si>
  <si>
    <t>MK852</t>
  </si>
  <si>
    <t>MID MAY 2025</t>
  </si>
  <si>
    <t>CONTI MAKALU ZF513R</t>
  </si>
  <si>
    <t>NA</t>
  </si>
  <si>
    <t>FPO12123</t>
  </si>
  <si>
    <t>IRP142399</t>
  </si>
  <si>
    <t>CANS PHX BEER</t>
  </si>
  <si>
    <t xml:space="preserve">100% ADVANCE PAYMENT </t>
  </si>
  <si>
    <t>FPO12125</t>
  </si>
  <si>
    <t>IPR142554</t>
  </si>
  <si>
    <t xml:space="preserve">PFILM- STRETCH </t>
  </si>
  <si>
    <t>FPO12127</t>
  </si>
  <si>
    <t>IPR142407</t>
  </si>
  <si>
    <t>FPO12128</t>
  </si>
  <si>
    <t>IPR142400</t>
  </si>
  <si>
    <t xml:space="preserve">AMMATGLASS (ALTAJIR) - </t>
  </si>
  <si>
    <r>
      <rPr>
        <b/>
        <sz val="14"/>
        <rFont val="Calibri"/>
        <family val="2"/>
        <scheme val="minor"/>
      </rPr>
      <t xml:space="preserve">2nd Shipment </t>
    </r>
    <r>
      <rPr>
        <sz val="14"/>
        <rFont val="Calibri"/>
        <family val="2"/>
        <scheme val="minor"/>
      </rPr>
      <t xml:space="preserve">
Phoenix            613,836 
Ends   585,180 </t>
    </r>
  </si>
  <si>
    <r>
      <rPr>
        <b/>
        <sz val="14"/>
        <rFont val="Calibri"/>
        <family val="2"/>
        <scheme val="minor"/>
      </rPr>
      <t>1st Shipment - Lot 114</t>
    </r>
    <r>
      <rPr>
        <sz val="14"/>
        <rFont val="Calibri"/>
        <family val="2"/>
        <scheme val="minor"/>
      </rPr>
      <t xml:space="preserve">
Phoenix  	      1,206,864 
Ends	2,484,000  
Phoenix    277,440 	 
Blue Marlin   971,040 </t>
    </r>
  </si>
  <si>
    <t>MSC  DIEGO V</t>
  </si>
  <si>
    <t xml:space="preserve">Air -MRU- BA2065 </t>
  </si>
  <si>
    <t>FPO12126</t>
  </si>
  <si>
    <t>IPR142770</t>
  </si>
  <si>
    <t>ARDAGH GLASS</t>
  </si>
  <si>
    <t>30 DAYS BL DATE</t>
  </si>
  <si>
    <t>FPO12124</t>
  </si>
  <si>
    <t>IPR142450</t>
  </si>
  <si>
    <t>MSC KRITTIKA XA512A</t>
  </si>
  <si>
    <t xml:space="preserve">
FINISHED PRODUCTS- MONSTER
- DOCTOR- 880
-ORIGINAL- 9680</t>
  </si>
  <si>
    <t>2nd lot 
FINISHED PRODUCTS- MONSTER
-ORIGINAL- 1760</t>
  </si>
  <si>
    <t xml:space="preserve">COCA COLA CAN 300 ML - 4860
</t>
  </si>
  <si>
    <t>WINE - angel tears 900 units</t>
  </si>
  <si>
    <t>2nd lot: 
COCA COLA CAN 300 ML - 7290</t>
  </si>
  <si>
    <t xml:space="preserve">
</t>
  </si>
  <si>
    <t xml:space="preserve">MSC ALYSSA OB512R </t>
  </si>
  <si>
    <r>
      <rPr>
        <sz val="14"/>
        <color rgb="FF00B050"/>
        <rFont val="Calibri"/>
        <family val="2"/>
        <scheme val="minor"/>
      </rPr>
      <t>50%ADV - EUR 43,112.60 (12/02/25)</t>
    </r>
    <r>
      <rPr>
        <sz val="14"/>
        <rFont val="Calibri"/>
        <family val="2"/>
        <scheme val="minor"/>
      </rPr>
      <t xml:space="preserve">
</t>
    </r>
  </si>
  <si>
    <t>PREFORM-CRYSTAL BLUE 29/25-12GM - 1166000units
PREFORM-CRYSTAL BLUE 29/25-27GM - 1650000 units
PREFORM- CLEAR-38MM-30GM - 1051560 units
PREFORM- CLEAR-38MM-52GM - 299200units</t>
  </si>
  <si>
    <t>Additional Phyto invoice received with due date 04/04/2025/Payment processed.</t>
  </si>
  <si>
    <t>MSC RAVENNA \ IP501R</t>
  </si>
  <si>
    <t>POP</t>
  </si>
  <si>
    <t>120 days invoice date</t>
  </si>
  <si>
    <r>
      <rPr>
        <sz val="14"/>
        <color rgb="FFFF0000"/>
        <rFont val="Calibri"/>
        <family val="2"/>
        <scheme val="minor"/>
      </rPr>
      <t>POP</t>
    </r>
    <r>
      <rPr>
        <sz val="14"/>
        <rFont val="Calibri"/>
        <family val="2"/>
        <scheme val="minor"/>
      </rPr>
      <t xml:space="preserve">
</t>
    </r>
  </si>
  <si>
    <t>17/03/2025 :Under NPPO query/To amend PC as per NPPO requirements/POP.
09.04.2025:Payment processed</t>
  </si>
  <si>
    <t xml:space="preserve">MSC MILA 3 </t>
  </si>
  <si>
    <t>MALT LOT 12 ( 18 x 20' FCL)</t>
  </si>
  <si>
    <t xml:space="preserve">06.04.2025
</t>
  </si>
  <si>
    <t>09.04.2025</t>
  </si>
  <si>
    <t>2025-02-0407
17/03/25</t>
  </si>
  <si>
    <t>PBL250328 DD 28/03/25</t>
  </si>
  <si>
    <t>25.0460 DD 24/02/25</t>
  </si>
  <si>
    <t>2025-02-0405 DD 01/03/25</t>
  </si>
  <si>
    <t>250113 DD 18/2/25</t>
  </si>
  <si>
    <t>9025001030 DD 05/03/25</t>
  </si>
  <si>
    <t xml:space="preserve">BULK RED WINE - 25,720 LITRES 
</t>
  </si>
  <si>
    <t xml:space="preserve">Maersk Cap Carmel 
</t>
  </si>
  <si>
    <t xml:space="preserve">08/04/2025
</t>
  </si>
  <si>
    <r>
      <t xml:space="preserve">3rd lot
COCA COLA CAN 300 ML - </t>
    </r>
    <r>
      <rPr>
        <sz val="14"/>
        <color rgb="FFFF0000"/>
        <rFont val="Calibri"/>
        <family val="2"/>
        <scheme val="minor"/>
      </rPr>
      <t>4431</t>
    </r>
    <r>
      <rPr>
        <sz val="14"/>
        <rFont val="Calibri"/>
        <family val="2"/>
        <scheme val="minor"/>
      </rPr>
      <t xml:space="preserve">
300ml Can Fanta Orange x24 -429</t>
    </r>
  </si>
  <si>
    <t xml:space="preserve">15/04/2025
</t>
  </si>
  <si>
    <t>MSC MICHIGAN VII IP515R</t>
  </si>
  <si>
    <t>LPO10015179</t>
  </si>
  <si>
    <t>IPR142551</t>
  </si>
  <si>
    <t>CBOX- COKE BDB 24X30CL
CBOX- COKE BDB 4X6X30CL</t>
  </si>
  <si>
    <t>5000
20000</t>
  </si>
  <si>
    <t>LPO10014373</t>
  </si>
  <si>
    <t>IPR141690</t>
  </si>
  <si>
    <t xml:space="preserve">STANDARD LABELS </t>
  </si>
  <si>
    <t xml:space="preserve">LABEL- COKE SAC 2.0LT
LABEL-COKE EINSTEIN 1LT 30% LESS SUGAR
LABEL- COKE SAC 0.5L
LABEL- SPRITE-2.0LT
LABEL- SPRITE-0.5LT
LABEL- FANTA ORANGE- 2.0LT
LABEL- FANTA ORANGE- 0.5LT
LABEL- FANTA PASSION- 2.0LT
LABEL- FANTA PASSION- 0.5LT
LABEL- CRYSTAL SPARKLING-1LT
</t>
  </si>
  <si>
    <t>LPO1001442</t>
  </si>
  <si>
    <t>IPR141776</t>
  </si>
  <si>
    <t>LABEL-PHOENIX PANACHE LEMON-33CL-BODY
LABEL-PHOENIX PANACHE LEMON-330/500ML-NECK
LABEL-PHOENIX PANACHE LEMON-33CL-BACK (LOCAL)
LABEL-PHOENIX PANACHE PEACH-33CL-BACK
LABEL-PHOENIX PANACHE RED FRUITS-33CL-BACK
LABEL-PHOENIX REJUV-33CL-BACK EXP(REUNION/FRANCE)
LABEL-PHOENIX REJUV-33CL-BODY EXPORT
LABEL-PHOENIX REJUV-33CL-L/NECK EXPORT</t>
  </si>
  <si>
    <t>LPO10014321</t>
  </si>
  <si>
    <t>IPR141535</t>
  </si>
  <si>
    <t>EMPAK</t>
  </si>
  <si>
    <t xml:space="preserve">PREFORM- CLEAR-EMPAK 1881-22.2G
PREFORM- CLEAR-EMPAK 1881-32.5G
PREFORM- CLEAR-EMPAK 1881-46.6G
</t>
  </si>
  <si>
    <t>3,064,320
552,960
1,202,688</t>
  </si>
  <si>
    <t>LPO10014374</t>
  </si>
  <si>
    <t>IPR141735</t>
  </si>
  <si>
    <t>PFILM-SHRINK-390MM X 60MIC
PFILM-SHRINK-340MM X 60MIC
PFILM-SHRINK-390MMX60MIC- UV</t>
  </si>
  <si>
    <t>5000
1000
3000</t>
  </si>
  <si>
    <t>LPO10014375</t>
  </si>
  <si>
    <t>IPR141695</t>
  </si>
  <si>
    <t xml:space="preserve">LABEL-COKE NO SUGAR KAIZEN 1LT
LABEL-COKE NO SUGAR KAIZEN 0.5LT
LABEL- SCHWP TONIC- 0.5LT
LABEL- SCHWP SOD- 0.5LT
LABEL- SCHWP G ALE-0.5LT
LABEL- ORANGINA 1.5L
LABEL- ORANGINA 0.5L
LABEL- ORANGINA ZERO 1.5LT
LABEL- ESKI ALMOND 2.25LT
LABEL- ESKI ALMOND 400ML 
LABEL- ESKI STRAWBERRY 2.25LT
LABEL- ESKI VANILLA 2.25LT
LABEL- ESKI VANILLA 400ML
</t>
  </si>
  <si>
    <t>LPO10014317</t>
  </si>
  <si>
    <t>IPR141596</t>
  </si>
  <si>
    <t xml:space="preserve">CBOX- COKE BDB 4X6X30CL
CBOX- COKE BDB 6X30CL RED
</t>
  </si>
  <si>
    <t>10000
40000</t>
  </si>
  <si>
    <t>LPO10014316</t>
  </si>
  <si>
    <t>IPR141597</t>
  </si>
  <si>
    <t>14/04/2025:POP</t>
  </si>
  <si>
    <t>FPO12142</t>
  </si>
  <si>
    <t>IPR142456</t>
  </si>
  <si>
    <t>MALT-HOLLAND LOT 3</t>
  </si>
  <si>
    <t>MSC JOANNA IP512B</t>
  </si>
  <si>
    <t xml:space="preserve">60 DAYS BL </t>
  </si>
  <si>
    <t>BBASE- COKE-760
BBASE- COKE NO SUGAR( KAIZEN)-200
BBASE- COKE NO SUGAR POSTMIX-48
BBASE- SPRITE-640
BBASE- FANTA PASSION-128
BBASE- SCHWEPPE GINGER ALE-30
BBASE- SCHWEPPE SODA-12
BBASE- CRYSTAL WATER- WA12-1800
BBASE- DASANI WATER- WA64-32
BBASE- COKE EINSTEIN (30% LESS SUGAR)-320
CONC- FUZE TEA - PEACH-240
CONC - FUZE TEA - MANGO BAOBAB-24</t>
  </si>
  <si>
    <t xml:space="preserve">BBASE- COKE-840
CONC- FUZE TEA -MANGO CAMOMILE-120
</t>
  </si>
  <si>
    <r>
      <t>MSC RAVENNA V IP510R</t>
    </r>
    <r>
      <rPr>
        <sz val="14"/>
        <rFont val="Calibri"/>
        <family val="2"/>
        <scheme val="minor"/>
      </rPr>
      <t xml:space="preserve">
MSC PAMELA V. IP513R </t>
    </r>
  </si>
  <si>
    <t>MSC NAIROBI XIP514R</t>
  </si>
  <si>
    <t>CONCENTRE PEARONA + CIDER</t>
  </si>
  <si>
    <r>
      <rPr>
        <b/>
        <u/>
        <sz val="14"/>
        <rFont val="Calibri"/>
        <family val="2"/>
        <scheme val="minor"/>
      </rPr>
      <t>LOT 362</t>
    </r>
    <r>
      <rPr>
        <sz val="14"/>
        <rFont val="Calibri"/>
        <family val="2"/>
        <scheme val="minor"/>
      </rPr>
      <t xml:space="preserve">
CAN-PHOENIX BEER-33CL-XX - DG - 427,122
CAN-P.FRESH LEMON-33CL-XX - DG - 133,038
CAN-BLUE MARLIN-33CL-XX - DG - 427,122
CAN-PEARONA-33CL-XX - DG - 266,076
CAN-SMIRNOFF ICE RED-33CL-XX -HG -  266,076
CAN-SMIRNOFF ICE BLUE-33CL- (GUARANA) - HG - 133,038
ENDS-ALUMINIUM-DIA 202-LARGE OPENING - DG - 1,258,358
ENDS-ALUMINIUM-DIA 202-LARGE OPENING - HG - 399,114</t>
    </r>
  </si>
  <si>
    <t>MSC KRITTIKA</t>
  </si>
  <si>
    <t xml:space="preserve">TO CHECK FOR PAYMENT </t>
  </si>
  <si>
    <t>PREFORM-CRYSTAL BLUE 29/25-27GM - 1,100,000 unit 
PREFORM- CLEAR-38MM-30GM - 528,000
PREFORM- CLEAR-38MM-52GM - 299,200
PREFORM-CRYSTAL BLUE 29/25-23.5GM - 550,000</t>
  </si>
  <si>
    <t>APL NEW YORK ONNKTE</t>
  </si>
  <si>
    <t xml:space="preserve">CONTI CHEVALRY </t>
  </si>
  <si>
    <t xml:space="preserve">APL COLOMBUS </t>
  </si>
  <si>
    <t>FPO12161</t>
  </si>
  <si>
    <t>IPR142893</t>
  </si>
  <si>
    <t>MALT-LOT 5</t>
  </si>
  <si>
    <t>FPO12157</t>
  </si>
  <si>
    <t>IPR142536</t>
  </si>
  <si>
    <t>BBASE- COKE-1600
BBASE- COKE NO SUGAR( KAIZEN)-120
BBASE- SPRITE-800
BBASE- FANTA PASSION-160
BBASE- SCHWEPPE TONIC-60
BBASE- SCHWEPPE GINGER ALE-24
BBASE- CRYSTAL WATER- WA12-1800
BBASE- DASANI WATER- WA64-80
CONC- FUZE TEA - PEACH-240
CONC- FUZE TEA - APPLE LEMONGRASS-144
CONC- FUZE TEA -MANGO CAMOMILE-180
CONC - FUZE TEA - MANGO BAOBAB-72</t>
  </si>
  <si>
    <t>FPO12148</t>
  </si>
  <si>
    <t>IPR142541</t>
  </si>
  <si>
    <t>BETACAROTENE 1% WS, 0.42 KG</t>
  </si>
  <si>
    <t>FPO12156</t>
  </si>
  <si>
    <t>IPR142813</t>
  </si>
  <si>
    <t xml:space="preserve">SAS VIGNEAU CHEVREAU </t>
  </si>
  <si>
    <t>FPO12154</t>
  </si>
  <si>
    <t>IPR142805</t>
  </si>
  <si>
    <t xml:space="preserve">SCEA DOMAINE DE LA CENDRILLON </t>
  </si>
  <si>
    <t>ADVANCE PAYMENT</t>
  </si>
  <si>
    <t>FPO12153</t>
  </si>
  <si>
    <t>IPR142803</t>
  </si>
  <si>
    <t xml:space="preserve">BAUDRY DUTOUR SAS </t>
  </si>
  <si>
    <t>FPO12155</t>
  </si>
  <si>
    <t>IPR142810</t>
  </si>
  <si>
    <t>FPO12152</t>
  </si>
  <si>
    <t>IPR142800</t>
  </si>
  <si>
    <t>60 JOURS DATE D'ENLEVEMENT</t>
  </si>
  <si>
    <t>FPO12144</t>
  </si>
  <si>
    <t>IPR142815</t>
  </si>
  <si>
    <t>FPO12145</t>
  </si>
  <si>
    <t>IPR142816</t>
  </si>
  <si>
    <t>FPO12158</t>
  </si>
  <si>
    <t>IPR142915</t>
  </si>
  <si>
    <t>RIEBEEK VALLEY WINE CO PTY LTD</t>
  </si>
  <si>
    <t>MK017</t>
  </si>
  <si>
    <r>
      <rPr>
        <b/>
        <u/>
        <sz val="14"/>
        <rFont val="Calibri"/>
        <family val="2"/>
        <scheme val="minor"/>
      </rPr>
      <t xml:space="preserve">CROSS TRADE ORDER  MADAGASCAR </t>
    </r>
    <r>
      <rPr>
        <sz val="14"/>
        <rFont val="Calibri"/>
        <family val="2"/>
        <scheme val="minor"/>
      </rPr>
      <t xml:space="preserve">
MONSTER ENERGY PRODUCTS 
Monster Energy Original 500ML CAN X 24 - 880 CASES 
</t>
    </r>
    <r>
      <rPr>
        <strike/>
        <sz val="14"/>
        <rFont val="Calibri"/>
        <family val="2"/>
        <scheme val="minor"/>
      </rPr>
      <t>MONSTER ROSSI 500ml CAN X 24
MONSTER ULTRA WHITE 500ML CANS X 24
500ml Can Monster Mucho Loco
500ml Can Monster Pipeline Punch x24
500ml Can Monster Pacific Punch x24
500ml Can Monster Mariposa x24
500ml Can Monster Aussie Limonade x24</t>
    </r>
  </si>
  <si>
    <r>
      <rPr>
        <b/>
        <u/>
        <sz val="14"/>
        <color theme="1"/>
        <rFont val="Calibri"/>
        <family val="2"/>
        <scheme val="minor"/>
      </rPr>
      <t xml:space="preserve">CROSS TRADE ORDER - MADGASCAR
</t>
    </r>
    <r>
      <rPr>
        <sz val="14"/>
        <color theme="1"/>
        <rFont val="Calibri"/>
        <family val="2"/>
        <scheme val="minor"/>
      </rPr>
      <t xml:space="preserve">27/05/2024 : FPO sent to supplier 
25/06/2024 : Acknowedge good receipt and 
23/07/2024 : awaiting for the PFI  / Legal issue between Monster and K.O
15/10/2024 : awaiting for the PFI  - legal issue between Monster and KO/ continuous follow up 
09/12/2024 :  other negociation ongoing/ to export monster cans via PBL  - working on related cost ( Mail send to cynthia 09.12.2024 ) 
24/02/2025- To see with Sailesh status 
18/03/2025- Awt below information from Export department to send to CCBSA  : 
1.	A full-year forecast and confirmation that no unique SKUs are required for Madagascar.
2.	Any country-specific requirements regarding documentation, inspections, or certifications.
3.	Preferred container size: 20FT or 40FT.
4.	 Delivery address
TO SEND MAIL TO SAILESH
07/04/2025-Awaiting Jackie's feedback regarding creation of customer code for madagascar
</t>
    </r>
    <r>
      <rPr>
        <sz val="14"/>
        <color rgb="FFFF0000"/>
        <rFont val="Calibri"/>
        <family val="2"/>
        <scheme val="minor"/>
      </rPr>
      <t xml:space="preserve">18/04/2025- To keep pending </t>
    </r>
  </si>
  <si>
    <t>FPO12171</t>
  </si>
  <si>
    <t>IPR143107</t>
  </si>
  <si>
    <t>BETA GLASS PLC</t>
  </si>
  <si>
    <t>FPO12163</t>
  </si>
  <si>
    <t>IPR142798</t>
  </si>
  <si>
    <t>SCEA BERNARD BAUDRY</t>
  </si>
  <si>
    <t>Chinon Les Granges Bernard Baudry 750ml
Chinon Les Grezeaux Bernard Baudry 750ML
Chinon Le Domaine Bernard Baudry 750ML</t>
  </si>
  <si>
    <t xml:space="preserve">100% ADVANCE </t>
  </si>
  <si>
    <t>LPO10015515</t>
  </si>
  <si>
    <t>IPR142996</t>
  </si>
  <si>
    <t>HEALTH MESSAGE STICKERS</t>
  </si>
  <si>
    <t>Order Cancelled</t>
  </si>
  <si>
    <t>21/04/2025 :Order cancelled</t>
  </si>
  <si>
    <t>To follow order readiness/Call off.</t>
  </si>
  <si>
    <t>600kg only available/400kg will be imported by supplier/To amend PO for 400kgs/Call off.</t>
  </si>
  <si>
    <t>Delivery schedule on 25/03/2025/Call off.</t>
  </si>
  <si>
    <t>PO sent to supplier/Delivery 01/05/2025/Call off.</t>
  </si>
  <si>
    <t>2025-03-0430
23/04/2025</t>
  </si>
  <si>
    <t>2025-02-0406</t>
  </si>
  <si>
    <t>2025-02-0407</t>
  </si>
  <si>
    <t>booking 018ur0119704</t>
  </si>
  <si>
    <t>container : MSBU3299515</t>
  </si>
  <si>
    <t xml:space="preserve">Maersk Cap Carmel 517W
</t>
  </si>
  <si>
    <t xml:space="preserve">Same agent will collect barker&amp; quin , six dogs fpo12028 and monks fpo12085
HC MISSING  - supplier informed us that + Health Certificate can only be done after the vessel has sailed as we need to apply with vessel details.
BOOKING NO : 252501103
</t>
  </si>
  <si>
    <t>60 DAYS FROM BILL OF LADING</t>
  </si>
  <si>
    <t xml:space="preserve">MAERSK CAP CARMEL 517W
</t>
  </si>
  <si>
    <t>DELAY DUE TO STRIKE IN FRANCE  , CONTAINER NO : MSMU5972130</t>
  </si>
  <si>
    <t>AWT CODE CREATION FROM THOMY FOR PLANTATION BARBADOS GRANDE RESERVE 700ML (100ML RECEIVED)</t>
  </si>
  <si>
    <t xml:space="preserve">SARL DOMAINE OLGA RAFFAULT </t>
  </si>
  <si>
    <t>MSC LA SEINE</t>
  </si>
  <si>
    <t xml:space="preserve">100% ADV  236,362.70
</t>
  </si>
  <si>
    <t>MSC LAURENCE</t>
  </si>
  <si>
    <t>MSC ARCHIMIDIS</t>
  </si>
  <si>
    <t xml:space="preserve">
50% 45 DAYS INV DATE - EUR 43,317.60</t>
  </si>
  <si>
    <r>
      <rPr>
        <b/>
        <sz val="14"/>
        <rFont val="Calibri"/>
        <family val="2"/>
        <scheme val="minor"/>
      </rPr>
      <t>LOT 352C</t>
    </r>
    <r>
      <rPr>
        <sz val="14"/>
        <rFont val="Calibri"/>
        <family val="2"/>
        <scheme val="minor"/>
      </rPr>
      <t xml:space="preserve">
2,000,000 units Phoenix Cans 33cl</t>
    </r>
  </si>
  <si>
    <t>20.04.2025</t>
  </si>
  <si>
    <t xml:space="preserve">MAERSK CAP CARMEL </t>
  </si>
  <si>
    <t xml:space="preserve">FINISHED PRODUCTS -MONSTER- 4th lot 
AB ZERO - 400
</t>
  </si>
  <si>
    <t xml:space="preserve">TO CLOSE PO AS PER OPEN BOOK </t>
  </si>
  <si>
    <t xml:space="preserve">
MONSTER PIPELINE PUNCH - 1600
Monster Doctor Rossi - 640 
</t>
  </si>
  <si>
    <t xml:space="preserve">TO CLOSE PO </t>
  </si>
  <si>
    <r>
      <t xml:space="preserve">FINISHED PRODUCTS- MONSTER -3RD lot - </t>
    </r>
    <r>
      <rPr>
        <sz val="14"/>
        <color rgb="FFFF0000"/>
        <rFont val="Calibri"/>
        <family val="2"/>
        <scheme val="minor"/>
      </rPr>
      <t xml:space="preserve">TO CLOSE PO </t>
    </r>
    <r>
      <rPr>
        <sz val="14"/>
        <rFont val="Calibri"/>
        <family val="2"/>
        <scheme val="minor"/>
      </rPr>
      <t xml:space="preserve">
ORIGINAL- 520</t>
    </r>
  </si>
  <si>
    <t>Monster Energy Original 500ML CAN - 8800</t>
  </si>
  <si>
    <t xml:space="preserve">
BULK WHITE WINE - 26,000 LITRES  </t>
  </si>
  <si>
    <t>LPO10015326</t>
  </si>
  <si>
    <t>IPR142826</t>
  </si>
  <si>
    <t>PREFORM- CLEAR-ALPLA 1881-32G ($41.05+ Rs 1187.45)
PREFORM- CLEAR-ALPLA 1881-48G ($61.57+ Rs 1075.79)</t>
  </si>
  <si>
    <t>317,520
594,720</t>
  </si>
  <si>
    <t>PO sent to supplier</t>
  </si>
  <si>
    <t>LPO10015327</t>
  </si>
  <si>
    <t>IPR142825</t>
  </si>
  <si>
    <t>4,377,600
552,960
3,608,064</t>
  </si>
  <si>
    <t>LPO10015324</t>
  </si>
  <si>
    <t>IPR142828</t>
  </si>
  <si>
    <t>CAPS- COKE PET RED 13-PLEASE REPLACE CAP
CAPS- COKE NO SUGAR BLACK 14-PLEASE REPLACE CAP
CAPS- SPRITE PET GREEN 96-PLEASE REPLACE CAP
CAPS- FANTA ORANGE PET BLUE 47-PLEASE REPLACE CAP
CAPS- SCHWEPPES PET YELLOW 87-PLEASE REPLACE CAP
CAPS- CRYSTAL SPARKLING GRN 112-PLEASE REPLACE CAP
CAPS- ORANGINA ORIGINAL/REGULAR PULPE BLUE</t>
  </si>
  <si>
    <t>4,200,000
735,000
2,100,000
1,050,000
525,000
210,000
210,000</t>
  </si>
  <si>
    <t>LPO10015098</t>
  </si>
  <si>
    <t>IPR142461</t>
  </si>
  <si>
    <t>PRECIGRAPH</t>
  </si>
  <si>
    <t>CLUSTER-PHOENIX REJUV-33CLX6-XX
CLUSTER-PHOENIX PANACHE LEMON-33CLX6-XX</t>
  </si>
  <si>
    <t>25,000
25,000</t>
  </si>
  <si>
    <t>LPO10015251</t>
  </si>
  <si>
    <t>IPR142784</t>
  </si>
  <si>
    <t xml:space="preserve">LABEL- COKE-OBS 2.0LT
LABEL- COKE-OBS 0.5LT
</t>
  </si>
  <si>
    <t>3,000,000
3,000,000</t>
  </si>
  <si>
    <t>PFILM- SHRINK-400/425/450/60MIC</t>
  </si>
  <si>
    <t>LPO10014318</t>
  </si>
  <si>
    <t>IPR141591</t>
  </si>
  <si>
    <t>CAPS- COKE PET RED 13-PLEASE REPLACE CAP
CAPS- COKE NO SUGAR BLACK 14-PLEASE REPLACE CAP</t>
  </si>
  <si>
    <t>2,100,000
210,000</t>
  </si>
  <si>
    <t>LPO10014320</t>
  </si>
  <si>
    <t>IPR141529</t>
  </si>
  <si>
    <t>PREFORM- CLEAR-ALPLA 1881-48G ($62.05+ Rs 1068.98)</t>
  </si>
  <si>
    <t>LPO10014626</t>
  </si>
  <si>
    <t>IPR141788</t>
  </si>
  <si>
    <t>LABEL-GUINNESS-65CL-NECK
LABEL-GUINNESS-65CL-BACK
LABEL-GUINNESS-65CL-BODY
LABEL-PHOENIX PANACHE LEMON-33CL-BODY
LABEL-PHOENIX PANACHE LEMON-330/500ML-NECK
LABEL-PHOENIX PANACHE PEACH-33CL-BODY
LABEL-PHOENIX PANACHE PEACH-33CL-L/NECK
LABEL-PHOENIX PANACHE PEACH-33CL-BACK
LABEL-PHOENIX PANACHE RED FRUITS-33CL-BODY
LABEL-PHOENIX PANACHE RED FRUITS-33CL-L/NECK
LABEL-PHOENIX PANACHE RED FRUITS-33CL-BACK
LABEL-PHOENIX PANACHE RED FRUITS-33CL-BACK EXPORT
LABEL-PHOENIX REJUV-33CL-BACK EXP(REUNION/FRANCE)
LABEL-PHOENIX REJUV-33CL-BODY EXPORT
LABEL-PHOENIX REJUV-33CL-L/NECK EXPORT</t>
  </si>
  <si>
    <t>200,000
150,000
200000
100000
100000
50000
50000
50000
100000
50000
50000
50000
400000
500000
500000</t>
  </si>
  <si>
    <t xml:space="preserve">PO send to supplier - to follow up on an urgent delivery </t>
  </si>
  <si>
    <t>LPO10014459</t>
  </si>
  <si>
    <t>IPR141836</t>
  </si>
  <si>
    <t>CTRAY-PLAIN WHITE-CANS-33CLX24</t>
  </si>
  <si>
    <t>LPO10014456</t>
  </si>
  <si>
    <t>IPR141599</t>
  </si>
  <si>
    <t>CRAZY PAPER CUP</t>
  </si>
  <si>
    <t>CUPS Jars 250ML
CUPS 350ML</t>
  </si>
  <si>
    <t>130,000
40,000</t>
  </si>
  <si>
    <t>LPO10014458</t>
  </si>
  <si>
    <t>IPR141775</t>
  </si>
  <si>
    <t>CLUSTER-PHOENIX REJUV-33CLX6-XX</t>
  </si>
  <si>
    <t>LPO10014460</t>
  </si>
  <si>
    <t>IPR141838</t>
  </si>
  <si>
    <t>CTRAY-PLAIN WHITE-PINT-33CLX24</t>
  </si>
  <si>
    <t>LPO10014457</t>
  </si>
  <si>
    <t>IPR141724</t>
  </si>
  <si>
    <t>LABEL- CRYSTAL BOPP CLR 1.5LT
LABEL- CRYSTAL BOPP CLR 1.0LT
LABEL- CRYSTAL BOPP CLR 0.5LT
SLEEVE- FUZE TEA PEACH 0.5LT
SLEEVE- FUZE TEA PEACH 1.5LT
SLEEVE- FUZE TEA APPLE LEMONGRASS 0.5LT
SLEEVE- FUZE TEA MANGO CAMOMILE 0.5LT
SLEEVE- FUZE TEA MANGO CAMOMILE 1.5LT
SLEEVE- FUZE TEA MANGO BAOBAB 0.5LT</t>
  </si>
  <si>
    <t>LPO10014319</t>
  </si>
  <si>
    <t>IPR141555</t>
  </si>
  <si>
    <t>MRA</t>
  </si>
  <si>
    <t>MRA Excise Stamps</t>
  </si>
  <si>
    <t>LPO10014764</t>
  </si>
  <si>
    <t>IPR142165</t>
  </si>
  <si>
    <t>6,000
2,000
3,000</t>
  </si>
  <si>
    <t>LPO10014627</t>
  </si>
  <si>
    <t>IPR141783</t>
  </si>
  <si>
    <t>LABEL-PHOENIX REJUV-33CL-BACK
LABEL-PHOENIX REJUV-33CL-BODY
LABEL-PHOENIX REJUV-33CL-L/NECK
LABEL-BLUE MARLIN-65CL BACK
LABEL-BLUE MARLIN-50/65CL-BODY OVAL SHAPE ALU
LABEL-BLUE MARLIN-33/50/65CL- L/NECK
LABEL-BLUE MARLIN-33CL-BODY
LABEL-BLUE MARLIN-33CL BACK
LABEL-PEARONA-65CL-BACK
LABEL-PEARONA-65CL-BODY
LABEL-PEARONA-33CL/65CL-LONG NECK
LABEL-PEARONA-33CL-BACK
LABEL-PEARONA-33CL-BODY
LABEL-CIDONA-65CL-BACK
LABEL-CIDONA-65CL-BODY
LABEL-CIDONA-33CL/65CL-LONG NECK</t>
  </si>
  <si>
    <t>LPO10014923</t>
  </si>
  <si>
    <t>IPR142276</t>
  </si>
  <si>
    <t>200
400
300
25
600</t>
  </si>
  <si>
    <t>LPO10015097</t>
  </si>
  <si>
    <t>IPR142457</t>
  </si>
  <si>
    <t>CTRAY-PHOENIX REJUV-CAN-33CLX24
CTRAY-PHOENIX REJUV-CAN-50CLX24</t>
  </si>
  <si>
    <t>10000
5000</t>
  </si>
  <si>
    <t>LPO10015096</t>
  </si>
  <si>
    <t xml:space="preserve">PB </t>
  </si>
  <si>
    <t>IPR142550</t>
  </si>
  <si>
    <t>LABEL- ORANGINA 1.5L</t>
  </si>
  <si>
    <t>LPO10014925</t>
  </si>
  <si>
    <t>IPR142301</t>
  </si>
  <si>
    <t>WINE LABELS</t>
  </si>
  <si>
    <t>FPO12189</t>
  </si>
  <si>
    <t>IPR142249</t>
  </si>
  <si>
    <t>FPO12188</t>
  </si>
  <si>
    <t>IPR143140</t>
  </si>
  <si>
    <t>LPO10015672</t>
  </si>
  <si>
    <t>LPO10015673</t>
  </si>
  <si>
    <t>IPR143200</t>
  </si>
  <si>
    <t>IPR143204</t>
  </si>
  <si>
    <t>PFILM</t>
  </si>
  <si>
    <t xml:space="preserve">CANCELLED </t>
  </si>
  <si>
    <t>CANCELLED</t>
  </si>
  <si>
    <t xml:space="preserve">FINISHED PRODUCTS - 3RD  lot 
Grapetiser 330ml - 2370
</t>
  </si>
  <si>
    <t>N/.A</t>
  </si>
  <si>
    <t xml:space="preserve">2ND LOT : 
Grapetiser Red Can 330ML- 1700
Appletiser can 330ml-3040
</t>
  </si>
  <si>
    <t>FPO12191</t>
  </si>
  <si>
    <t>FPO12192</t>
  </si>
  <si>
    <t>IPR143205</t>
  </si>
  <si>
    <t>IPR143221</t>
  </si>
  <si>
    <t>MPACT LIMITED</t>
  </si>
  <si>
    <t xml:space="preserve">W/AROUND - PHOENIX REJUV 33 CL X18 </t>
  </si>
  <si>
    <t>FPO12190</t>
  </si>
  <si>
    <t>IPR142806</t>
  </si>
  <si>
    <t xml:space="preserve">SAS MELODY </t>
  </si>
  <si>
    <t>LPO10015790</t>
  </si>
  <si>
    <t>IPR143413</t>
  </si>
  <si>
    <t>PO sent to supplier/Delivery on call off</t>
  </si>
  <si>
    <t>LPO10015769</t>
  </si>
  <si>
    <t>IPR143415</t>
  </si>
  <si>
    <t>MAURITIUS SUGAR SYNDICATE</t>
  </si>
  <si>
    <t>SUGAR WHITE</t>
  </si>
  <si>
    <t>PO sent to supplier and acknowledge receipt</t>
  </si>
  <si>
    <t>LPO10015770</t>
  </si>
  <si>
    <t>IPR143416</t>
  </si>
  <si>
    <t>LPO10015643</t>
  </si>
  <si>
    <t>IPR143202</t>
  </si>
  <si>
    <t>ESKI-ASPARTAME-25
ESKI-ACESULFAME-25
SODIUM BENZOATE FOOD GRADE-50
ESKI-CITRIC ACID ANHYDROUS-200</t>
  </si>
  <si>
    <t>25
25
50
200</t>
  </si>
  <si>
    <t>LPO10015642</t>
  </si>
  <si>
    <t>IPR143183</t>
  </si>
  <si>
    <t>TRISODIUM CITRATE</t>
  </si>
  <si>
    <t>FPO12187</t>
  </si>
  <si>
    <t>IPR143132</t>
  </si>
  <si>
    <t>MALT-LOT 2</t>
  </si>
  <si>
    <t>FPO12186</t>
  </si>
  <si>
    <t>IPR143104</t>
  </si>
  <si>
    <t>FPO12185</t>
  </si>
  <si>
    <t>IPR143103</t>
  </si>
  <si>
    <t>MALT LOT 5</t>
  </si>
  <si>
    <t>CONCENTRATES-MGFC-5000LT</t>
  </si>
  <si>
    <t>FPO12151</t>
  </si>
  <si>
    <t>IPR142799</t>
  </si>
  <si>
    <t>30 JOURS DATE DE FACTURE</t>
  </si>
  <si>
    <t>LPO10015774</t>
  </si>
  <si>
    <t>IPR143333</t>
  </si>
  <si>
    <t>LABEL-PHOENIX PANACHE PEACH-33CL-BODY
LABEL-PHOENIX PANACHE PEACH-33CL-L/NECK
LABEL-PHOENIX PANACHE PEACH-33CL-BACK</t>
  </si>
  <si>
    <t>50000
100000
50000</t>
  </si>
  <si>
    <t>22/04/2025
05/05/2025</t>
  </si>
  <si>
    <t>Process rfp</t>
  </si>
  <si>
    <t>FPO12198</t>
  </si>
  <si>
    <t>IPR143198</t>
  </si>
  <si>
    <t>FPO12184</t>
  </si>
  <si>
    <t>IPR143207</t>
  </si>
  <si>
    <t>CROWN CORK-PHOENIX BEER-XX-(BPA-NI)
CROWN CORK-PLAIN HEALTH MESSAGE-XX-(BPA-NI)
CROWN CORK-GUINNESS-XX-(BPA-NI)
CROWN CORK-BLUE MARLIN-XX-(BPA-NI)
CROWN CORK-PHOENIX SPECIALE-XX-(BPA-NI)
CROWN CORK-PHOENIX PANACHE-XX-(BPA-NI)
CROWN- CORK- COKE REUNION (BPA-NI)</t>
  </si>
  <si>
    <t>EKW</t>
  </si>
  <si>
    <t xml:space="preserve">60 Days Invoice Date </t>
  </si>
  <si>
    <t>MSC CHERYL</t>
  </si>
  <si>
    <t xml:space="preserve">CAP SCREW WINE  - Via airfreight </t>
  </si>
  <si>
    <t>50%ADV - USD 107,100.00 ( 03/02/2025)
50% ON DEL - USD 107,100.00 - 25.04.2025</t>
  </si>
  <si>
    <t>19/05/2025 &amp; 1 TC 02/06/2025</t>
  </si>
  <si>
    <t>MSC DOMNA X</t>
  </si>
  <si>
    <r>
      <rPr>
        <sz val="14"/>
        <color rgb="FF00B050"/>
        <rFont val="Calibri"/>
        <family val="2"/>
        <scheme val="minor"/>
      </rPr>
      <t>50% ADV- 20/03/2025 (USD 15,916.32)</t>
    </r>
    <r>
      <rPr>
        <sz val="14"/>
        <rFont val="Calibri"/>
        <family val="2"/>
        <scheme val="minor"/>
      </rPr>
      <t xml:space="preserve">
</t>
    </r>
    <r>
      <rPr>
        <sz val="14"/>
        <color rgb="FF00B050"/>
        <rFont val="Calibri"/>
        <family val="2"/>
        <scheme val="minor"/>
      </rPr>
      <t>50% ON SCAN BL - 30/04/2025
(USD 15,916.32)</t>
    </r>
  </si>
  <si>
    <r>
      <t>FINISHED PRODUCTS - MONSTER (LOT 7)
-Pipeline punch - 2240</t>
    </r>
    <r>
      <rPr>
        <sz val="14"/>
        <color rgb="FFFF0000"/>
        <rFont val="Calibri"/>
        <family val="2"/>
        <scheme val="minor"/>
      </rPr>
      <t xml:space="preserve">
</t>
    </r>
  </si>
  <si>
    <t xml:space="preserve">FINISHED PRODUCTS -6TH  LOT 
- PIPELINE PUNCH - 960
</t>
  </si>
  <si>
    <t>0 3/05/2026</t>
  </si>
  <si>
    <r>
      <rPr>
        <sz val="14"/>
        <color rgb="FF00B050"/>
        <rFont val="Calibri"/>
        <family val="2"/>
        <scheme val="minor"/>
      </rPr>
      <t>50% ADVANCE - ZAR 47,772 = 10.03.2025</t>
    </r>
    <r>
      <rPr>
        <sz val="14"/>
        <rFont val="Calibri"/>
        <family val="2"/>
        <scheme val="minor"/>
      </rPr>
      <t xml:space="preserve">
</t>
    </r>
    <r>
      <rPr>
        <sz val="14"/>
        <color rgb="FF00B050"/>
        <rFont val="Calibri"/>
        <family val="2"/>
        <scheme val="minor"/>
      </rPr>
      <t>50% BALANCE  - 05/04/2025</t>
    </r>
  </si>
  <si>
    <r>
      <t xml:space="preserve">22/04/2025
</t>
    </r>
    <r>
      <rPr>
        <sz val="14"/>
        <rFont val="Calibri"/>
        <family val="2"/>
        <scheme val="minor"/>
      </rPr>
      <t>10/05/2025</t>
    </r>
  </si>
  <si>
    <t>tbc</t>
  </si>
  <si>
    <t>05/05-09/05</t>
  </si>
  <si>
    <t xml:space="preserve">FINISHED PRODUCTS 3rd lot
</t>
  </si>
  <si>
    <t>3rd lot
FINISHED PRODUCTS- MONSTER
-ORIGINAL- 880</t>
  </si>
  <si>
    <t>FPO12229</t>
  </si>
  <si>
    <t>IPR143529</t>
  </si>
  <si>
    <t>FPO12230</t>
  </si>
  <si>
    <t>IPR12230</t>
  </si>
  <si>
    <t>FPO12231</t>
  </si>
  <si>
    <t>IPR12231</t>
  </si>
  <si>
    <t>FPO12232</t>
  </si>
  <si>
    <t>IPR12232</t>
  </si>
  <si>
    <t>FPO12233</t>
  </si>
  <si>
    <t xml:space="preserve">Same agent will collect barker&amp; quin , six dogs fpo12028 and monks fpo12085
container - CAAU6631002 
</t>
  </si>
  <si>
    <r>
      <t xml:space="preserve">10/05/2025
</t>
    </r>
    <r>
      <rPr>
        <sz val="14"/>
        <rFont val="Calibri"/>
        <family val="2"/>
        <scheme val="minor"/>
      </rPr>
      <t>20/05/2025</t>
    </r>
  </si>
  <si>
    <r>
      <t xml:space="preserve">MSC YORK VII V. IP517R
</t>
    </r>
    <r>
      <rPr>
        <sz val="11"/>
        <color theme="1"/>
        <rFont val="Calibri"/>
        <family val="2"/>
        <scheme val="minor"/>
      </rPr>
      <t>KOTKA IP519R</t>
    </r>
  </si>
  <si>
    <r>
      <t xml:space="preserve">MSC YORK VII V. IP517R
</t>
    </r>
    <r>
      <rPr>
        <sz val="11"/>
        <color theme="1"/>
        <rFont val="Calibri"/>
        <family val="2"/>
        <scheme val="minor"/>
      </rPr>
      <t>MSC JUDITH V. IP518R</t>
    </r>
  </si>
  <si>
    <r>
      <t xml:space="preserve">29/04/2025
</t>
    </r>
    <r>
      <rPr>
        <sz val="14"/>
        <rFont val="Calibri"/>
        <family val="2"/>
        <scheme val="minor"/>
      </rPr>
      <t>12/05/2025</t>
    </r>
  </si>
  <si>
    <t>container MSNU6085880</t>
  </si>
  <si>
    <t>MSC POLARIS</t>
  </si>
  <si>
    <t xml:space="preserve">MSC Ajaccio </t>
  </si>
  <si>
    <t>Order to be cancelled as per demand planning.</t>
  </si>
  <si>
    <t>MSC DOMNA</t>
  </si>
  <si>
    <t>FPO12228</t>
  </si>
  <si>
    <t>IPR143514</t>
  </si>
  <si>
    <t>CONC- FUZE TEA -MANGO CAMOMILE FULL SUGAR -PART 1C,1D-144 Units</t>
  </si>
  <si>
    <t>FPO12201</t>
  </si>
  <si>
    <t>IPR142853</t>
  </si>
  <si>
    <t>CONC- ORANGINA [1DRUM=7UN]-602
CONC- POTASSIUM SORBATE(1 CARTON=28UN)-616
CONC- ORANGINA ZERO DRUM KIT(28UN)-84
CONC- PRESERVATIVE KIT FOR 0! ZERO(28UN)-84
CONC- ANTIOXIDANT KIT(28UN)-84</t>
  </si>
  <si>
    <t>FPO12213</t>
  </si>
  <si>
    <t>IPR143432</t>
  </si>
  <si>
    <t>SAS GILLES GELIN</t>
  </si>
  <si>
    <t>FPO12212</t>
  </si>
  <si>
    <t>IPR143125</t>
  </si>
  <si>
    <t>SAS CHATEAU DOMPIERRE</t>
  </si>
  <si>
    <t>FPO12226</t>
  </si>
  <si>
    <t>IPR142856</t>
  </si>
  <si>
    <t>FPO12214</t>
  </si>
  <si>
    <t>IPR143508</t>
  </si>
  <si>
    <t>FPO12215</t>
  </si>
  <si>
    <t>IPR143509</t>
  </si>
  <si>
    <t>TENUTA DEL BUON TEMPO SOC AGR SRL</t>
  </si>
  <si>
    <t xml:space="preserve">EXW </t>
  </si>
  <si>
    <t>FPO12216</t>
  </si>
  <si>
    <t>IPR143507</t>
  </si>
  <si>
    <t>SCEA CHATEAU FOUQUET</t>
  </si>
  <si>
    <t>FPO12245</t>
  </si>
  <si>
    <t>FPO12244</t>
  </si>
  <si>
    <t>IPR143599</t>
  </si>
  <si>
    <t>IPR143126</t>
  </si>
  <si>
    <t xml:space="preserve">GLASTECH </t>
  </si>
  <si>
    <t>12.05.2025</t>
  </si>
  <si>
    <t>25.05.2025</t>
  </si>
  <si>
    <t>13.05.2025</t>
  </si>
  <si>
    <t>14.05.2025</t>
  </si>
  <si>
    <t>Will be released upon payment</t>
  </si>
  <si>
    <t>NHAVA SHEVA</t>
  </si>
  <si>
    <t>FedEx </t>
  </si>
  <si>
    <t xml:space="preserve">Maersk </t>
  </si>
  <si>
    <t>10.05.2025</t>
  </si>
  <si>
    <t>na</t>
  </si>
  <si>
    <r>
      <t xml:space="preserve">4th  lot 
</t>
    </r>
    <r>
      <rPr>
        <sz val="14"/>
        <color theme="1"/>
        <rFont val="Calibri"/>
        <family val="2"/>
        <scheme val="minor"/>
      </rPr>
      <t>COCA COLA CAN 300 ML - 4575</t>
    </r>
    <r>
      <rPr>
        <sz val="14"/>
        <rFont val="Calibri"/>
        <family val="2"/>
        <scheme val="minor"/>
      </rPr>
      <t xml:space="preserve">
300ml Can Fanta Orange x24 -285</t>
    </r>
  </si>
  <si>
    <t>MSC NORA III IB521R</t>
  </si>
  <si>
    <t>MSC DOMNA ZF518R</t>
  </si>
  <si>
    <t>WEEK 19/20 (BEG /MID MAY)</t>
  </si>
  <si>
    <t xml:space="preserve">FINISHED PRODUCTS - MONSTER -3RD  SHIPT 
AB ZERO 480
ULTRA WHITE- 80
</t>
  </si>
  <si>
    <t>week 20/21 (beg /mid may)</t>
  </si>
  <si>
    <t>FINISHED PRODUCTS -MONSTER ORIGINAL - 3rd  SHIPT - 3520</t>
  </si>
  <si>
    <t>WEEK 19/21 (BEG MAY/MID MAY)</t>
  </si>
  <si>
    <t xml:space="preserve">MSC DOMNA </t>
  </si>
  <si>
    <t>monster Energy Original 500ML CAN - 2880</t>
  </si>
  <si>
    <t>monster Energy Original 500ML CAN - 5920</t>
  </si>
  <si>
    <t>week 19/20 (beg may/mid may)</t>
  </si>
  <si>
    <t xml:space="preserve">FINISHED PRODUCTS -  3rd lot 
Mucho loco - 1760
Can Monster Aussi limonade -1760
</t>
  </si>
  <si>
    <t>WEEK 19/20(BEG MAY/MID MAY)</t>
  </si>
  <si>
    <t>1ST LOT
Monster original -400
500ml Can Monster Mucho Loco-640
500ml Can Monster Aussie Limonade x24-560</t>
  </si>
  <si>
    <t xml:space="preserve">2ND LOT
500ml Can Monster Mucho Loco-480
</t>
  </si>
  <si>
    <t>FPO12194</t>
  </si>
  <si>
    <t>IPR143020</t>
  </si>
  <si>
    <t>FPO12170</t>
  </si>
  <si>
    <t>IPR143097</t>
  </si>
  <si>
    <t>LPO10016134</t>
  </si>
  <si>
    <t>IPR143836</t>
  </si>
  <si>
    <t>FOR PROD Q3 2025</t>
  </si>
  <si>
    <t>LPO10016135</t>
  </si>
  <si>
    <t>IPR143860</t>
  </si>
  <si>
    <t>FOR PROD MAY 2025</t>
  </si>
  <si>
    <t>LPO10016136</t>
  </si>
  <si>
    <t>IPR143862</t>
  </si>
  <si>
    <t>PROD MAY /JUNE 2025</t>
  </si>
  <si>
    <t>LPO10016137</t>
  </si>
  <si>
    <t>IPR143863</t>
  </si>
  <si>
    <t>PROD MAY /JUNE 2026</t>
  </si>
  <si>
    <t>LPO10015884</t>
  </si>
  <si>
    <t>IPR143574</t>
  </si>
  <si>
    <t xml:space="preserve">PLASTIC INDUSTRY (MTIUS) Ltd </t>
  </si>
  <si>
    <t xml:space="preserve">Blue Crates MS 1 </t>
  </si>
  <si>
    <t>FPO12258</t>
  </si>
  <si>
    <t>IPR143784</t>
  </si>
  <si>
    <t>FPO12259</t>
  </si>
  <si>
    <t>IPR143790</t>
  </si>
  <si>
    <t>FPO12260</t>
  </si>
  <si>
    <t>IPR143794</t>
  </si>
  <si>
    <t>MALT LOT 6</t>
  </si>
  <si>
    <t>FPO12261</t>
  </si>
  <si>
    <t>MALT LOT 7</t>
  </si>
  <si>
    <t>FPO12262</t>
  </si>
  <si>
    <t>IPR143805</t>
  </si>
  <si>
    <t>IPR143806</t>
  </si>
  <si>
    <t>FPO12263</t>
  </si>
  <si>
    <t>IPR143842</t>
  </si>
  <si>
    <t>BARTHHASS GMBH</t>
  </si>
  <si>
    <t>FPO12264</t>
  </si>
  <si>
    <t>IPR143859</t>
  </si>
  <si>
    <t>SIMON HOPS STEINER HOPFEN</t>
  </si>
  <si>
    <t>FPO12237</t>
  </si>
  <si>
    <t>IPR143666</t>
  </si>
  <si>
    <t>IPR143541</t>
  </si>
  <si>
    <t>FPO12235</t>
  </si>
  <si>
    <t>IPR143686</t>
  </si>
  <si>
    <t>FPO12236</t>
  </si>
  <si>
    <t>IPR143690</t>
  </si>
  <si>
    <t>CONC- FUZE TEA LIQUID - PART2B-1536 UN</t>
  </si>
  <si>
    <t>FPO12238</t>
  </si>
  <si>
    <t>IPR143668</t>
  </si>
  <si>
    <t>FPO12239</t>
  </si>
  <si>
    <t>Supplier to share AWB documents</t>
  </si>
  <si>
    <t xml:space="preserve">BBASE- COKE-840
BBASE- COKE NO SUGAR( KAIZEN)-100
BBASE- COKE NO SUGAR POSTMIX-16
BBASE- SPRITE-800
BBASE- CRYSTAL WATER- WA12-4500
BBASE- DASANI WATER- WA64-32
BBASE- COKE EINSTEIN (30% LESS SUGAR)-320
</t>
  </si>
  <si>
    <t>BBASE- FANTA PASSION-160
BBASE- SCHWEPPE GINGER ALE-90
BBASE- SCHWEPPE SODA-12
CONC- FUZE TEA - PEACH-120
CONC- FUZE TEA -MANGO CAMOMILE-240
CONC - FUZE TEA - MANGO BAOBAB-60
BBASE- COKE-760</t>
  </si>
  <si>
    <t>CMA CGM DAVAO 521W</t>
  </si>
  <si>
    <t xml:space="preserve">12/05/2025
</t>
  </si>
  <si>
    <t>Château de Parenchère SAS</t>
  </si>
  <si>
    <t>IPR143587</t>
  </si>
  <si>
    <t>to amend PO</t>
  </si>
  <si>
    <t xml:space="preserve">1000 ML COKE RGB BOTTLES - 2 Containers </t>
  </si>
  <si>
    <t>MSC STELLA</t>
  </si>
  <si>
    <r>
      <rPr>
        <b/>
        <sz val="14"/>
        <rFont val="Calibri"/>
        <family val="2"/>
        <scheme val="minor"/>
      </rPr>
      <t>Lot 116</t>
    </r>
    <r>
      <rPr>
        <sz val="14"/>
        <rFont val="Calibri"/>
        <family val="2"/>
        <scheme val="minor"/>
      </rPr>
      <t xml:space="preserve">
CANS - PHX BEER REJUV- 50 CL- 2,080,800 UNIT
ENDS ALU - DIA 202 - LARGE OPENING - 2,080,800 UNIT
61 x 20 ft  </t>
    </r>
  </si>
  <si>
    <t xml:space="preserve">MSC DIEGO V </t>
  </si>
  <si>
    <t>MAERSK FREDERICIA</t>
  </si>
  <si>
    <t>MSC SANTA MARIA</t>
  </si>
  <si>
    <t xml:space="preserve">MSC LUCY ZF518A </t>
  </si>
  <si>
    <t>AQUA PYRENEES</t>
  </si>
  <si>
    <t>MSC TIANPING MA519A</t>
  </si>
  <si>
    <r>
      <t xml:space="preserve">PREFORM-CRYSTAL BLUE 29/25-23.5GM - 550,000
PREFORM-CRYSTAL BLUE 29/25-27GM - 1,650,000
PREFORM- CLEAR-38MM-30GM- 528,000
PREFORM- CLEAR-38MM-52GM -  299,200
</t>
    </r>
    <r>
      <rPr>
        <b/>
        <sz val="14"/>
        <rFont val="Calibri"/>
        <family val="2"/>
        <scheme val="minor"/>
      </rPr>
      <t xml:space="preserve">4X 40 FT </t>
    </r>
  </si>
  <si>
    <r>
      <t xml:space="preserve">PREFORM-CRYSTAL BLUE 29/25-23.5GM - 550,000
PREFORM-CRYSTAL BLUE 29/25-27GM - 1,650,000
PREFORM- CLEAR-38MM-30GM- 528,000
PREFORM- CLEAR-38MM-52GM -  299,200
</t>
    </r>
    <r>
      <rPr>
        <b/>
        <sz val="14"/>
        <rFont val="Calibri"/>
        <family val="2"/>
        <scheme val="minor"/>
      </rPr>
      <t>1X40 FT</t>
    </r>
  </si>
  <si>
    <t>BOTTLES WINE - bouteilles Blanches 
2X40"</t>
  </si>
  <si>
    <t xml:space="preserve">
 - To Finalise Credit application with DN
- To see Anousha for technician assistance</t>
  </si>
  <si>
    <t xml:space="preserve">Supplier ok to  cancel due to excess shipped on FPO11735, To confirm with Jeysen if we close </t>
  </si>
  <si>
    <t xml:space="preserve">Week 02-07/06/25 </t>
  </si>
  <si>
    <t>MEC Ingredient shortage - Production Wk 22 - END MAY 2025</t>
  </si>
  <si>
    <t xml:space="preserve">FOR AB ZERO :  MEC Ingredient shortage - Production Wk 22
FOR OTHER REFERENCES : Awaiting stock at Packing station 
</t>
  </si>
  <si>
    <t xml:space="preserve">FOR ab zero - MEC Ingredient shortage - delivery end Wk 21/ Production Wk 22 + MONSTER ROSSI - Prodution to be confirmed </t>
  </si>
  <si>
    <t>IPR142960</t>
  </si>
  <si>
    <t>Coca-Cola Beverages South Africa</t>
  </si>
  <si>
    <t xml:space="preserve">CLOSE PO </t>
  </si>
  <si>
    <t>FPO12250</t>
  </si>
  <si>
    <t>IPR142959</t>
  </si>
  <si>
    <t>FPO12276</t>
  </si>
  <si>
    <t>IPR143945</t>
  </si>
  <si>
    <t>FPO12277</t>
  </si>
  <si>
    <t>IPR143950</t>
  </si>
  <si>
    <t>CAN-PHOENIX BEER-33CL-XX - 5,601,600
ENDS-ALUMINIUM-DIA 202-LARGE OPENING - 5,601,600</t>
  </si>
  <si>
    <t xml:space="preserve">100 %ADVANCE </t>
  </si>
  <si>
    <t>FPO12275</t>
  </si>
  <si>
    <t>IPR143904</t>
  </si>
  <si>
    <t>FPO12199</t>
  </si>
  <si>
    <t>IPR12199</t>
  </si>
  <si>
    <t>CAN-PHOENIX REJUV-33CL-EXPORT (BPA-NI) - 561,600
CAN-BLUE MARLIN-33CL-EXPORT (REU/SEY) BPA-NI - 224,640</t>
  </si>
  <si>
    <t>FPO12271</t>
  </si>
  <si>
    <t>IPR143750</t>
  </si>
  <si>
    <t xml:space="preserve">NGOC NGHIA INDUSTRY </t>
  </si>
  <si>
    <t>CAPS- FUZE TEA GREEN 38MM NECK FINISH - 2,016,000</t>
  </si>
  <si>
    <t>FPO12270</t>
  </si>
  <si>
    <t>IPR143749</t>
  </si>
  <si>
    <t>FPO12267</t>
  </si>
  <si>
    <t>IPR143751</t>
  </si>
  <si>
    <t>DELAY WITH SADC</t>
  </si>
  <si>
    <t xml:space="preserve">
CLEARANCE DONE WITHOUT SADC AND REFUND WILL BE DONE AFTER RECEIPT OF SAME 
</t>
  </si>
  <si>
    <t xml:space="preserve">Container- MSNU8013447 </t>
  </si>
  <si>
    <t>MSC FOLEGANDROS VI ZF517A</t>
  </si>
  <si>
    <t>exw</t>
  </si>
  <si>
    <r>
      <rPr>
        <b/>
        <sz val="14"/>
        <color rgb="FFFF0000"/>
        <rFont val="Calibri"/>
        <family val="2"/>
        <scheme val="minor"/>
      </rPr>
      <t>container : TLLU5138658</t>
    </r>
    <r>
      <rPr>
        <sz val="14"/>
        <color rgb="FFFF0000"/>
        <rFont val="Calibri"/>
        <family val="2"/>
        <scheme val="minor"/>
      </rPr>
      <t xml:space="preserve">
</t>
    </r>
  </si>
  <si>
    <t>MSC AZOV MA512R</t>
  </si>
  <si>
    <t>FPO12284</t>
  </si>
  <si>
    <t>IPR144081</t>
  </si>
  <si>
    <t>FPO12283</t>
  </si>
  <si>
    <t>IPR143977</t>
  </si>
  <si>
    <t>KOTKA IP519R</t>
  </si>
  <si>
    <t>week 23 
02.06 - 06.06</t>
  </si>
  <si>
    <r>
      <rPr>
        <sz val="14"/>
        <color rgb="FF00B050"/>
        <rFont val="Calibri"/>
        <family val="2"/>
        <scheme val="minor"/>
      </rPr>
      <t>50% ADVANCE  - EUR 2643 - 22.04.2025</t>
    </r>
    <r>
      <rPr>
        <sz val="14"/>
        <color rgb="FFFF0000"/>
        <rFont val="Calibri"/>
        <family val="2"/>
        <scheme val="minor"/>
      </rPr>
      <t xml:space="preserve">
</t>
    </r>
    <r>
      <rPr>
        <sz val="14"/>
        <color rgb="FF00B050"/>
        <rFont val="Calibri"/>
        <family val="2"/>
        <scheme val="minor"/>
      </rPr>
      <t>50% BALANCE - EUR 2643</t>
    </r>
  </si>
  <si>
    <t>TCLU7930183</t>
  </si>
  <si>
    <t>on going -delay in receiving sadc + hc and pl amendment</t>
  </si>
  <si>
    <t xml:space="preserve">9978- BROUILLY HOSPICES DE BEAUJEU ROUGE 750ML received instead of 9636- HOSPICES DE BEAUJEU GAMAY 750ML, SUPPLIER INFORMED </t>
  </si>
  <si>
    <r>
      <t xml:space="preserve">30/05/2025
</t>
    </r>
    <r>
      <rPr>
        <sz val="14"/>
        <color rgb="FFFF0000"/>
        <rFont val="Calibri"/>
        <family val="2"/>
        <scheme val="minor"/>
      </rPr>
      <t xml:space="preserve">Awaiting Report for Contamination - QA prior shipment </t>
    </r>
  </si>
  <si>
    <t>BOTTLES WINE  - bouteilles Bord Ecova Revol Vertes 
1X40''</t>
  </si>
  <si>
    <r>
      <t xml:space="preserve">FINISHED PRODUCTS -  1st lot
</t>
    </r>
    <r>
      <rPr>
        <sz val="14"/>
        <color rgb="FFFF0000"/>
        <rFont val="Calibri"/>
        <family val="2"/>
        <scheme val="minor"/>
      </rPr>
      <t xml:space="preserve">CAN MONSTER PIPELINE PUNCH -3369 but 3520  on docs
Monster Energy original-  160
</t>
    </r>
  </si>
  <si>
    <t>FINISHED PRODUCTS -  2rd lot 
AUSSIE LEMONADE-1760
Monster Mucho loco-1760</t>
  </si>
  <si>
    <t>FPO12177</t>
  </si>
  <si>
    <t>IPR142999</t>
  </si>
  <si>
    <t>FPO12176</t>
  </si>
  <si>
    <t>IPR143170</t>
  </si>
  <si>
    <t>FOOD COLOURING RED</t>
  </si>
  <si>
    <t>FPO12181</t>
  </si>
  <si>
    <t>IPR143169</t>
  </si>
  <si>
    <t>NATURAL FLAVOUR PEACH</t>
  </si>
  <si>
    <r>
      <t xml:space="preserve">Kotka V.IP519R
</t>
    </r>
    <r>
      <rPr>
        <sz val="14"/>
        <rFont val="Calibri"/>
        <family val="2"/>
        <scheme val="minor"/>
      </rPr>
      <t>MSC POLARIS IP521R</t>
    </r>
    <r>
      <rPr>
        <strike/>
        <sz val="14"/>
        <rFont val="Calibri"/>
        <family val="2"/>
        <scheme val="minor"/>
      </rPr>
      <t xml:space="preserve">
</t>
    </r>
  </si>
  <si>
    <r>
      <t xml:space="preserve">25/05/2025
</t>
    </r>
    <r>
      <rPr>
        <sz val="14"/>
        <rFont val="Calibri"/>
        <family val="2"/>
        <scheme val="minor"/>
      </rPr>
      <t>06/06/2025</t>
    </r>
  </si>
  <si>
    <r>
      <rPr>
        <strike/>
        <sz val="14"/>
        <rFont val="Calibri"/>
        <family val="2"/>
        <scheme val="minor"/>
      </rPr>
      <t xml:space="preserve">09/06/2025
</t>
    </r>
    <r>
      <rPr>
        <sz val="14"/>
        <rFont val="Calibri"/>
        <family val="2"/>
        <scheme val="minor"/>
      </rPr>
      <t xml:space="preserve">11/06/2025
</t>
    </r>
  </si>
  <si>
    <t>CMA CGM DAVAO 525W</t>
  </si>
  <si>
    <t xml:space="preserve">on going  - Isssue with SADC and clearance done without sadc
27/05/2025 </t>
  </si>
  <si>
    <t xml:space="preserve">HOPS-BARTH P45-10%-HALLERTAU PERLE CROP 2024/4,000 kg
HOPS-BARTH CO2 EXTRACT-35%-HALLERTAU HERKUL (2024)/1,000 kg
HOPS-BARTH CO2 EXTRACT-35%-SLOVENIA AURORA (2024)/2,000 kg
HOPS-BARTH P90-XX-AMARILLO CROP 2024/500 kg
HOPS-BARTH P90-XX-CASCADE CROP 2024/500 kg
</t>
  </si>
  <si>
    <t>27.05.2025</t>
  </si>
  <si>
    <t>PIP for clearance processed/Logistic to advise if there will be an inspection from NPPO.</t>
  </si>
  <si>
    <t>LPO10016193</t>
  </si>
  <si>
    <t>IPR143957</t>
  </si>
  <si>
    <t>Omnicane Ethanol Production Ltd</t>
  </si>
  <si>
    <t>ALCOHOL NEUTRAL-XX-23%-ABV</t>
  </si>
  <si>
    <t>LPO10016194</t>
  </si>
  <si>
    <t>LPO10016195</t>
  </si>
  <si>
    <t>IPR143961</t>
  </si>
  <si>
    <t>IPR143966</t>
  </si>
  <si>
    <t xml:space="preserve">FFAU2027533
Delay due - groupage container did not load on vessel KOTKA V. IP519R.  
 They did not find the container at time of loading. </t>
  </si>
  <si>
    <t xml:space="preserve">FFAU2027533
Delay due - groupage container did not load on vessel KOTKA V. IP519R.  
They did not find the container at time of loading. </t>
  </si>
  <si>
    <t xml:space="preserve">
Thomy asked to remove Nielluccio 2024 rouge as will be availble in 5 weeks 
FFAU2027533
Delay due - groupage container did not load on vessel KOTKA V. IP519R.  
They did not find the container at time of loading. </t>
  </si>
  <si>
    <t>WINE ROSÉ-25720 LT</t>
  </si>
  <si>
    <t>delivery planned for 04/06/2025</t>
  </si>
  <si>
    <t xml:space="preserve">MSC TOKYO </t>
  </si>
  <si>
    <t>MSC TOKYO - MA520A</t>
  </si>
  <si>
    <t xml:space="preserve">CMA CGM AQABA </t>
  </si>
  <si>
    <t>FINISHED PRODUCTS -MONSTER ORIGINAL - 4rd  SHIPT - 5280</t>
  </si>
  <si>
    <t>FINIESHED PRODUCTS :
Fanta orange - 2430</t>
  </si>
  <si>
    <r>
      <t xml:space="preserve">3520  cases shipped against FPO12003, Jeysen to confirm if we cancel the 2240 cases which are in fpo11310
</t>
    </r>
    <r>
      <rPr>
        <sz val="14"/>
        <color rgb="FFFF0000"/>
        <rFont val="Calibri"/>
        <family val="2"/>
        <scheme val="minor"/>
      </rPr>
      <t>PO CLOSED</t>
    </r>
  </si>
  <si>
    <t xml:space="preserve">AB ZERO ALREADY CANCELLED AS PER DEMAND PLANNING REQ 24/01/2025
ONLY PIPELINE PUNCH SHOULD BE SUPPLIED
PO CLOSED </t>
  </si>
  <si>
    <t>to process rfp</t>
  </si>
  <si>
    <t>MSC LUCY ZF523R</t>
  </si>
  <si>
    <t>FPO12249</t>
  </si>
  <si>
    <t>09.05.2025</t>
  </si>
  <si>
    <t xml:space="preserve">FINISHED PRODUCTS - 2nd  lot 
appletiser NBT 275ml -1518
Appletiser NBT 750ml-1038
</t>
  </si>
  <si>
    <t>FPO12308</t>
  </si>
  <si>
    <t>IPR144285</t>
  </si>
  <si>
    <t>FPO12309</t>
  </si>
  <si>
    <t>IPR144298</t>
  </si>
  <si>
    <t>MSC VILDA X-IP523R</t>
  </si>
  <si>
    <t>FPO12310</t>
  </si>
  <si>
    <t>IPR144300</t>
  </si>
  <si>
    <t>FPO12311</t>
  </si>
  <si>
    <t>IPR144305</t>
  </si>
  <si>
    <t>30 days after BL</t>
  </si>
  <si>
    <r>
      <rPr>
        <strike/>
        <sz val="14"/>
        <rFont val="Calibri"/>
        <family val="2"/>
        <scheme val="minor"/>
      </rPr>
      <t xml:space="preserve">OOCL CHICAGO 
</t>
    </r>
    <r>
      <rPr>
        <sz val="14"/>
        <rFont val="Calibri"/>
        <family val="2"/>
        <scheme val="minor"/>
      </rPr>
      <t>MSC ELLEN
ZF520A</t>
    </r>
  </si>
  <si>
    <t xml:space="preserve">red wine - 1st shipt- 25720 lt will be shipped
Gross weight - 29270KGS
</t>
  </si>
  <si>
    <t>ARRIVED AT AGENT WAREHOUSE ON 04/06/2025</t>
  </si>
  <si>
    <t>2ND LOT:
KO BLUSH GIN  GIN</t>
  </si>
  <si>
    <t>MSC VILDA X IP523R</t>
  </si>
  <si>
    <t>SA FILLIATREAU</t>
  </si>
  <si>
    <t>on going - be delivered to agent on 11/06/2025</t>
  </si>
  <si>
    <t>FPO12315</t>
  </si>
  <si>
    <t>IPR144326</t>
  </si>
  <si>
    <t>60 DAYS FROM BL DATE</t>
  </si>
  <si>
    <t>FPO12313</t>
  </si>
  <si>
    <t>IPR144104</t>
  </si>
  <si>
    <t>PFILM- STRETCH UV PROTECTED-50CM/25MIC/1500M - 1,000 KG</t>
  </si>
  <si>
    <t>FPO12312</t>
  </si>
  <si>
    <t>IPR144096</t>
  </si>
  <si>
    <t xml:space="preserve">CAPS- CRYSTAL-JAR NSPILL 18.9L - 399,000 unit
</t>
  </si>
  <si>
    <t>FPO12314</t>
  </si>
  <si>
    <t>IPR144158</t>
  </si>
  <si>
    <t>W/AROUND-PHOENIX REJUV-33CLX15 - 15,400 UNIT</t>
  </si>
  <si>
    <t>30 DAYS FROM BL DATE</t>
  </si>
  <si>
    <r>
      <rPr>
        <sz val="14"/>
        <color theme="1"/>
        <rFont val="Calibri"/>
        <family val="2"/>
        <scheme val="minor"/>
      </rPr>
      <t xml:space="preserve">26/05/2025- Received stamp sadc and same to logisitics </t>
    </r>
    <r>
      <rPr>
        <sz val="14"/>
        <color rgb="FFFF0000"/>
        <rFont val="Calibri"/>
        <family val="2"/>
        <scheme val="minor"/>
      </rPr>
      <t xml:space="preserve">
TO PROCESS RFP </t>
    </r>
  </si>
  <si>
    <t xml:space="preserve">FFAU2027533
Delay due - groupage container did not load on vessel KOTKA V. IP519R.  
They did not find the container at time of loading. 
</t>
  </si>
  <si>
    <t>delivered to agent on 05/06/2025</t>
  </si>
  <si>
    <t>LDELIVERED TO AGENT ON  04/06</t>
  </si>
  <si>
    <t xml:space="preserve">MSC LUCY ZF523R </t>
  </si>
  <si>
    <r>
      <rPr>
        <sz val="14"/>
        <color rgb="FFFF0000"/>
        <rFont val="Calibri"/>
        <family val="2"/>
        <scheme val="minor"/>
      </rPr>
      <t xml:space="preserve">
</t>
    </r>
    <r>
      <rPr>
        <sz val="14"/>
        <rFont val="Calibri"/>
        <family val="2"/>
        <scheme val="minor"/>
      </rPr>
      <t xml:space="preserve">14/01/2025 : the loading ramp repaired and ready for operation. Supplier are waiting for JAFZA's clearance and  expected  to receive JAFZA clearance within the next two weeks / start the shipment in the first week of December 2024. </t>
    </r>
    <r>
      <rPr>
        <b/>
        <sz val="14"/>
        <rFont val="Calibri"/>
        <family val="2"/>
        <scheme val="minor"/>
      </rPr>
      <t>The delay in getting the clearance certificate from JAFZA is due to the court case due to injury to one of our employee and subsequent insurance claim.
20/01/2025 : Plain bottles are already produced but ACL printing is pending. to revert back with a solution by 21st  January . No issue with JAFZA till now</t>
    </r>
    <r>
      <rPr>
        <sz val="14"/>
        <rFont val="Calibri"/>
        <family val="2"/>
        <scheme val="minor"/>
      </rPr>
      <t xml:space="preserve">
27/01/25 : SJ - Take over - mail send to supplier regarding issue 
</t>
    </r>
    <r>
      <rPr>
        <sz val="14"/>
        <color rgb="FFFF0000"/>
        <rFont val="Calibri"/>
        <family val="2"/>
        <scheme val="minor"/>
      </rPr>
      <t>18/02/2025:  E - Meeting with supplier - No del since Sept 2024 &amp; No Prod,  Accidental issues in court - awaiting final clearence from court, since then all opp are freezed.Order will not be available for Q1 2025. Once Opp resumend they will be shipping 300 ml bottle first 
20/05/2025 - CLEARANCE OBTAINED - ONLY 17 CONTAINER AVAILABLE  - 1ST SHIPMENT : 9 CONTAINER &amp; 2ND SHIPMENT 8 CONTAINER</t>
    </r>
    <r>
      <rPr>
        <sz val="14"/>
        <rFont val="Calibri"/>
        <family val="2"/>
        <scheme val="minor"/>
      </rPr>
      <t xml:space="preserve"> </t>
    </r>
  </si>
  <si>
    <t>1st LOT : 
1000ml Refillable Coca Cola Bottle contour 800g with ACL
9x40 FCL</t>
  </si>
  <si>
    <t>MID OCT</t>
  </si>
  <si>
    <t>CHANCE</t>
  </si>
  <si>
    <t>GLASTECH</t>
  </si>
  <si>
    <t>FINISHED PRODUCTS -3rd  LOT - 143 CASES COCA COLA 300ML -</t>
  </si>
  <si>
    <t xml:space="preserve">po closed </t>
  </si>
  <si>
    <t xml:space="preserve">TO  PROCESS RFP </t>
  </si>
  <si>
    <t xml:space="preserve">031CP0070364 </t>
  </si>
  <si>
    <t>13.06.2025</t>
  </si>
  <si>
    <t xml:space="preserve"> Pick up 03/06 - Liv 05/06
</t>
  </si>
  <si>
    <t>FPO12323</t>
  </si>
  <si>
    <t>IPR144103</t>
  </si>
  <si>
    <t>PFILM- STRETCH-50CM/25MIC/1500M</t>
  </si>
  <si>
    <t>FPO12324</t>
  </si>
  <si>
    <t>IPR144093</t>
  </si>
  <si>
    <t xml:space="preserve">METAL CROWNS LTD </t>
  </si>
  <si>
    <t>CAPS- COKE-RGB - 540,000
CAPS- SPRITE-RGB - 400,000
CAPS- FANTA ORANGE-RGB - 60,000
CAPS- FANTA PASSION-RGB - 60,000</t>
  </si>
  <si>
    <t>FPO12325</t>
  </si>
  <si>
    <t>IPR144117</t>
  </si>
  <si>
    <t>CROWN CORK-PHOENIX BEER-XX-(BPA-NI) - 2,640,000
CROWN CORK-PLAIN HEALTH MESSAGE-XX-(BPA-NI) - 1,584,000
CROWN CORK-PEARONA-XX-(BPA-NI) - 528,000
CROWN CORK-BLUE MARLIN-XX-(BPA-NI) - 528,000</t>
  </si>
  <si>
    <t>FPO12326</t>
  </si>
  <si>
    <t>IPR144110</t>
  </si>
  <si>
    <t>FPO12327</t>
  </si>
  <si>
    <t>IPR144161</t>
  </si>
  <si>
    <t>RKW SAINT FRERES</t>
  </si>
  <si>
    <t>PFILM-PHOENIX 50CL-560MMX660X60MIC-FOR 50CL CANS</t>
  </si>
  <si>
    <t>FPO12328</t>
  </si>
  <si>
    <t>IPR144099</t>
  </si>
  <si>
    <t>FPO12331</t>
  </si>
  <si>
    <t>IPR144179</t>
  </si>
  <si>
    <t xml:space="preserve">MANUFACTURAS METALICAS CANALS </t>
  </si>
  <si>
    <t>CAP-DRAFT BEER-XX-FOR KEG 30LT(KEG CAP) - 29,568</t>
  </si>
  <si>
    <t>CRF</t>
  </si>
  <si>
    <t xml:space="preserve">PAYMENT INITIATED </t>
  </si>
  <si>
    <t xml:space="preserve">12/06/2025- PAYMENT INITIATED </t>
  </si>
  <si>
    <t xml:space="preserve">CMA CGM LOIRE </t>
  </si>
  <si>
    <t>13/06/2025- RFP UNDER APPROVAL PROCESS</t>
  </si>
  <si>
    <t>FPO12332</t>
  </si>
  <si>
    <t>IPR144106</t>
  </si>
  <si>
    <t xml:space="preserve">WAGNER </t>
  </si>
  <si>
    <t>POSTMIX CAP COKE RED SECURITY</t>
  </si>
  <si>
    <t>FPO12334</t>
  </si>
  <si>
    <t>IPR144469</t>
  </si>
  <si>
    <t>FPO12335</t>
  </si>
  <si>
    <t>IPR144472</t>
  </si>
  <si>
    <t>WINE -TC1</t>
  </si>
  <si>
    <t>FPO12336</t>
  </si>
  <si>
    <t>IPR144480</t>
  </si>
  <si>
    <t>FPO12337</t>
  </si>
  <si>
    <t>IPR144487</t>
  </si>
  <si>
    <t>MSC AKITETA II KC525A</t>
  </si>
  <si>
    <r>
      <t xml:space="preserve">15/06/2025
</t>
    </r>
    <r>
      <rPr>
        <sz val="14"/>
        <rFont val="Calibri"/>
        <family val="2"/>
        <scheme val="minor"/>
      </rPr>
      <t>16/06/2025</t>
    </r>
  </si>
  <si>
    <t>FPO12341</t>
  </si>
  <si>
    <t>IPR144622</t>
  </si>
  <si>
    <t>FPO12340</t>
  </si>
  <si>
    <t xml:space="preserve">IPR144623 </t>
  </si>
  <si>
    <t>MSC SARYA III</t>
  </si>
  <si>
    <t>Waiting for Bill of lading</t>
  </si>
  <si>
    <r>
      <rPr>
        <strike/>
        <sz val="14"/>
        <rFont val="Calibri"/>
        <family val="2"/>
        <scheme val="minor"/>
      </rPr>
      <t>31/05/2025</t>
    </r>
    <r>
      <rPr>
        <sz val="14"/>
        <rFont val="Calibri"/>
        <family val="2"/>
        <scheme val="minor"/>
      </rPr>
      <t xml:space="preserve"> 
</t>
    </r>
    <r>
      <rPr>
        <strike/>
        <sz val="14"/>
        <rFont val="Calibri"/>
        <family val="2"/>
        <scheme val="minor"/>
      </rPr>
      <t xml:space="preserve">09.06.2025 TBC
15/06/2025
</t>
    </r>
    <r>
      <rPr>
        <sz val="14"/>
        <rFont val="Calibri"/>
        <family val="2"/>
        <scheme val="minor"/>
      </rPr>
      <t>21/06/2025</t>
    </r>
  </si>
  <si>
    <t xml:space="preserve">1ST LOT :
Grapetiser Red NBT 275ML-1018
Appletiser NBT 275ML-479
</t>
  </si>
  <si>
    <r>
      <t xml:space="preserve">MSC SOPHIE 
MSC FOLEGANDROS ZF522R
</t>
    </r>
    <r>
      <rPr>
        <sz val="14"/>
        <rFont val="Calibri"/>
        <family val="2"/>
        <scheme val="minor"/>
      </rPr>
      <t>MSC LUCY Z\F523R</t>
    </r>
  </si>
  <si>
    <t>031CP0066114</t>
  </si>
  <si>
    <t xml:space="preserve">
BOOKING - 031CP0066114</t>
  </si>
  <si>
    <t>031DU0078344</t>
  </si>
  <si>
    <t>MSC REGINA V</t>
  </si>
  <si>
    <t xml:space="preserve">MSC LA SEINE </t>
  </si>
  <si>
    <t>MSC ARIA III</t>
  </si>
  <si>
    <t xml:space="preserve">Empty 33cl Guiness FES Bottles - Shrink-wrapped, Palletized and packed into
4 X 40ft Containers of 68,229 Bottles
As per Drawing No.: F060A-33CL FES-02BOTTLE
</t>
  </si>
  <si>
    <t>FPO12339</t>
  </si>
  <si>
    <t>IPR144317</t>
  </si>
  <si>
    <t>LPO10016576</t>
  </si>
  <si>
    <t>IPR144314</t>
  </si>
  <si>
    <t>TRISODIUM CITRATE
CALCIUM CHLORIDE
CALCIUM SULPHATE
SUGAR GLUCOSE</t>
  </si>
  <si>
    <t>1100
500
50
1200</t>
  </si>
  <si>
    <t>LPO10016743</t>
  </si>
  <si>
    <t>IPR144436</t>
  </si>
  <si>
    <t>LPO10016744</t>
  </si>
  <si>
    <t>IPR144440</t>
  </si>
  <si>
    <t>LPO10016745</t>
  </si>
  <si>
    <t>IPR144444</t>
  </si>
  <si>
    <t>LPO10016746</t>
  </si>
  <si>
    <t>IPR144445</t>
  </si>
  <si>
    <t xml:space="preserve">decorating </t>
  </si>
  <si>
    <t>MSC ELLEN ZF525R</t>
  </si>
  <si>
    <t>MSC KERRY VII ZF526R</t>
  </si>
  <si>
    <t>FPO12356</t>
  </si>
  <si>
    <t>IPR144983</t>
  </si>
  <si>
    <t>FPO12357</t>
  </si>
  <si>
    <t>IPR144974</t>
  </si>
  <si>
    <t>FPO12358</t>
  </si>
  <si>
    <t>IPR144831</t>
  </si>
  <si>
    <t>FPO12359</t>
  </si>
  <si>
    <t>IPR144839</t>
  </si>
  <si>
    <t>FPO12360</t>
  </si>
  <si>
    <t>IPR144843</t>
  </si>
  <si>
    <t>FPO12361</t>
  </si>
  <si>
    <t>IPR144842</t>
  </si>
  <si>
    <t>FPO12362</t>
  </si>
  <si>
    <t>IPR144791</t>
  </si>
  <si>
    <t>CONC-GUINNESS GFE-2%-(CMB)-8000LT</t>
  </si>
  <si>
    <t>FPO12363</t>
  </si>
  <si>
    <t>IPR144787</t>
  </si>
  <si>
    <t>STASSEN SA</t>
  </si>
  <si>
    <t>CONC-PEARONA BASE-XX-XX-9000LT
CONC-CIDER-XX-ALCOHOLIC CANNING ONLY-9000LT</t>
  </si>
  <si>
    <t>LPO10017142</t>
  </si>
  <si>
    <t>IPR144920</t>
  </si>
  <si>
    <t>LPO10017141</t>
  </si>
  <si>
    <t>IPR144922</t>
  </si>
  <si>
    <t>LPO10017143</t>
  </si>
  <si>
    <t>IPR144924</t>
  </si>
  <si>
    <t>LPO10017144</t>
  </si>
  <si>
    <t>IPR144925</t>
  </si>
  <si>
    <t xml:space="preserve">KOTA HALUS V.0651S </t>
  </si>
  <si>
    <t>FPO12373</t>
  </si>
  <si>
    <t>IPR145009</t>
  </si>
  <si>
    <t xml:space="preserve">KERRY FOOD INGREDIENTS </t>
  </si>
  <si>
    <r>
      <t xml:space="preserve">FFAU2027533
</t>
    </r>
    <r>
      <rPr>
        <sz val="14"/>
        <color rgb="FFFF0000"/>
        <rFont val="Calibri"/>
        <family val="2"/>
        <scheme val="minor"/>
      </rPr>
      <t xml:space="preserve"> </t>
    </r>
  </si>
  <si>
    <t xml:space="preserve">FFAU2027533
</t>
  </si>
  <si>
    <r>
      <t xml:space="preserve">FFAU2027533
</t>
    </r>
    <r>
      <rPr>
        <sz val="14"/>
        <color rgb="FFFF0000"/>
        <rFont val="Calibri"/>
        <family val="2"/>
        <scheme val="minor"/>
      </rPr>
      <t xml:space="preserve">Supplier doing needful for issuance of Health Certificate </t>
    </r>
  </si>
  <si>
    <t xml:space="preserve">FINISHED PRODUCTS -6TH  LOT 
-MUCHO LOCO - 320 
- PIPELINE PUNCH - 960
</t>
  </si>
  <si>
    <r>
      <rPr>
        <sz val="14"/>
        <color theme="1"/>
        <rFont val="Calibri"/>
        <family val="2"/>
        <scheme val="minor"/>
      </rPr>
      <t xml:space="preserve">02/07/2025- still not paid </t>
    </r>
    <r>
      <rPr>
        <sz val="14"/>
        <color rgb="FFFF0000"/>
        <rFont val="Calibri"/>
        <family val="2"/>
        <scheme val="minor"/>
      </rPr>
      <t xml:space="preserve">
</t>
    </r>
  </si>
  <si>
    <t>FPO12365</t>
  </si>
  <si>
    <t>IPR144944</t>
  </si>
  <si>
    <t>90  jours date de facture</t>
  </si>
  <si>
    <t>LPO10017227</t>
  </si>
  <si>
    <t>IPR144966</t>
  </si>
  <si>
    <t>SAINT AUBIN</t>
  </si>
  <si>
    <t>Saint Aubin Rum 20YO 700ml</t>
  </si>
  <si>
    <t>Saint Aubin Rum 17YO 700ml</t>
  </si>
  <si>
    <t>Saint Aubin Rum XO 6YO 700ml</t>
  </si>
  <si>
    <t>Saint Aubin Rum VSOP 4YO 700ml</t>
  </si>
  <si>
    <t>Saint Aubin Rum Premium Gold 700ml</t>
  </si>
  <si>
    <t>Saint Aubin Rum Extra Premium White 700ml</t>
  </si>
  <si>
    <t>Saint Aubin Rum Extra Premium Vanilla 700ml</t>
  </si>
  <si>
    <t>Saint Aubin Rum Extra Premium Coffee 700ml</t>
  </si>
  <si>
    <t>Saint Aubin Spirit Banana Flambee 500ml</t>
  </si>
  <si>
    <t>Saint Aubin Spirit Caramel Beurre Salee 500ml</t>
  </si>
  <si>
    <t>Saint Aubin Liqueur Coconut 700ml</t>
  </si>
  <si>
    <t>Saint Aubin Liqueur Melon 700ml</t>
  </si>
  <si>
    <t>Saint Aubin Liqueur Tamarin Chili 700ml</t>
  </si>
  <si>
    <t>SAINT AUBIN RHUM &amp; LIQUEUR:</t>
  </si>
  <si>
    <t>LPO10017293</t>
  </si>
  <si>
    <t>IPR145201</t>
  </si>
  <si>
    <t>GLUE AQUENCE GL330</t>
  </si>
  <si>
    <t xml:space="preserve">PO SENT TO SUPPLIER- CALL OFF ORDER </t>
  </si>
  <si>
    <t xml:space="preserve">Dn approved </t>
  </si>
  <si>
    <t xml:space="preserve">DN APPROVED </t>
  </si>
  <si>
    <r>
      <rPr>
        <sz val="14"/>
        <color theme="1"/>
        <rFont val="Calibri"/>
        <family val="2"/>
        <scheme val="minor"/>
      </rPr>
      <t xml:space="preserve">Supplier informed of anomalies on qty shipped v/s received , pipeline punch received 3369 while 3520 packs on packing list + 160 packs of monster original received, not on packing list </t>
    </r>
    <r>
      <rPr>
        <sz val="14"/>
        <color rgb="FFFF0000"/>
        <rFont val="Calibri"/>
        <family val="2"/>
        <scheme val="minor"/>
      </rPr>
      <t xml:space="preserve">
-credit note needed as wrong price invoiced 
PAYEMNT  PROCESSED  AS PER MC INSTRUCTION , CN TO FOLLOW </t>
    </r>
  </si>
  <si>
    <t xml:space="preserve">credit note required as wrong price invoiced 
PAYMENT PROCESSED AS PER MC INSTRUCTON , CN TO FOLLOW 
PAYMENT PROCESSED AS PER MC INSTRUCTION, CN TO FOLLOW </t>
  </si>
  <si>
    <t>IPR144964</t>
  </si>
  <si>
    <t>INDIAN OCEAN EXPORT COM PTY LTD</t>
  </si>
  <si>
    <t>60 JOURS BILL OF LADING</t>
  </si>
  <si>
    <t>FPO12366</t>
  </si>
  <si>
    <t>FPO12367</t>
  </si>
  <si>
    <t>IPR144963</t>
  </si>
  <si>
    <t>HOUT BAY  HARBOUR</t>
  </si>
  <si>
    <t xml:space="preserve">GIN
</t>
  </si>
  <si>
    <t>FPO12369</t>
  </si>
  <si>
    <t>IPR144952</t>
  </si>
  <si>
    <t>BARKERS &amp; QUIN</t>
  </si>
  <si>
    <t>FPO12372</t>
  </si>
  <si>
    <t>IPR144967</t>
  </si>
  <si>
    <t>IPR144959</t>
  </si>
  <si>
    <t>FPO12364</t>
  </si>
  <si>
    <t xml:space="preserve">CHAMPAGNE </t>
  </si>
  <si>
    <t>60 DAYS NET</t>
  </si>
  <si>
    <t>FPO12353</t>
  </si>
  <si>
    <t>IPR144375</t>
  </si>
  <si>
    <t>FPO12354</t>
  </si>
  <si>
    <t>IPR144965</t>
  </si>
  <si>
    <t>FPO12386</t>
  </si>
  <si>
    <t>IPR145159</t>
  </si>
  <si>
    <t>FPO12385</t>
  </si>
  <si>
    <t>IPR145162</t>
  </si>
  <si>
    <t>EWX</t>
  </si>
  <si>
    <t>FPO12393</t>
  </si>
  <si>
    <t>IPR12393</t>
  </si>
  <si>
    <t xml:space="preserve">PFILM-CLEAR-520MMX60MIC-NON COATED(PACK X 24 CANS) - 11,520 </t>
  </si>
  <si>
    <t>MSC AAYA IP524R</t>
  </si>
  <si>
    <t>MSC KOREA III</t>
  </si>
  <si>
    <t>FPO12374</t>
  </si>
  <si>
    <t>IPR144933</t>
  </si>
  <si>
    <t>SPIRIT RUN IMPORT</t>
  </si>
  <si>
    <t xml:space="preserve">SPIRITS </t>
  </si>
  <si>
    <t>IPR144968</t>
  </si>
  <si>
    <t>FLAVOUR GUARANA-225KG</t>
  </si>
  <si>
    <t xml:space="preserve">MSC AZOV MA524A
</t>
  </si>
  <si>
    <t>FPO12380</t>
  </si>
  <si>
    <t xml:space="preserve">MAERSK BILL OF LADING NO : 253839459
</t>
  </si>
  <si>
    <r>
      <t xml:space="preserve">18/06/2025
</t>
    </r>
    <r>
      <rPr>
        <sz val="14"/>
        <rFont val="Calibri"/>
        <family val="2"/>
        <scheme val="minor"/>
      </rPr>
      <t>05/07/2025</t>
    </r>
  </si>
  <si>
    <t>MSMU5021677</t>
  </si>
  <si>
    <t>CMA CGM LOIRE ONNLDE</t>
  </si>
  <si>
    <t xml:space="preserve">MSC LISBON V. IP525R </t>
  </si>
  <si>
    <t>ADVANCE 9270
BALANCE 9270</t>
  </si>
  <si>
    <t>DN APPROVED</t>
  </si>
  <si>
    <t>FPO12370</t>
  </si>
  <si>
    <t xml:space="preserve">60 DATS INVOICE DATE </t>
  </si>
  <si>
    <t xml:space="preserve">Mail sent to supplier for for delivery in July 2025 but unfortunately booking was already done and the DM mentioned to go ahead with actual plan.
</t>
  </si>
  <si>
    <r>
      <t xml:space="preserve">Delayed due to technical issue with vessel/Vessel </t>
    </r>
    <r>
      <rPr>
        <strike/>
        <sz val="14"/>
        <rFont val="Calibri"/>
        <family val="2"/>
        <scheme val="minor"/>
      </rPr>
      <t xml:space="preserve">MSC YORK VII IP517R previous booking ETD 10/05/2025-ETA 08/07/2025
</t>
    </r>
  </si>
  <si>
    <t>Logistic to advise delivery and inspection date</t>
  </si>
  <si>
    <t>CITRUS-EMULSION-500kg Airfreight</t>
  </si>
  <si>
    <t>FPO12398</t>
  </si>
  <si>
    <t>IPR145296</t>
  </si>
  <si>
    <t>VAN LOVEREN VINEYARDS (PTY) LTD</t>
  </si>
  <si>
    <t>FPO12400</t>
  </si>
  <si>
    <t>IPR145365</t>
  </si>
  <si>
    <t>IWAYINI PTY LTD</t>
  </si>
  <si>
    <t xml:space="preserve">60 DAYS FROM BL </t>
  </si>
  <si>
    <t>FPO12397</t>
  </si>
  <si>
    <t>FPO12395</t>
  </si>
  <si>
    <t>FPO12402</t>
  </si>
  <si>
    <t>IPR144759</t>
  </si>
  <si>
    <t>FPO12403</t>
  </si>
  <si>
    <t>IPR145432</t>
  </si>
  <si>
    <t>OPSTAL WINES (PTY) LTD</t>
  </si>
  <si>
    <t>BULK WINE- CHENIN WHITE 5000LT</t>
  </si>
  <si>
    <r>
      <rPr>
        <sz val="14"/>
        <color rgb="FFFF0000"/>
        <rFont val="Calibri"/>
        <family val="2"/>
        <scheme val="minor"/>
      </rPr>
      <t>MEDUGK243715 - to querry</t>
    </r>
    <r>
      <rPr>
        <sz val="14"/>
        <rFont val="Calibri"/>
        <family val="2"/>
        <scheme val="minor"/>
      </rPr>
      <t xml:space="preserve">
UETU 809287/5</t>
    </r>
  </si>
  <si>
    <t>22.07.2025</t>
  </si>
  <si>
    <t xml:space="preserve">SEAWAYBILL: MEDUAK913195
</t>
  </si>
  <si>
    <t>SEAWAYBILL: MEDUO7622535</t>
  </si>
  <si>
    <t>FLAVOUR GUARANA-75KG</t>
  </si>
  <si>
    <r>
      <rPr>
        <b/>
        <sz val="14"/>
        <color theme="1"/>
        <rFont val="Calibri"/>
        <family val="2"/>
        <scheme val="minor"/>
      </rPr>
      <t>Supplier's Quote:</t>
    </r>
    <r>
      <rPr>
        <sz val="14"/>
        <color theme="1"/>
        <rFont val="Calibri"/>
        <family val="2"/>
        <scheme val="minor"/>
      </rPr>
      <t xml:space="preserve">
The loading date was postponed to June 10th as we had some quality issue on the latest production and had to run an other batch in production.
</t>
    </r>
  </si>
  <si>
    <t>LPO1001668</t>
  </si>
  <si>
    <t>IPR143753</t>
  </si>
  <si>
    <t>LPO10017326</t>
  </si>
  <si>
    <t>IPR145078</t>
  </si>
  <si>
    <t>PREFORM-CLEAR-ALPLA 1881-32G
PREFORM-CLEAR-ALPLA 1881-4G</t>
  </si>
  <si>
    <t>IPR145435</t>
  </si>
  <si>
    <t>LABELLING INDUSTRIES LTD</t>
  </si>
  <si>
    <t>SLEEVE-FUZE TEA PEACH 2L
SLEEVE-FUZE TEA APPLE LEMONGRASS 2L
SLEEVE-FUZE TEA MANGO CAMOMILE 2L
SLEEVE-FUZE TEA MANGO BAOBAB 2L</t>
  </si>
  <si>
    <t>317,520
396,480</t>
  </si>
  <si>
    <t>100,000
100,000
100,000
100,000</t>
  </si>
  <si>
    <t>LPO10017175</t>
  </si>
  <si>
    <t>LPR144846</t>
  </si>
  <si>
    <t>MRA EXCISE STAMPS</t>
  </si>
  <si>
    <t>LPO10097537</t>
  </si>
  <si>
    <t>LPO10017289</t>
  </si>
  <si>
    <t>IPR145194</t>
  </si>
  <si>
    <t>LPO10017290</t>
  </si>
  <si>
    <t>IPR145198</t>
  </si>
  <si>
    <t>PFILM-CLEAR-520MMX65MIC-NON COATED
PFILM-CLEAR-520MMX65MIC-COATED</t>
  </si>
  <si>
    <t>10,000
5,000</t>
  </si>
  <si>
    <t>LPO10017278</t>
  </si>
  <si>
    <t>IPR145082</t>
  </si>
  <si>
    <t>PFILM-SHRINK-400MMX60MIC UV PLAIN CLEAR</t>
  </si>
  <si>
    <t>LPO10017288</t>
  </si>
  <si>
    <t>IPR144601</t>
  </si>
  <si>
    <t>PLASTIC INDUSTRY (MTIUS) LTD</t>
  </si>
  <si>
    <t>BLUE CRATE MS 3 PRINT PBL</t>
  </si>
  <si>
    <t>LPO10017287</t>
  </si>
  <si>
    <t>IPR144620</t>
  </si>
  <si>
    <t>BLUE CRATE MS 3 PRINT PBL X 24</t>
  </si>
  <si>
    <t>01/07//2025</t>
  </si>
  <si>
    <t>LPO10017327</t>
  </si>
  <si>
    <t>IPR145079</t>
  </si>
  <si>
    <t>CAPS-COKE PET RED 13-PLEASE REPLACE CAP
CAPS-COKE NO SUGAR BLACK 14-PLEASE REPLACE CAP
CAPS-SPRINTE PET GREEN 96-PLEASE REPLACE CAP
CAPS-FANTA ORANGE PET BLUE47-PLEASE REPLACE CAP
CAPS-SCHWEPPES PET YELLOW 87-PLEASE REPLACE CAP
CAPS-ORANGINA ORIGINAL/REGULAR PURPLE BLUE</t>
  </si>
  <si>
    <t>3,3150,000
420,000
480,000
735,000
210,000
525,000</t>
  </si>
  <si>
    <t>LPO10017328</t>
  </si>
  <si>
    <t>IPR145074</t>
  </si>
  <si>
    <t>PREFORM-CLEAR-EMPACK 1881-22.2G
PREFORM-CLEAR-EMPACK 1881-32.5G
PREFORM-CLEAR-EMPACK 1881-41.9G
PREFORM-CLEAR-EMPACK 1881-46.6G</t>
  </si>
  <si>
    <t>2,626,560
276,480
3,006,720
1,603,584</t>
  </si>
  <si>
    <t>LPO10016708</t>
  </si>
  <si>
    <t>IPR144109</t>
  </si>
  <si>
    <t>500MLPAPER LIDS X50</t>
  </si>
  <si>
    <t>IPR142833</t>
  </si>
  <si>
    <t>CLUSTER-P.PANACHE PEACH
CLUSTER-P.PANACHE RED FRUITS</t>
  </si>
  <si>
    <t>LPO10016849</t>
  </si>
  <si>
    <t>LPO10016642</t>
  </si>
  <si>
    <t>IPR</t>
  </si>
  <si>
    <t>CBOX-PLAIN WHITE-50CL</t>
  </si>
  <si>
    <t>LPO10016792</t>
  </si>
  <si>
    <t>5,000
1,000
1,000</t>
  </si>
  <si>
    <t>LPO10016793</t>
  </si>
  <si>
    <t>IPR144603</t>
  </si>
  <si>
    <t>IPR144604</t>
  </si>
  <si>
    <t>6,000
2,000
2,000</t>
  </si>
  <si>
    <t>31 DAYS END OF MONTH</t>
  </si>
  <si>
    <t>LPO10016709</t>
  </si>
  <si>
    <t>IPR144105</t>
  </si>
  <si>
    <t>PFILM-SHRINK-400/425/450/60</t>
  </si>
  <si>
    <t>LPO10016710</t>
  </si>
  <si>
    <t>IPR144108</t>
  </si>
  <si>
    <t>70,000
165,000</t>
  </si>
  <si>
    <t>LPO10016638</t>
  </si>
  <si>
    <t>IPR144101</t>
  </si>
  <si>
    <t>CBOX-COKE BDB 24X30CL
CBOX-COKE BDB 4X6X30CL
CBOX-COKE BDB 6X30CL RED</t>
  </si>
  <si>
    <t>13,000
3,000
16,000</t>
  </si>
  <si>
    <t xml:space="preserve">PIP done and sent to supplier on 26/05/2025
SEAWAYBILL: MEDURM613739
</t>
  </si>
  <si>
    <t xml:space="preserve">CONC- FUZE TEA -MANGO CAMOMILE-180
</t>
  </si>
  <si>
    <t xml:space="preserve">BBASE- COKE-1600
BBASE- COKE NO SUGAR( KAIZEN)-120
BBASE- SPRITE-800
BBASE- FANTA PASSION-160
BBASE- SCHWEPPE GINGER ALE-24
BBASE- CRYSTAL WATER- WA12-1800
BBASE- DASANI WATER- WA64-80
</t>
  </si>
  <si>
    <t>IPR144260</t>
  </si>
  <si>
    <t>LPO10016414</t>
  </si>
  <si>
    <t>10,000
2,000</t>
  </si>
  <si>
    <t>LPO10016641</t>
  </si>
  <si>
    <t>LPR144163</t>
  </si>
  <si>
    <t>CTRAY-PLAIN WHITE-PINT-33CLX24
CTRAY-PHOENIX REJUV-CAN-33CLX24</t>
  </si>
  <si>
    <t>10,000
10,000</t>
  </si>
  <si>
    <t>LPO10016171</t>
  </si>
  <si>
    <t>IPR143803</t>
  </si>
  <si>
    <t>LABEL-COKE EINSTEIN 1LT 30% LESS SUGAR
LABEL- SPRITE-2.0LT
LABEL- SPRITE-0.5LT
LABEL- FANTA ORANGE- 2.0LT
LABEL- FANTA ORANGE- 0.5LT
LABEL- FANTA PASSION- 2.0LT
LABEL- FANTA PASSION- 0.5LT
LABEL- CRYSTAL SPARKLING-1LT</t>
  </si>
  <si>
    <t>400,000
1,600,000
1,100,000
400,000
500,000
350,000
600,000
400,000</t>
  </si>
  <si>
    <t>LPO10016170</t>
  </si>
  <si>
    <t>IPR143837</t>
  </si>
  <si>
    <t>LABEL-PHOENIX SPECIALE-65CL-BODY
LABEL-PHOENIX SPECIALE-65CL-NECK
LABEL-PHOENIX SPECIALE-65CL-BACK
LABEL-GUINNESS-65CL-NECK
LABEL-GUINNESS-65CL-BACK
LABEL-GUINNESS-65CL-BODY
LABEL-GUINNESS-33CL-NECK
LABEL-GUINNESS-33CL-BACK
LABEL-GUINNESS-33CL-BODY
LABEL-PHOENIX PANACHE LEMON-33CL-BODY
LABEL-PHOENIX PANACHE LEMON-33CL-BACK (EXPORT)
LABEL-PHOENIX PANACHE LEMON-33CL-BACK (LOCAL)
LABEL-PHOENIX PANACHE PEACH-33CL-BODY
LABEL-PHOENIX PANACHE PEACH-33CL-L/NECK
LABEL-PHOENIX PANACHE PEACH-33CL-BACK
LABEL-PHOENIX PANACHE PEACH-33CL-BACK EXPORT
LABEL-PHOENIX PANACHE RED FRUITS-33CL-BODY
LABEL-PHOENIX PANACHE RED FRUITS-33CL-L/NECK
LABEL-PHOENIX PANACHE RED FRUITS-33CL-BACK
LABEL-PHOENIX REJUV-33CL-BACK EXP(REUNION/FRANCE)
LABEL-PHOENIX REJUV-33CL-BODY EXPORT
LABEL-PHOENIX REJUV-33CL-L/NECK EXPORT</t>
  </si>
  <si>
    <t>400,000
400,000
300,000
150,000
150,000
150,000
50,000
100,000
100,000
100,000
100,000
100,000
100,000
100,000
100,000
100,000
100,000
100,000
100,000
100,000
100,000
100,000
100,000</t>
  </si>
  <si>
    <t>LPO10016172</t>
  </si>
  <si>
    <t>IPR143804</t>
  </si>
  <si>
    <t>LABELLING INDISTRIES LTD</t>
  </si>
  <si>
    <t xml:space="preserve">LABEL-COKE NO SUGAR KAIZEN 1LT
LABEL-COKE NO SUGAR KAIZEN 0.5LT
LABEL- SCHWP TONIC- 0.5LT
LABEL- SCHWP SOD- 0.5LT
LABEL- SCHWP G ALE-0.5LT
LABEL- ORANGINA 1.5L
LABEL- ORANGINA 0.5L
LABEL- ORANGINA ZERO 1.5LT
LABEL- ESKI ALMOND 2.25LT
LABEL- ESKI ALMOND 400ML
LABEL- ESKI STRAWBERRY 2.25LT
LABEL- ESKI STRAWBERRY 400ML
LABEL- ESKI VANILLA 2.25LT
LABEL- ESKI VANILLA 400ML
</t>
  </si>
  <si>
    <t>600,000
750,000
400,000
100,000
300,000
200,000
150,000
150,000
100,000
100,000
100,000
100,000
200,000
100,000</t>
  </si>
  <si>
    <t>LPO10016199</t>
  </si>
  <si>
    <t>IPR143519</t>
  </si>
  <si>
    <t>LPO10016167</t>
  </si>
  <si>
    <t>IPR143754</t>
  </si>
  <si>
    <t xml:space="preserve">LABEL- CRYSTAL BOPP CLR 1.5LT
LABEL- CRYSTAL BOPP CLR 1.0LT
LABEL- CRYSTAL BOPP CLR 0.5LT
SLEEVE- FUZE TEA PEACH 0.5LT
SLEEVE- FUZE TEA PEACH 1.5LT
SLEEVE- FUZE TEA APPLE LEMONGRASS 0.5LT
SLEEVE- FUZE TEA APPLE LEMONGRASS 1.5LT
SLEEVE- FUZE TEA MANGO CAMOMILE 0.5LT
SLEEVE- FUZE TEA MANGO CAMOMILE 1.5LT
SLEEVE- FUZE TEA MANGO BAOBAB 0.5LT
SLEEVE- FUZE TEA MANGO BAOBAB 1.5LT
</t>
  </si>
  <si>
    <t>4,,000,000
1,700,000
1,400,000
1,300,300
800,000
300,000
300,000
500,000
400,000
100,000
150,000</t>
  </si>
  <si>
    <t>FPO12405</t>
  </si>
  <si>
    <t>IPR145463</t>
  </si>
  <si>
    <t>IPR143919</t>
  </si>
  <si>
    <t>FPO12415</t>
  </si>
  <si>
    <t>IPR145494</t>
  </si>
  <si>
    <t>45 DAYS OF BL</t>
  </si>
  <si>
    <t>adv payment</t>
  </si>
  <si>
    <t xml:space="preserve">FPO12248 </t>
  </si>
  <si>
    <t>MSC BEIRA</t>
  </si>
  <si>
    <t xml:space="preserve">MSC ARIA </t>
  </si>
  <si>
    <t>EF EMMA</t>
  </si>
  <si>
    <t>MSC AZOV</t>
  </si>
  <si>
    <t>10.07.2025</t>
  </si>
  <si>
    <t>17.07.2025</t>
  </si>
  <si>
    <t>CAPS- CRYSTAL WATER 29/25 -4,500,000</t>
  </si>
  <si>
    <t>ON GOING</t>
  </si>
  <si>
    <r>
      <rPr>
        <sz val="14"/>
        <color rgb="FFFF0000"/>
        <rFont val="Calibri"/>
        <family val="2"/>
        <scheme val="minor"/>
      </rPr>
      <t>MSMU5021677</t>
    </r>
    <r>
      <rPr>
        <sz val="14"/>
        <rFont val="Calibri"/>
        <family val="2"/>
        <scheme val="minor"/>
      </rPr>
      <t xml:space="preserve">
MAIL SENT + TALKED TO FANNY COHEN FOR THE HC /COA</t>
    </r>
  </si>
  <si>
    <t xml:space="preserve">adv payment </t>
  </si>
  <si>
    <t>FPO12404</t>
  </si>
  <si>
    <t>ipr1455433</t>
  </si>
  <si>
    <t>BULK WINE- Cinsault rose 5000LT</t>
  </si>
  <si>
    <t>BULK WINE-SAUVIGNON WHITE 11 700LT</t>
  </si>
  <si>
    <t>30 days Invoice date</t>
  </si>
  <si>
    <t xml:space="preserve">09/07/2025- in store , awt grn - Issue as qty in cases  </t>
  </si>
  <si>
    <r>
      <t xml:space="preserve">PAYMENT TERM UNDER DISCUSSION AS SUPPLIER NOW REQUESTING 30% ADVANCE WHILE TERMS AND CONDITION SHOWED 30 DAYS INVOICE DATE AND PO SHOWS THIS CREDIT TERM
</t>
    </r>
    <r>
      <rPr>
        <sz val="14"/>
        <color rgb="FFFF0000"/>
        <rFont val="Calibri"/>
        <family val="2"/>
        <scheme val="minor"/>
      </rPr>
      <t xml:space="preserve">MSMU5021677
</t>
    </r>
  </si>
  <si>
    <t>FPO12396</t>
  </si>
  <si>
    <t>FPO12412</t>
  </si>
  <si>
    <t>IPR145495</t>
  </si>
  <si>
    <t>FPO12413</t>
  </si>
  <si>
    <t>IPR145563</t>
  </si>
  <si>
    <t xml:space="preserve">ADVINI SA </t>
  </si>
  <si>
    <t>WINE  - FRANCE</t>
  </si>
  <si>
    <t>Airfreight shipment as per DP request . Delay of one week between air and sea</t>
  </si>
  <si>
    <t>CARAMEL COLOUR 385 - 500KGS</t>
  </si>
  <si>
    <t>FPO12420</t>
  </si>
  <si>
    <t>IPR145602</t>
  </si>
  <si>
    <t>PREFORM-CLEAR 29/25-21-528,000
PREFORM-CLEAR 29/25-26-374,000</t>
  </si>
  <si>
    <t>HOPS-SN P45-10%-SLOVENIA AURORA CROP 2024-7000kg
HOPS-SN TOTAL RESIN EXTR-35%-HALLERTAU PERLE 2024-1500kg
HOPS-SN TOTAL RESIN EXTR-35%-GERMANY AKOYA(2024)-500kg
HOPS-SN TOTAL RESIN EXTR-35%-HALLERTAU MAGNUM 2024-1000kg
HOPS-SN TOTAL RESIN EXTR-35%-HALLERTAU HERKUL 2024-2000kg</t>
  </si>
  <si>
    <t xml:space="preserve">MSNU1190219
AWT RFP APPROVAL 
</t>
  </si>
  <si>
    <r>
      <rPr>
        <sz val="14"/>
        <color rgb="FFFF0000"/>
        <rFont val="Calibri"/>
        <family val="2"/>
        <scheme val="minor"/>
      </rPr>
      <t>Awaiting credit note for wrong billing</t>
    </r>
    <r>
      <rPr>
        <sz val="14"/>
        <color theme="1"/>
        <rFont val="Calibri"/>
        <family val="2"/>
        <scheme val="minor"/>
      </rPr>
      <t xml:space="preserve">
PAYMENT PROCESSED AS PER MC INSTRUCTION , CN TO FOLLOW </t>
    </r>
  </si>
  <si>
    <t>AWT APPROVAL</t>
  </si>
  <si>
    <t xml:space="preserve">FINISHED PRODUCTS - 2nd lot 
Monster Energy Original 500ml - 5600 
Monster Rossi 500ml -1360
</t>
  </si>
  <si>
    <t xml:space="preserve">MSC ELLEN ZF525R               </t>
  </si>
  <si>
    <t>FPO12424</t>
  </si>
  <si>
    <t>IPR145587</t>
  </si>
  <si>
    <t>30 Days From Invoice Date</t>
  </si>
  <si>
    <t>FPO12423</t>
  </si>
  <si>
    <t>IPR145585</t>
  </si>
  <si>
    <t>FPO12422</t>
  </si>
  <si>
    <t>IPR145584</t>
  </si>
  <si>
    <t>FPO12421</t>
  </si>
  <si>
    <t>IPR145496</t>
  </si>
  <si>
    <t>45 DAYS END OF MONTH</t>
  </si>
  <si>
    <t>LPO10017727</t>
  </si>
  <si>
    <t>IPR145567</t>
  </si>
  <si>
    <t>BLYCHEM LIMITED</t>
  </si>
  <si>
    <t>LPO10017731</t>
  </si>
  <si>
    <t>IPR145703</t>
  </si>
  <si>
    <t>500
50
100
500</t>
  </si>
  <si>
    <t>CALCIUM CHLORIDE
CALCIUM SULPHATE
SODIUM BENZOATE
SUGAR GLUCOSE</t>
  </si>
  <si>
    <t>ANTIOXIN SB-1200Kgs</t>
  </si>
  <si>
    <t>MSC LISBON IP525R</t>
  </si>
  <si>
    <t xml:space="preserve">SEAWAYBILL: MEDUGT667706
</t>
  </si>
  <si>
    <t xml:space="preserve">1.The current material availability date is in July as the raw material is still in transit via sea freight. Demand planning requested to airfreight shipment
Contact person leave the company/Mail sent to confirm Airfreght shipment and better lead time-To follow
2.Additional 100kg requested from supplier as per DMP/Supplier quote: raw material challenges and can only produce and have this order  ready for goods readiness on 29/08. DMP to advise
3.New total to read 300kgs as per DP/To amend PO.
4.Only 75kgs available as per supplier/We asked for same to be shipped urgently by Airfreight.
</t>
  </si>
  <si>
    <t>CONC PEARONA BASE-18,000Lts</t>
  </si>
  <si>
    <t>FPO12333</t>
  </si>
  <si>
    <t>IPR144527</t>
  </si>
  <si>
    <t>FPO12401</t>
  </si>
  <si>
    <t>IPR145452</t>
  </si>
  <si>
    <t>FPO12425</t>
  </si>
  <si>
    <t>IPR124158</t>
  </si>
  <si>
    <t>MSC SAN FRANCISCO IP528R</t>
  </si>
  <si>
    <t>Seawaybill: MEDUAK758210</t>
  </si>
  <si>
    <t>MSC PAMELA IP527R</t>
  </si>
  <si>
    <t>MSC HEIDI MA526A</t>
  </si>
  <si>
    <t>GLDU5086749</t>
  </si>
  <si>
    <t>MSDU1861169</t>
  </si>
  <si>
    <t>MSMU1348640</t>
  </si>
  <si>
    <t>TLLU3276030</t>
  </si>
  <si>
    <t xml:space="preserve">rex number missing on invoice but proceeding with clearance without rex - received Martine approval for same </t>
  </si>
  <si>
    <t>FINISHED PRODUCTS - MONSTER -4th  SHIPT 
MONSTER ULTRA ZERO 500ML-160
MONSTER ULTRA ZERO 500ML- 160</t>
  </si>
  <si>
    <t>FPO12436</t>
  </si>
  <si>
    <t>IPR124436</t>
  </si>
  <si>
    <t>FPO12437</t>
  </si>
  <si>
    <t>IPR145695</t>
  </si>
  <si>
    <t>FPO12442</t>
  </si>
  <si>
    <t>IPR145797</t>
  </si>
  <si>
    <t>277242.,31</t>
  </si>
  <si>
    <t xml:space="preserve">4thlot
FINISHED PRODUCTS- MONSTER
- AB ZERO-880
</t>
  </si>
  <si>
    <r>
      <rPr>
        <strike/>
        <sz val="14"/>
        <rFont val="Calibri"/>
        <family val="2"/>
        <scheme val="minor"/>
      </rPr>
      <t>01/08/2025</t>
    </r>
    <r>
      <rPr>
        <sz val="14"/>
        <rFont val="Calibri"/>
        <family val="2"/>
        <scheme val="minor"/>
      </rPr>
      <t xml:space="preserve">
11/08/2025</t>
    </r>
  </si>
  <si>
    <t>CONC FUZE TEA LIQUID- 1X20' FCL- 768 units</t>
  </si>
  <si>
    <r>
      <rPr>
        <strike/>
        <sz val="14"/>
        <rFont val="Calibri"/>
        <family val="2"/>
        <scheme val="minor"/>
      </rPr>
      <t>28/07/2025</t>
    </r>
    <r>
      <rPr>
        <sz val="14"/>
        <rFont val="Calibri"/>
        <family val="2"/>
        <scheme val="minor"/>
      </rPr>
      <t xml:space="preserve">
31/07/2025</t>
    </r>
  </si>
  <si>
    <t xml:space="preserve">Delay in ETD as per supplier, new ETD reads 31/07/2025 instead of 28/07/2025.
</t>
  </si>
  <si>
    <t xml:space="preserve">NATURAL FLAVOURING LEMON-100Kg
</t>
  </si>
  <si>
    <t>FLAVOUR-XX-XX-MIXED FRUIT-For Production - August 2025-100Kg</t>
  </si>
  <si>
    <t>CONC. ESKI VANILLA-75.97 Lts
CONC. ALMOND-89.28 Lts
CONC. STRAWBERRY-24.295 Lts</t>
  </si>
  <si>
    <t xml:space="preserve">NATURAL FLAVOURING LEMON-100Kgs
</t>
  </si>
  <si>
    <t>FLAVOUR EMULSION LEMON CLOUD-500Kgs</t>
  </si>
  <si>
    <t>BIOFINE CLEAR-4000Kgs</t>
  </si>
  <si>
    <t>MSC MANZANILLO XA530A</t>
  </si>
  <si>
    <t xml:space="preserve">SEAWAYBILL: MEDUGT678174
</t>
  </si>
  <si>
    <t xml:space="preserve">SEAWAY BILL: MEDUO7742192
</t>
  </si>
  <si>
    <t>Bangkok Express 529E</t>
  </si>
  <si>
    <t>HYUNDAI SINGAPORE ZF531R</t>
  </si>
  <si>
    <t>BBASE- COKE-3000
BBASE- COKE NO SUGAR( KAIZEN)-180
BBASE- SPRITE-1280
BBASE- FANTA ORANGE-675
BBASE- FANTA PASSION-224
BBASE- SCHWEPPE TONIC-60
BBASE- SCHWEPPE GINGER ALE-42
BBASE- CRYSTAL WATER- WA12-3600
BBASE- DASANI WATER- WA64-64
BBASE- COKE EINSTEIN (30% LESS SUGAR)-320
CONC- FUZE TEA - PEACH-360
CONC- FUZE TEA - APPLE LEMONGRASS-72
CONC- FUZE TEA -MANGO CAMOMILE-150
CONC - FUZE TEA - MANGO BAOBAB-72
SAP No. 2000744417 dated 12/05/2025</t>
  </si>
  <si>
    <t xml:space="preserve">BBASE- SCHWEPPE SODA-12
SAP No. 2000744417 dated 12/05/2025
</t>
  </si>
  <si>
    <t>FPO12443</t>
  </si>
  <si>
    <t>IPR145852</t>
  </si>
  <si>
    <t>FPO12444</t>
  </si>
  <si>
    <t>IPR145853</t>
  </si>
  <si>
    <t>FPO12445</t>
  </si>
  <si>
    <t>IPR145856</t>
  </si>
  <si>
    <t>FPO12446</t>
  </si>
  <si>
    <t>IPR145858</t>
  </si>
  <si>
    <t>FPO12467</t>
  </si>
  <si>
    <t>IPR145760</t>
  </si>
  <si>
    <t>FPO12466</t>
  </si>
  <si>
    <t>IPR1453839</t>
  </si>
  <si>
    <t>FPO12468</t>
  </si>
  <si>
    <t>IPR145761</t>
  </si>
  <si>
    <t>FPO12470</t>
  </si>
  <si>
    <t>IPR145834</t>
  </si>
  <si>
    <t>FPO12471</t>
  </si>
  <si>
    <t>IPR145836</t>
  </si>
  <si>
    <t>FPO12469</t>
  </si>
  <si>
    <t>IPR145821</t>
  </si>
  <si>
    <t>LPO10017939</t>
  </si>
  <si>
    <t>IPR145824</t>
  </si>
  <si>
    <t>LABELLING INDUSTRIES</t>
  </si>
  <si>
    <t>LABEL- CRYSTAL BOPP CLR 1.5LT
LABEL- CRYSTAL BOPP CLR 1.0LT
LABEL- CRYSTAL BOPP CLR 0.5LT
SLEEVE- FUZE TEA PEACH 0.5LT
SLEEVE- FUZE TEA PEACH 1.5LT
SLEEVE- FUZE TEA APPLE LEMONGRASS 0.5LT
SLEEVE- FUZE TEA MANGO CAMOMILE 0.5LT
SLEEVE- FUZE TEA MANGO CAMOMILE 1.5LT
SLEEVE- FUZE TEA MANGO BAOBAB 0.5LT
SLEEVE- FUZE TEA MANGO BAOBAB 1.5LT</t>
  </si>
  <si>
    <t>4,600,000
2,000,000
1,600,000
800,000
100,000
300,000
400,000
200,000
250,000
50,000</t>
  </si>
  <si>
    <t>LPO10017938</t>
  </si>
  <si>
    <t>IPR145835</t>
  </si>
  <si>
    <t>LABEL-WINE GR8 CAPE WHITE-75CL-BODY
LABEL-WINE GR8 CAPE WHITE-75CL-BACK
LABEL-WINE GR8 CAPE ROSE-75CL-BODY
LABEL-WINE GR8 CAPE ROSE-75CL-BACK</t>
  </si>
  <si>
    <t>1,000
1,000
1,000
1,000</t>
  </si>
  <si>
    <t>LPO10017937</t>
  </si>
  <si>
    <t>IPR145838</t>
  </si>
  <si>
    <t>PFILM-CLEAR-520MMX65MIC-NON COATED(PACK X 24 CANS)
PFILM-CLEAR-530MMX65MIC-COATED (PACK X 6 CANS)</t>
  </si>
  <si>
    <t>8,000
4,000</t>
  </si>
  <si>
    <t>LPO10017923</t>
  </si>
  <si>
    <t>IPR145841</t>
  </si>
  <si>
    <t>GLUE-AQUENCE-GL330</t>
  </si>
  <si>
    <t>50% Adv - 28,502.36 ( 28/03/2025)
50% Net 45 Days - 28,502.36 - 24/07/2025</t>
  </si>
  <si>
    <t>FPO12476</t>
  </si>
  <si>
    <t>IPR145866</t>
  </si>
  <si>
    <t>LUBERON ROUGE FONTENILLE 750ML
LUBERON BLANC FONTENILLE 750ML</t>
  </si>
  <si>
    <t>FPO12478</t>
  </si>
  <si>
    <t>IPR145868</t>
  </si>
  <si>
    <t>CROZES HERMITAGE FRIANDISE MAGNUM 1.5LT
CROZES HERMITAGE PREMIER REGARD MAGNUM 1.5LT</t>
  </si>
  <si>
    <t>FPO12479</t>
  </si>
  <si>
    <t>IPR145871</t>
  </si>
  <si>
    <t>SARL SARRAZIN MICHEL ET FILS</t>
  </si>
  <si>
    <t xml:space="preserve">GIVRY 1ER CRU ROUGE CLOS SALOMON MONOPOLE 750ML
</t>
  </si>
  <si>
    <t xml:space="preserve">MSC AZOV MZ524A </t>
  </si>
  <si>
    <t xml:space="preserve">CMA CGM NACALA </t>
  </si>
  <si>
    <t xml:space="preserve">DISP- BOTTLES- COKE BDB 300ML - 379,050 unit </t>
  </si>
  <si>
    <r>
      <rPr>
        <sz val="14"/>
        <color rgb="FF00B050"/>
        <rFont val="Calibri"/>
        <family val="2"/>
        <scheme val="minor"/>
      </rPr>
      <t>50% ADVANCE - USD 4,187.09 ( 12/02/2025)</t>
    </r>
    <r>
      <rPr>
        <sz val="14"/>
        <rFont val="Calibri"/>
        <family val="2"/>
        <scheme val="minor"/>
      </rPr>
      <t xml:space="preserve">
</t>
    </r>
    <r>
      <rPr>
        <sz val="14"/>
        <color rgb="FF00B050"/>
        <rFont val="Calibri"/>
        <family val="2"/>
        <scheme val="minor"/>
      </rPr>
      <t>50% BL DATE - USD 11,849.20 (09/07/2025)</t>
    </r>
  </si>
  <si>
    <t>MSC ARIANE</t>
  </si>
  <si>
    <r>
      <t xml:space="preserve">PREFORM-CRYSTAL BLUE 29/25-12GM - 1,166,000
PREFORM-CRYSTAL BLUE 29/25-23.5GM - 550,000
PREFORM-CRYSTAL BLUE 29/25-27GM - 1,100,000
PREFORM- CLEAR-38MM-30GM -  528,000
PREFORM- CLEAR-38MM-30GM  - 299,200
</t>
    </r>
    <r>
      <rPr>
        <b/>
        <sz val="14"/>
        <rFont val="Calibri"/>
        <family val="2"/>
        <scheme val="minor"/>
      </rPr>
      <t xml:space="preserve">7X40 FT </t>
    </r>
  </si>
  <si>
    <r>
      <t xml:space="preserve">PREFORMS
PREFORM- CRYSTAL ASTRA BLUE 29/25-10.5GM
PREFORM- CRYSTAL ASTRA BLUE 29/25-22.5GM
PREFORM- CRYSTAL ASTRA BLUE 29/25-25.5GM
</t>
    </r>
    <r>
      <rPr>
        <b/>
        <sz val="14"/>
        <rFont val="Calibri"/>
        <family val="2"/>
        <scheme val="minor"/>
      </rPr>
      <t>3X40 FT</t>
    </r>
  </si>
  <si>
    <t>CAN-PHOENIX BEER-50CL-REJUV - 2,080,800 UNITS
CAN-BLUE MARLIN-50CL-XX - 502,860 UNITS 
ENDS-ALUMINIUM-DIA 202-LARGE OPENING - 2,583,660 UNITS
CAN - PSB 50 CL - 27,744 CANS 
1St Shipment  - 34X20</t>
  </si>
  <si>
    <t>31.07.2025</t>
  </si>
  <si>
    <t>MSC ARCHIMIDIS - ZF525A</t>
  </si>
  <si>
    <t>FPO12477</t>
  </si>
  <si>
    <t>IPR145862</t>
  </si>
  <si>
    <t>COLLEGIALE DES DOMAINES DE LOIRES</t>
  </si>
  <si>
    <t>GAMAY ROUGE LES LEZARDS 750ML</t>
  </si>
  <si>
    <t>60 DAYS ENLEVEMENT</t>
  </si>
  <si>
    <t>FPO12448</t>
  </si>
  <si>
    <t>IPR145814</t>
  </si>
  <si>
    <t>60 DAYS INVOIICE DATE</t>
  </si>
  <si>
    <t>FPO12447</t>
  </si>
  <si>
    <t>IPR145815</t>
  </si>
  <si>
    <t>FPO12450</t>
  </si>
  <si>
    <t>IPR145864</t>
  </si>
  <si>
    <t>TOURAINE SAUVIGNON BLANC 750ML</t>
  </si>
  <si>
    <t>FPO12449</t>
  </si>
  <si>
    <t>IPR145869</t>
  </si>
  <si>
    <t>POUILLY FUISSE 750ML
BOURG HAUTES COTES DE BEAUNE CLOS BORTIER 750ML</t>
  </si>
  <si>
    <t>60 DAYS END OF MONTH</t>
  </si>
  <si>
    <t>FPO12452</t>
  </si>
  <si>
    <t>IPR145870</t>
  </si>
  <si>
    <t>SAS DOMAINE RAPET PERE ET FILS</t>
  </si>
  <si>
    <t>CHOREY LES BEAUNE ROUGE 750ML</t>
  </si>
  <si>
    <t xml:space="preserve">
MRKU6522639
QTY RECEIVED IN CASES , DN &amp; AB ARRANGED WITH THOMY AND HE IS OK TO PROCESS . Next order will be modified </t>
  </si>
  <si>
    <t>MSC CATHERINE VI v. ZF529A</t>
  </si>
  <si>
    <t xml:space="preserve">06/07/202 </t>
  </si>
  <si>
    <t xml:space="preserve">Rex number hand written and stamp was requred  - done </t>
  </si>
  <si>
    <t xml:space="preserve">inv with volume was needed - done </t>
  </si>
  <si>
    <t>adv payement</t>
  </si>
  <si>
    <t>FPO12454</t>
  </si>
  <si>
    <t>IPR145652</t>
  </si>
  <si>
    <t>FPO12455</t>
  </si>
  <si>
    <t>IPR145654</t>
  </si>
  <si>
    <t>FPO12456</t>
  </si>
  <si>
    <t>IPR145657</t>
  </si>
  <si>
    <t>FPO12457</t>
  </si>
  <si>
    <t>IPR145658</t>
  </si>
  <si>
    <t>FPO12458</t>
  </si>
  <si>
    <t>IPR145659</t>
  </si>
  <si>
    <t>FPO12459</t>
  </si>
  <si>
    <t>IPR145664</t>
  </si>
  <si>
    <t>FPO12460</t>
  </si>
  <si>
    <t>IPR145668</t>
  </si>
  <si>
    <t>FPO12461</t>
  </si>
  <si>
    <t>IPR145676</t>
  </si>
  <si>
    <t xml:space="preserve">90 DAYS INVOICE DATE </t>
  </si>
  <si>
    <r>
      <rPr>
        <strike/>
        <sz val="14"/>
        <rFont val="Calibri"/>
        <family val="2"/>
        <scheme val="minor"/>
      </rPr>
      <t>MSC TOKATA ZB525R
MSC BRASILIA VII ZF528R
MSC ARCHIMIDIS ZF530R</t>
    </r>
    <r>
      <rPr>
        <sz val="14"/>
        <rFont val="Calibri"/>
        <family val="2"/>
        <scheme val="minor"/>
      </rPr>
      <t xml:space="preserve">
HYUNDAI SINGAPORE ZF531R</t>
    </r>
  </si>
  <si>
    <t xml:space="preserve">BL  No : 256687517 - Maearsk </t>
  </si>
  <si>
    <t>MAERSK PELEPAS(LR)</t>
  </si>
  <si>
    <t>LPO10017978</t>
  </si>
  <si>
    <t>IPR145963</t>
  </si>
  <si>
    <t>FOR BOTTLE PLASTIC CRATE</t>
  </si>
  <si>
    <t>LPO10018050</t>
  </si>
  <si>
    <t>IPR146004</t>
  </si>
  <si>
    <t xml:space="preserve">CBOX-COKE BDB 24X30CL
</t>
  </si>
  <si>
    <t>LPO10018052</t>
  </si>
  <si>
    <t>IPR146019</t>
  </si>
  <si>
    <t>CLUSTER BLUE MARLIN 33CL</t>
  </si>
  <si>
    <t xml:space="preserve">04/08/2025 RECEIVED IN STORE, AWT GRN </t>
  </si>
  <si>
    <t>APL NEW YORK 0NNLRE</t>
  </si>
  <si>
    <t>FPO12414</t>
  </si>
  <si>
    <t>IPR145518</t>
  </si>
  <si>
    <t>DIAGEO BRANDS</t>
  </si>
  <si>
    <t>FLAVOUR SMIRNOFF ICE RED-XX-XX-WINEGUM (ITALY)-270LT</t>
  </si>
  <si>
    <t xml:space="preserve">SEAWAY BILL: MEDUO7808548
</t>
  </si>
  <si>
    <t xml:space="preserve">early arrival
SEAWAYBILL: MEDUAK972423
</t>
  </si>
  <si>
    <t>MSC DANIT - XA525A
BL no. MEDUH9020197</t>
  </si>
  <si>
    <t>Bl  No : TCNU8640442 - MAERSK</t>
  </si>
  <si>
    <t>MERATUS JAYAWIJAYA</t>
  </si>
  <si>
    <t>CONTAINER NUMBER: MSDU2074759 ( MSC)</t>
  </si>
  <si>
    <t>MSC VALERIA</t>
  </si>
  <si>
    <t xml:space="preserve">Booking No. / BL No.     : EBKG13524245 / MEDUXJ622927 </t>
  </si>
  <si>
    <t xml:space="preserve">Booking No. / BL No.     : EBKG13524245 / MEDUXJ622927 </t>
  </si>
  <si>
    <t>MV. MSC DOMNA X V.ZF530A</t>
  </si>
  <si>
    <t xml:space="preserve">FV. MSC BEIRA IV V.HO530R </t>
  </si>
  <si>
    <t xml:space="preserve">MSC VIGOUR III XA527A
</t>
  </si>
  <si>
    <r>
      <rPr>
        <sz val="14"/>
        <color rgb="FF00B050"/>
        <rFont val="Calibri"/>
        <family val="2"/>
        <scheme val="minor"/>
      </rPr>
      <t>50% ADV - USD 15,96.32 ( 27/05/2025)</t>
    </r>
    <r>
      <rPr>
        <sz val="14"/>
        <rFont val="Calibri"/>
        <family val="2"/>
        <scheme val="minor"/>
      </rPr>
      <t xml:space="preserve">
</t>
    </r>
    <r>
      <rPr>
        <sz val="14"/>
        <color rgb="FF00B050"/>
        <rFont val="Calibri"/>
        <family val="2"/>
        <scheme val="minor"/>
      </rPr>
      <t>50 % ON SCAN BL - USD 15,916.32 ( 01/08/2025)</t>
    </r>
  </si>
  <si>
    <r>
      <t xml:space="preserve">Payment done for the whole order due to overpayment from AC
</t>
    </r>
    <r>
      <rPr>
        <b/>
        <sz val="14"/>
        <color rgb="FFFF0000"/>
        <rFont val="Calibri"/>
        <family val="2"/>
        <scheme val="minor"/>
      </rPr>
      <t>BL no. MEDUHQ570374 (MSC)</t>
    </r>
    <r>
      <rPr>
        <sz val="14"/>
        <color rgb="FFFF0000"/>
        <rFont val="Calibri"/>
        <family val="2"/>
        <scheme val="minor"/>
      </rPr>
      <t xml:space="preserve">
</t>
    </r>
  </si>
  <si>
    <t xml:space="preserve">
MSC MANZANILLO XA530A</t>
  </si>
  <si>
    <t>BL NO. MEDUOO370391 (MSC)</t>
  </si>
  <si>
    <t xml:space="preserve">
MSC WIND II KC535A</t>
  </si>
  <si>
    <t>BL NO, MEDUG9672742 ( MSC)</t>
  </si>
  <si>
    <t>BL NO, MEDUG9672742 (MSC)</t>
  </si>
  <si>
    <t>BL NO, MEDUG9664988 (MSC)</t>
  </si>
  <si>
    <t>MSC HEIDI</t>
  </si>
  <si>
    <r>
      <t>PREFORM CRYSTAL BLUE 29/25-23.5GM - 550,000
PREFORM CRYSTAL BLUE 29/25-27GM - 1,650,000</t>
    </r>
    <r>
      <rPr>
        <b/>
        <sz val="14"/>
        <rFont val="Calibri"/>
        <family val="2"/>
        <scheme val="minor"/>
      </rPr>
      <t xml:space="preserve">
4X40 FT</t>
    </r>
  </si>
  <si>
    <r>
      <t xml:space="preserve">PREFORM-CRYSTAL BLUE 29/25-12GM - 1,166,000
PREFORM-CRYSTAL BLUE 29/25-23.5GM - 550,000
PREFORM-CRYSTAL BLUE 29/25-27GM - 2,200,000
PREFORM- CLEAR-38MM-30GM - 1,056,000
PREFORM- CLEAR-38MM-52GM - 897,600
</t>
    </r>
    <r>
      <rPr>
        <b/>
        <sz val="14"/>
        <rFont val="Calibri"/>
        <family val="2"/>
        <scheme val="minor"/>
      </rPr>
      <t>11X40 FT</t>
    </r>
  </si>
  <si>
    <t>BILL OF LADING: MEDUNT215336 (MSC)</t>
  </si>
  <si>
    <t>08.08.2025</t>
  </si>
  <si>
    <t xml:space="preserve">PETFORM LIMITED </t>
  </si>
  <si>
    <r>
      <rPr>
        <sz val="14"/>
        <color rgb="FF00B050"/>
        <rFont val="Calibri"/>
        <family val="2"/>
        <scheme val="minor"/>
      </rPr>
      <t>50% ADV -  EUR 58,905.00</t>
    </r>
    <r>
      <rPr>
        <sz val="14"/>
        <rFont val="Calibri"/>
        <family val="2"/>
        <scheme val="minor"/>
      </rPr>
      <t xml:space="preserve">
</t>
    </r>
    <r>
      <rPr>
        <sz val="14"/>
        <color rgb="FF00B050"/>
        <rFont val="Calibri"/>
        <family val="2"/>
        <scheme val="minor"/>
      </rPr>
      <t xml:space="preserve">50% ON DEL  -  </t>
    </r>
    <r>
      <rPr>
        <b/>
        <sz val="14"/>
        <color rgb="FF00B050"/>
        <rFont val="Calibri"/>
        <family val="2"/>
        <scheme val="minor"/>
      </rPr>
      <t>EUR 58,905.00 ( 28/07/2025)</t>
    </r>
  </si>
  <si>
    <r>
      <t xml:space="preserve">POLYCARBONATED JARS WITH HANDLE 
</t>
    </r>
    <r>
      <rPr>
        <b/>
        <sz val="14"/>
        <rFont val="Calibri"/>
        <family val="2"/>
        <scheme val="minor"/>
      </rPr>
      <t>11x40 FCL</t>
    </r>
  </si>
  <si>
    <r>
      <t xml:space="preserve">33CL  EMPTY GLASS BOTTLES GREEN - </t>
    </r>
    <r>
      <rPr>
        <b/>
        <sz val="14"/>
        <rFont val="Calibri"/>
        <family val="2"/>
        <scheme val="minor"/>
      </rPr>
      <t>2ND LOT</t>
    </r>
  </si>
  <si>
    <r>
      <t xml:space="preserve">CAN-PHOENIX BEER-50CL-REJUV - 2,080,800 UNITS
CAN-BLUE MARLIN-50CL-XX - 502,860 UNITS 
ENDS-ALUMINIUM-DIA 202-LARGE OPENING - 2,583,660 UNITS
CAN - PSB 50 CL - 27,744 CANS 
</t>
    </r>
    <r>
      <rPr>
        <b/>
        <sz val="14"/>
        <rFont val="Calibri"/>
        <family val="2"/>
        <scheme val="minor"/>
      </rPr>
      <t xml:space="preserve">2nd shipment </t>
    </r>
  </si>
  <si>
    <r>
      <t xml:space="preserve">33CL Pint Green Plain Bottle with 'PBL' embossment
</t>
    </r>
    <r>
      <rPr>
        <b/>
        <sz val="14"/>
        <rFont val="Calibri"/>
        <family val="2"/>
        <scheme val="minor"/>
      </rPr>
      <t>8 x 40' FCL -</t>
    </r>
    <r>
      <rPr>
        <sz val="14"/>
        <rFont val="Calibri"/>
        <family val="2"/>
        <scheme val="minor"/>
      </rPr>
      <t xml:space="preserve"> </t>
    </r>
  </si>
  <si>
    <r>
      <rPr>
        <b/>
        <sz val="14"/>
        <rFont val="Calibri"/>
        <family val="2"/>
        <scheme val="minor"/>
      </rPr>
      <t>LOT 363 A</t>
    </r>
    <r>
      <rPr>
        <sz val="14"/>
        <rFont val="Calibri"/>
        <family val="2"/>
        <scheme val="minor"/>
      </rPr>
      <t xml:space="preserve">
CAN-PHOENIX BEER-33CL-XX- DG - 2,100,600
CAN-BLUE MARLIN-33CL-XX - DG - 322,092
</t>
    </r>
    <r>
      <rPr>
        <b/>
        <sz val="14"/>
        <rFont val="Calibri"/>
        <family val="2"/>
        <scheme val="minor"/>
      </rPr>
      <t>45x20 FCL</t>
    </r>
  </si>
  <si>
    <r>
      <rPr>
        <b/>
        <sz val="14"/>
        <rFont val="Calibri"/>
        <family val="2"/>
        <scheme val="minor"/>
      </rPr>
      <t>LOT 363 B</t>
    </r>
    <r>
      <rPr>
        <sz val="14"/>
        <rFont val="Calibri"/>
        <family val="2"/>
        <scheme val="minor"/>
      </rPr>
      <t xml:space="preserve">
CAN-MALTA GUINNESS-33CL-XX - HG - 539,154
CAN-PEARONA-33CL-XX - DG -  266,076
CAN-SPRITE-33CL-LOCAL - HG - 266,076
CAN-SMIRNOFF ICE RED-33CL-XX - HG - 266,076
CAN-PHOENIX CIDER ALCO-33CL-XX - DG - 133,038
CAN-P.FRESH LEMON-33CL-XX  -DG - 133,038
CAN-PHOENIX SPECIALE-33CL-XX - DG - 266,076
CAN-SMIRNOFF ICE BLUE-33CL- (GUARANA) - HG - 266,076
ENDS-ALUMINIUM-DIA 202-STANDARD OPENING - DG -  1,365,390
ENDS-ALUMINIUM-DIA 202-STANDARD OPENING - HG - 1,071,306
</t>
    </r>
    <r>
      <rPr>
        <b/>
        <sz val="14"/>
        <rFont val="Calibri"/>
        <family val="2"/>
        <scheme val="minor"/>
      </rPr>
      <t xml:space="preserve">40x20 FCL </t>
    </r>
  </si>
  <si>
    <r>
      <t xml:space="preserve">65 CL QUART ACL AMBER BOTTLE  -  756,000
</t>
    </r>
    <r>
      <rPr>
        <b/>
        <sz val="14"/>
        <rFont val="Calibri"/>
        <family val="2"/>
        <scheme val="minor"/>
      </rPr>
      <t>20 x 40' FCL - 1 ST LOT</t>
    </r>
  </si>
  <si>
    <r>
      <t xml:space="preserve">65 CL QUART ACL AMBER BOTTLE  -  756,000
</t>
    </r>
    <r>
      <rPr>
        <b/>
        <sz val="14"/>
        <rFont val="Calibri"/>
        <family val="2"/>
        <scheme val="minor"/>
      </rPr>
      <t>20 x 40' FCL - 2ND LOT</t>
    </r>
  </si>
  <si>
    <r>
      <t xml:space="preserve">65 CL QUART ACL AMBER BOTTLE  -  756,000
</t>
    </r>
    <r>
      <rPr>
        <b/>
        <sz val="14"/>
        <rFont val="Calibri"/>
        <family val="2"/>
        <scheme val="minor"/>
      </rPr>
      <t xml:space="preserve">20x 40' FCL - 4 TH LOT </t>
    </r>
  </si>
  <si>
    <r>
      <t xml:space="preserve">33 CL PLAIN AMBER BOTTLE  -  665,280 UNITS
</t>
    </r>
    <r>
      <rPr>
        <b/>
        <sz val="14"/>
        <rFont val="Calibri"/>
        <family val="2"/>
        <scheme val="minor"/>
      </rPr>
      <t xml:space="preserve">10 x 40' FCL - 1ST SHIPMENT </t>
    </r>
  </si>
  <si>
    <r>
      <t xml:space="preserve">33 CL PLAIN AMBER BOTTLE  -   665,280 UNITS
</t>
    </r>
    <r>
      <rPr>
        <b/>
        <sz val="14"/>
        <rFont val="Calibri"/>
        <family val="2"/>
        <scheme val="minor"/>
      </rPr>
      <t xml:space="preserve">10 x 40' FCL - 2ND SHIPMENT </t>
    </r>
  </si>
  <si>
    <r>
      <t xml:space="preserve">CAPS- CRYSTAL WATER 29/25 - 4,500,000
</t>
    </r>
    <r>
      <rPr>
        <b/>
        <sz val="14"/>
        <rFont val="Calibri"/>
        <family val="2"/>
        <scheme val="minor"/>
      </rPr>
      <t>1X40 FT</t>
    </r>
  </si>
  <si>
    <r>
      <t xml:space="preserve">CAPS- FUZE TEA GREEN 38MM NECK FINISH - 2,016,000
</t>
    </r>
    <r>
      <rPr>
        <b/>
        <sz val="14"/>
        <rFont val="Calibri"/>
        <family val="2"/>
        <scheme val="minor"/>
      </rPr>
      <t>1X40FT</t>
    </r>
  </si>
  <si>
    <r>
      <t xml:space="preserve">CROWN CORK-PHOENIX BEER-XX-(BPA-NI) - 3,070,000
CROWN CORK-PLAIN HEALTH MESSAGE-XX-(BPA-NI) - 3,070,000
</t>
    </r>
    <r>
      <rPr>
        <b/>
        <sz val="14"/>
        <rFont val="Calibri"/>
        <family val="2"/>
        <scheme val="minor"/>
      </rPr>
      <t>1X20FT</t>
    </r>
  </si>
  <si>
    <r>
      <t xml:space="preserve">65CL QUART GREEN Plain bottle with 'PBL' 
embossment
</t>
    </r>
    <r>
      <rPr>
        <b/>
        <sz val="14"/>
        <rFont val="Calibri"/>
        <family val="2"/>
        <scheme val="minor"/>
      </rPr>
      <t>2 x 40' FCL - 75,600 units
1 x 40' FCL - 37800</t>
    </r>
  </si>
  <si>
    <r>
      <t xml:space="preserve">CAPS CRYSTAL WATER 29/25 - 4,500,000
</t>
    </r>
    <r>
      <rPr>
        <b/>
        <sz val="14"/>
        <rFont val="Calibri"/>
        <family val="2"/>
        <scheme val="minor"/>
      </rPr>
      <t>1X40 FT</t>
    </r>
  </si>
  <si>
    <r>
      <t xml:space="preserve">CROWN CORK-PHOENIX BEER-XX-(BPA-NI) - 3,696,000
CROWN CORK-PEARONA-XX-(BPA-NI) - 528,000
CROWN CORK-BLUE MARLIN-XX-(BPA-NI) - 528,000
CROWN CORK-PHOENIX SPECIALE-XX-(BPA-NI) - 528,000
</t>
    </r>
    <r>
      <rPr>
        <b/>
        <sz val="14"/>
        <rFont val="Calibri"/>
        <family val="2"/>
        <scheme val="minor"/>
      </rPr>
      <t>1X20 FT</t>
    </r>
  </si>
  <si>
    <t xml:space="preserve">LABEL-CRYSTAL 18.9L - 125,000 UNITS 
BY AIR </t>
  </si>
  <si>
    <t>CAN-PHOENIX BEER-33CL-XX - 560,160
ENDS-ALUMINIUM-DIA 202-LARGE OPENING - 560,160</t>
  </si>
  <si>
    <t>FPO12342</t>
  </si>
  <si>
    <t>IPR144602</t>
  </si>
  <si>
    <t>TGBU8014372</t>
  </si>
  <si>
    <t>WINE-TC5</t>
  </si>
  <si>
    <t>WINE-TC6</t>
  </si>
  <si>
    <t>WINE-TC7</t>
  </si>
  <si>
    <t>WINE-TC8</t>
  </si>
  <si>
    <t>WINE-T C9</t>
  </si>
  <si>
    <t>WINE-TC10</t>
  </si>
  <si>
    <t>WINE-TC11</t>
  </si>
  <si>
    <t xml:space="preserve">WINE-TC12 </t>
  </si>
  <si>
    <t>FPO12475</t>
  </si>
  <si>
    <t>IPR145560</t>
  </si>
  <si>
    <t>FPO12390</t>
  </si>
  <si>
    <t>IPR145258</t>
  </si>
  <si>
    <t>FPO12474</t>
  </si>
  <si>
    <t>IPR145561</t>
  </si>
  <si>
    <t>FPO12481</t>
  </si>
  <si>
    <t>IPR145682</t>
  </si>
  <si>
    <t>90 DAYS INNVOICE DATE</t>
  </si>
  <si>
    <t>FPO12453</t>
  </si>
  <si>
    <t>IPR145859</t>
  </si>
  <si>
    <t>UBY</t>
  </si>
  <si>
    <t>Uby No3 Colombard Sauvignon 750ML
Uby No6 Rosé- IGP Cotes de Gascogne 750ML
Uby No7 Merlot Tannat 750ML
Uby Zero Alcool Sauvignon  750ML
Uby Zero Alcool Rose 750ML</t>
  </si>
  <si>
    <t>60 DAYS</t>
  </si>
  <si>
    <r>
      <rPr>
        <b/>
        <sz val="14"/>
        <rFont val="Calibri"/>
        <family val="2"/>
        <scheme val="minor"/>
      </rPr>
      <t>LOT 364 A</t>
    </r>
    <r>
      <rPr>
        <sz val="14"/>
        <rFont val="Calibri"/>
        <family val="2"/>
        <scheme val="minor"/>
      </rPr>
      <t xml:space="preserve">
CAN-PHOENIX BEER-33CL-XX - DG 1,400,400
CAN-P.FRESH LEMON-33CL-XX- DG 133,038
CAN-BLUE MARLIN-33CL-XX  - DG 91,026
CAN-PEARONA-33CL-XX - DG 427,122
CAN-PHOENIX SPECIALE-33CL-XX - DG 266,076
ENDS-ALUMINIUM-DIA 202-LARGE OPENING - DG 2,317,662
</t>
    </r>
    <r>
      <rPr>
        <b/>
        <sz val="14"/>
        <rFont val="Calibri"/>
        <family val="2"/>
        <scheme val="minor"/>
      </rPr>
      <t xml:space="preserve">43X20 FT </t>
    </r>
  </si>
  <si>
    <r>
      <rPr>
        <b/>
        <sz val="14"/>
        <rFont val="Calibri"/>
        <family val="2"/>
        <scheme val="minor"/>
      </rPr>
      <t>LOT 364B</t>
    </r>
    <r>
      <rPr>
        <sz val="14"/>
        <rFont val="Calibri"/>
        <family val="2"/>
        <scheme val="minor"/>
      </rPr>
      <t xml:space="preserve">
CAN-BLUE MARLIN-33CL-XX  - DG 1,295,370
CAN-MALTA GUINNESS-33CL-XX - HG 539,154
CAN-SMIRNOFF ICE RED-33CL-XX - HG 322,092 
CAN-SMIRNOFF ICE BLUE-33CL- (GUARANA) - HG 266,076
ENDS-ALUMINIUM-DIA 202-LARGE OPENING - DG 1,309,374
ENDS-ALUMINIUM-DIA 202-LARGE OPENING - HG 1,127,322
</t>
    </r>
    <r>
      <rPr>
        <b/>
        <sz val="14"/>
        <rFont val="Calibri"/>
        <family val="2"/>
        <scheme val="minor"/>
      </rPr>
      <t>45X20 FT</t>
    </r>
    <r>
      <rPr>
        <sz val="14"/>
        <rFont val="Calibri"/>
        <family val="2"/>
        <scheme val="minor"/>
      </rPr>
      <t xml:space="preserve">
</t>
    </r>
  </si>
  <si>
    <t xml:space="preserve">WINE -TC13 
</t>
  </si>
  <si>
    <t xml:space="preserve">AWT GRN </t>
  </si>
  <si>
    <t xml:space="preserve">1ST LOT
Grapetiser Red CAN 330ML -2370
Grapetiser Red NBT 275ML-1200
Appletiser NBT 275ML-318
</t>
  </si>
  <si>
    <r>
      <rPr>
        <b/>
        <sz val="14"/>
        <rFont val="Calibri"/>
        <family val="2"/>
        <scheme val="minor"/>
      </rPr>
      <t xml:space="preserve">FINISHED PRODUCTS - 5th  lot </t>
    </r>
    <r>
      <rPr>
        <sz val="14"/>
        <rFont val="Calibri"/>
        <family val="2"/>
        <scheme val="minor"/>
      </rPr>
      <t xml:space="preserve">
MONSTER AB ZERO - 3520
</t>
    </r>
  </si>
  <si>
    <t>CAN PHOENIX BEER-33CL - 652,860
ENDS-ALUMINIUM DIA 202 LARGE OPENING - 652,860</t>
  </si>
  <si>
    <t xml:space="preserve">FINISHED PRODUCTS- MONSTER </t>
  </si>
  <si>
    <t>DEMURRAGE CHARGES</t>
  </si>
  <si>
    <t>30 DAYS OF STATEMENT</t>
  </si>
  <si>
    <t>FINISHED PRODUCTS -MONSTER</t>
  </si>
  <si>
    <t xml:space="preserve">MONSTER PRODUCTS </t>
  </si>
  <si>
    <t>FPO11445</t>
  </si>
  <si>
    <t>IPR135783</t>
  </si>
  <si>
    <t xml:space="preserve">1st lot - AUG 
Monster Original 500ML CANS-3360
</t>
  </si>
  <si>
    <t>09.08.2025</t>
  </si>
  <si>
    <t>AWB: 881-26281894 ETD 09/08/2025.</t>
  </si>
  <si>
    <t>CONC- ORANGINA [1DRUM=7UN]-467
CONC- POTASSIUM SORBATE(1 CARTON=28UN)-448
CONC- ORANGINA ZERO DRUM KIT(7UN)-140
CONC- PRESERVATIVE KIT FOR 0! ZERO(7UN)-140
CONC- ANTIOXIDANT KIT(7UN)-140</t>
  </si>
  <si>
    <t>FLAVOUR GUARANA-400 Kg</t>
  </si>
  <si>
    <t>FOOD COLOURING- RED-5KG</t>
  </si>
  <si>
    <t>BLACK CARROT NATURAL-40Kg</t>
  </si>
  <si>
    <t>Ongoing</t>
  </si>
  <si>
    <t xml:space="preserve">MSC ROMA </t>
  </si>
  <si>
    <t>SC / MK</t>
  </si>
  <si>
    <t>SC / MC</t>
  </si>
  <si>
    <t>DOMAINE BOUCHAUD PIERRE-LUC
C/O ALAIN ET PASCALE</t>
  </si>
  <si>
    <t>BA2065</t>
  </si>
  <si>
    <t>FLAVOUR CHERRY-40Kg</t>
  </si>
  <si>
    <t xml:space="preserve">PIP DONE
SWB No: 256061609
</t>
  </si>
  <si>
    <t>MALT-LOT 3-105,000Kgs</t>
  </si>
  <si>
    <t>MALT LOT 4-156,670Kgs</t>
  </si>
  <si>
    <r>
      <rPr>
        <strike/>
        <sz val="14"/>
        <rFont val="Calibri"/>
        <family val="2"/>
        <scheme val="minor"/>
      </rPr>
      <t>06/08/2025</t>
    </r>
    <r>
      <rPr>
        <sz val="14"/>
        <rFont val="Calibri"/>
        <family val="2"/>
        <scheme val="minor"/>
      </rPr>
      <t xml:space="preserve">
11/08/2025</t>
    </r>
  </si>
  <si>
    <t>MALT LOT 8-305,402Kgs</t>
  </si>
  <si>
    <t>MALT LOT 9-306,000Kgs</t>
  </si>
  <si>
    <r>
      <rPr>
        <strike/>
        <sz val="14"/>
        <rFont val="Calibri"/>
        <family val="2"/>
        <scheme val="minor"/>
      </rPr>
      <t>MSC JUDITH</t>
    </r>
    <r>
      <rPr>
        <sz val="14"/>
        <rFont val="Calibri"/>
        <family val="2"/>
        <scheme val="minor"/>
      </rPr>
      <t xml:space="preserve">
MSC MAEVA</t>
    </r>
  </si>
  <si>
    <r>
      <rPr>
        <strike/>
        <sz val="14"/>
        <rFont val="Calibri"/>
        <family val="2"/>
        <scheme val="minor"/>
      </rPr>
      <t>07.08.2025</t>
    </r>
    <r>
      <rPr>
        <sz val="14"/>
        <rFont val="Calibri"/>
        <family val="2"/>
        <scheme val="minor"/>
      </rPr>
      <t xml:space="preserve">
13.08.2025</t>
    </r>
  </si>
  <si>
    <t>MALT LOT 5-262,520Kgs</t>
  </si>
  <si>
    <t>MALT LOT 6-261,840Kgs</t>
  </si>
  <si>
    <t>MALT-Lot 10-300,000 Kgs</t>
  </si>
  <si>
    <t>MALT-LOT 6-52,200Kgs</t>
  </si>
  <si>
    <t>MALT LOT 8-54,000Kgs</t>
  </si>
  <si>
    <t>MALT LOT 7-52,500Kgs</t>
  </si>
  <si>
    <t>Malt Lot 9-54,000Kgs</t>
  </si>
  <si>
    <t>CMA CGM DAVAO</t>
  </si>
  <si>
    <t>MSC MARIA ELENA MZ532A</t>
  </si>
  <si>
    <t>FPO12488</t>
  </si>
  <si>
    <t>IPR146009</t>
  </si>
  <si>
    <t>STRECTCH FILM - 17077.50</t>
  </si>
  <si>
    <t>LPO10018240</t>
  </si>
  <si>
    <t>IPR146017</t>
  </si>
  <si>
    <t>PFILM - SHRINK</t>
  </si>
  <si>
    <t>PO SENT TO SUPPLIER</t>
  </si>
  <si>
    <t>Bl No. MEDUH9062801</t>
  </si>
  <si>
    <t>MSC MUNDRA</t>
  </si>
  <si>
    <t>MSC STELLA ZF531A</t>
  </si>
  <si>
    <r>
      <rPr>
        <b/>
        <sz val="14"/>
        <rFont val="Calibri"/>
        <family val="2"/>
        <scheme val="minor"/>
      </rPr>
      <t>LOT 365A</t>
    </r>
    <r>
      <rPr>
        <sz val="14"/>
        <rFont val="Calibri"/>
        <family val="2"/>
        <scheme val="minor"/>
      </rPr>
      <t xml:space="preserve">
CAN-PHOENIX BEER-33CL-XX - DG - 1,932,552 
Pearona DG -  378,108 
Phoenix Special DG -  133,038 
CAN-BLUE MARLIN-33CL-XX - DG - 35,010 
</t>
    </r>
    <r>
      <rPr>
        <b/>
        <sz val="14"/>
        <rFont val="Calibri"/>
        <family val="2"/>
        <scheme val="minor"/>
      </rPr>
      <t>46X20 FT</t>
    </r>
  </si>
  <si>
    <t>BL no., MEDUOO815718 ( MSC)</t>
  </si>
  <si>
    <t>MSC MANZANILLO XA534A</t>
  </si>
  <si>
    <t>LPO10018179</t>
  </si>
  <si>
    <t>IPR146028</t>
  </si>
  <si>
    <t>ALCOHOL NEUTRAL 23%</t>
  </si>
  <si>
    <t>LPO10018180</t>
  </si>
  <si>
    <t>IPR146031</t>
  </si>
  <si>
    <t>LPO10018181</t>
  </si>
  <si>
    <t>IPR146034</t>
  </si>
  <si>
    <t>LPO10018183</t>
  </si>
  <si>
    <t>IPR146027</t>
  </si>
  <si>
    <t>LPO10018277</t>
  </si>
  <si>
    <t>IPR146362</t>
  </si>
  <si>
    <t>LPO10018276</t>
  </si>
  <si>
    <t>IPR146352</t>
  </si>
  <si>
    <t>LPO10017922</t>
  </si>
  <si>
    <t>IPR145897</t>
  </si>
  <si>
    <t>Omnicane Milling Operations Limited</t>
  </si>
  <si>
    <t>Reprocessing of Sugar</t>
  </si>
  <si>
    <t>FPO12473</t>
  </si>
  <si>
    <t>IPR145562</t>
  </si>
  <si>
    <t>FLAVOUR-XX-XX-MIXED FRUIT-200Kg</t>
  </si>
  <si>
    <r>
      <rPr>
        <sz val="14"/>
        <color rgb="FF00B050"/>
        <rFont val="Calibri"/>
        <family val="2"/>
        <scheme val="minor"/>
      </rPr>
      <t>50% ADV -  EUR 42,910.60( 29/05/2025)</t>
    </r>
    <r>
      <rPr>
        <sz val="14"/>
        <rFont val="Calibri"/>
        <family val="2"/>
        <scheme val="minor"/>
      </rPr>
      <t xml:space="preserve">
</t>
    </r>
    <r>
      <rPr>
        <sz val="14"/>
        <color rgb="FF00B050"/>
        <rFont val="Calibri"/>
        <family val="2"/>
        <scheme val="minor"/>
      </rPr>
      <t xml:space="preserve">50% 45 DAYS INVOICE DATE -  </t>
    </r>
    <r>
      <rPr>
        <b/>
        <sz val="14"/>
        <color rgb="FF00B050"/>
        <rFont val="Calibri"/>
        <family val="2"/>
        <scheme val="minor"/>
      </rPr>
      <t>EUR 42,910.60 (08/08/2025)</t>
    </r>
  </si>
  <si>
    <r>
      <rPr>
        <sz val="14"/>
        <color rgb="FF00B050"/>
        <rFont val="Calibri"/>
        <family val="2"/>
        <scheme val="minor"/>
      </rPr>
      <t>50 % ADVANCE - 28,203.11 - 17/06/2025</t>
    </r>
    <r>
      <rPr>
        <sz val="14"/>
        <rFont val="Calibri"/>
        <family val="2"/>
        <scheme val="minor"/>
      </rPr>
      <t xml:space="preserve">
</t>
    </r>
    <r>
      <rPr>
        <sz val="14"/>
        <color rgb="FF00B050"/>
        <rFont val="Calibri"/>
        <family val="2"/>
        <scheme val="minor"/>
      </rPr>
      <t>50 % NET 45 DAYS-  28,203.10- 07/08/2025</t>
    </r>
  </si>
  <si>
    <r>
      <rPr>
        <sz val="14"/>
        <color rgb="FF00B050"/>
        <rFont val="Calibri"/>
        <family val="2"/>
        <scheme val="minor"/>
      </rPr>
      <t>50% ADV  - EUR 21,990.585 - 28.03.2025</t>
    </r>
    <r>
      <rPr>
        <sz val="14"/>
        <rFont val="Calibri"/>
        <family val="2"/>
        <scheme val="minor"/>
      </rPr>
      <t xml:space="preserve">
</t>
    </r>
    <r>
      <rPr>
        <sz val="14"/>
        <color rgb="FF00B050"/>
        <rFont val="Calibri"/>
        <family val="2"/>
        <scheme val="minor"/>
      </rPr>
      <t>50% 60 DAYS INV - 21,990.585 -25.07.2025</t>
    </r>
  </si>
  <si>
    <r>
      <rPr>
        <sz val="14"/>
        <color rgb="FF00B050"/>
        <rFont val="Calibri"/>
        <family val="2"/>
        <scheme val="minor"/>
      </rPr>
      <t>50% ADV  - EUR 21,990.585 - 28.03.2025</t>
    </r>
    <r>
      <rPr>
        <sz val="14"/>
        <rFont val="Calibri"/>
        <family val="2"/>
        <scheme val="minor"/>
      </rPr>
      <t xml:space="preserve">
</t>
    </r>
    <r>
      <rPr>
        <sz val="14"/>
        <color rgb="FF00B050"/>
        <rFont val="Calibri"/>
        <family val="2"/>
        <scheme val="minor"/>
      </rPr>
      <t>50% 60 DAYS INV - 15,291.58- 27/07/2025</t>
    </r>
  </si>
  <si>
    <t>FPO12493</t>
  </si>
  <si>
    <t>IPR12493</t>
  </si>
  <si>
    <t>CONC WINE CABERNET SAUVIGNON RED</t>
  </si>
  <si>
    <t>60 DAYS FROM BL</t>
  </si>
  <si>
    <t>MEDU4350946 
Note supplier confirmed  no sample was sent with this package 
11.08.2025 - To follow with logistics regarding wrong invoice No mentioned on BL- RESOLVED, MIGUEL SAID THEY ACCEPTED THE COMMAND NO</t>
  </si>
  <si>
    <t>12.08.2025</t>
  </si>
  <si>
    <t>20.08.2025</t>
  </si>
  <si>
    <t>30.07.20205</t>
  </si>
  <si>
    <t>FPO12494</t>
  </si>
  <si>
    <t>IPR146246</t>
  </si>
  <si>
    <t>LPO10018348</t>
  </si>
  <si>
    <t>IPR146890</t>
  </si>
  <si>
    <t xml:space="preserve"> ALPLA</t>
  </si>
  <si>
    <t xml:space="preserve">PREFORM </t>
  </si>
  <si>
    <t>LPO10018350</t>
  </si>
  <si>
    <t>LPO10018349</t>
  </si>
  <si>
    <t>IPR146365</t>
  </si>
  <si>
    <t>IPR146288</t>
  </si>
  <si>
    <t>PIP done
Seawaybill: MEDUAK839143</t>
  </si>
  <si>
    <t>MALT LOT 7-301,480Kgs</t>
  </si>
  <si>
    <t>LPO10017302</t>
  </si>
  <si>
    <t>IPR145020</t>
  </si>
  <si>
    <t>ESKI ACESULFAME
SODIUM BENZOATE
ESKI CITRIC ACID ANHYDROUS
ESKI ASPARTAME</t>
  </si>
  <si>
    <t>50
100
650
25</t>
  </si>
  <si>
    <t>32,500.00
12,500.00
39,000.00
22,500.00</t>
  </si>
  <si>
    <t>24.08.2025</t>
  </si>
  <si>
    <r>
      <rPr>
        <b/>
        <sz val="14"/>
        <rFont val="Calibri"/>
        <family val="2"/>
        <scheme val="minor"/>
      </rPr>
      <t xml:space="preserve">FINISHED PRODUCTS -  4th  lot </t>
    </r>
    <r>
      <rPr>
        <sz val="14"/>
        <rFont val="Calibri"/>
        <family val="2"/>
        <scheme val="minor"/>
      </rPr>
      <t xml:space="preserve">
MONSTER ROSSI- 1760 
</t>
    </r>
  </si>
  <si>
    <t xml:space="preserve">4TH  LOT:
ULTRA WHITE - 1200
</t>
  </si>
  <si>
    <t xml:space="preserve">MSC MUNDRA VIII ZF532R       </t>
  </si>
  <si>
    <t>1st LOT
Pipeline punch -720
Aussie Lemonade- 1040</t>
  </si>
  <si>
    <t>500ML CAN MONSTER ULTRA WHITE- 1760</t>
  </si>
  <si>
    <t xml:space="preserve">
BL NO. MEDUFI551609 ( MSC)</t>
  </si>
  <si>
    <t xml:space="preserve">
MSC MUNDRA VIII ZF532R </t>
  </si>
  <si>
    <t xml:space="preserve">
MSC MANZANILLO XA534A</t>
  </si>
  <si>
    <t xml:space="preserve">Demand planning requested to prepone for an ETA Mauritius for Mid-July 2025.
Shipment delayed and to be loaded on 31/07/2025 instead of 13/07/2025
Seawaybill :MEDU9693932
 </t>
  </si>
  <si>
    <t>MSC NEW HAVEN ZF535A</t>
  </si>
  <si>
    <t>MSC YUKTA X ZF536A</t>
  </si>
  <si>
    <t>MAWB: 881-26251540</t>
  </si>
  <si>
    <t>27.08.2025</t>
  </si>
  <si>
    <t>CMA CGM - REF NO. LHV3755498</t>
  </si>
  <si>
    <t>MSC LEIGH</t>
  </si>
  <si>
    <t>FPO12498</t>
  </si>
  <si>
    <t>IPR146163</t>
  </si>
  <si>
    <t>S.C CHATEAU ROMANIN</t>
  </si>
  <si>
    <t>Chateau Romanin Rose 750ML- 540
Chateau Romanin Rouge 750ML- 540
ECHANTILLONS EN GRSATUITÉ
Chateau Romanin Rose 750ML - 60 Bottles
Chateau Romanin Rouge 750ML - 60 Bottles</t>
  </si>
  <si>
    <t>FPO12499</t>
  </si>
  <si>
    <t>IPR146164</t>
  </si>
  <si>
    <t>SAS GV &amp; FXB - COMPLICES DE LOIRE</t>
  </si>
  <si>
    <t xml:space="preserve">Touraine Sauv Le Carroir De Minettes 750ML
Bourgueil Rouge Le Moulin Barbin 750ML
St Nicolas de Bourgueil Les Graviers 750ML
Montlouis Sur Loire Le Marchais 750ML
ECHANTILLONS EN GRATUITÉ
Balade à Rosé 2024* - 2 Bottles
Les Bulles Libres - Chenin - 2 Bottles
Altitude 2024 - 2 Bottles
Elegance 2024 - 2 Bottles
Harmonie 2024 - 2 Bottles
Evasion 2024 - 2 Bottles
Le Carroir des Minettes 2023 * - 30 Bottles
Le Moulin Barbin 2024* - 30 Bottles
Les Graviers - Parcelles de Loire 2024 - 30 Bottles
Le Marchais 2023 - 30 Bottles
</t>
  </si>
  <si>
    <r>
      <rPr>
        <strike/>
        <sz val="14"/>
        <rFont val="Calibri"/>
        <family val="2"/>
        <scheme val="minor"/>
      </rPr>
      <t>04/08/2025</t>
    </r>
    <r>
      <rPr>
        <sz val="14"/>
        <rFont val="Calibri"/>
        <family val="2"/>
        <scheme val="minor"/>
      </rPr>
      <t xml:space="preserve">
</t>
    </r>
    <r>
      <rPr>
        <strike/>
        <sz val="14"/>
        <rFont val="Calibri"/>
        <family val="2"/>
        <scheme val="minor"/>
      </rPr>
      <t>17/08/2025</t>
    </r>
    <r>
      <rPr>
        <sz val="14"/>
        <rFont val="Calibri"/>
        <family val="2"/>
        <scheme val="minor"/>
      </rPr>
      <t xml:space="preserve">
29/08/2025</t>
    </r>
  </si>
  <si>
    <t xml:space="preserve">MEDU4350946
</t>
  </si>
  <si>
    <r>
      <rPr>
        <sz val="14"/>
        <color rgb="FF00B050"/>
        <rFont val="Calibri"/>
        <family val="2"/>
        <scheme val="minor"/>
      </rPr>
      <t xml:space="preserve">50% ADVANCE - ZAR10623.75  - 09/07/2025 due </t>
    </r>
    <r>
      <rPr>
        <sz val="14"/>
        <rFont val="Calibri"/>
        <family val="2"/>
        <scheme val="minor"/>
      </rPr>
      <t xml:space="preserve">
</t>
    </r>
    <r>
      <rPr>
        <sz val="14"/>
        <color rgb="FF00B050"/>
        <rFont val="Calibri"/>
        <family val="2"/>
        <scheme val="minor"/>
      </rPr>
      <t xml:space="preserve">50% DOCUMENTS - ZAR 10623.75 </t>
    </r>
  </si>
  <si>
    <t>To  request by mail</t>
  </si>
  <si>
    <r>
      <t>F</t>
    </r>
    <r>
      <rPr>
        <sz val="14"/>
        <color theme="1"/>
        <rFont val="Calibri"/>
        <family val="2"/>
        <scheme val="minor"/>
      </rPr>
      <t xml:space="preserve">INISHED PRODUCTS - 3rd LoT
</t>
    </r>
    <r>
      <rPr>
        <sz val="14"/>
        <rFont val="Calibri"/>
        <family val="2"/>
        <scheme val="minor"/>
      </rPr>
      <t xml:space="preserve">Monster Rossi 500ml -240
Can Monster Ultra white- </t>
    </r>
    <r>
      <rPr>
        <sz val="14"/>
        <color rgb="FFFF0000"/>
        <rFont val="Calibri"/>
        <family val="2"/>
        <scheme val="minor"/>
      </rPr>
      <t xml:space="preserve">340 - 300 still due. </t>
    </r>
    <r>
      <rPr>
        <sz val="14"/>
        <rFont val="Calibri"/>
        <family val="2"/>
        <scheme val="minor"/>
      </rPr>
      <t xml:space="preserve">
Can Monster Pipeline Punch - </t>
    </r>
    <r>
      <rPr>
        <sz val="14"/>
        <color rgb="FFFF0000"/>
        <rFont val="Calibri"/>
        <family val="2"/>
        <scheme val="minor"/>
      </rPr>
      <t>940 -  initial qty: 1760 - to amend PO to read 1740 - Done</t>
    </r>
    <r>
      <rPr>
        <sz val="14"/>
        <color theme="1"/>
        <rFont val="Calibri"/>
        <family val="2"/>
        <scheme val="minor"/>
      </rPr>
      <t xml:space="preserve">
</t>
    </r>
    <r>
      <rPr>
        <sz val="14"/>
        <rFont val="Calibri"/>
        <family val="2"/>
        <scheme val="minor"/>
      </rPr>
      <t xml:space="preserve">
</t>
    </r>
  </si>
  <si>
    <r>
      <t>3RD  LOT:
Original Monster -</t>
    </r>
    <r>
      <rPr>
        <sz val="14"/>
        <color rgb="FFFF0000"/>
        <rFont val="Calibri"/>
        <family val="2"/>
        <scheme val="minor"/>
      </rPr>
      <t xml:space="preserve"> 15542 (560 + 13682 - surplus of 3384)- to amend PO to 29784 - Done</t>
    </r>
    <r>
      <rPr>
        <sz val="14"/>
        <rFont val="Calibri"/>
        <family val="2"/>
        <scheme val="minor"/>
      </rPr>
      <t xml:space="preserve">
Monster Original Mucho Loco - 640
Aussi Limonade - 1198</t>
    </r>
    <r>
      <rPr>
        <sz val="14"/>
        <color rgb="FFFF0000"/>
        <rFont val="Calibri"/>
        <family val="2"/>
        <scheme val="minor"/>
      </rPr>
      <t>- PL shows 1040 - To amend PO 1758 - Done</t>
    </r>
    <r>
      <rPr>
        <sz val="14"/>
        <rFont val="Calibri"/>
        <family val="2"/>
        <scheme val="minor"/>
      </rPr>
      <t xml:space="preserve">
</t>
    </r>
  </si>
  <si>
    <r>
      <t xml:space="preserve">1st lot -SEPT 
</t>
    </r>
    <r>
      <rPr>
        <sz val="14"/>
        <color theme="1"/>
        <rFont val="Calibri"/>
        <family val="2"/>
        <scheme val="minor"/>
      </rPr>
      <t>Monster Original 500ML CANS- 640</t>
    </r>
    <r>
      <rPr>
        <sz val="14"/>
        <rFont val="Calibri"/>
        <family val="2"/>
        <scheme val="minor"/>
      </rPr>
      <t xml:space="preserve">
Monster Mucho Loco- 240
Monster Doctor Rossi - 1280 -</t>
    </r>
    <r>
      <rPr>
        <sz val="14"/>
        <color rgb="FFFF0000"/>
        <rFont val="Calibri"/>
        <family val="2"/>
        <scheme val="minor"/>
      </rPr>
      <t xml:space="preserve">
</t>
    </r>
    <r>
      <rPr>
        <sz val="14"/>
        <rFont val="Calibri"/>
        <family val="2"/>
        <scheme val="minor"/>
      </rPr>
      <t xml:space="preserve">
</t>
    </r>
  </si>
  <si>
    <r>
      <t>F</t>
    </r>
    <r>
      <rPr>
        <sz val="14"/>
        <color theme="1"/>
        <rFont val="Calibri"/>
        <family val="2"/>
        <scheme val="minor"/>
      </rPr>
      <t xml:space="preserve">INISHED PRODUCTS - 4TH LoT
can Monster AB ZERO -1760
</t>
    </r>
    <r>
      <rPr>
        <sz val="14"/>
        <rFont val="Calibri"/>
        <family val="2"/>
        <scheme val="minor"/>
      </rPr>
      <t xml:space="preserve">
</t>
    </r>
  </si>
  <si>
    <t xml:space="preserve">
order collected</t>
  </si>
  <si>
    <t xml:space="preserve">BL NO. MEDUOO791653 (MSC)
</t>
  </si>
  <si>
    <t>BL no. MEDUG9695305 (MSC)</t>
  </si>
  <si>
    <t xml:space="preserve">Bl No. MEDUEK641441 (MSC)
</t>
  </si>
  <si>
    <t>HYUNDAI SINGAPORE - ZF531R</t>
  </si>
  <si>
    <r>
      <rPr>
        <strike/>
        <sz val="14"/>
        <rFont val="Calibri"/>
        <family val="2"/>
        <scheme val="minor"/>
      </rPr>
      <t>24/08/2025</t>
    </r>
    <r>
      <rPr>
        <sz val="14"/>
        <rFont val="Calibri"/>
        <family val="2"/>
        <scheme val="minor"/>
      </rPr>
      <t xml:space="preserve">
22.06.2025</t>
    </r>
  </si>
  <si>
    <t>SL / MK</t>
  </si>
  <si>
    <t>AF 303M/27</t>
  </si>
  <si>
    <r>
      <t>2</t>
    </r>
    <r>
      <rPr>
        <vertAlign val="superscript"/>
        <sz val="11"/>
        <color theme="1"/>
        <rFont val="Calibri"/>
        <family val="2"/>
        <scheme val="minor"/>
      </rPr>
      <t>nd</t>
    </r>
    <r>
      <rPr>
        <sz val="11"/>
        <color theme="1"/>
        <rFont val="Calibri"/>
        <family val="2"/>
        <scheme val="minor"/>
      </rPr>
      <t xml:space="preserve"> mail – Upon confirmation of order availability – To send mail to Logistics for needful.</t>
    </r>
    <r>
      <rPr>
        <sz val="14"/>
        <rFont val="Calibri"/>
        <family val="2"/>
        <scheme val="minor"/>
      </rPr>
      <t xml:space="preserve">
AWB No. 125-17306354
</t>
    </r>
  </si>
  <si>
    <t>CONC- ESKI VANILLA(CREAM SODA)-75.97LT
CONC- ESKI ALMOND-200.88LT</t>
  </si>
  <si>
    <r>
      <t xml:space="preserve">We have amended  the PO for SKU </t>
    </r>
    <r>
      <rPr>
        <sz val="11"/>
        <color rgb="FF000000"/>
        <rFont val="Calibri"/>
        <family val="2"/>
        <scheme val="minor"/>
      </rPr>
      <t xml:space="preserve">9710: HAUT MEDOC LA CROIX DOMPIERRE 750ML to read 150 bottles instead of 300 bottles as 150received </t>
    </r>
  </si>
  <si>
    <t>BL No. MEDUM279487/ EBKG13826210</t>
  </si>
  <si>
    <t>MSC ALBA</t>
  </si>
  <si>
    <t xml:space="preserve">FV. MSC MSC CANCUN IV V.HW534R </t>
  </si>
  <si>
    <t xml:space="preserve">29/08/2025
 </t>
  </si>
  <si>
    <t>MV. MSC BRASILIA VII V.ZF534A</t>
  </si>
  <si>
    <t xml:space="preserve">EBKG13864058 / MEDUXJ750702  </t>
  </si>
  <si>
    <r>
      <t xml:space="preserve">29/07/2025
03/09/2025
18/08/2025
</t>
    </r>
    <r>
      <rPr>
        <sz val="14"/>
        <rFont val="Calibri"/>
        <family val="2"/>
        <scheme val="minor"/>
      </rPr>
      <t>23/08/2025</t>
    </r>
  </si>
  <si>
    <t>LPO10018372</t>
  </si>
  <si>
    <t>IPR146472</t>
  </si>
  <si>
    <t xml:space="preserve">STAMPS </t>
  </si>
  <si>
    <t>LPO10018594</t>
  </si>
  <si>
    <t>LPO10018601</t>
  </si>
  <si>
    <t>IPR146733</t>
  </si>
  <si>
    <t>IPR146495</t>
  </si>
  <si>
    <t>CARTON &amp; BOXES</t>
  </si>
  <si>
    <t xml:space="preserve">CITRIC ACID ANHYDROUS </t>
  </si>
  <si>
    <t xml:space="preserve">WINES BOXES </t>
  </si>
  <si>
    <t>LPO10018570</t>
  </si>
  <si>
    <t>IPR146469</t>
  </si>
  <si>
    <t xml:space="preserve">LABEL-WINE GR8 ORIGINS-SAUVIGNON ROUGE 750ML-BODY - Priority No 8
LABEL-WINE GR8 ORIGINS-SAUVIGNON ROUGE 750ML-BACK - Priority No 8
LABEL-WINE GR8 ORIGINS-SAUVIGNON BLANC 750ML-BODY - Priority No 4
LABEL-WINE GR8 ORIGINS-SAUVIGNON BLANC 750ML-BACK - Priority No 4
LABEL-WINE GR8 ORIGINS-MERLOT ROUGE 750ML-BODY - Priority No 5-
LABEL-WINE GR8 ORIGINS-MERLOT ROUGE 750ML-BACK - Priority No 5- 
LABEL-WINE GR8 ORIGINS-ROSE 750ML-BODY - Priority No 7- 
LABEL-WINE GR8 ORIGINS-ROSE 750ML-BACK - Priority No 7- 
LABEL-WINE GR8 ORIGINS-CHENIN BLANC 750ML-BODY - Priority No 6- 
LABEL-WINE GR8 ORIGINS-CHENIN BLANC 750ML-BACK - Priority No 6- 
LABEL-WINE WESTERN CAPE HERITAGE-SAUVIG ROUGE-BODY - Priority No 8- 
LABEL-WINE WESTERN CAPE HERITAGE-SAUVIG ROUGE-BACK - Priority No 8- 
LABEL-WINE WESTERN CAPE HERITAGE-SAUVIG BLANC-BODY - Priority No 4- 
LABEL-WINE WESTERN CAPE HERITAGE-SAUVIG BLANC-BACK - Priority No 4- 
LABEL-WINE WESTERN CAPE HERITAGE-MERLOT ROUGE-BODY - Priority No 5-
LABEL-WINE WESTERN CAPE HERITAGE-MERLOT ROUGE-BACK - Priority No 5- 
LABEL-WINE WESTERN CAPE HERITAGE-ROSE 750ML-BODY - Priority No 7- 
LABEL-WINE WESTERN CAPE HERITAGE-ROSE 750ML-BACK - Priority No 7-
LABEL-WESTERN CAPE HERITAGE-CHENIN BLANC-BODY - Priority No 6-
LABEL-WESTERN CAPE HERITAGE-CHENIN BLANC-BACK - Priority No 6-
LABEL-WINE GR8 CAPE-SWEET RED 750ML-BODY - Priority No 3- 
LABEL-WINE GR8 CAPE-SWEET RED 750ML-BACK - Priority No 3- 
LABEL-WINE GR8 CAPE-SWEET WHITE 750ML-BODY - Priority No 2- 
LABEL-WINE GR8 CAPE-SWEET WHITE 750ML-BACK - Priority No 2-
LABEL-WINE GR8 CAPE-SWEET ROSE 750ML-BODY - Priority No 1- 
LABEL-WINE GR8 CAPE-SWEET ROSE 750ML-BACK - Priority No 1- </t>
  </si>
  <si>
    <t xml:space="preserve"> 5,500
 5,500
10,000
10,000
 5,000
5,000
5,000
5,000
4,000
4,000
2,500
2,500
7,500
7,500
 3,000
3,000
3,500
 3,500
 4,000
 4,000
16,500
16,500
16,500
 16,500
16,500
16,500</t>
  </si>
  <si>
    <t>LPO10018371</t>
  </si>
  <si>
    <t>IPR146148</t>
  </si>
  <si>
    <t>GLUE-CERNOCOL-CBLA30/CBLA01-XX-XX</t>
  </si>
  <si>
    <t>FPO12509</t>
  </si>
  <si>
    <t>IPR145953</t>
  </si>
  <si>
    <t>CAN-PHOENIX SPECIALE-50CL-EXPORT- 339,864
ENDS-ALUMINIUM-DIA 202-LARGE OPENING- 339,864</t>
  </si>
  <si>
    <t>FPO12511</t>
  </si>
  <si>
    <t>IPR145982</t>
  </si>
  <si>
    <t>CAPS- CRYSTAL-JAR NSPILL 18.9L- 399,000</t>
  </si>
  <si>
    <t>FPO12512</t>
  </si>
  <si>
    <t>IPR146730</t>
  </si>
  <si>
    <t>USINAS ITAMARATI S/A</t>
  </si>
  <si>
    <t>CF ATHENA 537W</t>
  </si>
  <si>
    <r>
      <rPr>
        <strike/>
        <sz val="14"/>
        <rFont val="Calibri"/>
        <family val="2"/>
        <scheme val="minor"/>
      </rPr>
      <t>03/08/2025</t>
    </r>
    <r>
      <rPr>
        <sz val="14"/>
        <rFont val="Calibri"/>
        <family val="2"/>
        <scheme val="minor"/>
      </rPr>
      <t xml:space="preserve">
21/08/2025</t>
    </r>
  </si>
  <si>
    <t xml:space="preserve">APL NEW YORK ONNLRE </t>
  </si>
  <si>
    <t>MAERSK - MRSU6145353</t>
  </si>
  <si>
    <t>LPO10018639</t>
  </si>
  <si>
    <t>IPR146492</t>
  </si>
  <si>
    <t>CRAZY PAPER CUP (MTIUS) LTD</t>
  </si>
  <si>
    <t>CUPS JARS 250ML
CUPS 350ML</t>
  </si>
  <si>
    <t>45,000
225,000</t>
  </si>
  <si>
    <t>LPO10018637</t>
  </si>
  <si>
    <t>IPR146494</t>
  </si>
  <si>
    <t>CUPS 350ML
350ML PAPER LIDS X50
500ML PAPER LIDS X50</t>
  </si>
  <si>
    <t>25,000
25,000
16,000</t>
  </si>
  <si>
    <t>AWT BL</t>
  </si>
  <si>
    <t xml:space="preserve">APL COLUMBUS </t>
  </si>
  <si>
    <t>CONTAINER NUMBER: CAAU7841410 (MSC)</t>
  </si>
  <si>
    <t>Container No. MSNU2033148</t>
  </si>
  <si>
    <t>LESS EXCESS AMOUNT PAID INV 6008239223 - 68,272.62</t>
  </si>
  <si>
    <t>Container TCNU6289350 ( CMA CGM)</t>
  </si>
  <si>
    <t>CMA CGM KAILAS</t>
  </si>
  <si>
    <t>FPO12513</t>
  </si>
  <si>
    <t>IPR146742</t>
  </si>
  <si>
    <t>RETAL IBERIA SLU</t>
  </si>
  <si>
    <t>PREFORM CLEAR EMPAK 1881-45.7G CLEAR 30% RPET- 72,960</t>
  </si>
  <si>
    <t>60 DAYS FORM INVOICE DATE</t>
  </si>
  <si>
    <t>LPO10018671</t>
  </si>
  <si>
    <t>IPR146748</t>
  </si>
  <si>
    <t>CLUSTER-MANAWA-EXPORT GENERIC PLAIN BLACK-4 BOTTLE</t>
  </si>
  <si>
    <t>LPO10018670</t>
  </si>
  <si>
    <t>IPR145764</t>
  </si>
  <si>
    <t>LABEL-PHOENIX REJUV-33CL-BACK
LABEL-PHOENIX REJUV-33CL-BODY
LABEL-PHOENIX REJUV-33CL-L/NECK
LABEL-BLUE MARLIN-65CL BACK
LABEL-BLUE MARLIN-50/65CL-BODY OVAL SHAPE ALU
LABEL-BLUE MARLIN-33/50/65CL- L/NECK
LABEL-BLUE MARLIN-33CL-BODY
LABEL-BLUE MARLIN-33CL BACK
LABEL-BLUE MARLIN-33CL-BACK EXPORT REUNION (ALU)
LABEL-PEARONA-65CL-BACK
LABEL-PEARONA-65CL-BODY
LABEL-PEARONA-33CL/65CL-LONG NECK
LABEL-PEARONA-33CL-BACK
LABEL-PEARONA-33CL-BODY</t>
  </si>
  <si>
    <t>6,000,000
6,000,000
6,000,000
600,000
600,000
1,400,000
600,000
400,000              
200,000
500,000
350,000
800,000
350,000
400,000</t>
  </si>
  <si>
    <r>
      <rPr>
        <strike/>
        <sz val="14"/>
        <rFont val="Calibri"/>
        <family val="2"/>
        <scheme val="minor"/>
      </rPr>
      <t>MSC KOTKA IP532R</t>
    </r>
    <r>
      <rPr>
        <sz val="14"/>
        <rFont val="Calibri"/>
        <family val="2"/>
        <scheme val="minor"/>
      </rPr>
      <t xml:space="preserve">
</t>
    </r>
    <r>
      <rPr>
        <strike/>
        <sz val="14"/>
        <rFont val="Calibri"/>
        <family val="2"/>
        <scheme val="minor"/>
      </rPr>
      <t>MSC LEIGH IP533R</t>
    </r>
    <r>
      <rPr>
        <sz val="14"/>
        <rFont val="Calibri"/>
        <family val="2"/>
        <scheme val="minor"/>
      </rPr>
      <t xml:space="preserve">
MSC SIMONA IP535R</t>
    </r>
  </si>
  <si>
    <r>
      <rPr>
        <strike/>
        <sz val="14"/>
        <rFont val="Calibri"/>
        <family val="2"/>
        <scheme val="minor"/>
      </rPr>
      <t>15/08/2025</t>
    </r>
    <r>
      <rPr>
        <sz val="14"/>
        <rFont val="Calibri"/>
        <family val="2"/>
        <scheme val="minor"/>
      </rPr>
      <t xml:space="preserve">
</t>
    </r>
    <r>
      <rPr>
        <strike/>
        <sz val="14"/>
        <rFont val="Calibri"/>
        <family val="2"/>
        <scheme val="minor"/>
      </rPr>
      <t>20/08/2025</t>
    </r>
    <r>
      <rPr>
        <sz val="14"/>
        <rFont val="Calibri"/>
        <family val="2"/>
        <scheme val="minor"/>
      </rPr>
      <t xml:space="preserve">
10/09/2025</t>
    </r>
  </si>
  <si>
    <r>
      <rPr>
        <strike/>
        <sz val="14"/>
        <rFont val="Calibri"/>
        <family val="2"/>
        <scheme val="minor"/>
      </rPr>
      <t>Houston Express 524E</t>
    </r>
    <r>
      <rPr>
        <sz val="14"/>
        <rFont val="Calibri"/>
        <family val="2"/>
        <scheme val="minor"/>
      </rPr>
      <t xml:space="preserve">
EF EMMA / 0PN4PS1MA</t>
    </r>
  </si>
  <si>
    <r>
      <rPr>
        <strike/>
        <sz val="14"/>
        <rFont val="Calibri"/>
        <family val="2"/>
        <scheme val="minor"/>
      </rPr>
      <t>08/09/2025</t>
    </r>
    <r>
      <rPr>
        <sz val="14"/>
        <rFont val="Calibri"/>
        <family val="2"/>
        <scheme val="minor"/>
      </rPr>
      <t xml:space="preserve">
11/09/2025</t>
    </r>
  </si>
  <si>
    <t>MSC SIMONA - IP535R</t>
  </si>
  <si>
    <r>
      <rPr>
        <strike/>
        <sz val="14"/>
        <rFont val="Calibri"/>
        <family val="2"/>
        <scheme val="minor"/>
      </rPr>
      <t>20/08/2025 TENTATIVE</t>
    </r>
    <r>
      <rPr>
        <sz val="14"/>
        <rFont val="Calibri"/>
        <family val="2"/>
        <scheme val="minor"/>
      </rPr>
      <t xml:space="preserve">
</t>
    </r>
    <r>
      <rPr>
        <strike/>
        <sz val="14"/>
        <rFont val="Calibri"/>
        <family val="2"/>
        <scheme val="minor"/>
      </rPr>
      <t>27/08/2025</t>
    </r>
    <r>
      <rPr>
        <sz val="14"/>
        <rFont val="Calibri"/>
        <family val="2"/>
        <scheme val="minor"/>
      </rPr>
      <t xml:space="preserve">
01/09/2025</t>
    </r>
  </si>
  <si>
    <t>Early delivery requested from supplier/To follow
Bill of Lading: MEDUO7905328</t>
  </si>
  <si>
    <r>
      <rPr>
        <strike/>
        <sz val="14"/>
        <rFont val="Calibri"/>
        <family val="2"/>
        <scheme val="minor"/>
      </rPr>
      <t>MSC MICHIGAN VII IP529R</t>
    </r>
    <r>
      <rPr>
        <sz val="14"/>
        <rFont val="Calibri"/>
        <family val="2"/>
        <scheme val="minor"/>
      </rPr>
      <t xml:space="preserve">
APL NEW YORK 0NNLRE</t>
    </r>
  </si>
  <si>
    <r>
      <rPr>
        <strike/>
        <sz val="14"/>
        <rFont val="Calibri"/>
        <family val="2"/>
        <scheme val="minor"/>
      </rPr>
      <t>26/07/2025</t>
    </r>
    <r>
      <rPr>
        <sz val="14"/>
        <rFont val="Calibri"/>
        <family val="2"/>
        <scheme val="minor"/>
      </rPr>
      <t xml:space="preserve">
01/08/2025</t>
    </r>
  </si>
  <si>
    <r>
      <rPr>
        <strike/>
        <sz val="14"/>
        <rFont val="Calibri"/>
        <family val="2"/>
        <scheme val="minor"/>
      </rPr>
      <t>21/08/2025</t>
    </r>
    <r>
      <rPr>
        <sz val="14"/>
        <rFont val="Calibri"/>
        <family val="2"/>
        <scheme val="minor"/>
      </rPr>
      <t xml:space="preserve">
24/08/2025</t>
    </r>
  </si>
  <si>
    <t xml:space="preserve">BBASE- DASANI WATER- WA64-80
</t>
  </si>
  <si>
    <t>BILL OF LADING: MEDUFI511397</t>
  </si>
  <si>
    <t xml:space="preserve">MSC DOMNA X ZF535A </t>
  </si>
  <si>
    <t>MSC SIMONA IP535R</t>
  </si>
  <si>
    <r>
      <rPr>
        <strike/>
        <sz val="14"/>
        <rFont val="Calibri"/>
        <family val="2"/>
        <scheme val="minor"/>
      </rPr>
      <t>18/08/2025</t>
    </r>
    <r>
      <rPr>
        <sz val="14"/>
        <rFont val="Calibri"/>
        <family val="2"/>
        <scheme val="minor"/>
      </rPr>
      <t xml:space="preserve">
</t>
    </r>
    <r>
      <rPr>
        <strike/>
        <sz val="14"/>
        <rFont val="Calibri"/>
        <family val="2"/>
        <scheme val="minor"/>
      </rPr>
      <t>29/08/2025</t>
    </r>
    <r>
      <rPr>
        <sz val="14"/>
        <rFont val="Calibri"/>
        <family val="2"/>
        <scheme val="minor"/>
      </rPr>
      <t xml:space="preserve">
21/08/2025</t>
    </r>
  </si>
  <si>
    <t xml:space="preserve">BILL OF LADING: MEDUFI511397
</t>
  </si>
  <si>
    <t>BL NO. MEDUXJ581487</t>
  </si>
  <si>
    <t xml:space="preserve"> BL NO . MEDULG557712 ( MSC)
Termites found in container - Insurance informed - QA confirmed that bottles can be released</t>
  </si>
  <si>
    <r>
      <t xml:space="preserve">MSC CATHERINE VI ZF534R
</t>
    </r>
    <r>
      <rPr>
        <b/>
        <sz val="11"/>
        <color theme="8"/>
        <rFont val="Calibri"/>
        <family val="2"/>
        <scheme val="minor"/>
      </rPr>
      <t xml:space="preserve">MSC Ishyka ON534R </t>
    </r>
  </si>
  <si>
    <t>MSC DOMNA X
ZF535R</t>
  </si>
  <si>
    <t>27/08/2025 &amp; 31/08/2025</t>
  </si>
  <si>
    <t xml:space="preserve">RFP ALREADY DONE , TO  HAVE MC APPROVAL </t>
  </si>
  <si>
    <t xml:space="preserve">SAME AS ABOVE </t>
  </si>
  <si>
    <r>
      <rPr>
        <strike/>
        <sz val="14"/>
        <rFont val="Calibri"/>
        <family val="2"/>
        <scheme val="minor"/>
      </rPr>
      <t>28/08/2025</t>
    </r>
    <r>
      <rPr>
        <sz val="14"/>
        <rFont val="Calibri"/>
        <family val="2"/>
        <scheme val="minor"/>
      </rPr>
      <t xml:space="preserve">
08.09.2025</t>
    </r>
  </si>
  <si>
    <t xml:space="preserve">MSMU5514328 </t>
  </si>
  <si>
    <r>
      <rPr>
        <b/>
        <strike/>
        <sz val="11"/>
        <rFont val="Calibri"/>
        <family val="2"/>
        <scheme val="minor"/>
      </rPr>
      <t>MSC CATHERINE VI ZF534R</t>
    </r>
    <r>
      <rPr>
        <b/>
        <sz val="11"/>
        <rFont val="Calibri"/>
        <family val="2"/>
        <scheme val="minor"/>
      </rPr>
      <t xml:space="preserve">
MSC Ishyka ON534R</t>
    </r>
  </si>
  <si>
    <t>LPO10018731</t>
  </si>
  <si>
    <t>IPR146644</t>
  </si>
  <si>
    <t>2,900,000
900,000
1,200,000
2,500,000
1,500,000
700,000
500,000
600,000
200,000
200,000
600,000
200,000
200,000
100,000
400,000</t>
  </si>
  <si>
    <t>LPO10018732</t>
  </si>
  <si>
    <t>IPR146651</t>
  </si>
  <si>
    <t>LABEL-COKE CLASSIC 2.0LT NL3
LABEL-COKE CLASSIC 1.5LT NL3
LABEL-COKE LESS SUGAR 1.0LT NL3
LABEL-COKE CLASSIC 0.5LT NL3
LABEL-SPRITE 2.0LT NL3
LABEL-SPRITE 1.5LT NL3
LABEL-SPRITE 1.0LT NL3
LABEL- FANTA ORANGE- 2.0LT NL3
LABEL- FANTA ORANGE- 1.5LT NL3
LABEL- FANTA ORANGE- 1.0LT NL3
LABEL- FANTA ORANGE- 0.5LT
LABEL- FANTA PASSION- 2.0LT NL3
LABEL- FANTA PASSION- 1.5LT NL3
LABEL- FANTA PASSION- 1.0LT NL3
LABEL- FANTA PASSION- 0.5LT NL3</t>
  </si>
  <si>
    <t>LABEL-COKE ZERO SUGAR 1.0LT NL3
LABEL-COKE ZERO SUGAR 0.5LT NL3
LABEL- ORANGINA REGULAR 1.5LT NL3
LABEL- ORANGINA REGULAR 0.5LT NL3
LABEL- ORANGINA ZERO 1.5LT NL3
LABEL- ESKI ALMOND 2.0LT NL3
LABEL- ESKI ALMOND 1.0LT NL3
LABEL- ESKI ALMOND 0.4LT NL3
LABEL- ESKI STRAWBERRY 2.0LT NL3
LABEL- ESKI STRAWBERRY 1.0LT NL3
LABEL- ESKI STRAWBERRY 0.4LT NL3
LABEL- ESKI VANILLA 2.0 LT NL3
LABEL- ESKI VANILLA 1.0 LT NL3
LABEL- ESKI VANILLA 0.4 LT NL3
LABEL- ESKI PORTELLO 2.0LT NL3
LABEL- ESKI PORTELLO 1.0LT NL3
LABEL- ESKI PORTELLO 0.4LT NL3</t>
  </si>
  <si>
    <t>500,000
500,000
300,000
300,000
100,000
200,000
100,000
200,000
150,000
100,000
100,000
200,000
100,000
100,000
100,000
50,000
50,000</t>
  </si>
  <si>
    <r>
      <rPr>
        <sz val="14"/>
        <color rgb="FF00B050"/>
        <rFont val="Calibri"/>
        <family val="2"/>
        <scheme val="minor"/>
      </rPr>
      <t>50% ADVANCE - USD9270.00 - 04.04.2025</t>
    </r>
    <r>
      <rPr>
        <sz val="14"/>
        <rFont val="Calibri"/>
        <family val="2"/>
        <scheme val="minor"/>
      </rPr>
      <t xml:space="preserve">
</t>
    </r>
    <r>
      <rPr>
        <sz val="14"/>
        <color rgb="FF00B050"/>
        <rFont val="Calibri"/>
        <family val="2"/>
        <scheme val="minor"/>
      </rPr>
      <t>50% 60 DAYS - USD 9270 30/07/2025</t>
    </r>
  </si>
  <si>
    <t>MSNU5675007</t>
  </si>
  <si>
    <t>FPO12527</t>
  </si>
  <si>
    <t>IPR146774</t>
  </si>
  <si>
    <t>RETAL FRANCE SARL</t>
  </si>
  <si>
    <t>PREFORM- CLEAR- 1881-22.5G CLEAR 30% RPET- 191,520
PREFORM- CLEAR- 1881-31.5G CLEAR 30% RPET- 130,032
PREFORM- CLEAR- 1881-41.4G CLEAR 30% RPET- 103,488</t>
  </si>
  <si>
    <t>30 DAYS FROM NVOICE DATE</t>
  </si>
  <si>
    <t>FPO12535</t>
  </si>
  <si>
    <t>IPR146781</t>
  </si>
  <si>
    <t>CROWN CORK-PHOENIX BEER-XX-(BPA-NI)- 1,056,000
CROWN CORK-PLAIN HEALTH MESSAGE-XX-(BPA-NI)- 2,640,000
CROWN CORK-PEARONA-XX-(BPA-NI)- 528,000
CROWN CORK-BLUE MARLIN-XX-(BPA-NI)- 528,000
CROWN CORK-SMIRNOFF ICE BLUE-XX-(GUARANA)- 330,000
CROWN CORK-GISTER PREMIUM BEER-XX-XX- 198,000</t>
  </si>
  <si>
    <r>
      <rPr>
        <strike/>
        <sz val="14"/>
        <rFont val="Calibri"/>
        <family val="2"/>
        <scheme val="minor"/>
      </rPr>
      <t>08/09/2025</t>
    </r>
    <r>
      <rPr>
        <sz val="14"/>
        <rFont val="Calibri"/>
        <family val="2"/>
        <scheme val="minor"/>
      </rPr>
      <t xml:space="preserve">
09/09/2025</t>
    </r>
  </si>
  <si>
    <t>BBASE- COKE-1600
BBASE- COKE NO SUGAR( KAIZEN)-200
BBASE- COKE NO SUGAR POSTMIX-32
BBASE- SPRITE-1120
BBASE- FANTA PASSION-128
BBASE- SCHWEPPE SODA-12
BBASE- CRYSTAL WATER- WA12-2160
BBASE- COKE EINSTEIN (30% LESS SUGAR)-160
CONC- FUZE TEA - PEACH-240
CONC- FUZE TEA - APPLE LEMONGRASS-60
CONC- FUZE TEA -MANGO CAMOMILE-240
SAP order No. 2000845787</t>
  </si>
  <si>
    <t>FPO12532</t>
  </si>
  <si>
    <t>IPR146783</t>
  </si>
  <si>
    <t>FPO12534</t>
  </si>
  <si>
    <t>IPR146908</t>
  </si>
  <si>
    <t>Grapetiser Red NBT 750ML- 538
Appletiser NBT 750ML- 500</t>
  </si>
  <si>
    <t>MSC ADELAIDE MA535A</t>
  </si>
  <si>
    <t>LPO10018856</t>
  </si>
  <si>
    <t>IPR145770</t>
  </si>
  <si>
    <t>LABEL-PHOENIX SPECIALE-65CL-BODY-700,000
LABEL-PHOENIX SPECIALE-65CL-NECK- 700,000
LABEL-PHOENIX SPECIALE-65CL-BACK- 700,000
LABEL-GUINNESS-65CL-NECK- 250,000
LABEL-GUINNESS-65CL-BACK- 150,000
LABEL-GUINNESS-65CL-BODY- 250,000
LABEL-GUINNESS-33CL-NECK- 200,000
LABEL-GUINNESS-33CL-BACK- 250,000
LABEL-GUINNESS-33CL-BODY- 150,000
LABEL-SMIRNOFF ICE BLUE-275ML-NECK (GUARANA)- 100,000
LABEL-SMIRNOFF ICE BLUE-275ML-BODY (GUARANA)- 100,000
LABEL-SMIRNOFF ICE BLUE-275ML-FOOT (GUARANA)- 100,000
LABEL-PHOENIX PANACHE PEACH-33CL-BODY- 100,000
LABEL-PHOENIX PANACHE PEACH-33CL-L/NECK- 100,000
LABEL-PHOENIX PANACHE PEACH-33CL-BACK- 50,000
LABEL-PHOENIX PANACHE RED FRUITS-33CL-BODY- 50,000
LABEL-PHOENIX PANACHE RED FRUITS-33CL-L/NECK- 50,000
LABEL-PHOENIX REJUV-33CL-BACK EXP(REUNION/FRANCE)- 300,000
LABEL-PHOENIX REJUV-33CL-BODY EXPORT- 400,000
LABEL-PHOENIX REJUV-33CL-L/NECK EXPORT- 400,000</t>
  </si>
  <si>
    <t>700,000
700,000
700,000
250,000
150,000
250,000
200,000
250,000
150,000
100,000
100,000
100,000
100,000
100,000
50,000
50,000
50,000
300,000
400,000
400,000</t>
  </si>
  <si>
    <t>LPO10016437</t>
  </si>
  <si>
    <t>IPR144263</t>
  </si>
  <si>
    <t>ARCHEMICS LTD</t>
  </si>
  <si>
    <t>GLUE-AQUENCE-GL330-XX</t>
  </si>
  <si>
    <t>Caractère Ltée</t>
  </si>
  <si>
    <t>MSNU3751896</t>
  </si>
  <si>
    <t>MSC ABIDJAN MA534A</t>
  </si>
  <si>
    <t xml:space="preserve">031CP0080652- 
Wrong seal has been manifested 
</t>
  </si>
  <si>
    <t>MSC HERMES KC536B</t>
  </si>
  <si>
    <r>
      <rPr>
        <strike/>
        <sz val="14"/>
        <rFont val="Calibri"/>
        <family val="2"/>
        <scheme val="minor"/>
      </rPr>
      <t>28/08/2025</t>
    </r>
    <r>
      <rPr>
        <sz val="14"/>
        <rFont val="Calibri"/>
        <family val="2"/>
        <scheme val="minor"/>
      </rPr>
      <t xml:space="preserve">
09/09/2025</t>
    </r>
  </si>
  <si>
    <r>
      <rPr>
        <strike/>
        <sz val="14"/>
        <rFont val="Calibri"/>
        <family val="2"/>
        <scheme val="minor"/>
      </rPr>
      <t>01/08/2025</t>
    </r>
    <r>
      <rPr>
        <sz val="14"/>
        <rFont val="Calibri"/>
        <family val="2"/>
        <scheme val="minor"/>
      </rPr>
      <t xml:space="preserve">
</t>
    </r>
    <r>
      <rPr>
        <strike/>
        <sz val="14"/>
        <rFont val="Calibri"/>
        <family val="2"/>
        <scheme val="minor"/>
      </rPr>
      <t xml:space="preserve">17/08/2025
</t>
    </r>
    <r>
      <rPr>
        <sz val="14"/>
        <rFont val="Calibri"/>
        <family val="2"/>
        <scheme val="minor"/>
      </rPr>
      <t>23/08/2025</t>
    </r>
  </si>
  <si>
    <r>
      <rPr>
        <strike/>
        <sz val="14"/>
        <rFont val="Calibri"/>
        <family val="2"/>
        <scheme val="minor"/>
      </rPr>
      <t xml:space="preserve">26/08/2025
02/09/2025
</t>
    </r>
    <r>
      <rPr>
        <sz val="14"/>
        <rFont val="Calibri"/>
        <family val="2"/>
        <scheme val="minor"/>
      </rPr>
      <t>09/09/2025</t>
    </r>
  </si>
  <si>
    <t xml:space="preserve">PIP done
Bill of Lading: MEDUO7975628
</t>
  </si>
  <si>
    <r>
      <rPr>
        <strike/>
        <sz val="14"/>
        <rFont val="Calibri"/>
        <family val="2"/>
        <scheme val="minor"/>
      </rPr>
      <t xml:space="preserve">MSC APOLLO </t>
    </r>
    <r>
      <rPr>
        <sz val="14"/>
        <rFont val="Calibri"/>
        <family val="2"/>
        <scheme val="minor"/>
      </rPr>
      <t xml:space="preserve">
MSC LEIGH IP533R</t>
    </r>
  </si>
  <si>
    <t xml:space="preserve">PIP done
Bill of lading: MEDUW6072252
</t>
  </si>
  <si>
    <t>MSC CAMEROON</t>
  </si>
  <si>
    <t>MSC GINA V</t>
  </si>
  <si>
    <t xml:space="preserve">BL NO. EBKG13992883 / MEDUXJ800960  </t>
  </si>
  <si>
    <t xml:space="preserve">BL NO. EBKG13992883 / MEDUXJ800960  </t>
  </si>
  <si>
    <t>LPO10018945</t>
  </si>
  <si>
    <t>IPR146960</t>
  </si>
  <si>
    <t>B.C.D (Platics Industry) Ltd</t>
  </si>
  <si>
    <t>PFILM SHRINK</t>
  </si>
  <si>
    <t>LPO10018946</t>
  </si>
  <si>
    <t>IPR147122</t>
  </si>
  <si>
    <t>LABEL MANAWA TRIPLE MALT LOCAL SELF ADHESIVE TYPE</t>
  </si>
  <si>
    <t>LPO10018903</t>
  </si>
  <si>
    <t>LABEL MANAWA PALE ALE LOCAL SELF ADHESIVE TYPE</t>
  </si>
  <si>
    <t>IPR147124</t>
  </si>
  <si>
    <r>
      <rPr>
        <strike/>
        <sz val="14"/>
        <rFont val="Calibri"/>
        <family val="2"/>
        <scheme val="minor"/>
      </rPr>
      <t>MSC VILDA X</t>
    </r>
    <r>
      <rPr>
        <sz val="14"/>
        <rFont val="Calibri"/>
        <family val="2"/>
        <scheme val="minor"/>
      </rPr>
      <t xml:space="preserve">
MSC AJACCIO</t>
    </r>
  </si>
  <si>
    <r>
      <rPr>
        <strike/>
        <sz val="14"/>
        <rFont val="Calibri"/>
        <family val="2"/>
        <scheme val="minor"/>
      </rPr>
      <t xml:space="preserve">MV MSC ADELAIDE </t>
    </r>
    <r>
      <rPr>
        <sz val="14"/>
        <rFont val="Calibri"/>
        <family val="2"/>
        <scheme val="minor"/>
      </rPr>
      <t xml:space="preserve">
APL SAVANNAH 0NNM3E</t>
    </r>
  </si>
  <si>
    <r>
      <rPr>
        <strike/>
        <sz val="14"/>
        <rFont val="Calibri"/>
        <family val="2"/>
        <scheme val="minor"/>
      </rPr>
      <t>14/08/2025</t>
    </r>
    <r>
      <rPr>
        <sz val="14"/>
        <rFont val="Calibri"/>
        <family val="2"/>
        <scheme val="minor"/>
      </rPr>
      <t xml:space="preserve">
</t>
    </r>
    <r>
      <rPr>
        <strike/>
        <sz val="14"/>
        <rFont val="Calibri"/>
        <family val="2"/>
        <scheme val="minor"/>
      </rPr>
      <t>27/08/2025</t>
    </r>
    <r>
      <rPr>
        <sz val="14"/>
        <rFont val="Calibri"/>
        <family val="2"/>
        <scheme val="minor"/>
      </rPr>
      <t xml:space="preserve">
14/09/2025</t>
    </r>
  </si>
  <si>
    <r>
      <t>MSC CATHERINE/529A
MSC KERRY VII v. ZF532A</t>
    </r>
    <r>
      <rPr>
        <sz val="14"/>
        <rFont val="Calibri"/>
        <family val="2"/>
        <scheme val="minor"/>
      </rPr>
      <t xml:space="preserve">
</t>
    </r>
    <r>
      <rPr>
        <strike/>
        <sz val="14"/>
        <rFont val="Calibri"/>
        <family val="2"/>
        <scheme val="minor"/>
      </rPr>
      <t xml:space="preserve">MSC GUERNSEY V 
</t>
    </r>
    <r>
      <rPr>
        <sz val="14"/>
        <rFont val="Calibri"/>
        <family val="2"/>
        <scheme val="minor"/>
      </rPr>
      <t>MSC casablanca</t>
    </r>
  </si>
  <si>
    <t>mrsu5510174</t>
  </si>
  <si>
    <t>APL VANCOUVER ONNLXE</t>
  </si>
  <si>
    <t>CF Athena / 537W</t>
  </si>
  <si>
    <t xml:space="preserve">MSNU3181880 </t>
  </si>
  <si>
    <r>
      <t xml:space="preserve">10/09/2025
</t>
    </r>
    <r>
      <rPr>
        <sz val="14"/>
        <color rgb="FFFF0000"/>
        <rFont val="Calibri"/>
        <family val="2"/>
        <scheme val="minor"/>
      </rPr>
      <t>18/09/2025</t>
    </r>
  </si>
  <si>
    <r>
      <t>2nd lot 
Monster Original 500ML CAN</t>
    </r>
    <r>
      <rPr>
        <sz val="14"/>
        <color theme="1"/>
        <rFont val="Calibri"/>
        <family val="2"/>
        <scheme val="minor"/>
      </rPr>
      <t>S-31840</t>
    </r>
    <r>
      <rPr>
        <sz val="14"/>
        <rFont val="Calibri"/>
        <family val="2"/>
        <scheme val="minor"/>
      </rPr>
      <t xml:space="preserve">
</t>
    </r>
  </si>
  <si>
    <t>MSC ISHYKA ON534R</t>
  </si>
  <si>
    <r>
      <rPr>
        <strike/>
        <sz val="14"/>
        <rFont val="Calibri"/>
        <family val="2"/>
        <scheme val="minor"/>
      </rPr>
      <t>10/09/2025</t>
    </r>
    <r>
      <rPr>
        <sz val="14"/>
        <rFont val="Calibri"/>
        <family val="2"/>
        <scheme val="minor"/>
      </rPr>
      <t xml:space="preserve">
18/09/2025</t>
    </r>
  </si>
  <si>
    <r>
      <t xml:space="preserve">10/09/2025
</t>
    </r>
    <r>
      <rPr>
        <sz val="14"/>
        <color rgb="FFFF0000"/>
        <rFont val="Calibri"/>
        <family val="2"/>
        <scheme val="minor"/>
      </rPr>
      <t>19/09/2025</t>
    </r>
  </si>
  <si>
    <t xml:space="preserve">Initial RRD: 12/06/2025
Demand planning requested to  postpone to Aug 25 (end of July).
Bill of Lading: MEDURM967143
</t>
  </si>
  <si>
    <t>B.D.C (PLASTIC INDUSTRY) LTD</t>
  </si>
  <si>
    <t>Chem-Plus Ltd</t>
  </si>
  <si>
    <t>ESKI- ACESULFAME
SODIUM BENZOATE-XX-XX-FOOD GRADE
ESKI- CITRIC ACID ANHYDROUS
ESKI- ASPARTAME</t>
  </si>
  <si>
    <t>BLUE CRATES MS 1 PRINT PBL X 24</t>
  </si>
  <si>
    <t>MAERSK- MRKU6909612</t>
  </si>
  <si>
    <r>
      <t xml:space="preserve">
</t>
    </r>
    <r>
      <rPr>
        <strike/>
        <sz val="14"/>
        <rFont val="Calibri"/>
        <family val="2"/>
        <scheme val="minor"/>
      </rPr>
      <t>CONTI CHIVALRY MA530A</t>
    </r>
    <r>
      <rPr>
        <sz val="14"/>
        <rFont val="Calibri"/>
        <family val="2"/>
        <scheme val="minor"/>
      </rPr>
      <t xml:space="preserve">
MSC LEIGH IP533R</t>
    </r>
  </si>
  <si>
    <t>SJ/MK</t>
  </si>
  <si>
    <t>FPO12543</t>
  </si>
  <si>
    <t>IPR147096</t>
  </si>
  <si>
    <t>SHANGHAI ELTETE PACKAGING TECHNOLOGY CO</t>
  </si>
  <si>
    <t>BAG DUNNAGE-PAPER-1000X1200MM-1 PLY- 100</t>
  </si>
  <si>
    <t>PICKED UP 12/09</t>
  </si>
  <si>
    <t>15.09.2025</t>
  </si>
  <si>
    <r>
      <rPr>
        <b/>
        <u/>
        <sz val="14"/>
        <rFont val="Calibri"/>
        <family val="2"/>
        <scheme val="minor"/>
      </rPr>
      <t xml:space="preserve">CROSS TRADE ORDER - MADGASCAR
</t>
    </r>
    <r>
      <rPr>
        <sz val="14"/>
        <rFont val="Calibri"/>
        <family val="2"/>
        <scheme val="minor"/>
      </rPr>
      <t>27/05/2024 : FPO sent to supplier 
04/04/205- Awt updates on shelf life + shipping details 
25/06/2024 : Acknowedge good receipt and 
15/10/2024 : await</t>
    </r>
    <r>
      <rPr>
        <sz val="14"/>
        <color theme="1"/>
        <rFont val="Calibri"/>
        <family val="2"/>
        <scheme val="minor"/>
      </rPr>
      <t xml:space="preserve">ing for the PFI  - legal issue between Monster and KO/ continuous follow up 
27/12/2024:  other negociation ongoing/ to export monster cans via PBL  - working on related cost ( Mail send to cynthia 09.12.2024 ) 
24/02/2025- To see with Sailesh status 
18/03/2025- Awt below information from Export department to send to CCBSA  : 
1.	A full-year forecast and confirmation that no unique SKUs are required for Madagascar.
2.	Any country-specific requirements regarding documentation, inspections, or certifications.
3.	Preferred container size: 20FT or 40FT.
4.	 Delivery address
</t>
    </r>
    <r>
      <rPr>
        <sz val="14"/>
        <color rgb="FFFF0000"/>
        <rFont val="Calibri"/>
        <family val="2"/>
        <scheme val="minor"/>
      </rPr>
      <t>MSNU2840746</t>
    </r>
    <r>
      <rPr>
        <sz val="14"/>
        <color theme="1"/>
        <rFont val="Calibri"/>
        <family val="2"/>
        <scheme val="minor"/>
      </rPr>
      <t xml:space="preserve">
</t>
    </r>
  </si>
  <si>
    <t xml:space="preserve">msmu6502574
somatrans warehouse team informed that - 01 PLT HAVING ITS BASE SKID BROKEN, upon receipt @ pbl store , we will be notified of any damage to cargo 
</t>
  </si>
  <si>
    <t>maersk bl 25834609</t>
  </si>
  <si>
    <r>
      <rPr>
        <strike/>
        <sz val="14"/>
        <rFont val="Calibri"/>
        <family val="2"/>
        <scheme val="minor"/>
      </rPr>
      <t>16/08/2025</t>
    </r>
    <r>
      <rPr>
        <sz val="14"/>
        <rFont val="Calibri"/>
        <family val="2"/>
        <scheme val="minor"/>
      </rPr>
      <t xml:space="preserve">
</t>
    </r>
    <r>
      <rPr>
        <strike/>
        <sz val="14"/>
        <rFont val="Calibri"/>
        <family val="2"/>
        <scheme val="minor"/>
      </rPr>
      <t xml:space="preserve">01.09.2025
</t>
    </r>
    <r>
      <rPr>
        <sz val="14"/>
        <rFont val="Calibri"/>
        <family val="2"/>
        <scheme val="minor"/>
      </rPr>
      <t>11/09/2025</t>
    </r>
  </si>
  <si>
    <t>MSMU8723147</t>
  </si>
  <si>
    <t>Bl no. MEDUFJ559543</t>
  </si>
  <si>
    <t>END OF OCT</t>
  </si>
  <si>
    <t>FPO12545</t>
  </si>
  <si>
    <t>IPR147192</t>
  </si>
  <si>
    <t>FPO12546</t>
  </si>
  <si>
    <t>IPR147222</t>
  </si>
  <si>
    <t>CONC PEARONA BASE-18,000LT</t>
  </si>
  <si>
    <t>FPO12547</t>
  </si>
  <si>
    <t>IPR147224</t>
  </si>
  <si>
    <t>CONC MGFC- 5,000LT
CONC GUINNESS- 8,000LT</t>
  </si>
  <si>
    <t>Transshipment 11/09/2025- To follow BL
Bill of Lading: MEDU2994739</t>
  </si>
  <si>
    <t>PIP done
Booking Ref: EBKG13338955</t>
  </si>
  <si>
    <t>PIP done
Bill of Lading  :MEDUO9022122</t>
  </si>
  <si>
    <r>
      <rPr>
        <strike/>
        <sz val="14"/>
        <rFont val="Calibri"/>
        <family val="2"/>
        <scheme val="minor"/>
      </rPr>
      <t>MSC VILDA</t>
    </r>
    <r>
      <rPr>
        <sz val="14"/>
        <rFont val="Calibri"/>
        <family val="2"/>
        <scheme val="minor"/>
      </rPr>
      <t xml:space="preserve">
MSC CAMEROON IP536R</t>
    </r>
  </si>
  <si>
    <r>
      <rPr>
        <strike/>
        <sz val="14"/>
        <rFont val="Calibri"/>
        <family val="2"/>
        <scheme val="minor"/>
      </rPr>
      <t>11/09/2025</t>
    </r>
    <r>
      <rPr>
        <sz val="14"/>
        <rFont val="Calibri"/>
        <family val="2"/>
        <scheme val="minor"/>
      </rPr>
      <t xml:space="preserve">
21/09/2025</t>
    </r>
  </si>
  <si>
    <t>BL NO. MEDUXJ745629</t>
  </si>
  <si>
    <t xml:space="preserve">BOOKING NUMBER: EBKG13850212 </t>
  </si>
  <si>
    <r>
      <rPr>
        <strike/>
        <sz val="14"/>
        <rFont val="Calibri"/>
        <family val="2"/>
        <scheme val="minor"/>
      </rPr>
      <t>02.09.2025</t>
    </r>
    <r>
      <rPr>
        <sz val="14"/>
        <rFont val="Calibri"/>
        <family val="2"/>
        <scheme val="minor"/>
      </rPr>
      <t xml:space="preserve">
</t>
    </r>
    <r>
      <rPr>
        <strike/>
        <sz val="14"/>
        <rFont val="Calibri"/>
        <family val="2"/>
        <scheme val="minor"/>
      </rPr>
      <t>08.09.2025</t>
    </r>
    <r>
      <rPr>
        <sz val="14"/>
        <rFont val="Calibri"/>
        <family val="2"/>
        <scheme val="minor"/>
      </rPr>
      <t xml:space="preserve">
13.09.2025</t>
    </r>
  </si>
  <si>
    <r>
      <t xml:space="preserve">BILL OF LADING: MEDUFI511397
</t>
    </r>
    <r>
      <rPr>
        <strike/>
        <sz val="14"/>
        <rFont val="Calibri"/>
        <family val="2"/>
        <scheme val="minor"/>
      </rPr>
      <t xml:space="preserve">Dasani water was sent in this shipment as per Conco to confirm upon cargo receipt before processing with debit note payment-To follow
Dasani water received.
</t>
    </r>
  </si>
  <si>
    <t xml:space="preserve">PIP done
BILL OF LADING: MEDUFI548928
</t>
  </si>
  <si>
    <t>Vessel delayed with New ETD-ETA
BL: MEDUF8912604</t>
  </si>
  <si>
    <r>
      <rPr>
        <strike/>
        <sz val="14"/>
        <rFont val="Calibri"/>
        <family val="2"/>
        <scheme val="minor"/>
      </rPr>
      <t>25/08/2025</t>
    </r>
    <r>
      <rPr>
        <sz val="14"/>
        <rFont val="Calibri"/>
        <family val="2"/>
        <scheme val="minor"/>
      </rPr>
      <t xml:space="preserve">
23/09/2025</t>
    </r>
  </si>
  <si>
    <t>FLAVOUR EMULSION LEMON CLOUD-500kg Seafreight</t>
  </si>
  <si>
    <r>
      <t xml:space="preserve">DM requested new RRD  from 01.07 to 01.08
Shipco Transport BL tracking No. 26552824
Vessel transhipped and is actually in Dubai 30/07/2025
</t>
    </r>
    <r>
      <rPr>
        <b/>
        <sz val="14"/>
        <rFont val="Calibri"/>
        <family val="2"/>
        <scheme val="minor"/>
      </rPr>
      <t>Mail sent to supplier as vessel is going to Tanger Morocco and not reaching us. (as per vessel location, eta port louis reads 19.09.2025</t>
    </r>
    <r>
      <rPr>
        <sz val="14"/>
        <rFont val="Calibri"/>
        <family val="2"/>
        <scheme val="minor"/>
      </rPr>
      <t xml:space="preserve">
</t>
    </r>
  </si>
  <si>
    <r>
      <rPr>
        <sz val="14"/>
        <color rgb="FFFF0000"/>
        <rFont val="Calibri"/>
        <family val="2"/>
        <scheme val="minor"/>
      </rPr>
      <t xml:space="preserve">
</t>
    </r>
    <r>
      <rPr>
        <sz val="14"/>
        <rFont val="Calibri"/>
        <family val="2"/>
        <scheme val="minor"/>
      </rPr>
      <t xml:space="preserve">14/01/2025 : the loading ramp repaired and ready for operation. Supplier are waiting for JAFZA's clearance and  expected  to receive JAFZA clearance within the next two weeks / start the shipment in the first week of December 2024. </t>
    </r>
    <r>
      <rPr>
        <b/>
        <sz val="14"/>
        <rFont val="Calibri"/>
        <family val="2"/>
        <scheme val="minor"/>
      </rPr>
      <t>The delay in getting the clearance certificate from JAFZA is due to the court case due to injury to one of our employee and subsequent insurance claim.
20/01/2025 : Plain bottles are already produced but ACL printing is pending. to revert back with a solution by 21st  January . No issue with JAFZA till now</t>
    </r>
    <r>
      <rPr>
        <sz val="14"/>
        <rFont val="Calibri"/>
        <family val="2"/>
        <scheme val="minor"/>
      </rPr>
      <t xml:space="preserve">
27/01/25 : SJ - Take over - mail send to supplier regarding issue 
18/02/2025:  E - Meeting with supplier - No del since Sept 2024 &amp; No Prod,  Accidental issues in court - awaiting final clearence from court, since then all opp are freezed.Order will not be available for Q1 2025. Once Opp resumend they will be shipping 300 ml bottle first 
20/05/2025 - CLEARANCE OBTAINED - ONLY 17 CONTAINER AVAILABLE  - 1ST SHIPMENT : 9 CONTAINER &amp; 2ND SHIPMENT 8 CONTAINER 
</t>
    </r>
    <r>
      <rPr>
        <sz val="14"/>
        <color rgb="FFFF0000"/>
        <rFont val="Calibri"/>
        <family val="2"/>
        <scheme val="minor"/>
      </rPr>
      <t>18.09.2025 - DM requested to postpone for next year</t>
    </r>
  </si>
  <si>
    <r>
      <t xml:space="preserve">
14/01/2025 : the loading ramp repaired and ready for operation. Supplier are waiting for JAFZA's clearance and  expected  to receive JAFZA clearance within the next two weeks / start the shipment in the first week of December 2024. The delay in getting the clearance certificate from JAFZA is due to the court case due to injury to one of our employee and subsequent insurance claim.
20/01/2025 : Plain bottles are already produced but ACL printing is pending. to revert back with a solution by 21st  January . No issue with JAFZA till now
27/01/25 : SJ - Take over -  mail send to supplier regarding issue 
18/02/2025:  E - Meeting with supplier - No del since Sept 2024 &amp; No Prod,  Accidental issues in court - awaiting final clearence from court, since then all opp are freezed.Order will not be available for Q1 2025. Once Opp resumend they will be shipping 300 ml bottle first 
</t>
    </r>
    <r>
      <rPr>
        <sz val="16"/>
        <rFont val="Calibri"/>
        <family val="2"/>
        <scheme val="minor"/>
      </rPr>
      <t>20/05/2025 - obtained cleareance - contamination of bottles - awaiting reports - WHOLE BATCH CONTAMINATED</t>
    </r>
    <r>
      <rPr>
        <sz val="16"/>
        <color rgb="FFFF0000"/>
        <rFont val="Calibri"/>
        <family val="2"/>
        <scheme val="minor"/>
      </rPr>
      <t xml:space="preserve"> </t>
    </r>
    <r>
      <rPr>
        <sz val="14"/>
        <rFont val="Calibri"/>
        <family val="2"/>
        <scheme val="minor"/>
      </rPr>
      <t xml:space="preserve">
</t>
    </r>
    <r>
      <rPr>
        <sz val="14"/>
        <color rgb="FFFF0000"/>
        <rFont val="Calibri"/>
        <family val="2"/>
        <scheme val="minor"/>
      </rPr>
      <t>18.09.2025 - Awaiting DP if PO will be cancelled or not</t>
    </r>
  </si>
  <si>
    <r>
      <t xml:space="preserve">
14/01/2025 : PFI received / to follow up on production 
20/01/2025 : Plain bottles are already produced but ACL printing is pending. to revert back with a solution by 21st  January . No issue with JAFZA till now
18/02/2025:  E - Meeting with supplier - No del since Sept 2024 &amp; No Prod,  Accidental issues in court - awaiting final clearence from court, since then all opp are freezed.Order will not be available for Q1 2025. Once Opp resumend they will be shipping 300 ml bottle first 
20/05/2025 - obtained cleareance - contamination of bottles - awaiting reports - WHOLE BATCH CONTAMINATED
</t>
    </r>
    <r>
      <rPr>
        <sz val="14"/>
        <color rgb="FFFF0000"/>
        <rFont val="Calibri"/>
        <family val="2"/>
        <scheme val="minor"/>
      </rPr>
      <t xml:space="preserve">18.09.2025 - DM requested to postpone for next year </t>
    </r>
  </si>
  <si>
    <r>
      <rPr>
        <strike/>
        <sz val="14"/>
        <rFont val="Calibri"/>
        <family val="2"/>
        <scheme val="minor"/>
      </rPr>
      <t xml:space="preserve">MSC SIMONA IP535R 
</t>
    </r>
    <r>
      <rPr>
        <sz val="14"/>
        <rFont val="Calibri"/>
        <family val="2"/>
        <scheme val="minor"/>
      </rPr>
      <t>MSC CAMEROON, IP536R</t>
    </r>
  </si>
  <si>
    <t>CF ATHENA 537W TBC</t>
  </si>
  <si>
    <r>
      <t xml:space="preserve">07/09/2025
</t>
    </r>
    <r>
      <rPr>
        <sz val="14"/>
        <rFont val="Calibri"/>
        <family val="2"/>
        <scheme val="minor"/>
      </rPr>
      <t>12/09/2025</t>
    </r>
  </si>
  <si>
    <t>MSC MAEVA IP531R</t>
  </si>
  <si>
    <t>MSCU5373261</t>
  </si>
  <si>
    <t>MSC HEIDI 
MSC ROMA MA528A</t>
  </si>
  <si>
    <t>MSNU2998726</t>
  </si>
  <si>
    <t>MSNU3313272  </t>
  </si>
  <si>
    <r>
      <t xml:space="preserve">CMA CGM GULF EXPRE / 538W
</t>
    </r>
    <r>
      <rPr>
        <sz val="14"/>
        <rFont val="Calibri"/>
        <family val="2"/>
        <scheme val="minor"/>
      </rPr>
      <t>MAERSK VALLVIK / 539W</t>
    </r>
  </si>
  <si>
    <r>
      <t xml:space="preserve">21/09/2025
</t>
    </r>
    <r>
      <rPr>
        <sz val="14"/>
        <rFont val="Calibri"/>
        <family val="2"/>
        <scheme val="minor"/>
      </rPr>
      <t>07/10/2025</t>
    </r>
  </si>
  <si>
    <r>
      <t xml:space="preserve">11.10.2025
</t>
    </r>
    <r>
      <rPr>
        <sz val="14"/>
        <rFont val="Calibri"/>
        <family val="2"/>
        <scheme val="minor"/>
      </rPr>
      <t>21/10/2025</t>
    </r>
  </si>
  <si>
    <t>CORU2433331</t>
  </si>
  <si>
    <t>MEDU5753273</t>
  </si>
  <si>
    <t>APL SAVANNAH 0NNM3E</t>
  </si>
  <si>
    <t>GLDU5159315</t>
  </si>
  <si>
    <t>Malt Lot 9- 347,700Kgs</t>
  </si>
  <si>
    <t>MALT LOT 8-303,660Kgs</t>
  </si>
  <si>
    <r>
      <rPr>
        <b/>
        <sz val="14"/>
        <rFont val="Calibri"/>
        <family val="2"/>
        <scheme val="minor"/>
      </rPr>
      <t>LOT 365 B</t>
    </r>
    <r>
      <rPr>
        <sz val="14"/>
        <rFont val="Calibri"/>
        <family val="2"/>
        <scheme val="minor"/>
      </rPr>
      <t xml:space="preserve">
CAN-GUINNESS-33CL-XX - HG - 133,038
CAN-BLUE MARLIN-33CL-XX - DG -  1,372,392 
CAN-MALTA GUINNESS-33CL-XX - HG - 273,078
CAN-SMIRNOFF ICE RED-33CL-XX - HG - 539,154
CAN-SMIRNOFF ICE BLUE-33CL- (GUARANA) - HG - 266,076
ENDS-ALUMINIUM-DIA 202-LARGE OPENING - DG - 1,372,392
ENDS-ALUMINIUM-DIA 202-LARGE OPENING - HG - 1,211,346
</t>
    </r>
    <r>
      <rPr>
        <b/>
        <sz val="14"/>
        <rFont val="Calibri"/>
        <family val="2"/>
        <scheme val="minor"/>
      </rPr>
      <t>48X20 FT</t>
    </r>
  </si>
  <si>
    <t>FPO12553</t>
  </si>
  <si>
    <t>IPR147127</t>
  </si>
  <si>
    <t>FPO12554</t>
  </si>
  <si>
    <t>IPR147130</t>
  </si>
  <si>
    <t>FPO12555</t>
  </si>
  <si>
    <t>IPR147131</t>
  </si>
  <si>
    <t>FPO12556</t>
  </si>
  <si>
    <t>IPR147139</t>
  </si>
  <si>
    <t>COCA-COLA SWAZILAND</t>
  </si>
  <si>
    <t>FPO12557</t>
  </si>
  <si>
    <t>IPR147195</t>
  </si>
  <si>
    <t>LPO10019113</t>
  </si>
  <si>
    <t>IPR147279</t>
  </si>
  <si>
    <t>ESKI- ASPARTAME
ESKI- ACESULFAME
SODIUM BENZOATE-XX-XX-FOOD GRADE
ESKI- CITRIC ACID ANHYDROUS</t>
  </si>
  <si>
    <t xml:space="preserve">25
25
75
500 </t>
  </si>
  <si>
    <t>LPO10019112</t>
  </si>
  <si>
    <t>TRISODIUM CITRATE-XX-XX-FOOD GRADE
CITRIC ACID-XX-XX-FOOD GRADE MONOHYDRATE
CALCIUM CHLORIDE-XX-XX-FOOD GRADE
CALCIUM SULPHATE-XX-XX-FOOD GRADE
SODIUM BENZOATE-XX-XX-FOOD GRADE
SUGAR GLUCOSE-XX-XX-DEXTROSE MONOHYDRATE</t>
  </si>
  <si>
    <t>1,100
4,500
1,600
175
150
1,200</t>
  </si>
  <si>
    <t>LPO10018904</t>
  </si>
  <si>
    <t>IPR147197</t>
  </si>
  <si>
    <t>INTERNATIONAL DISTILLERS</t>
  </si>
  <si>
    <t>IPR147123</t>
  </si>
  <si>
    <t>LPO10018930</t>
  </si>
  <si>
    <t>IPR146959</t>
  </si>
  <si>
    <t>ESKI- ASPARTAME
ESKI- ACESULFAME
SODIUM BENZOATE-XX-XX-FOOD GRADE
ESKI- CITRIC ACID ANHYDROUS
ESKI- CARMOISINE GRANULA(RED COLOUR)</t>
  </si>
  <si>
    <t>50
50
125
500
20</t>
  </si>
  <si>
    <t>2ND LOT : 
1000ml Refillable Coca Cola Bottle contour 800g with ACL
8x40 FCL - QTY 170,352</t>
  </si>
  <si>
    <t xml:space="preserve">COKE RGB BOTTLES 33CL - 758,100 units </t>
  </si>
  <si>
    <t xml:space="preserve">1000 ML COKE RGB BOTTLES - 9 Containers - 191,610 units </t>
  </si>
  <si>
    <r>
      <t xml:space="preserve">33CL Pint Green Plain Bottle with 'PBL' embossment
</t>
    </r>
    <r>
      <rPr>
        <b/>
        <sz val="14"/>
        <rFont val="Calibri"/>
        <family val="2"/>
        <scheme val="minor"/>
      </rPr>
      <t xml:space="preserve">2 x 40' FCL - </t>
    </r>
    <r>
      <rPr>
        <sz val="14"/>
        <rFont val="Calibri"/>
        <family val="2"/>
        <scheme val="minor"/>
      </rPr>
      <t xml:space="preserve"> 133,056</t>
    </r>
  </si>
  <si>
    <r>
      <t xml:space="preserve">OP RACKS FOR JARS - 1,540
</t>
    </r>
    <r>
      <rPr>
        <b/>
        <sz val="14"/>
        <rFont val="Calibri"/>
        <family val="2"/>
        <scheme val="minor"/>
      </rPr>
      <t>2nd  Shipment</t>
    </r>
  </si>
  <si>
    <r>
      <t xml:space="preserve">OP RACKS FOR JARS - 1,540
</t>
    </r>
    <r>
      <rPr>
        <b/>
        <sz val="14"/>
        <rFont val="Calibri"/>
        <family val="2"/>
        <scheme val="minor"/>
      </rPr>
      <t>4th Shipment</t>
    </r>
  </si>
  <si>
    <r>
      <t xml:space="preserve">OP RACKS FOR JARS 1,540
</t>
    </r>
    <r>
      <rPr>
        <b/>
        <sz val="14"/>
        <rFont val="Calibri"/>
        <family val="2"/>
        <scheme val="minor"/>
      </rPr>
      <t>1st Shipment</t>
    </r>
    <r>
      <rPr>
        <sz val="14"/>
        <rFont val="Calibri"/>
        <family val="2"/>
        <scheme val="minor"/>
      </rPr>
      <t xml:space="preserve"> </t>
    </r>
  </si>
  <si>
    <t>CROWN CORK-PHOENIX BEER-XX-(BPA-NI) - 940,000
CROWN CORK-PLAIN HEALTH MESSAGE-XX-(BPA-NI) - 3,050,000
CROWN- CORK- COKE RED MTIUS - 1,000,000
CROWN- CORK- SPRITE - 420,000
CROWN- CORK- FANTA ORANGE - 320,000
CROWN- CORK- FANTA PASSION - 100,000
CROWN- CORK- SCHWEPPES G ALE - 100,000
CROWN- CORK ESKI VANILLA - 100,000
CROWN- CORK ESKI ALMOND - 100,000
CROWN- CORK ESKI STRAWBERRY - 120,000</t>
  </si>
  <si>
    <r>
      <t xml:space="preserve">18.9 Lt Polycarbonated Jars with Handle - 42,000
</t>
    </r>
    <r>
      <rPr>
        <b/>
        <sz val="14"/>
        <rFont val="Calibri"/>
        <family val="2"/>
        <scheme val="minor"/>
      </rPr>
      <t>1st Shipment - 20x40 FCL</t>
    </r>
  </si>
  <si>
    <r>
      <t xml:space="preserve">18.9 Lt Polycarbonated Jars with Handle - 42,000
</t>
    </r>
    <r>
      <rPr>
        <b/>
        <sz val="14"/>
        <rFont val="Calibri"/>
        <family val="2"/>
        <scheme val="minor"/>
      </rPr>
      <t>2nd Shipment 20x40 FCL</t>
    </r>
  </si>
  <si>
    <r>
      <t xml:space="preserve">18.9 Lt Polycarbonated Jars with Handle - 42,000
</t>
    </r>
    <r>
      <rPr>
        <b/>
        <sz val="14"/>
        <rFont val="Calibri"/>
        <family val="2"/>
        <scheme val="minor"/>
      </rPr>
      <t>3rd shipment 20x40 FCL</t>
    </r>
  </si>
  <si>
    <t>CROWN CORK-PLAIN HEALTH MESSAGE-XX-(BPA-NI) - 3,500,000
CROWN- CORK- COKE RED MTIUS - 1,500,000
CROWN- CORK- SPRITE- 500,000
CROWN- CORK- FANTA ORANGE - 300,000
CROWN- CORK- FANTA PASSION - 100,000
CROWN- CORK- SCHWEPPES TONIC - 100,000
CROWN- CORK- SCHWEPPES SODA -100,000
CROWN- CORK ESKI VANILLA - 100,000</t>
  </si>
  <si>
    <t>DISP- BOTTLES- COKE BDB 300ML 285g - 379,050</t>
  </si>
  <si>
    <t>MSC STELLA ZF536R</t>
  </si>
  <si>
    <t>PREFORM- CLEAR-EMPAK 1881-22.2G
PREFORM- CLEAR-EMPAK 1881-32.5G
PREFORM- CLEAR-EMPAK 1881-46.6G</t>
  </si>
  <si>
    <t>3,064,320
276,480
2,204,928</t>
  </si>
  <si>
    <t>CAPS- COKE PET RED 13-PLEASE REPLACE CAP
CAPS- COKE NO SUGAR BLACK 14-PLEASE REPLACE CAP
CAPS- SPRITE PET GREEN 96-PLEASE REPLACE CAP
CAPS- FANTA ORANGE PET BLUE 47-PLEASE REPLACE CAP
CAPS- SCHWEPPES PET YELLOW 87-PLEASE REPLACE CAP
CAPS- ESKI ALMOND
CAPS- ESKI STRAWBERRY
CAPS- ESKI VANILLA</t>
  </si>
  <si>
    <t>3,150,000
315,000
1,365,000
840,000
420,000
210,000
210,000
210,000</t>
  </si>
  <si>
    <r>
      <rPr>
        <sz val="14"/>
        <color rgb="FF00B050"/>
        <rFont val="Calibri"/>
        <family val="2"/>
        <scheme val="minor"/>
      </rPr>
      <t>30% ADV- 324 - 01.08.2025</t>
    </r>
    <r>
      <rPr>
        <sz val="14"/>
        <rFont val="Calibri"/>
        <family val="2"/>
        <scheme val="minor"/>
      </rPr>
      <t xml:space="preserve">
</t>
    </r>
    <r>
      <rPr>
        <sz val="14"/>
        <color rgb="FF00B050"/>
        <rFont val="Calibri"/>
        <family val="2"/>
        <scheme val="minor"/>
      </rPr>
      <t>70% BALANCE- 756- 12/09/2025</t>
    </r>
  </si>
  <si>
    <t>FPO12533</t>
  </si>
  <si>
    <t>IPR146913</t>
  </si>
  <si>
    <t>WILMAR SUGAR PTE LTD</t>
  </si>
  <si>
    <t>CAFD LATEST 7 DAYS BEFORE VESSEL ETA</t>
  </si>
  <si>
    <t>MSC TIANPING MA538A</t>
  </si>
  <si>
    <t>23.09.2025</t>
  </si>
  <si>
    <t xml:space="preserve">CONC PEARONA BASE- 18,000LT
</t>
  </si>
  <si>
    <t>PIP done.
Shipment delayed new ETD &amp; ETA
BL: MEDUGT678885</t>
  </si>
  <si>
    <r>
      <rPr>
        <strike/>
        <sz val="14"/>
        <rFont val="Calibri"/>
        <family val="2"/>
        <scheme val="minor"/>
      </rPr>
      <t>MSC ALINA MA531R</t>
    </r>
    <r>
      <rPr>
        <sz val="14"/>
        <rFont val="Calibri"/>
        <family val="2"/>
        <scheme val="minor"/>
      </rPr>
      <t xml:space="preserve">
</t>
    </r>
    <r>
      <rPr>
        <strike/>
        <sz val="14"/>
        <rFont val="Calibri"/>
        <family val="2"/>
        <scheme val="minor"/>
      </rPr>
      <t>MSC HERMES KC538A</t>
    </r>
    <r>
      <rPr>
        <sz val="14"/>
        <rFont val="Calibri"/>
        <family val="2"/>
        <scheme val="minor"/>
      </rPr>
      <t xml:space="preserve">
</t>
    </r>
    <r>
      <rPr>
        <strike/>
        <sz val="14"/>
        <rFont val="Calibri"/>
        <family val="2"/>
        <scheme val="minor"/>
      </rPr>
      <t>MSC WIND II KC540A</t>
    </r>
    <r>
      <rPr>
        <sz val="14"/>
        <rFont val="Calibri"/>
        <family val="2"/>
        <scheme val="minor"/>
      </rPr>
      <t xml:space="preserve">
MSC MARTINA IB538A</t>
    </r>
  </si>
  <si>
    <r>
      <rPr>
        <strike/>
        <sz val="14"/>
        <rFont val="Calibri"/>
        <family val="2"/>
        <scheme val="minor"/>
      </rPr>
      <t>03/09/2025</t>
    </r>
    <r>
      <rPr>
        <sz val="14"/>
        <rFont val="Calibri"/>
        <family val="2"/>
        <scheme val="minor"/>
      </rPr>
      <t xml:space="preserve">
</t>
    </r>
    <r>
      <rPr>
        <strike/>
        <sz val="14"/>
        <rFont val="Calibri"/>
        <family val="2"/>
        <scheme val="minor"/>
      </rPr>
      <t>14/09/2025</t>
    </r>
    <r>
      <rPr>
        <sz val="14"/>
        <rFont val="Calibri"/>
        <family val="2"/>
        <scheme val="minor"/>
      </rPr>
      <t xml:space="preserve">
23/09/2025</t>
    </r>
  </si>
  <si>
    <t>PIP done
BL: MEDUGT681921</t>
  </si>
  <si>
    <t xml:space="preserve">12/09/2025
09/07/2025
01/08/2025
</t>
  </si>
  <si>
    <t>FPO12561</t>
  </si>
  <si>
    <t>IPR124312</t>
  </si>
  <si>
    <t>POSTMIX- TAG COKE LIGHT WHITE- 2,000
POSTMIX- TAG COKE RED- 10,000
POSTMIX- TAG SPRITE GREEN- 10,000
POSTMIX- TAG FANTA ORANGE- 3,000</t>
  </si>
  <si>
    <t>T/T BEFORE DELIVERY</t>
  </si>
  <si>
    <t>LPO10019116</t>
  </si>
  <si>
    <t>IPR147152</t>
  </si>
  <si>
    <t>HANGAR M LTD</t>
  </si>
  <si>
    <t>MORI GIN 750</t>
  </si>
  <si>
    <t>LPO10019149</t>
  </si>
  <si>
    <t>IPR147336</t>
  </si>
  <si>
    <t>GLUE CERNOCOL-CBLA30/CBLA001</t>
  </si>
  <si>
    <t>FPO12560</t>
  </si>
  <si>
    <t>IPR147309</t>
  </si>
  <si>
    <t>CONC- ORANGINA [1DRUM=7UN]- 497 
CONC- POTASSIUM SORBATE(1 CARTON=28UN)- 504
CONC- ORANGINA ZERO DRUM KIT(28UN)- 140
CONC- PRESERVATIVE KIT FOR 0! ZERO(28UN)- 140
CONC- ANTIOXIDANT KIT(28UN)- 140</t>
  </si>
  <si>
    <t>FPO12559</t>
  </si>
  <si>
    <t>IPR147193</t>
  </si>
  <si>
    <t>FLAVOUR SMIRNOFF ICE RED-XX-XX-WINEGUM (ITALY)- 270 LT</t>
  </si>
  <si>
    <r>
      <rPr>
        <strike/>
        <sz val="14"/>
        <rFont val="Calibri"/>
        <family val="2"/>
        <scheme val="minor"/>
      </rPr>
      <t>28/07/2025</t>
    </r>
    <r>
      <rPr>
        <sz val="14"/>
        <rFont val="Calibri"/>
        <family val="2"/>
        <scheme val="minor"/>
      </rPr>
      <t xml:space="preserve">
</t>
    </r>
    <r>
      <rPr>
        <strike/>
        <sz val="14"/>
        <rFont val="Calibri"/>
        <family val="2"/>
        <scheme val="minor"/>
      </rPr>
      <t>09/09/2025</t>
    </r>
    <r>
      <rPr>
        <sz val="14"/>
        <rFont val="Calibri"/>
        <family val="2"/>
        <scheme val="minor"/>
      </rPr>
      <t xml:space="preserve">
</t>
    </r>
    <r>
      <rPr>
        <strike/>
        <sz val="14"/>
        <rFont val="Calibri"/>
        <family val="2"/>
        <scheme val="minor"/>
      </rPr>
      <t>24/10/2025</t>
    </r>
    <r>
      <rPr>
        <sz val="14"/>
        <rFont val="Calibri"/>
        <family val="2"/>
        <scheme val="minor"/>
      </rPr>
      <t xml:space="preserve">
18/09/2025
</t>
    </r>
  </si>
  <si>
    <t xml:space="preserve">BBASE- SCHWEPPES GINGER ALE-30
BBASE- DASANI WATER- WA64-32
</t>
  </si>
  <si>
    <t>BBASE- COKE-1200
BBASE- FANTA PASSION-32
BBASE- SCHWEPPE TONIC-40
BBASE- SCHWEPPE SODA-24
BBASE- SCHWEPPES GINGER ALE-60
BBASE- CRYSTAL WATER- WA12-4140
BBASE- DASANI WATER- WA64-32
BBASE- COKE EINSTEIN (30% LESS SUGAR)-160
CONC- FUZE TEA - PEACH-300
CONC- FUZE TEA - APPLE LEMONGRASS-96
CONC- FUZE TEA -MANGO CAMOMILE-90
CONC - FUZE TEA - MANGO BAOBAB-72</t>
  </si>
  <si>
    <r>
      <rPr>
        <sz val="14"/>
        <color rgb="FF00B050"/>
        <rFont val="Calibri"/>
        <family val="2"/>
        <scheme val="minor"/>
      </rPr>
      <t>50% ADV -  EUR 42,910.60 ( 16/06/2025)</t>
    </r>
    <r>
      <rPr>
        <sz val="14"/>
        <rFont val="Calibri"/>
        <family val="2"/>
        <scheme val="minor"/>
      </rPr>
      <t xml:space="preserve">
</t>
    </r>
    <r>
      <rPr>
        <sz val="14"/>
        <color rgb="FF00B050"/>
        <rFont val="Calibri"/>
        <family val="2"/>
        <scheme val="minor"/>
      </rPr>
      <t xml:space="preserve">50% 45 DAYS INVOICE DATE -  </t>
    </r>
    <r>
      <rPr>
        <b/>
        <sz val="14"/>
        <color rgb="FF00B050"/>
        <rFont val="Calibri"/>
        <family val="2"/>
        <scheme val="minor"/>
      </rPr>
      <t>EUR 42910.60</t>
    </r>
    <r>
      <rPr>
        <sz val="14"/>
        <color rgb="FF00B050"/>
        <rFont val="Calibri"/>
        <family val="2"/>
        <scheme val="minor"/>
      </rPr>
      <t xml:space="preserve"> (01.09.2025)</t>
    </r>
  </si>
  <si>
    <t>MSC CHIARA X ZF537A</t>
  </si>
  <si>
    <r>
      <t xml:space="preserve">1000 ML COKE RGB BOTTLES 
8 CONTAINERS - 170,352 units
</t>
    </r>
    <r>
      <rPr>
        <b/>
        <sz val="14"/>
        <rFont val="Calibri"/>
        <family val="2"/>
        <scheme val="minor"/>
      </rPr>
      <t xml:space="preserve">3RD SHIPMENT </t>
    </r>
    <r>
      <rPr>
        <sz val="14"/>
        <rFont val="Calibri"/>
        <family val="2"/>
        <scheme val="minor"/>
      </rPr>
      <t xml:space="preserve">
</t>
    </r>
  </si>
  <si>
    <t>MSC DOMNA X ZF535R</t>
  </si>
  <si>
    <t>Bl no. MEDUKD302874</t>
  </si>
  <si>
    <t>MSC HERMES KC538A</t>
  </si>
  <si>
    <t>BL NO. MSDU1605640</t>
  </si>
  <si>
    <t xml:space="preserve">MSC SIMONA IP535R
</t>
  </si>
  <si>
    <t xml:space="preserve">MSC AJACCIO </t>
  </si>
  <si>
    <t>MALT-LOT 8 JOE WHITE PILSEN-XX-(AUSTRALIAN)- 150,000KG</t>
  </si>
  <si>
    <t>Ongoing
12.09.2025</t>
  </si>
  <si>
    <t>17.09.2025</t>
  </si>
  <si>
    <t>FPO12563</t>
  </si>
  <si>
    <t>IPR147184</t>
  </si>
  <si>
    <t>Artwork Development Charges- 7</t>
  </si>
  <si>
    <t>LPO10019166</t>
  </si>
  <si>
    <t>IPR147327</t>
  </si>
  <si>
    <t>LABEL-GISTER PREMIUM BEER-33CL-BODY
LABEL-GISTER PREMIUM BEER-33CL-BACK
LABEL-GISTER PREMIUM BEER-33CL-NECK</t>
  </si>
  <si>
    <t>50,000
50,000
50,000</t>
  </si>
  <si>
    <t>LPO10019165</t>
  </si>
  <si>
    <t>IPR147310</t>
  </si>
  <si>
    <t>DAKRI CARTONS LTD</t>
  </si>
  <si>
    <t>CBOX- COKE BDB 24X30CL
CBOX- COKE BDB 4X6X30CL
CBOX- COKE BDB 6X30CL RED</t>
  </si>
  <si>
    <t>5,000
2,000
2,000</t>
  </si>
  <si>
    <r>
      <rPr>
        <sz val="14"/>
        <color rgb="FF00B050"/>
        <rFont val="Calibri"/>
        <family val="2"/>
        <scheme val="minor"/>
      </rPr>
      <t>50% ADV  - USD 75,928.47 - 15.04.2025</t>
    </r>
    <r>
      <rPr>
        <sz val="14"/>
        <rFont val="Calibri"/>
        <family val="2"/>
        <scheme val="minor"/>
      </rPr>
      <t xml:space="preserve">
</t>
    </r>
    <r>
      <rPr>
        <sz val="14"/>
        <color rgb="FF00B050"/>
        <rFont val="Calibri"/>
        <family val="2"/>
        <scheme val="minor"/>
      </rPr>
      <t>50% BL DATE  - USD 75,928.43 - 01/08/2025</t>
    </r>
  </si>
  <si>
    <t>Chargement en cours - 24/09/2025</t>
  </si>
  <si>
    <t>Booking on going 24/09/2025</t>
  </si>
  <si>
    <t>Preavis d'embarquement - 01/10/2025</t>
  </si>
  <si>
    <t>MSC MASCARET</t>
  </si>
  <si>
    <r>
      <t xml:space="preserve">5th LOT Ultra White - 560
</t>
    </r>
    <r>
      <rPr>
        <sz val="14"/>
        <color rgb="FFFF0000"/>
        <rFont val="Calibri"/>
        <family val="2"/>
        <scheme val="minor"/>
      </rPr>
      <t xml:space="preserve">555 PACKS RECEIVED AS PER GRN - TO CANCEL 5 CASES </t>
    </r>
  </si>
  <si>
    <t xml:space="preserve">
Monster ultra white - 300
MONSTER
</t>
  </si>
  <si>
    <r>
      <t xml:space="preserve">
Monster Original 500ML CANS- 424
Monster Rossi - 476- </t>
    </r>
    <r>
      <rPr>
        <sz val="14"/>
        <color rgb="FFFF0000"/>
        <rFont val="Calibri"/>
        <family val="2"/>
        <scheme val="minor"/>
      </rPr>
      <t xml:space="preserve">471 RECEIVED TO CONFIRM WITH PR FOR CANCELLATION OF 5 CASES </t>
    </r>
    <r>
      <rPr>
        <sz val="14"/>
        <rFont val="Calibri"/>
        <family val="2"/>
        <scheme val="minor"/>
      </rPr>
      <t xml:space="preserve">
Monster AB Zero - 1760
</t>
    </r>
  </si>
  <si>
    <r>
      <t xml:space="preserve">
Monster Original 500ML CANS- </t>
    </r>
    <r>
      <rPr>
        <sz val="14"/>
        <color theme="1"/>
        <rFont val="Calibri"/>
        <family val="2"/>
        <scheme val="minor"/>
      </rPr>
      <t>15020</t>
    </r>
    <r>
      <rPr>
        <sz val="14"/>
        <rFont val="Calibri"/>
        <family val="2"/>
        <scheme val="minor"/>
      </rPr>
      <t xml:space="preserve">
Monster Mucho Loco- 1520</t>
    </r>
  </si>
  <si>
    <t>22.09.2025</t>
  </si>
  <si>
    <t>ATHENA V.HW536A</t>
  </si>
  <si>
    <t>26.09.2025</t>
  </si>
  <si>
    <t xml:space="preserve">
Monster Energy Original 500ML CAN - 2720 
500ML CAN MONSTER ULTRA WHITE-1220
</t>
  </si>
  <si>
    <r>
      <t>Monster Original 50</t>
    </r>
    <r>
      <rPr>
        <sz val="14"/>
        <color theme="1"/>
        <rFont val="Calibri"/>
        <family val="2"/>
        <scheme val="minor"/>
      </rPr>
      <t>0ML CANS- 15840</t>
    </r>
  </si>
  <si>
    <t xml:space="preserve">300ML CAN FANTA ORANGE X24 - 2436 </t>
  </si>
  <si>
    <r>
      <t xml:space="preserve">FINISHED PRODUCTS- COCA COLA 300ML- 4854 -   </t>
    </r>
    <r>
      <rPr>
        <sz val="14"/>
        <color rgb="FFFF0000"/>
        <rFont val="Calibri"/>
        <family val="2"/>
        <scheme val="minor"/>
      </rPr>
      <t>6 cases damaged - substituted with Fanta Orange</t>
    </r>
    <r>
      <rPr>
        <sz val="14"/>
        <rFont val="Calibri"/>
        <family val="2"/>
        <scheme val="minor"/>
      </rPr>
      <t xml:space="preserve">
300ML CAN FANTA ORANGE X24 - 2436 </t>
    </r>
  </si>
  <si>
    <t xml:space="preserve">FINISHED PRODUCTS: 
Grapetiser Red CAN 300ML-2440
Appletiser CAN 300ML-2480
Grapetiser Red NBT 275ML-1200
Appletiser NBT 275ML-318
</t>
  </si>
  <si>
    <t>Realease obtained 23/09/25</t>
  </si>
  <si>
    <r>
      <rPr>
        <strike/>
        <sz val="14"/>
        <rFont val="Calibri"/>
        <family val="2"/>
        <scheme val="minor"/>
      </rPr>
      <t>MSC  Maeva</t>
    </r>
    <r>
      <rPr>
        <sz val="14"/>
        <rFont val="Calibri"/>
        <family val="2"/>
        <scheme val="minor"/>
      </rPr>
      <t xml:space="preserve">
</t>
    </r>
    <r>
      <rPr>
        <strike/>
        <sz val="11"/>
        <color theme="1"/>
        <rFont val="Calibri"/>
        <family val="2"/>
        <scheme val="minor"/>
      </rPr>
      <t xml:space="preserve">MSC LEIGH/IP533R
</t>
    </r>
    <r>
      <rPr>
        <sz val="11"/>
        <color theme="1"/>
        <rFont val="Calibri"/>
        <family val="2"/>
        <scheme val="minor"/>
      </rPr>
      <t xml:space="preserve">MSC SIMONA </t>
    </r>
  </si>
  <si>
    <r>
      <rPr>
        <strike/>
        <sz val="14"/>
        <rFont val="Calibri"/>
        <family val="2"/>
        <scheme val="minor"/>
      </rPr>
      <t xml:space="preserve">10/09/2025
</t>
    </r>
    <r>
      <rPr>
        <sz val="14"/>
        <rFont val="Calibri"/>
        <family val="2"/>
        <scheme val="minor"/>
      </rPr>
      <t>20/09/2025</t>
    </r>
  </si>
  <si>
    <t>BEAU4263390</t>
  </si>
  <si>
    <r>
      <t xml:space="preserve">Wrong booking done by Divish( Fob Durban instead of Cape town) , 
</t>
    </r>
    <r>
      <rPr>
        <sz val="14"/>
        <color rgb="FFFF0000"/>
        <rFont val="Aptos"/>
        <family val="2"/>
      </rPr>
      <t>New booking  done SCZA00140961
CAAU6534928</t>
    </r>
  </si>
  <si>
    <t>18/09/2025 =</t>
  </si>
  <si>
    <t>NA- 100% ADV PAYMENT</t>
  </si>
  <si>
    <t>FPO12564</t>
  </si>
  <si>
    <t>IPR147351</t>
  </si>
  <si>
    <t>CAN-COCA COLA 33CL</t>
  </si>
  <si>
    <t xml:space="preserve">mid july </t>
  </si>
  <si>
    <t xml:space="preserve">22/08/2025 
</t>
  </si>
  <si>
    <t>end aug</t>
  </si>
  <si>
    <t>18/08/2055
PICKED UP 26/08/2025</t>
  </si>
  <si>
    <r>
      <rPr>
        <sz val="14"/>
        <color rgb="FF00B050"/>
        <rFont val="Calibri"/>
        <family val="2"/>
        <scheme val="minor"/>
      </rPr>
      <t xml:space="preserve">50% ADVANCE - zar224958.50 -= 09/07/2025 due </t>
    </r>
    <r>
      <rPr>
        <sz val="14"/>
        <rFont val="Calibri"/>
        <family val="2"/>
        <scheme val="minor"/>
      </rPr>
      <t xml:space="preserve">
</t>
    </r>
    <r>
      <rPr>
        <sz val="14"/>
        <color rgb="FF00B050"/>
        <rFont val="Calibri"/>
        <family val="2"/>
        <scheme val="minor"/>
      </rPr>
      <t>50% BEF COLLECTION- zar 224958.50- due 22/09/2025</t>
    </r>
  </si>
  <si>
    <r>
      <t>F</t>
    </r>
    <r>
      <rPr>
        <sz val="14"/>
        <color theme="1"/>
        <rFont val="Calibri"/>
        <family val="2"/>
        <scheme val="minor"/>
      </rPr>
      <t xml:space="preserve">INISHED PRODUCTS -5th LoT
</t>
    </r>
    <r>
      <rPr>
        <sz val="14"/>
        <rFont val="Calibri"/>
        <family val="2"/>
        <scheme val="minor"/>
      </rPr>
      <t xml:space="preserve">Monster Energy Original 500ml - 1760
Can Monster Ultra white- 240
</t>
    </r>
    <r>
      <rPr>
        <sz val="14"/>
        <color theme="1"/>
        <rFont val="Calibri"/>
        <family val="2"/>
        <scheme val="minor"/>
      </rPr>
      <t xml:space="preserve">
</t>
    </r>
    <r>
      <rPr>
        <sz val="14"/>
        <rFont val="Calibri"/>
        <family val="2"/>
        <scheme val="minor"/>
      </rPr>
      <t xml:space="preserve">
</t>
    </r>
  </si>
  <si>
    <r>
      <t xml:space="preserve">6TH LOT Monster Energy Original 500ML CAN- 400
</t>
    </r>
    <r>
      <rPr>
        <b/>
        <sz val="14"/>
        <color rgb="FFFF0000"/>
        <rFont val="Calibri"/>
        <family val="2"/>
        <scheme val="minor"/>
      </rPr>
      <t xml:space="preserve"> </t>
    </r>
  </si>
  <si>
    <t xml:space="preserve">
Monster Rossi -1760
mucho loco- 1760
Monster Ultra White - 320
Pipeline Punch - 800
</t>
  </si>
  <si>
    <t>FINISHED PRODUCTS: 
Grapetiser Red NBT 750ML-2076</t>
  </si>
  <si>
    <r>
      <rPr>
        <sz val="14"/>
        <color rgb="FF00B050"/>
        <rFont val="Calibri"/>
        <family val="2"/>
        <scheme val="minor"/>
      </rPr>
      <t>50 % ADVANCE  - 321,300 ( 03/07/2025)</t>
    </r>
    <r>
      <rPr>
        <sz val="14"/>
        <color rgb="FFFF0000"/>
        <rFont val="Calibri"/>
        <family val="2"/>
        <scheme val="minor"/>
      </rPr>
      <t xml:space="preserve">
</t>
    </r>
    <r>
      <rPr>
        <sz val="14"/>
        <color rgb="FF00B050"/>
        <rFont val="Calibri"/>
        <family val="2"/>
        <scheme val="minor"/>
      </rPr>
      <t>50 % ON SCAN BL - 107,100.00 ( 24/09/2025)</t>
    </r>
  </si>
  <si>
    <t>LPO10019289</t>
  </si>
  <si>
    <t>IPR147503</t>
  </si>
  <si>
    <t>6,000
1,500
1,500</t>
  </si>
  <si>
    <t>FPO12567</t>
  </si>
  <si>
    <t>IPR145872</t>
  </si>
  <si>
    <t>Bourgogne Aligote 750ml-60
Bourgogne Les Grandes Carelles 1.5Lt- 36
Monthelie Village En Remagnien 750ml- 90
Monthelie Village En Remagnien Magnum 1.5lt- 15
Pommard 1er Cru Les Poutures 750ml- 36
Bourgogne Pinot Noir Cote dOr 750ml- 60</t>
  </si>
  <si>
    <t>PIP done 19.08.2025
Booking ref: 006IFR0355676</t>
  </si>
  <si>
    <t>PIP done
Bill of Lading: MEDUW6194700</t>
  </si>
  <si>
    <r>
      <rPr>
        <strike/>
        <sz val="14"/>
        <rFont val="Calibri"/>
        <family val="2"/>
        <scheme val="minor"/>
      </rPr>
      <t>MSC VILDA</t>
    </r>
    <r>
      <rPr>
        <sz val="14"/>
        <rFont val="Calibri"/>
        <family val="2"/>
        <scheme val="minor"/>
      </rPr>
      <t xml:space="preserve">
MSC AJACCIO MA537A</t>
    </r>
  </si>
  <si>
    <t>30% ADVANCE, 70% BALANCE</t>
  </si>
  <si>
    <t>30/09/2025- MUR 57298.00- DUE 03/10/2025</t>
  </si>
  <si>
    <t>on going
24.09.2025</t>
  </si>
  <si>
    <r>
      <rPr>
        <strike/>
        <sz val="14"/>
        <rFont val="Calibri"/>
        <family val="2"/>
        <scheme val="minor"/>
      </rPr>
      <t>15/09/2025</t>
    </r>
    <r>
      <rPr>
        <sz val="14"/>
        <rFont val="Calibri"/>
        <family val="2"/>
        <scheme val="minor"/>
      </rPr>
      <t xml:space="preserve">
24/09/2025</t>
    </r>
  </si>
  <si>
    <t>Approx. 01/11/2025</t>
  </si>
  <si>
    <t xml:space="preserve">
Monster ernergy original 500ml -24640
</t>
  </si>
  <si>
    <t xml:space="preserve">27/09/2025 tbc </t>
  </si>
  <si>
    <r>
      <t xml:space="preserve">OP RACKS FOR JARS - 1,540 ( 10X40ft)
</t>
    </r>
    <r>
      <rPr>
        <b/>
        <sz val="14"/>
        <rFont val="Calibri"/>
        <family val="2"/>
        <scheme val="minor"/>
      </rPr>
      <t>3rd  Shipment</t>
    </r>
  </si>
  <si>
    <t>Ready on the 30/09/2025</t>
  </si>
  <si>
    <r>
      <t xml:space="preserve">PREFORM-CRYSTAL BLUE 29/25-12GM-1,166,000
PREFORM-CRYSTAL BLUE 29/25-23.5GM-1,100,000
PREFORM-CRYSTAL BLUE 29/25-27GM-1,100,000
PREFORM- CLEAR-38MM-30GM-528,000
PREFORM- CLEAR-38MM-52GM-598,400
</t>
    </r>
    <r>
      <rPr>
        <b/>
        <sz val="14"/>
        <rFont val="Calibri"/>
        <family val="2"/>
        <scheme val="minor"/>
      </rPr>
      <t>6X40 FT</t>
    </r>
  </si>
  <si>
    <r>
      <t xml:space="preserve">
PREFORM-CRYSTAL BLUE 29/25-23.5GM-1,100,000
</t>
    </r>
    <r>
      <rPr>
        <b/>
        <sz val="14"/>
        <rFont val="Calibri"/>
        <family val="2"/>
        <scheme val="minor"/>
      </rPr>
      <t>2X40 FT</t>
    </r>
  </si>
  <si>
    <t>BL. No MEDUG9704065</t>
  </si>
  <si>
    <t>Bl.no. MEDUG9707571</t>
  </si>
  <si>
    <t>Ongoing 
23.09.2025</t>
  </si>
  <si>
    <t>Ongoing - 08.09.2025</t>
  </si>
  <si>
    <t xml:space="preserve">MK852. </t>
  </si>
  <si>
    <t xml:space="preserve">Application for Bank guarantee done
Bank guarantee received and sent to FTL.
</t>
  </si>
  <si>
    <t>OBL: MEDUW6347845</t>
  </si>
  <si>
    <t>Ongoing 24.09.2025</t>
  </si>
  <si>
    <r>
      <rPr>
        <strike/>
        <sz val="14"/>
        <rFont val="Calibri"/>
        <family val="2"/>
        <scheme val="minor"/>
      </rPr>
      <t xml:space="preserve">MSC Savannah, 
</t>
    </r>
    <r>
      <rPr>
        <sz val="14"/>
        <rFont val="Calibri"/>
        <family val="2"/>
        <scheme val="minor"/>
      </rPr>
      <t>MSC AAYA Voy IP539R</t>
    </r>
  </si>
  <si>
    <r>
      <t xml:space="preserve">27/09/2025
</t>
    </r>
    <r>
      <rPr>
        <sz val="14"/>
        <rFont val="Calibri"/>
        <family val="2"/>
        <scheme val="minor"/>
      </rPr>
      <t>07/10/2025</t>
    </r>
  </si>
  <si>
    <t>on going - 01.10.2025</t>
  </si>
  <si>
    <t xml:space="preserve">2ND LOT 
Grapetiser Red CAN 300ML -1940 - 
Appletiser CAN 300ML- 490 - 
</t>
  </si>
  <si>
    <t>OBL: MEDUPZ431487</t>
  </si>
  <si>
    <t>LPO10019336</t>
  </si>
  <si>
    <t>IPR147466</t>
  </si>
  <si>
    <t>Standard Labels Ltd</t>
  </si>
  <si>
    <t>LABEL- SPRITE-0.5LT
LABEL- CRYSTAL SPARKLING-1LT
LABEL- CRYSTAL SPARKLING-500ML
LABEL- COKE-OBS 2.0LT
LABEL-COKE EINSTEIN 1LT 30% LESS SUGAR
LABEL- COKE-OBS 0.5LT
LABEL- SPRITE-2.0LT
LABEL- FANTA ORANGE- 2.0LT
LABEL- FANTA ORANGE- 0.5LT
LABEL- FANTA PASSION- 2.0LT
LABEL- FANTA PASSION- 0.5LT</t>
  </si>
  <si>
    <t>1,300,000
100,000
50,000
500,000
800,000
500,000
500,000
200,000
500,000
200,000
300,000</t>
  </si>
  <si>
    <t>LPO10019334</t>
  </si>
  <si>
    <t>IPR147493</t>
  </si>
  <si>
    <t>CLUSTER-PHOENIX REJUV-33CLX6-XX
CLUSTER-BLUE MARLIN-33CLX6-EXPORT</t>
  </si>
  <si>
    <t>LPO10019333</t>
  </si>
  <si>
    <t>IPR147505</t>
  </si>
  <si>
    <t>7,000
2,500
3,000</t>
  </si>
  <si>
    <t>LPO10019335</t>
  </si>
  <si>
    <t>IPR147435</t>
  </si>
  <si>
    <t>PFILM-CLEAR-530MMX65MIC-COATED (PACK X 6 CANS)</t>
  </si>
  <si>
    <t>LPO10019337</t>
  </si>
  <si>
    <t>IPR147469</t>
  </si>
  <si>
    <t>LABEL- SCHWP TONIC- 0.5LT
LABEL- SCHWP SOD- 0.5LT
LABEL- SCHWP G ALE-0.5LT
LABEL-COKE NO SUGAR KAIZEN 1LT
LABEL-COKE NO SUGAR KAIZEN 0.5LT
LABEL- ORANGINA 1.5L
LABEL- ORANGINA 0.5L
LABEL- ORANGINA ZERO 1.5LT
LABEL- ESKI ALMOND 400ML
LABEL- ESKI STRAWBERRY 400ML
LABEL- ESKI VANILLA 2.25LT
LABEL- ESKI VANILLA 400ML</t>
  </si>
  <si>
    <t>100,000
50,000
200,000
300,000
200,000
300,000
600,000
50,000
50,000
50,000
50,000
50,000</t>
  </si>
  <si>
    <t>HYUNDAI SINGAPORE ZF538A</t>
  </si>
  <si>
    <t>OBL: MEDUFJ759085</t>
  </si>
  <si>
    <t>LPO10019422</t>
  </si>
  <si>
    <t>IPR147537</t>
  </si>
  <si>
    <t>Dakri Cartons Ltd</t>
  </si>
  <si>
    <t>CTRAY-PLAIN WHITE-PINT-33CLX24
CTRAY-PHOENIX REJUV-CAN-33CLX24
CTRAY-PHOENIX SPECIALE-50CLX24-FOR CANS</t>
  </si>
  <si>
    <t>8,000
5,000
10,000</t>
  </si>
  <si>
    <t>LPO10019423</t>
  </si>
  <si>
    <t>IPR147450</t>
  </si>
  <si>
    <t>FPO12584</t>
  </si>
  <si>
    <t>IPR147564</t>
  </si>
  <si>
    <t>CONC-PEARONA BASE-9000Lts
CONC-CIDER-XX-ALCOHOLIC CANNING ONLY-9000Lts</t>
  </si>
  <si>
    <t>Ongoing 03.10.2025</t>
  </si>
  <si>
    <t>Ongoing  02/10/2025</t>
  </si>
  <si>
    <r>
      <rPr>
        <strike/>
        <sz val="14"/>
        <rFont val="Calibri"/>
        <family val="2"/>
        <scheme val="minor"/>
      </rPr>
      <t>MSC PAMELA</t>
    </r>
    <r>
      <rPr>
        <sz val="14"/>
        <rFont val="Calibri"/>
        <family val="2"/>
        <scheme val="minor"/>
      </rPr>
      <t xml:space="preserve">
MSC NAMIBIA  IP540R</t>
    </r>
  </si>
  <si>
    <t>Ongoing 02.10.2025</t>
  </si>
  <si>
    <t>FPO12580</t>
  </si>
  <si>
    <t>IPR147509</t>
  </si>
  <si>
    <t>FPO12573</t>
  </si>
  <si>
    <t>IPR147507</t>
  </si>
  <si>
    <r>
      <rPr>
        <b/>
        <sz val="14"/>
        <rFont val="Calibri"/>
        <family val="2"/>
        <scheme val="minor"/>
      </rPr>
      <t xml:space="preserve"> LOT 1</t>
    </r>
    <r>
      <rPr>
        <sz val="14"/>
        <rFont val="Calibri"/>
        <family val="2"/>
        <scheme val="minor"/>
      </rPr>
      <t xml:space="preserve">
PREFORM-CRYSTAL BLUE 29/25-12GM-1,166,000</t>
    </r>
  </si>
  <si>
    <t>FPO12576</t>
  </si>
  <si>
    <t>IPR147449</t>
  </si>
  <si>
    <t>CAPS- CRYSTAL WATER 29/25- 1,980,000</t>
  </si>
  <si>
    <t>FPO12577</t>
  </si>
  <si>
    <t>IPR147475</t>
  </si>
  <si>
    <t>PFILM-PHOENIX 33CL-530MMXR555X65MIC-LOCAL/EXPORT- 11,250 KG</t>
  </si>
  <si>
    <t>FPO12578</t>
  </si>
  <si>
    <t>IPR147476</t>
  </si>
  <si>
    <t>CAN-PHOENIX BEER-33CL-XX- 560,160</t>
  </si>
  <si>
    <t>FPO12579</t>
  </si>
  <si>
    <t>IPR147477</t>
  </si>
  <si>
    <t>FPO12574</t>
  </si>
  <si>
    <t>IPR147439</t>
  </si>
  <si>
    <t>CAP-DRAFT BEER-XX-FOR KEG 30LT(KEG CAP)- 29,568</t>
  </si>
  <si>
    <t>FPO12575</t>
  </si>
  <si>
    <t>IPR147444</t>
  </si>
  <si>
    <t>CAPS- CRYSTAL WATER 29/25- 4,500,000</t>
  </si>
  <si>
    <t>FPO12586</t>
  </si>
  <si>
    <t>IPR147565</t>
  </si>
  <si>
    <t>MALAYA GLASS PRODUCTS</t>
  </si>
  <si>
    <t>DISP-BOTTLES- 330 ML NR BEER BOTTLE- 1,091,664</t>
  </si>
  <si>
    <t>PAYMENT AGAINST BL</t>
  </si>
  <si>
    <t>FPO12585</t>
  </si>
  <si>
    <t>IPR147661</t>
  </si>
  <si>
    <t>SHEET PLASTIC (PTY) LTD</t>
  </si>
  <si>
    <t>Plastic Sheets 1290 x 920 x 3.5mm- Printed ''Property of Phoenix Beverages Limited''- 6,000</t>
  </si>
  <si>
    <t>LPO10019442</t>
  </si>
  <si>
    <t>IPR147223</t>
  </si>
  <si>
    <t>Duraco Ltée</t>
  </si>
  <si>
    <t>Plastic Pallets</t>
  </si>
  <si>
    <t>LPO10019432</t>
  </si>
  <si>
    <t>IPR147558</t>
  </si>
  <si>
    <t>CARTON &amp; BOXES CO. LTD</t>
  </si>
  <si>
    <t>LPO10019433</t>
  </si>
  <si>
    <t>IPR147598</t>
  </si>
  <si>
    <t>CTRAY-PHOENIX REJUV-CAN-33CLX24</t>
  </si>
  <si>
    <r>
      <t xml:space="preserve">CONTAINER NUMBER: </t>
    </r>
    <r>
      <rPr>
        <b/>
        <sz val="14"/>
        <rFont val="Calibri"/>
        <family val="2"/>
        <scheme val="minor"/>
      </rPr>
      <t>CAAU5115315</t>
    </r>
  </si>
  <si>
    <t>MSC CATHERINE VI ZF541A</t>
  </si>
  <si>
    <r>
      <rPr>
        <strike/>
        <sz val="14"/>
        <rFont val="Calibri"/>
        <family val="2"/>
        <scheme val="minor"/>
      </rPr>
      <t>11/09/2025</t>
    </r>
    <r>
      <rPr>
        <sz val="14"/>
        <rFont val="Calibri"/>
        <family val="2"/>
        <scheme val="minor"/>
      </rPr>
      <t xml:space="preserve">
</t>
    </r>
    <r>
      <rPr>
        <strike/>
        <sz val="14"/>
        <rFont val="Calibri"/>
        <family val="2"/>
        <scheme val="minor"/>
      </rPr>
      <t>16/09/2025</t>
    </r>
    <r>
      <rPr>
        <sz val="14"/>
        <rFont val="Calibri"/>
        <family val="2"/>
        <scheme val="minor"/>
      </rPr>
      <t xml:space="preserve">
10/10/2025</t>
    </r>
  </si>
  <si>
    <t xml:space="preserve">FINISHED PRODUCTS: 01/11/2025
Grapetiser Red NBT 275ML-1518
</t>
  </si>
  <si>
    <t>031CP0094996- transhipment via 
Coega, ZA eta Coega - 09/12/2025</t>
  </si>
  <si>
    <t>MSMU1302001</t>
  </si>
  <si>
    <t>MSDU6341180</t>
  </si>
  <si>
    <t>MSC AAYA IP539R</t>
  </si>
  <si>
    <t>22.09.2026</t>
  </si>
  <si>
    <t>Ongoing 07/10/2025</t>
  </si>
  <si>
    <r>
      <rPr>
        <strike/>
        <sz val="14"/>
        <rFont val="Calibri"/>
        <family val="2"/>
        <scheme val="minor"/>
      </rPr>
      <t>MSC ASYA MA533R</t>
    </r>
    <r>
      <rPr>
        <sz val="14"/>
        <rFont val="Calibri"/>
        <family val="2"/>
        <scheme val="minor"/>
      </rPr>
      <t xml:space="preserve">
</t>
    </r>
    <r>
      <rPr>
        <strike/>
        <sz val="14"/>
        <rFont val="Calibri"/>
        <family val="2"/>
        <scheme val="minor"/>
      </rPr>
      <t>MSC WIND II KC539A</t>
    </r>
    <r>
      <rPr>
        <sz val="14"/>
        <rFont val="Calibri"/>
        <family val="2"/>
        <scheme val="minor"/>
      </rPr>
      <t xml:space="preserve">
</t>
    </r>
    <r>
      <rPr>
        <strike/>
        <sz val="14"/>
        <rFont val="Calibri"/>
        <family val="2"/>
        <scheme val="minor"/>
      </rPr>
      <t>MSC HERMES KC542A</t>
    </r>
    <r>
      <rPr>
        <sz val="14"/>
        <rFont val="Calibri"/>
        <family val="2"/>
        <scheme val="minor"/>
      </rPr>
      <t xml:space="preserve">
</t>
    </r>
    <r>
      <rPr>
        <strike/>
        <sz val="14"/>
        <rFont val="Calibri"/>
        <family val="2"/>
        <scheme val="minor"/>
      </rPr>
      <t>MSC WIND II KC543A</t>
    </r>
    <r>
      <rPr>
        <sz val="14"/>
        <rFont val="Calibri"/>
        <family val="2"/>
        <scheme val="minor"/>
      </rPr>
      <t xml:space="preserve">
</t>
    </r>
    <r>
      <rPr>
        <strike/>
        <sz val="14"/>
        <rFont val="Calibri"/>
        <family val="2"/>
        <scheme val="minor"/>
      </rPr>
      <t>MSC MILA 3 KC542A</t>
    </r>
    <r>
      <rPr>
        <sz val="14"/>
        <rFont val="Calibri"/>
        <family val="2"/>
        <scheme val="minor"/>
      </rPr>
      <t xml:space="preserve">
</t>
    </r>
    <r>
      <rPr>
        <strike/>
        <sz val="14"/>
        <rFont val="Calibri"/>
        <family val="2"/>
        <scheme val="minor"/>
      </rPr>
      <t xml:space="preserve">MSC SKY II KC543A
</t>
    </r>
    <r>
      <rPr>
        <sz val="14"/>
        <rFont val="Calibri"/>
        <family val="2"/>
        <scheme val="minor"/>
      </rPr>
      <t>MSC HERMES KC544A</t>
    </r>
  </si>
  <si>
    <t>MSC LAURENCE IP544R</t>
  </si>
  <si>
    <t>AWB: 057-02029845</t>
  </si>
  <si>
    <t>Ongoing 01/10/2025</t>
  </si>
  <si>
    <t>Ongoing 08.10.2025</t>
  </si>
  <si>
    <t>BULK WINE SWEET-XX-ROUGE- 11 750LT</t>
  </si>
  <si>
    <t xml:space="preserve">TEMU1875722
</t>
  </si>
  <si>
    <t>50% ADV- 16,102.65 USD
50% ON SCAN BL- 16,102.65 USD</t>
  </si>
  <si>
    <t>BL no.  MEDUFJ721523</t>
  </si>
  <si>
    <t>designated FF 22/09/2025
Relance DK 01/10/2025
Cargo ready 10/10/2025</t>
  </si>
  <si>
    <t>BL NO. MEDUKD749280</t>
  </si>
  <si>
    <t>AS ALVA KC542A</t>
  </si>
  <si>
    <t>BILL OF LADING: MEDUFJ699240</t>
  </si>
  <si>
    <t xml:space="preserve">MSC Cheryl </t>
  </si>
  <si>
    <t>AWAITING DOCS  - requested by mail  DD 08/10/2025</t>
  </si>
  <si>
    <t>LPO10019490</t>
  </si>
  <si>
    <t>IPR147285</t>
  </si>
  <si>
    <t>Empak Africa Ltd</t>
  </si>
  <si>
    <t>CAPS- COKE PET RED 13-PLEASE REPLACE CAP
CAPS- COKE NO SUGAR BLACK 14-PLEASE REPLACE CAP
CAPS- SPRITE PET GREEN 96-PLEASE REPLACE CAP
CAPS- FANTA ORANGE PET BLUE 47-PLEASE REPLACE CAP
CAPS- SCHWEPPES PET YELLOW 87-PLEASE REPLACE CAP
CAPS- CRYSTAL SPARKLING GRN 112-PLEASE REPLACE CAP
CAPS- ESKI ALMOND
CAPS- ESKI STRAWBERRY
CAPS- ESKI VANILLA
CAPS- ORANGINA ORIGINAL/REGULAR PULPE BLUE</t>
  </si>
  <si>
    <t>6,300,000
1,155,000
2,100,000
1,575,000
210,000
525,000
315,000
105,000
210,000
630,000</t>
  </si>
  <si>
    <t>LPO10019489</t>
  </si>
  <si>
    <t>IPR147282</t>
  </si>
  <si>
    <t>5,690,880
1,105,920
3,006,720</t>
  </si>
  <si>
    <r>
      <t xml:space="preserve">FINISHED PRODUCTS- COCA COLA 300ML- 19440- </t>
    </r>
    <r>
      <rPr>
        <sz val="14"/>
        <color theme="1"/>
        <rFont val="Calibri"/>
        <family val="2"/>
        <scheme val="minor"/>
      </rPr>
      <t>19297 as per open book , to amend po  - to check ob PL dated 11.09 -</t>
    </r>
    <r>
      <rPr>
        <sz val="14"/>
        <color rgb="FFFF0000"/>
        <rFont val="Calibri"/>
        <family val="2"/>
        <scheme val="minor"/>
      </rPr>
      <t xml:space="preserve"> 19,340 packs</t>
    </r>
    <r>
      <rPr>
        <sz val="14"/>
        <rFont val="Calibri"/>
        <family val="2"/>
        <scheme val="minor"/>
      </rPr>
      <t xml:space="preserve">
300ML CAN FANTA ORANGE X24 - 4860 - </t>
    </r>
    <r>
      <rPr>
        <b/>
        <sz val="14"/>
        <color theme="1"/>
        <rFont val="Calibri"/>
        <family val="2"/>
        <scheme val="minor"/>
      </rPr>
      <t>5003 as per Open book , to increase qty on po</t>
    </r>
    <r>
      <rPr>
        <sz val="14"/>
        <color theme="1"/>
        <rFont val="Calibri"/>
        <family val="2"/>
        <scheme val="minor"/>
      </rPr>
      <t xml:space="preserve">  to check ob PL dated 11.09</t>
    </r>
    <r>
      <rPr>
        <sz val="14"/>
        <color rgb="FFFF0000"/>
        <rFont val="Calibri"/>
        <family val="2"/>
        <scheme val="minor"/>
      </rPr>
      <t>- 5,003 packs</t>
    </r>
  </si>
  <si>
    <t>LPO10019488</t>
  </si>
  <si>
    <t>IPR147283</t>
  </si>
  <si>
    <t>Alpla Packaging (Mauritius) Ltd.</t>
  </si>
  <si>
    <t>PREFORM- CLEAR-ALPLA 1881-32G ($38.57+ Rs 1228.17)
PREFORM- CLEAR-ALPLA 1881-48G ($57.85+ Rs 1112.12)</t>
  </si>
  <si>
    <t>359,856
991,200</t>
  </si>
  <si>
    <t>FPO12587</t>
  </si>
  <si>
    <t>IPR147077</t>
  </si>
  <si>
    <t>CACTUS CRAFT (PTY) LTD</t>
  </si>
  <si>
    <t xml:space="preserve">Item Code: LALB518 Lalbrew LONA - 500g
Item Code: ABV006 ISY Enhance - 1kg Pack
Item Code: HOPS5034 Mosaic - 5kg T90 US
Item Code: HOPS5080 Nectaron T90
Item Code: LALB101 Yeastlife Extra - 2kg (our qty in packs)
Item Code: LALB512 LalBrew New England - 500g packet
Item Code: MALTSW114 GoldSwaen Light – 25kg Bag Unmilled
Item Code: MALT122 Crisp - Dextrin Malt - 25kg Bag Unmilled
</t>
  </si>
  <si>
    <t>Container No. TRHU2403658</t>
  </si>
  <si>
    <t>MSC NAMIBIA IP540R</t>
  </si>
  <si>
    <r>
      <t xml:space="preserve">RRD: Oct 25 - JR Postponed to ETA: Mid-Dec 25
</t>
    </r>
    <r>
      <rPr>
        <sz val="14"/>
        <rFont val="Calibri"/>
        <family val="2"/>
        <scheme val="minor"/>
      </rPr>
      <t>BL no. MEDUFJ699307</t>
    </r>
  </si>
  <si>
    <t>MSC BEIJING ZF539A</t>
  </si>
  <si>
    <t>17.10.2025</t>
  </si>
  <si>
    <t xml:space="preserve">
Magen to advise if production batch is acceptable - awaiting his go ahead
Jeysen will revert back whether we will proceed with collection or not for the short shelf life product. Approval receive from DM to take actual batch
RRD date rescheduled from 15/10/2025 to reads 01.11.2025.
AWB 885027655180 
</t>
  </si>
  <si>
    <t>FedEx</t>
  </si>
  <si>
    <t>FPO12601</t>
  </si>
  <si>
    <t>IPR147722</t>
  </si>
  <si>
    <t>MALT-MELANOIDIN-XX-XX-200Kg
MALT-CARAHELL-XX-XX-400Kg
MALT-WHEAT MALT PALE-XX-XX-300Kg</t>
  </si>
  <si>
    <t>LPO10019579</t>
  </si>
  <si>
    <t>IPR147684</t>
  </si>
  <si>
    <t>Containers have well been stuffed and gate in.</t>
  </si>
  <si>
    <t>booking done -02/10/2025</t>
  </si>
  <si>
    <t>LPO10019616</t>
  </si>
  <si>
    <t>IPR147895</t>
  </si>
  <si>
    <t>PFILM-SHRINK-350MMX60MIC-1000ML
PFILM- SHRINK-425MIC - 2000ML</t>
  </si>
  <si>
    <t>FPO12598</t>
  </si>
  <si>
    <t>IPR147816</t>
  </si>
  <si>
    <t>300ml Can Grapetiser Red-4860 
300ml Can Appletiser- 2,430
Grapetiser Red NBT 275ML- 1,118
Appletiser NBT 275ML- 400</t>
  </si>
  <si>
    <t>60 Days invoice date</t>
  </si>
  <si>
    <t>FPO12599</t>
  </si>
  <si>
    <t>IPR147821</t>
  </si>
  <si>
    <t>COCA COLA CAN 300 ML- 14,580
300ml Can Fanta Orange x24- 2,430</t>
  </si>
  <si>
    <t>COCA COLA CAN 300 ML- 17,010
300ml Can Fanta Orange x24- 2,430</t>
  </si>
  <si>
    <t>COCA COLA CAN 300 ML- 9,720
300ml Can Fanta Orange x24- 2,430</t>
  </si>
  <si>
    <t>FPO12600</t>
  </si>
  <si>
    <r>
      <rPr>
        <strike/>
        <sz val="14"/>
        <rFont val="Calibri"/>
        <family val="2"/>
        <scheme val="minor"/>
      </rPr>
      <t>16/09/2025</t>
    </r>
    <r>
      <rPr>
        <sz val="14"/>
        <rFont val="Calibri"/>
        <family val="2"/>
        <scheme val="minor"/>
      </rPr>
      <t xml:space="preserve">
</t>
    </r>
    <r>
      <rPr>
        <strike/>
        <sz val="14"/>
        <rFont val="Calibri"/>
        <family val="2"/>
        <scheme val="minor"/>
      </rPr>
      <t>24/09/2025</t>
    </r>
    <r>
      <rPr>
        <sz val="14"/>
        <rFont val="Calibri"/>
        <family val="2"/>
        <scheme val="minor"/>
      </rPr>
      <t xml:space="preserve">
09/10/2025</t>
    </r>
  </si>
  <si>
    <t>PIP done
Booking Ref: 006IFR0357677</t>
  </si>
  <si>
    <r>
      <rPr>
        <strike/>
        <sz val="14"/>
        <rFont val="Calibri"/>
        <family val="2"/>
        <scheme val="minor"/>
      </rPr>
      <t>08/10/2025</t>
    </r>
    <r>
      <rPr>
        <sz val="14"/>
        <rFont val="Calibri"/>
        <family val="2"/>
        <scheme val="minor"/>
      </rPr>
      <t xml:space="preserve">
</t>
    </r>
    <r>
      <rPr>
        <strike/>
        <sz val="14"/>
        <rFont val="Calibri"/>
        <family val="2"/>
        <scheme val="minor"/>
      </rPr>
      <t>13/10/2025</t>
    </r>
    <r>
      <rPr>
        <sz val="14"/>
        <rFont val="Calibri"/>
        <family val="2"/>
        <scheme val="minor"/>
      </rPr>
      <t xml:space="preserve">
</t>
    </r>
    <r>
      <rPr>
        <strike/>
        <sz val="14"/>
        <rFont val="Calibri"/>
        <family val="2"/>
        <scheme val="minor"/>
      </rPr>
      <t>14/10/2025</t>
    </r>
    <r>
      <rPr>
        <sz val="14"/>
        <rFont val="Calibri"/>
        <family val="2"/>
        <scheme val="minor"/>
      </rPr>
      <t xml:space="preserve">
17/10/2025</t>
    </r>
  </si>
  <si>
    <r>
      <rPr>
        <strike/>
        <sz val="14"/>
        <rFont val="Calibri"/>
        <family val="2"/>
        <scheme val="minor"/>
      </rPr>
      <t>16/09/2025</t>
    </r>
    <r>
      <rPr>
        <sz val="14"/>
        <rFont val="Calibri"/>
        <family val="2"/>
        <scheme val="minor"/>
      </rPr>
      <t xml:space="preserve">
</t>
    </r>
    <r>
      <rPr>
        <strike/>
        <sz val="14"/>
        <rFont val="Calibri"/>
        <family val="2"/>
        <scheme val="minor"/>
      </rPr>
      <t>23/09/2025</t>
    </r>
    <r>
      <rPr>
        <sz val="14"/>
        <rFont val="Calibri"/>
        <family val="2"/>
        <scheme val="minor"/>
      </rPr>
      <t xml:space="preserve">
11/10/2025</t>
    </r>
  </si>
  <si>
    <r>
      <rPr>
        <strike/>
        <sz val="14"/>
        <rFont val="Calibri"/>
        <family val="2"/>
        <scheme val="minor"/>
      </rPr>
      <t>09/10/2025</t>
    </r>
    <r>
      <rPr>
        <sz val="14"/>
        <rFont val="Calibri"/>
        <family val="2"/>
        <scheme val="minor"/>
      </rPr>
      <t xml:space="preserve">
17/10/2025</t>
    </r>
  </si>
  <si>
    <t>Ongoing 08/10/2025</t>
  </si>
  <si>
    <t>Monster Original 500ML CANS- 3920
Monster Ultra White  - 240</t>
  </si>
  <si>
    <t>MSC GUERNSEY V ZF538R</t>
  </si>
  <si>
    <t>MSC</t>
  </si>
  <si>
    <t xml:space="preserve">CMA CGM </t>
  </si>
  <si>
    <t xml:space="preserve">PIP DONE
To proceed with RFP
</t>
  </si>
  <si>
    <t>PIP DONE
Quantity increase from 30 to 90 units for Ginger Ale as per DP
Supplier to advise if the total quatity of 90 units will be included on Domna or it will be only 30units
To proceed with RFP</t>
  </si>
  <si>
    <t>MSC JOANNA V.IP543R</t>
  </si>
  <si>
    <t>MAWB: 239-24741835
RFP under approval</t>
  </si>
  <si>
    <t>Ongoing 14/10/2025</t>
  </si>
  <si>
    <t>MALT LOT 5-156,860Kgs</t>
  </si>
  <si>
    <t>Malt Lot 6-155,490Kgs</t>
  </si>
  <si>
    <t>Malt Lot 10-359,996Kgs</t>
  </si>
  <si>
    <r>
      <t xml:space="preserve">08/10/2025
</t>
    </r>
    <r>
      <rPr>
        <sz val="14"/>
        <rFont val="Calibri"/>
        <family val="2"/>
        <scheme val="minor"/>
      </rPr>
      <t>15/10/2025</t>
    </r>
  </si>
  <si>
    <r>
      <rPr>
        <strike/>
        <sz val="14"/>
        <color theme="1"/>
        <rFont val="Calibri"/>
        <family val="2"/>
        <scheme val="minor"/>
      </rPr>
      <t>eta Singapore 08/09/2025-</t>
    </r>
    <r>
      <rPr>
        <sz val="14"/>
        <color theme="1"/>
        <rFont val="Calibri"/>
        <family val="2"/>
        <scheme val="minor"/>
      </rPr>
      <t xml:space="preserve"> due to operational constraints from Adelaide, our container has been rolled to next vessel as per below.
Booking confirmation - ADLPLU5518623V (VINGUARD LOGISTICS) 
TCLU3884095 Eta Singapore 3/10/2025
</t>
    </r>
    <r>
      <rPr>
        <sz val="14"/>
        <color rgb="FFFF0000"/>
        <rFont val="Calibri"/>
        <family val="2"/>
        <scheme val="minor"/>
      </rPr>
      <t>Maersk Shekou   delayed  in previous ports and congestion in Singapore.</t>
    </r>
  </si>
  <si>
    <r>
      <rPr>
        <strike/>
        <sz val="14"/>
        <rFont val="Calibri"/>
        <family val="2"/>
        <scheme val="minor"/>
      </rPr>
      <t xml:space="preserve">MSC AZOV / MA532R TBC </t>
    </r>
    <r>
      <rPr>
        <sz val="14"/>
        <rFont val="Calibri"/>
        <family val="2"/>
        <scheme val="minor"/>
      </rPr>
      <t xml:space="preserve">
</t>
    </r>
    <r>
      <rPr>
        <strike/>
        <sz val="14"/>
        <rFont val="Calibri"/>
        <family val="2"/>
        <scheme val="minor"/>
      </rPr>
      <t xml:space="preserve">MAERSK SHEKOU 535N
</t>
    </r>
    <r>
      <rPr>
        <sz val="14"/>
        <rFont val="Calibri"/>
        <family val="2"/>
        <scheme val="minor"/>
      </rPr>
      <t>MSC LONG BEACH VI ZF540A</t>
    </r>
  </si>
  <si>
    <t xml:space="preserve"> 06/10/2025</t>
  </si>
  <si>
    <t>FPO12608</t>
  </si>
  <si>
    <t>IPR147863</t>
  </si>
  <si>
    <t xml:space="preserve">
Monster ernergy original 500ml -9920
Monster Ultra White - 1440
Aussie Lemonade- 720
Pipeline Punch - 240</t>
  </si>
  <si>
    <t>N/A- 100% Advance Payment</t>
  </si>
  <si>
    <t>picked up on week 40 as per logistics</t>
  </si>
  <si>
    <t>On going 10/10/2025</t>
  </si>
  <si>
    <r>
      <rPr>
        <strike/>
        <sz val="14"/>
        <rFont val="Calibri"/>
        <family val="2"/>
        <scheme val="minor"/>
      </rPr>
      <t>CF ATHENA 541W</t>
    </r>
    <r>
      <rPr>
        <sz val="14"/>
        <rFont val="Calibri"/>
        <family val="2"/>
        <scheme val="minor"/>
      </rPr>
      <t xml:space="preserve">
CMA CGM GULF EXPRESS</t>
    </r>
  </si>
  <si>
    <t>FPO12614</t>
  </si>
  <si>
    <t>IPR147976</t>
  </si>
  <si>
    <t>CROWN CORK-PHOENIX BEER-XX-(BPA-NI)- 1,584,000
CROWN CORK-PLAIN HEALTH MESSAGE-XX-(BPA-NI)- 2,112,000
CROWN CORK-PEARONA-XX-(BPA-NI)- 528,000
CROWN CORK-BLUE MARLIN-XX-(BPA-NI)- 1,056,000</t>
  </si>
  <si>
    <t>FPO12617</t>
  </si>
  <si>
    <t>IPR147975</t>
  </si>
  <si>
    <t>FPO12616</t>
  </si>
  <si>
    <t>IPR147943</t>
  </si>
  <si>
    <t>FPO12626</t>
  </si>
  <si>
    <t>IPR147980</t>
  </si>
  <si>
    <t>FPO12631</t>
  </si>
  <si>
    <t>IPR147983</t>
  </si>
  <si>
    <t>CAN-PHOENIX REJUV-33CL-EXPORT (BPA-NI)- 560,160
CAN-BLUE MARLIN-33CL-EXPORT (REU/SEY) BPA-NI- 224,064</t>
  </si>
  <si>
    <t>FPO12628</t>
  </si>
  <si>
    <t>IPR147963</t>
  </si>
  <si>
    <t>FPO12630</t>
  </si>
  <si>
    <t>IPR147984</t>
  </si>
  <si>
    <t>ENDS-ALUMINIUM-DIA 202-BPA-NI (STANDARD OPENING)- 3,264,000</t>
  </si>
  <si>
    <t>FPO12632</t>
  </si>
  <si>
    <t>IPR148039</t>
  </si>
  <si>
    <t>FPO12633</t>
  </si>
  <si>
    <t>IPR148030</t>
  </si>
  <si>
    <t>PFILM- STRETCH-50CM/25MIC/1500M- 17,078</t>
  </si>
  <si>
    <t>LPO10019765</t>
  </si>
  <si>
    <t>IPR148057</t>
  </si>
  <si>
    <t>350ML PAPER LIDS X50
500ML PAPER LIDS X50</t>
  </si>
  <si>
    <t>LPO10019760</t>
  </si>
  <si>
    <t>IPR148054</t>
  </si>
  <si>
    <t>Crazy Paper Cup (Mtius) Ltd</t>
  </si>
  <si>
    <t>CUPS Jars 250ML- 90,000</t>
  </si>
  <si>
    <t>LPO10019788</t>
  </si>
  <si>
    <t>IPR147939</t>
  </si>
  <si>
    <t>LABEL- CRYSTAL BOPP CLR 1.5LT
LABEL- CRYSTAL BOPP CLR 1.0LT
LABEL- CRYSTAL BOPP CLR 0.5LT
SLEEVE- FUZE TEA PEACH 0.5LT
SLEEVE- FUZE TEA PEACH 1.5LT
SLEEVE- FUZE TEA APPLE LEMONGRASS 0.5LT
SLEEVE- FUZE TEA APPLE LEMONGRASS 1.5LT
SLEEVE- FUZE TEA MANGO CAMOMILE 0.5LT
SLEEVE- FUZE TEA MANGO CAMOMILE 1.5LT
SLEEVE- FUZE TEA MANGO BAOBAB 0.5LT
SLEEVE- FUZE TEA MANGO BAOBAB 1.5LT</t>
  </si>
  <si>
    <t>3,500,000
1,400,000
1,300,000
900,000
350,000
100,000
100,000
300,000
200,000
50,000
50,000</t>
  </si>
  <si>
    <t>LPO10019787</t>
  </si>
  <si>
    <t>IPR148038</t>
  </si>
  <si>
    <t>LPO10019786</t>
  </si>
  <si>
    <t>IPR148031</t>
  </si>
  <si>
    <t>LPO10019784</t>
  </si>
  <si>
    <t>IPR147964</t>
  </si>
  <si>
    <t>3,000
1,500
1,000</t>
  </si>
  <si>
    <t xml:space="preserve">PFILM-PHOENIX 33CL - 11,129 UNITS </t>
  </si>
  <si>
    <t>MALT-Lot 7-156,970Kgs</t>
  </si>
  <si>
    <t>CROWN CORK-PHOENIX BEER-XX-(BPA-NI)- 2,746,000
CROWN CORK-PLAIN HEALTH MESSAGE-XX-(BPA-NI) - 517,000
CROWN CORK-GUINNESS-XX-(BPA-NI) - 513,000
CROWN CORK-BLUE MARLIN-XX-(BPA-NI) -457,000
CROWN CORK-PHOENIX PANACHE-XX-(BPA-NI)- 528,000</t>
  </si>
  <si>
    <t>LPO10019770</t>
  </si>
  <si>
    <t>IPR147944</t>
  </si>
  <si>
    <t>LPO10019771</t>
  </si>
  <si>
    <t>IPR147994</t>
  </si>
  <si>
    <t>LPO10019772</t>
  </si>
  <si>
    <t>IPR147995</t>
  </si>
  <si>
    <t>LPO10019773</t>
  </si>
  <si>
    <t>IPR148001</t>
  </si>
  <si>
    <t>LPO10019774</t>
  </si>
  <si>
    <t>IPR148003</t>
  </si>
  <si>
    <t>LPO10019775</t>
  </si>
  <si>
    <t>IPR148005</t>
  </si>
  <si>
    <t>LPO10019777</t>
  </si>
  <si>
    <t>IPR148007</t>
  </si>
  <si>
    <t>LPO10019778</t>
  </si>
  <si>
    <t>IPR148009</t>
  </si>
  <si>
    <t>LPO10019779</t>
  </si>
  <si>
    <t>IPR147998</t>
  </si>
  <si>
    <t>INTERNATIONAL DISTILLERS  LTD</t>
  </si>
  <si>
    <t>LPO10019780</t>
  </si>
  <si>
    <t>IPR148006</t>
  </si>
  <si>
    <t>LPO10019781</t>
  </si>
  <si>
    <t>IPR147960</t>
  </si>
  <si>
    <t>25
25
75
450</t>
  </si>
  <si>
    <t>LPO10019782</t>
  </si>
  <si>
    <t>IPR147962</t>
  </si>
  <si>
    <t>ESKI- ASPARTAME
ESKI- ACESULFAME
SODIUM BENZOATE-XX-XX-FOOD GRADE
ESKI- CITRIC ACID ANHYDROUS
ESKI- CREAM SODA PMP(GREEN COLOUR)
ESKI- CARMOISINE GRANULA(RED COLOUR)</t>
  </si>
  <si>
    <t>50
50
125
650
10
20</t>
  </si>
  <si>
    <t>FPO12619</t>
  </si>
  <si>
    <t>IPR147958</t>
  </si>
  <si>
    <t>FPO12612</t>
  </si>
  <si>
    <t>IPR147736</t>
  </si>
  <si>
    <t>Le Grand Ballon Gamay 750ML- 900
Le Grand Ballon Sauvignon 750ML- 450
Le Grand Ballon Touraine Rose 750ml- 750</t>
  </si>
  <si>
    <t>FPO12615</t>
  </si>
  <si>
    <t>IPR147783</t>
  </si>
  <si>
    <t>Angel Tears White 750Ml- 720
Angel Tears red Cabernet Sauvignon-Merlot 750Ml- 600
ANGEL TEAR DRY ROSE 750ML- 600
Chocoholic Rge 750Ml- 600
la Vierge Nymphomane Rge 750Ml- 600
La Vierge Jezebelle White 750Ml- 600</t>
  </si>
  <si>
    <t>FPO12622</t>
  </si>
  <si>
    <t>IPR147762</t>
  </si>
  <si>
    <t>CAPE WINE COMPANY</t>
  </si>
  <si>
    <t>Arabica Pinotage Rge 2020 750ML- 120
Palate Collection Rose Blc 2021 750ML- 600
Palate Collection Shiraz Mourvedre 2021 750ML- 300</t>
  </si>
  <si>
    <t>FPO12613</t>
  </si>
  <si>
    <t>IPR147759</t>
  </si>
  <si>
    <t xml:space="preserve">SIX DOGS DISTILLERY </t>
  </si>
  <si>
    <t>SIX DOGS KAROO GIN 750 ML- 30
SIX DOGS BLUE GIN 750 ML- 240
Six Dogs Pinotage Stained Gin 750ML- 30</t>
  </si>
  <si>
    <t>FPO12627</t>
  </si>
  <si>
    <t>IPR147766</t>
  </si>
  <si>
    <t>BARKER &amp; QUIN FINEST INDIAN TONIC WATER 200 ML- 350
BARKER &amp; QUIN LIGHT OF THE HEAR TONIC WATER 200 ML- 150
BARKER &amp; QUIN HONEYBUSH ORANGE TONIC WATER 200 ML- 300
BARKER &amp; QUIN HIBISCUS TONIC WATER 200 ML- 350
BARKER &amp; QUIN MARULA TONIC WATER 200 ML- 150</t>
  </si>
  <si>
    <t>FPO12620</t>
  </si>
  <si>
    <t>IPR147782</t>
  </si>
  <si>
    <t>LAVENIR HORIZON PINOTAGE ROSE 750 ML- 120
LAVENIR HORIZON PINOTAGE ROUGE 750 ML- 360</t>
  </si>
  <si>
    <t>PIP done 19.08.2025
BL: MEDUW6255634</t>
  </si>
  <si>
    <t>Pip done and sent for Phytosanitary application.</t>
  </si>
  <si>
    <r>
      <rPr>
        <strike/>
        <sz val="14"/>
        <rFont val="Calibri"/>
        <family val="2"/>
        <scheme val="minor"/>
      </rPr>
      <t>MSC CLEA</t>
    </r>
    <r>
      <rPr>
        <sz val="14"/>
        <rFont val="Calibri"/>
        <family val="2"/>
        <scheme val="minor"/>
      </rPr>
      <t xml:space="preserve">
</t>
    </r>
    <r>
      <rPr>
        <strike/>
        <sz val="14"/>
        <rFont val="Calibri"/>
        <family val="2"/>
        <scheme val="minor"/>
      </rPr>
      <t>MSC ALTAMIRA</t>
    </r>
    <r>
      <rPr>
        <sz val="14"/>
        <rFont val="Calibri"/>
        <family val="2"/>
        <scheme val="minor"/>
      </rPr>
      <t xml:space="preserve">
MSC JOANNA IP543R</t>
    </r>
  </si>
  <si>
    <t>DP requested to postpone to December instead of November.
Supplier said not possible
BL: MEDUKQ123045</t>
  </si>
  <si>
    <t xml:space="preserve">
MSC AJACCIO MA537A</t>
  </si>
  <si>
    <r>
      <rPr>
        <strike/>
        <sz val="14"/>
        <rFont val="Calibri"/>
        <family val="2"/>
        <scheme val="minor"/>
      </rPr>
      <t>31/10/2025</t>
    </r>
    <r>
      <rPr>
        <sz val="14"/>
        <rFont val="Calibri"/>
        <family val="2"/>
        <scheme val="minor"/>
      </rPr>
      <t xml:space="preserve">
</t>
    </r>
    <r>
      <rPr>
        <strike/>
        <sz val="14"/>
        <rFont val="Calibri"/>
        <family val="2"/>
        <scheme val="minor"/>
      </rPr>
      <t>01/11/2025</t>
    </r>
    <r>
      <rPr>
        <sz val="14"/>
        <rFont val="Calibri"/>
        <family val="2"/>
        <scheme val="minor"/>
      </rPr>
      <t xml:space="preserve">
04/11/2025</t>
    </r>
  </si>
  <si>
    <t>Ongoing 22/10/2025</t>
  </si>
  <si>
    <t>CONC- ESKI VANILLA(CREAM SODA)- 75.97LT
CONC- ESKI ALMOND- 66.96LT</t>
  </si>
  <si>
    <r>
      <rPr>
        <strike/>
        <sz val="14"/>
        <rFont val="Calibri"/>
        <family val="2"/>
        <scheme val="minor"/>
      </rPr>
      <t xml:space="preserve">MSC ABIDJAN MA534A
</t>
    </r>
    <r>
      <rPr>
        <sz val="14"/>
        <rFont val="Calibri"/>
        <family val="2"/>
        <scheme val="minor"/>
      </rPr>
      <t xml:space="preserve">MSC ADELAIDE MA535A </t>
    </r>
  </si>
  <si>
    <r>
      <rPr>
        <strike/>
        <sz val="14"/>
        <rFont val="Calibri"/>
        <family val="2"/>
        <scheme val="minor"/>
      </rPr>
      <t xml:space="preserve">MSC ABIDJAN MA534A
</t>
    </r>
    <r>
      <rPr>
        <sz val="14"/>
        <rFont val="Calibri"/>
        <family val="2"/>
        <scheme val="minor"/>
      </rPr>
      <t>MSC ADELAIDE MA535A</t>
    </r>
    <r>
      <rPr>
        <strike/>
        <sz val="14"/>
        <rFont val="Calibri"/>
        <family val="2"/>
        <scheme val="minor"/>
      </rPr>
      <t xml:space="preserve">
</t>
    </r>
  </si>
  <si>
    <t>EK0701</t>
  </si>
  <si>
    <t xml:space="preserve">To follow 1st week of Oct 2025 with Hillebrand / Logistics
DELAY DUE TO ISSUE WITH FLOWBIN - LOGISTIC TO PROVIDE NEW ETD AND ETA </t>
  </si>
  <si>
    <t>f</t>
  </si>
  <si>
    <t xml:space="preserve"> 16/10/2025</t>
  </si>
  <si>
    <t>MSC ANTONIA ZF540R</t>
  </si>
  <si>
    <t>On going to confirm final date - to ship in Q1 2026 (AB)</t>
  </si>
  <si>
    <r>
      <t xml:space="preserve">1000 ML COKE RGB BOTTLES 
9 CONTAINERS - 234,122 units
4th </t>
    </r>
    <r>
      <rPr>
        <b/>
        <sz val="14"/>
        <rFont val="Calibri"/>
        <family val="2"/>
        <scheme val="minor"/>
      </rPr>
      <t xml:space="preserve"> SHIPMENT </t>
    </r>
    <r>
      <rPr>
        <sz val="14"/>
        <rFont val="Calibri"/>
        <family val="2"/>
        <scheme val="minor"/>
      </rPr>
      <t xml:space="preserve">
</t>
    </r>
  </si>
  <si>
    <t>RRD: Oct 25 - JR Postponed to ETA: Mid-Dec 25
BL no.MEDUFJ795634</t>
  </si>
  <si>
    <t>Booking no. ebkg14311744
BL no. MEDUXJ927367</t>
  </si>
  <si>
    <t>Booking no. ebkg14311744 
BL no. MEDUXJ927367</t>
  </si>
  <si>
    <t xml:space="preserve">FINISHED PRODUCTS: 01/10/2025
Grapetiser Red CAN 300ML-2430
</t>
  </si>
  <si>
    <r>
      <t xml:space="preserve">FINISHED PRODUCTS: 01/12/2025
</t>
    </r>
    <r>
      <rPr>
        <sz val="14"/>
        <color theme="1"/>
        <rFont val="Calibri"/>
        <family val="2"/>
        <scheme val="minor"/>
      </rPr>
      <t>Grapetiser Red CAN 300ML-6790
Appletiser CAN 300ML-500
Grapetiser Red NBT 275ML-2418</t>
    </r>
    <r>
      <rPr>
        <sz val="14"/>
        <color rgb="FFFF0000"/>
        <rFont val="Calibri"/>
        <family val="2"/>
        <scheme val="minor"/>
      </rPr>
      <t xml:space="preserve">
</t>
    </r>
    <r>
      <rPr>
        <sz val="14"/>
        <color theme="1"/>
        <rFont val="Calibri"/>
        <family val="2"/>
        <scheme val="minor"/>
      </rPr>
      <t>Appletiser NBT 275ML - 618</t>
    </r>
    <r>
      <rPr>
        <sz val="14"/>
        <color rgb="FFFF0000"/>
        <rFont val="Calibri"/>
        <family val="2"/>
        <scheme val="minor"/>
      </rPr>
      <t xml:space="preserve">
</t>
    </r>
  </si>
  <si>
    <t xml:space="preserve">FINISHED PRODUCTS: 01/11/2025
Grapetiser Red CAN 300ML-3560
Appletiser CAN 300ML-1300
</t>
  </si>
  <si>
    <r>
      <t>FINISHED PRODUCTS: 
Grapetiser Red CAN 300M</t>
    </r>
    <r>
      <rPr>
        <sz val="14"/>
        <color theme="1"/>
        <rFont val="Calibri"/>
        <family val="2"/>
        <scheme val="minor"/>
      </rPr>
      <t>L-4560</t>
    </r>
    <r>
      <rPr>
        <sz val="14"/>
        <rFont val="Calibri"/>
        <family val="2"/>
        <scheme val="minor"/>
      </rPr>
      <t xml:space="preserve">
</t>
    </r>
  </si>
  <si>
    <t xml:space="preserve">FINISHED PRODUCTS: 
Grapetiser Red CAN 300ML-5160
Appletiser CAN 300ML-4850
Grapetiser  NBT 750ml - 1038
</t>
  </si>
  <si>
    <r>
      <rPr>
        <strike/>
        <sz val="14"/>
        <rFont val="Calibri"/>
        <family val="2"/>
        <scheme val="minor"/>
      </rPr>
      <t>17/07/2025</t>
    </r>
    <r>
      <rPr>
        <sz val="14"/>
        <rFont val="Calibri"/>
        <family val="2"/>
        <scheme val="minor"/>
      </rPr>
      <t xml:space="preserve">
21/07/2025</t>
    </r>
  </si>
  <si>
    <t xml:space="preserve">FINISHED PRODUCTS: 
Grapetiser Red CAN 300ML-2430
Grapetiser 275ml- 3000
Appletiser 275ml- 1554
</t>
  </si>
  <si>
    <t xml:space="preserve">GRAPTISER RED NBT 750ML-1038
</t>
  </si>
  <si>
    <r>
      <rPr>
        <b/>
        <sz val="14"/>
        <rFont val="Calibri"/>
        <family val="2"/>
        <scheme val="minor"/>
      </rPr>
      <t>LOT 366 A</t>
    </r>
    <r>
      <rPr>
        <sz val="14"/>
        <rFont val="Calibri"/>
        <family val="2"/>
        <scheme val="minor"/>
      </rPr>
      <t xml:space="preserve">
Malta Guinness -   266,076 
Pearona DG -  378,108 
Phoenix Special DG -   378,108 </t>
    </r>
  </si>
  <si>
    <t xml:space="preserve">MSC Jersey </t>
  </si>
  <si>
    <t>Container No. CAAU9156159 ( Maersk)</t>
  </si>
  <si>
    <t>BL no . MEDUKQ137326</t>
  </si>
  <si>
    <t xml:space="preserve">Stuffing completed </t>
  </si>
  <si>
    <t>Container no. UETU7677989</t>
  </si>
  <si>
    <t>MSC TOKYO MA539A</t>
  </si>
  <si>
    <t>MSC TAURUS VII ZF542A</t>
  </si>
  <si>
    <t>Bl no. MEDUG9723107</t>
  </si>
  <si>
    <t>MSC ANTONIA, ZF540R</t>
  </si>
  <si>
    <t>LCL - booking via FTL</t>
  </si>
  <si>
    <t>CMA CGM LOIRE 0NNMBE</t>
  </si>
  <si>
    <t>COLLECTION  -17/10/2025</t>
  </si>
  <si>
    <t>FPO12634</t>
  </si>
  <si>
    <t>IPR147742</t>
  </si>
  <si>
    <t>WINES- TC 5</t>
  </si>
  <si>
    <t>FPO12635</t>
  </si>
  <si>
    <t>IPR148069</t>
  </si>
  <si>
    <t>FPO12624</t>
  </si>
  <si>
    <t>IPR147764</t>
  </si>
  <si>
    <t>HARBOUR DRY GIN 750ML 43% ABV- 240
NAVY STRENGTH GIN 750ML 57% ABV- 60
LAVENDER FLAVORED GIN 750ML- 240
Hibiscus Flavoured Gin 750ml- 120
Elderflower Flavoured Gin 750ml- 120</t>
  </si>
  <si>
    <t>FPO12639</t>
  </si>
  <si>
    <t>IPR147724</t>
  </si>
  <si>
    <t>WINES- TC 4</t>
  </si>
  <si>
    <t>FPO12638</t>
  </si>
  <si>
    <t>IPR147685</t>
  </si>
  <si>
    <t>WINES- TC1</t>
  </si>
  <si>
    <t>FPO12637</t>
  </si>
  <si>
    <t>IPR147757</t>
  </si>
  <si>
    <t>WINES- TC6</t>
  </si>
  <si>
    <t>FPO12636</t>
  </si>
  <si>
    <t>IPR147698</t>
  </si>
  <si>
    <t>WINES- TC2</t>
  </si>
  <si>
    <t>FPO12621</t>
  </si>
  <si>
    <t>IPR147760</t>
  </si>
  <si>
    <t>LABEL 5 SCOTCH WHISKY 1 x 6 x- 1200
SCOTCH WHISKY LABEL 5 BOURBON Barrel 700ML- 300
SCOTCH WHISKY LABEL 5 PREMIUM BLACK 700ML- 600
Scotch Whisky Label 5- 900
Poliakov Vodka- 900
Whisky Label Premium 18 ans- 12</t>
  </si>
  <si>
    <t>FPO12618</t>
  </si>
  <si>
    <t>IPR147780</t>
  </si>
  <si>
    <t>OGIER ARTESIS ROUGE 750ML- 120
ROSE D'ETE 750ML- 1500
L'INEDIT MUSCAT SAUVIGNON MOELLEUX 750ML- 300
CANON DU MARECHAL SYRAH GRENACHE 750 ML- 60
Ogier St Joseph 750ml- 120
Beaulieu Cuvee Alexandre  750ml- 300</t>
  </si>
  <si>
    <t>FPO12623</t>
  </si>
  <si>
    <t>IPR147765</t>
  </si>
  <si>
    <t>Deutz Brut Classic- 3000
Deutz Rose 75cl- 600
Deutz Brut Classic Magnum- 30</t>
  </si>
  <si>
    <t>FPO12625</t>
  </si>
  <si>
    <t>IPR147767</t>
  </si>
  <si>
    <t>LINDEMANS BIN 95 SAUVIGNON BLANC 750ML- 60
LINDEMANS PREMIER SEL.SHIRAZ.CAB. 750ML- 1800
MATUA PINOT NOIR 750ML- 600
MATUA SAUVIGNON BLANC 750ML- 600</t>
  </si>
  <si>
    <t>FPO12645</t>
  </si>
  <si>
    <t>IPR148120</t>
  </si>
  <si>
    <t>LPO10019896</t>
  </si>
  <si>
    <t>IPR147721</t>
  </si>
  <si>
    <t>CILT MAURITIUS</t>
  </si>
  <si>
    <t>Corporate Membership Fee - Year 2025</t>
  </si>
  <si>
    <t>LPO10019898</t>
  </si>
  <si>
    <t>IPR148117</t>
  </si>
  <si>
    <t>PFILM-SHRINK-340MMX60MIC-400ML
PFILM-SHRINK-365MMX60MIC-500ML
PFILM-SHRINK-400MMX60MIC-1500ML</t>
  </si>
  <si>
    <t>1,000
12,000
5,000</t>
  </si>
  <si>
    <r>
      <rPr>
        <strike/>
        <sz val="14"/>
        <rFont val="Calibri"/>
        <family val="2"/>
        <scheme val="minor"/>
      </rPr>
      <t>11/10/2025</t>
    </r>
    <r>
      <rPr>
        <sz val="14"/>
        <rFont val="Calibri"/>
        <family val="2"/>
        <scheme val="minor"/>
      </rPr>
      <t xml:space="preserve">
</t>
    </r>
    <r>
      <rPr>
        <strike/>
        <sz val="14"/>
        <rFont val="Calibri"/>
        <family val="2"/>
        <scheme val="minor"/>
      </rPr>
      <t>24/10/2025</t>
    </r>
    <r>
      <rPr>
        <sz val="14"/>
        <rFont val="Calibri"/>
        <family val="2"/>
        <scheme val="minor"/>
      </rPr>
      <t xml:space="preserve">
26/10/2025</t>
    </r>
  </si>
  <si>
    <t>On going 23/10/2025</t>
  </si>
  <si>
    <t>WRONG GRN DONE , HARI TO REVERSE AND PROCESS GOOD GRN - 240 CASES AB SERO RECEIVED (NOT 240 CASES ULTRA WHITE)</t>
  </si>
  <si>
    <t xml:space="preserve">08/10/2025- GRN TO BE AMENDED </t>
  </si>
  <si>
    <t xml:space="preserve">Shipment &amp; Payment done </t>
  </si>
  <si>
    <t xml:space="preserve">PFI received - Payment done </t>
  </si>
  <si>
    <t xml:space="preserve">PFI received - Payment on going </t>
  </si>
  <si>
    <t>Awaiting PFI</t>
  </si>
  <si>
    <t>ITEM</t>
  </si>
  <si>
    <t xml:space="preserve">ORDER NO. </t>
  </si>
  <si>
    <t>STATUS</t>
  </si>
  <si>
    <t xml:space="preserve">REQUESTED RECEIPT DATE </t>
  </si>
  <si>
    <t>CAN-COCA COLA 33CL - 1,064,304 UNITS</t>
  </si>
  <si>
    <t>CAN PHOENIX BEER-33CL - 652,860 UNITS 
ENDS-ALUMINIUM DIA 202 LARGE OPENING - 652,860 UNITS</t>
  </si>
  <si>
    <t>CAN-PHOENIX BEER-33CL-XX - 560,160
ENDS-ALUMINIUM-DIA 202-LARGE OPENING - 560,160 UNITS</t>
  </si>
  <si>
    <t xml:space="preserve">CAN-PHOENIX BEER-33CL-XX- 560,160 UNITS </t>
  </si>
  <si>
    <t xml:space="preserve">ENDS-ALUMINIUM-DIA 202-BPA-NI (STANDARD OPENING)- 3,264,000 UNITS </t>
  </si>
  <si>
    <t>FPO12640</t>
  </si>
  <si>
    <t>IPR147723</t>
  </si>
  <si>
    <t>WINES-TC 3</t>
  </si>
  <si>
    <t xml:space="preserve">Hari to check Grn done </t>
  </si>
  <si>
    <t xml:space="preserve">17/10/2025 - Hari Sunkur to check grn </t>
  </si>
  <si>
    <t>MSC ANTONIA ZF535A</t>
  </si>
  <si>
    <t>MSC CHIARA X ZF542R</t>
  </si>
  <si>
    <r>
      <t xml:space="preserve">Hari Sunkur to assist with verifying the physical seal on container MSBU1413300 as there are 2 seal photos linked on container FTAU1511849  - </t>
    </r>
    <r>
      <rPr>
        <sz val="11"/>
        <color rgb="FFFF0000"/>
        <rFont val="Calibri"/>
        <family val="2"/>
        <scheme val="minor"/>
      </rPr>
      <t xml:space="preserve">Done , awt updates from Jaypal </t>
    </r>
  </si>
  <si>
    <t>LPO10019926</t>
  </si>
  <si>
    <t>IPR148171</t>
  </si>
  <si>
    <t>PRECIGRAPH LIMITED</t>
  </si>
  <si>
    <t>LABEL-PHOENIX REJUV-33CL-BACK
LABEL-PHOENIX REJUV-33CL-BODY
LABEL-PHOENIX REJUV-33CL-L/NECK
LABEL-BLUE MARLIN-65CL BACK
LABEL-BLUE MARLIN-50/65CL-BODY OVAL SHAPE ALU
LABEL-BLUE MARLIN-33/50/65CL- L/NECK
LABEL-BLUE MARLIN-33CL-BODY
LABEL-BLUE MARLIN-33CL BACK
LABEL-PEARONA-65CL-BACK
LABEL-PEARONA-65CL-BODY
LABEL-PEARONA-33CL/65CL-LONG NECK
LABEL-PEARONA-33CL-BACK
LABEL-PEARONA-33CL-BODY</t>
  </si>
  <si>
    <t>6,000,000
6,000,000
6,000,000
900,000
900,000
1,400,000
700,000
800,000
700,000
700,000
900,000
300,000
300,000</t>
  </si>
  <si>
    <t>LPO10019927</t>
  </si>
  <si>
    <t>IPR148175</t>
  </si>
  <si>
    <t>LABEL-PHOENIX SPECIALE-65CL-BODY
LABEL-PHOENIX SPECIALE-65CL-NECK
LABEL-PHOENIX SPECIALE-65CL-BACK
LABEL-GUINNESS-65CL-NECK
LABEL-GUINNESS-65CL-BACK
LABEL-GUINNESS-65CL-BODY
LABEL-GUINNESS-33CL-NECK
LABEL-GUINNESS-33CL-BACK
LABEL-GUINNESS-33CL-BODY
LABEL-PHOENIX PANACHE LEMON-33CL-BODY
LABEL-PHOENIX PANACHE LEMON-330/500ML-NECK
LABEL-PHOENIX PANACHE PEACH-33CL-BODY
LABEL-PHOENIX PANACHE PEACH-33CL-L/NECK
LABEL-PHOENIX PANACHE RED FRUITS-33CL-BODY
LABEL-PHOENIX PANACHE RED FRUITS-33CL-L/NECK
LABEL-PHOENIX PANACHE RED FRUITS-33CL-BACK
LABEL-PHOENIX PANACHE RED FRUITS-33CL-BACK EXPORT
LABEL-PHOENIX REJUV-33CL-BACK EXP(REUNION/FRANCE)
LABEL-PHOENIX REJUV-33CL-BODY EXPORT
LABEL-PHOENIX REJUV-33CL-L/NECK EXPORT</t>
  </si>
  <si>
    <t>250,000
250,000
200,000
150,000
200,000
200,000
200,000
200,000
200,000
50,000
50,000
100,000
50,000
150,000
50,000
50,000
50,000
100,000
100,000
100,000</t>
  </si>
  <si>
    <t>LPO10019915</t>
  </si>
  <si>
    <t>AB</t>
  </si>
  <si>
    <t>IPR147769</t>
  </si>
  <si>
    <t>SAINT AUBIN DISTRIBUTION LTEE</t>
  </si>
  <si>
    <t>Saint Aubin Rum Premium Gold 700ml
Saint Aubin Rum Premium Black 700ml
Saint Aubin Rum Extra Premium White 700ml
Saint Aubin Rum Extra Premium Vanilla 700ml
Saint Aubin Rum Extra Premium Coffee 700ml
Saint Aubin Rum Extra Premium Spiced 700ml
Saint Aubin Spirit Banana Flambee 500ml
Saint Aubin Spirit Caramel Beurre Salee 500ml
Saint Aubin Liqueur Coconut 700ml
Saint Aubin Liqueur Melon 700ml
Saint Aubin Liqueur Tamarin Chili 700ml</t>
  </si>
  <si>
    <t>48
12
72
60
24
36
60
72
120
90
48</t>
  </si>
  <si>
    <t>LPO10019928</t>
  </si>
  <si>
    <t>IPR148182</t>
  </si>
  <si>
    <t>CTRAY-PHOENIX REJUV-CAN-50CLX24</t>
  </si>
  <si>
    <t>LPO10019929</t>
  </si>
  <si>
    <t>IPR148183</t>
  </si>
  <si>
    <r>
      <rPr>
        <strike/>
        <sz val="14"/>
        <rFont val="Calibri"/>
        <family val="2"/>
        <scheme val="minor"/>
      </rPr>
      <t>03/11/2025</t>
    </r>
    <r>
      <rPr>
        <sz val="14"/>
        <rFont val="Calibri"/>
        <family val="2"/>
        <scheme val="minor"/>
      </rPr>
      <t xml:space="preserve">
07/11/2025</t>
    </r>
  </si>
  <si>
    <t>Order requested earlier, in 1st week of December as per DP. (ETA MRU 02/12/2025)
29.10.2025: Supplier facing port congestion will try to ship this week.
Booking No. 372IDB0074084</t>
  </si>
  <si>
    <t>MK0844</t>
  </si>
  <si>
    <t>MEDUKQ084981</t>
  </si>
  <si>
    <t>MSDU634118/0</t>
  </si>
  <si>
    <t>MEDU4567886</t>
  </si>
  <si>
    <t>17/10/25025</t>
  </si>
  <si>
    <r>
      <t xml:space="preserve">Container no. </t>
    </r>
    <r>
      <rPr>
        <b/>
        <sz val="14"/>
        <rFont val="Calibri"/>
        <family val="2"/>
        <scheme val="minor"/>
      </rPr>
      <t xml:space="preserve">TCKU625310 ( CMA CGM) </t>
    </r>
  </si>
  <si>
    <t>Requesting booking 27/10/2025</t>
  </si>
  <si>
    <t>End of OCT</t>
  </si>
  <si>
    <t xml:space="preserve"> CONTAINER NO. TGBU264304/3</t>
  </si>
  <si>
    <t>BL - MEDUKD972437</t>
  </si>
  <si>
    <t>MSC HERMES KC544A</t>
  </si>
  <si>
    <t>W/AROUND-PHOENIX REJUV-33CLX24 - 7534 units - LCL
W/AROUND-PHOENIX REJUV-33CLX15-(MPACT)- 700</t>
  </si>
  <si>
    <t>Beaujolais Villages Nouveau 750ml- 360
Beaujolais Villages Nouveau 750ml- 6</t>
  </si>
  <si>
    <t>n/a- 100% advance payment</t>
  </si>
  <si>
    <r>
      <rPr>
        <strike/>
        <sz val="14"/>
        <rFont val="Calibri"/>
        <family val="2"/>
        <scheme val="minor"/>
      </rPr>
      <t>21/10/2025</t>
    </r>
    <r>
      <rPr>
        <sz val="14"/>
        <rFont val="Calibri"/>
        <family val="2"/>
        <scheme val="minor"/>
      </rPr>
      <t xml:space="preserve">
30/10/2025</t>
    </r>
  </si>
  <si>
    <t>PIP done 19.08.2025
BL: MEDUW6291514</t>
  </si>
  <si>
    <t>Ongoing 28/10/2025</t>
  </si>
  <si>
    <r>
      <rPr>
        <strike/>
        <sz val="14"/>
        <rFont val="Calibri"/>
        <family val="2"/>
        <scheme val="minor"/>
      </rPr>
      <t>20/10/2025</t>
    </r>
    <r>
      <rPr>
        <sz val="14"/>
        <rFont val="Calibri"/>
        <family val="2"/>
        <scheme val="minor"/>
      </rPr>
      <t xml:space="preserve">
</t>
    </r>
    <r>
      <rPr>
        <strike/>
        <sz val="14"/>
        <rFont val="Calibri"/>
        <family val="2"/>
        <scheme val="minor"/>
      </rPr>
      <t>28/10/2025</t>
    </r>
    <r>
      <rPr>
        <sz val="14"/>
        <rFont val="Calibri"/>
        <family val="2"/>
        <scheme val="minor"/>
      </rPr>
      <t xml:space="preserve">
03/11/2025</t>
    </r>
  </si>
  <si>
    <r>
      <rPr>
        <b/>
        <sz val="14"/>
        <color rgb="FFFF0000"/>
        <rFont val="Calibri"/>
        <family val="2"/>
        <scheme val="minor"/>
      </rPr>
      <t xml:space="preserve">Payment done in xcess Acc dept </t>
    </r>
    <r>
      <rPr>
        <sz val="14"/>
        <rFont val="Calibri"/>
        <family val="2"/>
        <scheme val="minor"/>
      </rPr>
      <t xml:space="preserve">
BL. MEDUHQ996256</t>
    </r>
  </si>
  <si>
    <r>
      <rPr>
        <sz val="14"/>
        <color rgb="FF00B050"/>
        <rFont val="Calibri"/>
        <family val="2"/>
        <scheme val="minor"/>
      </rPr>
      <t>50 % ADVANCE  - 24,038.68</t>
    </r>
    <r>
      <rPr>
        <sz val="14"/>
        <rFont val="Calibri"/>
        <family val="2"/>
        <scheme val="minor"/>
      </rPr>
      <t xml:space="preserve">
</t>
    </r>
    <r>
      <rPr>
        <sz val="16"/>
        <color rgb="FF00B050"/>
        <rFont val="Calibri"/>
        <family val="2"/>
        <scheme val="minor"/>
      </rPr>
      <t>50 % ON SCAN BL - USD 7748.96- 15/10/2025</t>
    </r>
  </si>
  <si>
    <t>FPO12657</t>
  </si>
  <si>
    <t>IPR148173</t>
  </si>
  <si>
    <t>FPO12629</t>
  </si>
  <si>
    <t>IPR147770</t>
  </si>
  <si>
    <t>Chateau Peyrassol 2020 Cotes De Provence Rose 75cl- 180
Peyrassol Mediterranée 2020 Mediterranée  Rose75cl- 420</t>
  </si>
  <si>
    <t>LPO10020000</t>
  </si>
  <si>
    <t>IPR148185</t>
  </si>
  <si>
    <t>CERNOL LTD.</t>
  </si>
  <si>
    <t xml:space="preserve">HPCU2311990
Queried Logisits for clearance </t>
  </si>
  <si>
    <t xml:space="preserve">MSNU3520578
Queried Logisits for clearance </t>
  </si>
  <si>
    <r>
      <t xml:space="preserve">CMA CGM AQUABA / 0WY4QN1MA
CF ATHENA / </t>
    </r>
    <r>
      <rPr>
        <sz val="14"/>
        <rFont val="Calibri"/>
        <family val="2"/>
        <scheme val="minor"/>
      </rPr>
      <t>541W
 CMA CGM AQABA 546W</t>
    </r>
  </si>
  <si>
    <r>
      <t xml:space="preserve">09/
10/2025
19/10/2025
</t>
    </r>
    <r>
      <rPr>
        <sz val="14"/>
        <rFont val="Calibri"/>
        <family val="2"/>
        <scheme val="minor"/>
      </rPr>
      <t>11/11/2025</t>
    </r>
  </si>
  <si>
    <r>
      <t xml:space="preserve">17/10/2025
02/11/2025
</t>
    </r>
    <r>
      <rPr>
        <sz val="14"/>
        <rFont val="Calibri"/>
        <family val="2"/>
        <scheme val="minor"/>
      </rPr>
      <t>25/11/2025</t>
    </r>
  </si>
  <si>
    <r>
      <t xml:space="preserve">CMA CGM AQUABA / 0WY4QN1MA
</t>
    </r>
    <r>
      <rPr>
        <sz val="14"/>
        <rFont val="Calibri"/>
        <family val="2"/>
        <scheme val="minor"/>
      </rPr>
      <t xml:space="preserve"> CMA CGM AQABA 546W</t>
    </r>
  </si>
  <si>
    <t xml:space="preserve">GW on packing list and invoice differs </t>
  </si>
  <si>
    <t xml:space="preserve">1st Shipment
CANS - PHX BEER REJUV- 50 CL- 679,728 UNIT
ENDS ALU - DIA 202 - LARGE OPENING - 828,000 UNIT 
20x20 </t>
  </si>
  <si>
    <t>2nd Shipment
CANS - PHX BEER REJUV- 50 CL- 1,401,072 UNIT
ENDS ALU - DIA 202 - LARGE OPENING - 1,252,800 UNIT 
41x20</t>
  </si>
  <si>
    <t>SHANDONG ANGU SEALS AND PACKAGING CO LTD</t>
  </si>
  <si>
    <r>
      <t xml:space="preserve">There is a problem with the samples and it needs to be re submitted at custom in SA and tasted and it takes 2 working days for approval.
Issue resolved
</t>
    </r>
    <r>
      <rPr>
        <sz val="14"/>
        <color rgb="FFFF0000"/>
        <rFont val="Calibri"/>
        <family val="2"/>
        <scheme val="minor"/>
      </rPr>
      <t>Mc to approve RFP</t>
    </r>
  </si>
  <si>
    <t>MALT-Lot 10-53,100 Kgs</t>
  </si>
  <si>
    <t>CAN PHOENIX BEER - 50CL - REJUV - 707,472
CAN BLUE MARLIN - 50CL - 520,200
ENDS-ALUMINIUM-DIA 202-LARGE OPENING - 1,227,672</t>
  </si>
  <si>
    <t>MALT-Lot 11-305,694 Kgs</t>
  </si>
  <si>
    <r>
      <t xml:space="preserve">65 CL QUART ACL AMBER BOTTLE  -  775,800
</t>
    </r>
    <r>
      <rPr>
        <b/>
        <sz val="14"/>
        <rFont val="Calibri"/>
        <family val="2"/>
        <scheme val="minor"/>
      </rPr>
      <t xml:space="preserve">20 x 40' FCL - 3 RD LOT </t>
    </r>
  </si>
  <si>
    <r>
      <t xml:space="preserve">33 CL PLAIN AMBER BOTTLE  -  763,488  UNITS 
</t>
    </r>
    <r>
      <rPr>
        <b/>
        <sz val="14"/>
        <rFont val="Calibri"/>
        <family val="2"/>
        <scheme val="minor"/>
      </rPr>
      <t xml:space="preserve">11x 40' FCL - 3RD SHIPMENT </t>
    </r>
  </si>
  <si>
    <t>BULK WINE-  SWEET-XX-WHITE- 11,832.70LT</t>
  </si>
  <si>
    <t>BULK WINE-WINE SWEET-ROSE- 11,763.55LT</t>
  </si>
  <si>
    <t>FPO12658</t>
  </si>
  <si>
    <t>IPR148206</t>
  </si>
  <si>
    <t>Diageo Brands</t>
  </si>
  <si>
    <t>FPO12659</t>
  </si>
  <si>
    <t>IPR148210</t>
  </si>
  <si>
    <t>NATURAL FLAVOUR GRENADINE-XX-XX-XX-100KG</t>
  </si>
  <si>
    <t>FPO12661</t>
  </si>
  <si>
    <t>IPR148186</t>
  </si>
  <si>
    <t>CONC-PEARONA BASE-XX-XX-18,000LT</t>
  </si>
  <si>
    <t>FPO12662</t>
  </si>
  <si>
    <t>IPR148230</t>
  </si>
  <si>
    <r>
      <t xml:space="preserve">031CP0094996- transhipment via 
Coega, ZA eta Coega - 09/12/2025
</t>
    </r>
    <r>
      <rPr>
        <sz val="14"/>
        <color rgb="FFFF0000"/>
        <rFont val="Calibri"/>
        <family val="2"/>
        <scheme val="minor"/>
      </rPr>
      <t xml:space="preserve">SADC ISSUE SETTLED </t>
    </r>
  </si>
  <si>
    <t>MSC SOFIA CELESTE ZF543R</t>
  </si>
  <si>
    <t>LPO10020070</t>
  </si>
  <si>
    <t>IPR148321</t>
  </si>
  <si>
    <t>3,502,080
276,480
1,403,136</t>
  </si>
  <si>
    <t>LPO10020071</t>
  </si>
  <si>
    <t>IPR148323</t>
  </si>
  <si>
    <t>PREFORM- CLEAR-ALPLA 1881-32G($38.57+ Rs 1228.17)
PREFORM- CLEAR-ALPLA 1881-48G ($38.57+ Rs 1228.17)</t>
  </si>
  <si>
    <t>719,712
396,480</t>
  </si>
  <si>
    <t>LPO10020002</t>
  </si>
  <si>
    <t>IPR147196</t>
  </si>
  <si>
    <t>COROI MAURICE LTEE</t>
  </si>
  <si>
    <t>TRISODIUM CITRATE-XX-XX-FOOD GRADE
CITRIC ACID-XX-XX-FOOD GRADE MONOHYDRATE
CALCIUM CHLORIDE-XX-XX-FOOD GRADE
CALCIUM SULPHATE-XX-XX-FOOD GRADE
SUGAR GLUCOSE-XX-XX-DEXTROSE MONOHYDRATE</t>
  </si>
  <si>
    <t>1,000
4,000
1,300
125
1,200</t>
  </si>
  <si>
    <t>FPO12663</t>
  </si>
  <si>
    <t>IPR148232</t>
  </si>
  <si>
    <t>FPO12664</t>
  </si>
  <si>
    <t>IPR148233</t>
  </si>
  <si>
    <r>
      <rPr>
        <strike/>
        <sz val="14"/>
        <rFont val="Calibri"/>
        <family val="2"/>
        <scheme val="minor"/>
      </rPr>
      <t>07/10/2025</t>
    </r>
    <r>
      <rPr>
        <sz val="14"/>
        <rFont val="Calibri"/>
        <family val="2"/>
        <scheme val="minor"/>
      </rPr>
      <t xml:space="preserve">
</t>
    </r>
    <r>
      <rPr>
        <strike/>
        <sz val="14"/>
        <rFont val="Calibri"/>
        <family val="2"/>
        <scheme val="minor"/>
      </rPr>
      <t>17/10/2025</t>
    </r>
    <r>
      <rPr>
        <sz val="14"/>
        <rFont val="Calibri"/>
        <family val="2"/>
        <scheme val="minor"/>
      </rPr>
      <t xml:space="preserve">
</t>
    </r>
    <r>
      <rPr>
        <strike/>
        <sz val="14"/>
        <rFont val="Calibri"/>
        <family val="2"/>
        <scheme val="minor"/>
      </rPr>
      <t>27/10/2025</t>
    </r>
    <r>
      <rPr>
        <sz val="14"/>
        <rFont val="Calibri"/>
        <family val="2"/>
        <scheme val="minor"/>
      </rPr>
      <t xml:space="preserve">
</t>
    </r>
    <r>
      <rPr>
        <strike/>
        <sz val="14"/>
        <rFont val="Calibri"/>
        <family val="2"/>
        <scheme val="minor"/>
      </rPr>
      <t>31/10/2025</t>
    </r>
    <r>
      <rPr>
        <sz val="14"/>
        <rFont val="Calibri"/>
        <family val="2"/>
        <scheme val="minor"/>
      </rPr>
      <t xml:space="preserve">
</t>
    </r>
    <r>
      <rPr>
        <strike/>
        <sz val="14"/>
        <rFont val="Calibri"/>
        <family val="2"/>
        <scheme val="minor"/>
      </rPr>
      <t>30/10/2025</t>
    </r>
    <r>
      <rPr>
        <sz val="14"/>
        <rFont val="Calibri"/>
        <family val="2"/>
        <scheme val="minor"/>
      </rPr>
      <t xml:space="preserve">
03/11/2025
</t>
    </r>
  </si>
  <si>
    <t>Ongoing 03/11/2025</t>
  </si>
  <si>
    <r>
      <rPr>
        <strike/>
        <sz val="14"/>
        <rFont val="Calibri"/>
        <family val="2"/>
        <scheme val="minor"/>
      </rPr>
      <t>14/10/2025</t>
    </r>
    <r>
      <rPr>
        <sz val="14"/>
        <rFont val="Calibri"/>
        <family val="2"/>
        <scheme val="minor"/>
      </rPr>
      <t xml:space="preserve">
15/10/2025</t>
    </r>
  </si>
  <si>
    <t>Pip done
Booking Ref: 356SL1998404</t>
  </si>
  <si>
    <r>
      <rPr>
        <strike/>
        <sz val="14"/>
        <rFont val="Calibri"/>
        <family val="2"/>
        <scheme val="minor"/>
      </rPr>
      <t>10/10/2025</t>
    </r>
    <r>
      <rPr>
        <sz val="14"/>
        <rFont val="Calibri"/>
        <family val="2"/>
        <scheme val="minor"/>
      </rPr>
      <t xml:space="preserve">
</t>
    </r>
    <r>
      <rPr>
        <strike/>
        <sz val="14"/>
        <rFont val="Calibri"/>
        <family val="2"/>
        <scheme val="minor"/>
      </rPr>
      <t>31/10/2025</t>
    </r>
    <r>
      <rPr>
        <sz val="14"/>
        <rFont val="Calibri"/>
        <family val="2"/>
        <scheme val="minor"/>
      </rPr>
      <t xml:space="preserve">
</t>
    </r>
    <r>
      <rPr>
        <strike/>
        <sz val="14"/>
        <rFont val="Calibri"/>
        <family val="2"/>
        <scheme val="minor"/>
      </rPr>
      <t>30/10/2025</t>
    </r>
    <r>
      <rPr>
        <sz val="14"/>
        <rFont val="Calibri"/>
        <family val="2"/>
        <scheme val="minor"/>
      </rPr>
      <t xml:space="preserve">
03/11/2025</t>
    </r>
  </si>
  <si>
    <t>On going 03/11/2025</t>
  </si>
  <si>
    <t xml:space="preserve">DP requested to move order from Nov to Oct 25
Container No. MSNU6125197
</t>
  </si>
  <si>
    <r>
      <rPr>
        <strike/>
        <sz val="14"/>
        <rFont val="Calibri"/>
        <family val="2"/>
        <scheme val="minor"/>
      </rPr>
      <t>30/10/2025</t>
    </r>
    <r>
      <rPr>
        <sz val="14"/>
        <rFont val="Calibri"/>
        <family val="2"/>
        <scheme val="minor"/>
      </rPr>
      <t xml:space="preserve">
03/11/2025</t>
    </r>
  </si>
  <si>
    <t>On going 30/10/2025</t>
  </si>
  <si>
    <t>Booking details accepted by DP even RRD 01/11/2025</t>
  </si>
  <si>
    <r>
      <rPr>
        <strike/>
        <sz val="14"/>
        <rFont val="Calibri"/>
        <family val="2"/>
        <scheme val="minor"/>
      </rPr>
      <t>19.10.2025</t>
    </r>
    <r>
      <rPr>
        <sz val="14"/>
        <rFont val="Calibri"/>
        <family val="2"/>
        <scheme val="minor"/>
      </rPr>
      <t xml:space="preserve">
25.10.2025</t>
    </r>
  </si>
  <si>
    <r>
      <rPr>
        <strike/>
        <sz val="14"/>
        <rFont val="Calibri"/>
        <family val="2"/>
        <scheme val="minor"/>
      </rPr>
      <t>MSC MILAN</t>
    </r>
    <r>
      <rPr>
        <sz val="14"/>
        <rFont val="Calibri"/>
        <family val="2"/>
        <scheme val="minor"/>
      </rPr>
      <t xml:space="preserve">
MSC MARTINA MARIA IP541R</t>
    </r>
  </si>
  <si>
    <t>SUGAR WHITE-513,000KG</t>
  </si>
  <si>
    <t>SUGAR WHITE-486,000KG</t>
  </si>
  <si>
    <t>On going 29/10/2025</t>
  </si>
  <si>
    <r>
      <rPr>
        <strike/>
        <sz val="14"/>
        <rFont val="Calibri"/>
        <family val="2"/>
        <scheme val="minor"/>
      </rPr>
      <t>28/10/2025</t>
    </r>
    <r>
      <rPr>
        <sz val="14"/>
        <rFont val="Calibri"/>
        <family val="2"/>
        <scheme val="minor"/>
      </rPr>
      <t xml:space="preserve">
</t>
    </r>
    <r>
      <rPr>
        <strike/>
        <sz val="14"/>
        <rFont val="Calibri"/>
        <family val="2"/>
        <scheme val="minor"/>
      </rPr>
      <t>31/10/2025</t>
    </r>
    <r>
      <rPr>
        <sz val="14"/>
        <rFont val="Calibri"/>
        <family val="2"/>
        <scheme val="minor"/>
      </rPr>
      <t xml:space="preserve">
02/11/2025</t>
    </r>
  </si>
  <si>
    <t>Ongoing 02/10/2025</t>
  </si>
  <si>
    <t xml:space="preserve">BBASE- COKE-800
BBASE- COKE NO SUGAR( KAIZEN)-140
BBASE- COKE NO SUGAR POSTMIX-16
BBASE- SPRITE-560
BBASE- FANTA PASSION-128
BBASE- SCHWEPPE TONIC-32
BBASE- CRYSTAL WATER- WA12-1440
BBASE- DASANI WATER- WA64-96
CONC - FUZE TEA - MANGO BAOBAB-24
</t>
  </si>
  <si>
    <t>BL no. MEDUG9742594</t>
  </si>
  <si>
    <t xml:space="preserve">
MSC ALTAMIRA MA542A</t>
  </si>
  <si>
    <t>Bl no. MEDUG9738626</t>
  </si>
  <si>
    <t>MSC ALTAMIRA MA542A</t>
  </si>
  <si>
    <t>END NOV</t>
  </si>
  <si>
    <t>End Nov</t>
  </si>
  <si>
    <t>End Dec</t>
  </si>
  <si>
    <t>12.11.2025</t>
  </si>
  <si>
    <t>To follow with logistics on vessel details</t>
  </si>
  <si>
    <t>04.11.2025</t>
  </si>
  <si>
    <t>30.10.2025</t>
  </si>
  <si>
    <t>29.10.2025</t>
  </si>
  <si>
    <t>03.11.2025</t>
  </si>
  <si>
    <t>On going 04/11/2025</t>
  </si>
  <si>
    <t>25.10.2025</t>
  </si>
  <si>
    <t xml:space="preserve">30/01/2026
</t>
  </si>
  <si>
    <t>30/01/26</t>
  </si>
  <si>
    <r>
      <rPr>
        <strike/>
        <sz val="14"/>
        <rFont val="Calibri"/>
        <family val="2"/>
        <scheme val="minor"/>
      </rPr>
      <t>04/11/2025</t>
    </r>
    <r>
      <rPr>
        <sz val="14"/>
        <rFont val="Calibri"/>
        <family val="2"/>
        <scheme val="minor"/>
      </rPr>
      <t xml:space="preserve">
</t>
    </r>
    <r>
      <rPr>
        <strike/>
        <sz val="14"/>
        <rFont val="Calibri"/>
        <family val="2"/>
        <scheme val="minor"/>
      </rPr>
      <t>06/11/2025</t>
    </r>
    <r>
      <rPr>
        <sz val="14"/>
        <rFont val="Calibri"/>
        <family val="2"/>
        <scheme val="minor"/>
      </rPr>
      <t xml:space="preserve">
</t>
    </r>
    <r>
      <rPr>
        <strike/>
        <sz val="14"/>
        <rFont val="Calibri"/>
        <family val="2"/>
        <scheme val="minor"/>
      </rPr>
      <t>09/11/2025</t>
    </r>
    <r>
      <rPr>
        <sz val="14"/>
        <rFont val="Calibri"/>
        <family val="2"/>
        <scheme val="minor"/>
      </rPr>
      <t xml:space="preserve">
13/11/2025</t>
    </r>
  </si>
  <si>
    <t>On going 06/11/2025</t>
  </si>
  <si>
    <r>
      <rPr>
        <strike/>
        <sz val="14"/>
        <rFont val="Calibri"/>
        <family val="2"/>
        <scheme val="minor"/>
      </rPr>
      <t>MSC MARIA</t>
    </r>
    <r>
      <rPr>
        <sz val="14"/>
        <rFont val="Calibri"/>
        <family val="2"/>
        <scheme val="minor"/>
      </rPr>
      <t xml:space="preserve">
</t>
    </r>
    <r>
      <rPr>
        <strike/>
        <sz val="14"/>
        <rFont val="Calibri"/>
        <family val="2"/>
        <scheme val="minor"/>
      </rPr>
      <t>MSC SIMONA XA541A</t>
    </r>
    <r>
      <rPr>
        <sz val="14"/>
        <rFont val="Calibri"/>
        <family val="2"/>
        <scheme val="minor"/>
      </rPr>
      <t xml:space="preserve">
MSC MILA 3 KC546A
</t>
    </r>
  </si>
  <si>
    <t>MSC JOANNA</t>
  </si>
  <si>
    <t>Remaining balance of this order requested in 1st week of December as per DP. RRD was 15.11.2025
Finally all items to be received in November and DP accepted.
BL:MEDUW6385357</t>
  </si>
  <si>
    <t>CONC CIDER- 18,000LT</t>
  </si>
  <si>
    <r>
      <rPr>
        <strike/>
        <sz val="14"/>
        <rFont val="Calibri"/>
        <family val="2"/>
        <scheme val="minor"/>
      </rPr>
      <t>VALDIVIA RA543R</t>
    </r>
    <r>
      <rPr>
        <sz val="14"/>
        <rFont val="Calibri"/>
        <family val="2"/>
        <scheme val="minor"/>
      </rPr>
      <t xml:space="preserve">
</t>
    </r>
    <r>
      <rPr>
        <strike/>
        <sz val="14"/>
        <rFont val="Calibri"/>
        <family val="2"/>
        <scheme val="minor"/>
      </rPr>
      <t>TROUPER ED541R</t>
    </r>
    <r>
      <rPr>
        <sz val="14"/>
        <rFont val="Calibri"/>
        <family val="2"/>
        <scheme val="minor"/>
      </rPr>
      <t xml:space="preserve">
MSC MAEVA IP545R</t>
    </r>
  </si>
  <si>
    <r>
      <rPr>
        <sz val="14"/>
        <color rgb="FF00B050"/>
        <rFont val="Calibri"/>
        <family val="2"/>
        <scheme val="minor"/>
      </rPr>
      <t>50% ADV -  EUR 44,687.60 ( 16/07/2025)</t>
    </r>
    <r>
      <rPr>
        <sz val="14"/>
        <rFont val="Calibri"/>
        <family val="2"/>
        <scheme val="minor"/>
      </rPr>
      <t xml:space="preserve">
</t>
    </r>
    <r>
      <rPr>
        <sz val="14"/>
        <color rgb="FF00B050"/>
        <rFont val="Calibri"/>
        <family val="2"/>
        <scheme val="minor"/>
      </rPr>
      <t>50% 45 DAYS INVOICE DATE -  EUR 42,910.60 (DUE- 06/11/2025)</t>
    </r>
  </si>
  <si>
    <t>Order moved from 02/2026 to 03/2026</t>
  </si>
  <si>
    <t xml:space="preserve">PREFORM-CRYSTAL BLUE 29/25-27GM- 550,000
1st Shipment </t>
  </si>
  <si>
    <t>Started: 22/10
ended: 05/11</t>
  </si>
  <si>
    <t>Started - 29.10.2025
Ended- 06.11.2025</t>
  </si>
  <si>
    <t xml:space="preserve">ADDITIONAL PAYMENT FOR  WINE ANALYSIS 
</t>
  </si>
  <si>
    <t>Immediate payemnt</t>
  </si>
  <si>
    <r>
      <rPr>
        <strike/>
        <sz val="14"/>
        <rFont val="Calibri"/>
        <family val="2"/>
        <scheme val="minor"/>
      </rPr>
      <t>02/11/2025</t>
    </r>
    <r>
      <rPr>
        <sz val="14"/>
        <rFont val="Calibri"/>
        <family val="2"/>
        <scheme val="minor"/>
      </rPr>
      <t xml:space="preserve">
</t>
    </r>
    <r>
      <rPr>
        <strike/>
        <sz val="14"/>
        <rFont val="Calibri"/>
        <family val="2"/>
        <scheme val="minor"/>
      </rPr>
      <t>30/10/2025</t>
    </r>
    <r>
      <rPr>
        <sz val="14"/>
        <rFont val="Calibri"/>
        <family val="2"/>
        <scheme val="minor"/>
      </rPr>
      <t xml:space="preserve">
</t>
    </r>
    <r>
      <rPr>
        <strike/>
        <sz val="14"/>
        <rFont val="Calibri"/>
        <family val="2"/>
        <scheme val="minor"/>
      </rPr>
      <t>07/11/2025</t>
    </r>
    <r>
      <rPr>
        <sz val="14"/>
        <rFont val="Calibri"/>
        <family val="2"/>
        <scheme val="minor"/>
      </rPr>
      <t xml:space="preserve">
08/11/2025</t>
    </r>
  </si>
  <si>
    <t>MALT-LOT 9 JOE WHITE PILSEN-XX-(AUSTRALIAN)- 52,500</t>
  </si>
  <si>
    <r>
      <rPr>
        <strike/>
        <sz val="14"/>
        <rFont val="Calibri"/>
        <family val="2"/>
        <scheme val="minor"/>
      </rPr>
      <t>MSC HEIDI MA534R</t>
    </r>
    <r>
      <rPr>
        <sz val="14"/>
        <rFont val="Calibri"/>
        <family val="2"/>
        <scheme val="minor"/>
      </rPr>
      <t xml:space="preserve">
</t>
    </r>
    <r>
      <rPr>
        <strike/>
        <sz val="14"/>
        <rFont val="Calibri"/>
        <family val="2"/>
        <scheme val="minor"/>
      </rPr>
      <t>MSC HERMES KC542A</t>
    </r>
    <r>
      <rPr>
        <sz val="14"/>
        <rFont val="Calibri"/>
        <family val="2"/>
        <scheme val="minor"/>
      </rPr>
      <t xml:space="preserve">
</t>
    </r>
    <r>
      <rPr>
        <strike/>
        <sz val="14"/>
        <rFont val="Calibri"/>
        <family val="2"/>
        <scheme val="minor"/>
      </rPr>
      <t>MSC HEIDI MA534R</t>
    </r>
    <r>
      <rPr>
        <sz val="14"/>
        <rFont val="Calibri"/>
        <family val="2"/>
        <scheme val="minor"/>
      </rPr>
      <t xml:space="preserve">
</t>
    </r>
    <r>
      <rPr>
        <strike/>
        <sz val="14"/>
        <rFont val="Calibri"/>
        <family val="2"/>
        <scheme val="minor"/>
      </rPr>
      <t>MSC HERMES KC544A</t>
    </r>
    <r>
      <rPr>
        <sz val="14"/>
        <rFont val="Calibri"/>
        <family val="2"/>
        <scheme val="minor"/>
      </rPr>
      <t xml:space="preserve">
MSC MILA 3 KC546A</t>
    </r>
  </si>
  <si>
    <r>
      <rPr>
        <strike/>
        <sz val="14"/>
        <rFont val="Calibri"/>
        <family val="2"/>
        <scheme val="minor"/>
      </rPr>
      <t>03/09/2025</t>
    </r>
    <r>
      <rPr>
        <sz val="14"/>
        <rFont val="Calibri"/>
        <family val="2"/>
        <scheme val="minor"/>
      </rPr>
      <t xml:space="preserve">
</t>
    </r>
    <r>
      <rPr>
        <strike/>
        <sz val="14"/>
        <rFont val="Calibri"/>
        <family val="2"/>
        <scheme val="minor"/>
      </rPr>
      <t>14/09/2025</t>
    </r>
    <r>
      <rPr>
        <sz val="14"/>
        <rFont val="Calibri"/>
        <family val="2"/>
        <scheme val="minor"/>
      </rPr>
      <t xml:space="preserve">
05/10/2025</t>
    </r>
  </si>
  <si>
    <r>
      <rPr>
        <strike/>
        <sz val="14"/>
        <rFont val="Calibri"/>
        <family val="2"/>
        <scheme val="minor"/>
      </rPr>
      <t>30/09/2025</t>
    </r>
    <r>
      <rPr>
        <sz val="14"/>
        <rFont val="Calibri"/>
        <family val="2"/>
        <scheme val="minor"/>
      </rPr>
      <t xml:space="preserve">
</t>
    </r>
    <r>
      <rPr>
        <strike/>
        <sz val="14"/>
        <rFont val="Calibri"/>
        <family val="2"/>
        <scheme val="minor"/>
      </rPr>
      <t>07/10/2025</t>
    </r>
    <r>
      <rPr>
        <sz val="14"/>
        <rFont val="Calibri"/>
        <family val="2"/>
        <scheme val="minor"/>
      </rPr>
      <t xml:space="preserve">
</t>
    </r>
    <r>
      <rPr>
        <strike/>
        <sz val="14"/>
        <rFont val="Calibri"/>
        <family val="2"/>
        <scheme val="minor"/>
      </rPr>
      <t>27/10/2025</t>
    </r>
    <r>
      <rPr>
        <sz val="14"/>
        <rFont val="Calibri"/>
        <family val="2"/>
        <scheme val="minor"/>
      </rPr>
      <t xml:space="preserve">
</t>
    </r>
    <r>
      <rPr>
        <strike/>
        <sz val="14"/>
        <rFont val="Calibri"/>
        <family val="2"/>
        <scheme val="minor"/>
      </rPr>
      <t>29/10/2025</t>
    </r>
    <r>
      <rPr>
        <sz val="14"/>
        <rFont val="Calibri"/>
        <family val="2"/>
        <scheme val="minor"/>
      </rPr>
      <t xml:space="preserve">
</t>
    </r>
    <r>
      <rPr>
        <strike/>
        <sz val="14"/>
        <rFont val="Calibri"/>
        <family val="2"/>
        <scheme val="minor"/>
      </rPr>
      <t>24/10/2025</t>
    </r>
    <r>
      <rPr>
        <sz val="14"/>
        <rFont val="Calibri"/>
        <family val="2"/>
        <scheme val="minor"/>
      </rPr>
      <t xml:space="preserve">
</t>
    </r>
    <r>
      <rPr>
        <strike/>
        <sz val="14"/>
        <rFont val="Calibri"/>
        <family val="2"/>
        <scheme val="minor"/>
      </rPr>
      <t>07/11/2025</t>
    </r>
    <r>
      <rPr>
        <sz val="14"/>
        <rFont val="Calibri"/>
        <family val="2"/>
        <scheme val="minor"/>
      </rPr>
      <t xml:space="preserve">
</t>
    </r>
    <r>
      <rPr>
        <strike/>
        <sz val="14"/>
        <rFont val="Calibri"/>
        <family val="2"/>
        <scheme val="minor"/>
      </rPr>
      <t>08/11/2025
12/11/2025</t>
    </r>
    <r>
      <rPr>
        <sz val="14"/>
        <rFont val="Calibri"/>
        <family val="2"/>
        <scheme val="minor"/>
      </rPr>
      <t xml:space="preserve">
</t>
    </r>
    <r>
      <rPr>
        <strike/>
        <sz val="14"/>
        <rFont val="Calibri"/>
        <family val="2"/>
        <scheme val="minor"/>
      </rPr>
      <t>14/11/2025</t>
    </r>
    <r>
      <rPr>
        <sz val="14"/>
        <rFont val="Calibri"/>
        <family val="2"/>
        <scheme val="minor"/>
      </rPr>
      <t xml:space="preserve">
15/11/2025</t>
    </r>
  </si>
  <si>
    <t>Ongoing 11/11/2025</t>
  </si>
  <si>
    <r>
      <rPr>
        <strike/>
        <sz val="14"/>
        <rFont val="Calibri"/>
        <family val="2"/>
        <scheme val="minor"/>
      </rPr>
      <t>05/11/2025</t>
    </r>
    <r>
      <rPr>
        <sz val="14"/>
        <rFont val="Calibri"/>
        <family val="2"/>
        <scheme val="minor"/>
      </rPr>
      <t xml:space="preserve">
13/11/2025</t>
    </r>
  </si>
  <si>
    <t>On going 11/11/2025</t>
  </si>
  <si>
    <t>Amended 1000Kgs to 500Kgs as per DP mail.
RFP under approval</t>
  </si>
  <si>
    <r>
      <rPr>
        <strike/>
        <sz val="14"/>
        <rFont val="Calibri"/>
        <family val="2"/>
        <scheme val="minor"/>
      </rPr>
      <t>02.11.2025</t>
    </r>
    <r>
      <rPr>
        <sz val="14"/>
        <rFont val="Calibri"/>
        <family val="2"/>
        <scheme val="minor"/>
      </rPr>
      <t xml:space="preserve">
12.11.2025</t>
    </r>
  </si>
  <si>
    <r>
      <rPr>
        <b/>
        <sz val="14"/>
        <rFont val="Calibri"/>
        <family val="2"/>
        <scheme val="minor"/>
      </rPr>
      <t>LOT 366 B</t>
    </r>
    <r>
      <rPr>
        <sz val="14"/>
        <rFont val="Calibri"/>
        <family val="2"/>
        <scheme val="minor"/>
      </rPr>
      <t xml:space="preserve">
Smirnoff Ice -   553,158 </t>
    </r>
  </si>
  <si>
    <t>BL no. MEDUOI220304</t>
  </si>
  <si>
    <r>
      <rPr>
        <b/>
        <sz val="14"/>
        <rFont val="Calibri"/>
        <family val="2"/>
        <scheme val="minor"/>
      </rPr>
      <t xml:space="preserve">LOT 2 </t>
    </r>
    <r>
      <rPr>
        <sz val="14"/>
        <rFont val="Calibri"/>
        <family val="2"/>
        <scheme val="minor"/>
      </rPr>
      <t xml:space="preserve">
PREFORM-CRYSTAL BLUE 29/25-23.5GM- 550,000
PREFORM-CRYSTAL BLUE 29/25-27GM- 1,650,000</t>
    </r>
  </si>
  <si>
    <t>MSC CHARLESTON ZF545A</t>
  </si>
  <si>
    <t>MAERSK SAN CHRISTOBAL</t>
  </si>
  <si>
    <t>Clearance obtained 12/11/2025</t>
  </si>
  <si>
    <t>Cleareance Obtained</t>
  </si>
  <si>
    <r>
      <t xml:space="preserve">01/11/2025
</t>
    </r>
    <r>
      <rPr>
        <sz val="14"/>
        <rFont val="Calibri"/>
        <family val="2"/>
        <scheme val="minor"/>
      </rPr>
      <t>05/11/2025</t>
    </r>
  </si>
  <si>
    <t xml:space="preserve">CMA CGM AQABA/546W </t>
  </si>
  <si>
    <t>Delivered on 13/11/2025</t>
  </si>
  <si>
    <t>empotage 10/11/2025</t>
  </si>
  <si>
    <r>
      <t xml:space="preserve">FINISHED PRODUCTS: 01/10/2025
Grapetiser Red CAN 300ML-2200( as per packing list) - </t>
    </r>
    <r>
      <rPr>
        <sz val="14"/>
        <color rgb="FFFF0000"/>
        <rFont val="Calibri"/>
        <family val="2"/>
        <scheme val="minor"/>
      </rPr>
      <t>to amend Po and cancel 10 cases</t>
    </r>
    <r>
      <rPr>
        <sz val="14"/>
        <rFont val="Calibri"/>
        <family val="2"/>
        <scheme val="minor"/>
      </rPr>
      <t xml:space="preserve"> 
</t>
    </r>
  </si>
  <si>
    <t>LPO10020320</t>
  </si>
  <si>
    <t>IPR148491</t>
  </si>
  <si>
    <t>CAPS- COKE PET RED 13-PLEASE REPLACE CAP
CAPS- COKE NO SUGAR BLACK 14-PLEASE REPLACE CAP
CAPS- SPRITE PET GREEN 96-PLEASE REPLACE CAP
CAPS- FANTA ORANGE PET BLUE 47-PLEASE REPLACE CAP
CAPS- SCHWEPPES PET YELLOW 87-PLEASE REPLACE CAP
CAPS- ESKI STRAWBERRY
CAPS- ESKI VANILLA
CAPS- ORANGINA ORIGINAL/REGULAR PULPE BLUE</t>
  </si>
  <si>
    <t>2,100,000
315,000
1,050,000
840,000
525,000
105,000
105,000
105,000</t>
  </si>
  <si>
    <t>MSC ACE II 
XA547A</t>
  </si>
  <si>
    <t>FINISHED PRODUCTS:
COCA COLA CAN 300ML-19498
FANTA ORANGE 300ML-2372 -</t>
  </si>
  <si>
    <t>FINISHED PRODUCTS:
COCA COLA CAN 300ML-2430</t>
  </si>
  <si>
    <t>FINISHED PRODUCTS:
COCA COLA CAN 300ML-12150</t>
  </si>
  <si>
    <t>FINISHED PRODUCTS:
FANTA ORANGE 300ML-2430</t>
  </si>
  <si>
    <t>MADAGASCAR ORDER :
Monster Energy Original 500ML CAN X 24-560
MONSTER ROSSI 500ml CAN X 24- 400
MONSTER ULTRA WHITE 500ML CANS X 24- 320
500ml Can Monster Mucho Loco- 320
500ml Can Monster Pipeline Punch x24- 160</t>
  </si>
  <si>
    <t>FPO12685</t>
  </si>
  <si>
    <t>IPR148489</t>
  </si>
  <si>
    <t>BA3943</t>
  </si>
  <si>
    <r>
      <t xml:space="preserve">100% ADVANCE PAYMENT- USD 66,826.05
</t>
    </r>
    <r>
      <rPr>
        <sz val="14"/>
        <color rgb="FF00B050"/>
        <rFont val="Calibri"/>
        <family val="2"/>
        <scheme val="minor"/>
      </rPr>
      <t>ADDITIONAL PAYMENT - USD 666.48
DUE- 31/10/2025</t>
    </r>
  </si>
  <si>
    <t xml:space="preserve">
MAWB : 125- 21276500</t>
  </si>
  <si>
    <r>
      <rPr>
        <strike/>
        <sz val="14"/>
        <rFont val="Calibri"/>
        <family val="2"/>
        <scheme val="minor"/>
      </rPr>
      <t>MS KOTKA</t>
    </r>
    <r>
      <rPr>
        <sz val="14"/>
        <rFont val="Calibri"/>
        <family val="2"/>
        <scheme val="minor"/>
      </rPr>
      <t xml:space="preserve">
MSC MAEVA IP545R</t>
    </r>
  </si>
  <si>
    <t>Kotka IP546R</t>
  </si>
  <si>
    <r>
      <t>R</t>
    </r>
    <r>
      <rPr>
        <sz val="16"/>
        <rFont val="Calibri"/>
        <family val="2"/>
        <scheme val="minor"/>
      </rPr>
      <t>eady for loading -Request booking date - 04/11/2025</t>
    </r>
    <r>
      <rPr>
        <sz val="14"/>
        <rFont val="Calibri"/>
        <family val="2"/>
        <scheme val="minor"/>
      </rPr>
      <t xml:space="preserve"> - stuffing ETD 24/11/2025</t>
    </r>
  </si>
  <si>
    <t>CMA CGM  - LHV3842668</t>
  </si>
  <si>
    <t>BL : MEDUP4312229</t>
  </si>
  <si>
    <t>MSC SKY II KC547A</t>
  </si>
  <si>
    <r>
      <rPr>
        <strike/>
        <sz val="14"/>
        <rFont val="Calibri"/>
        <family val="2"/>
        <scheme val="minor"/>
      </rPr>
      <t>04/11/2025</t>
    </r>
    <r>
      <rPr>
        <sz val="14"/>
        <rFont val="Calibri"/>
        <family val="2"/>
        <scheme val="minor"/>
      </rPr>
      <t xml:space="preserve">
</t>
    </r>
    <r>
      <rPr>
        <strike/>
        <sz val="14"/>
        <rFont val="Calibri"/>
        <family val="2"/>
        <scheme val="minor"/>
      </rPr>
      <t>06/11/2025</t>
    </r>
    <r>
      <rPr>
        <sz val="14"/>
        <rFont val="Calibri"/>
        <family val="2"/>
        <scheme val="minor"/>
      </rPr>
      <t xml:space="preserve">
</t>
    </r>
    <r>
      <rPr>
        <strike/>
        <sz val="14"/>
        <rFont val="Calibri"/>
        <family val="2"/>
        <scheme val="minor"/>
      </rPr>
      <t>09/11/2025</t>
    </r>
    <r>
      <rPr>
        <sz val="14"/>
        <rFont val="Calibri"/>
        <family val="2"/>
        <scheme val="minor"/>
      </rPr>
      <t xml:space="preserve">
14/11/2025</t>
    </r>
  </si>
  <si>
    <t>10/11/2025  delivered 
14/11/2025- GRN Done</t>
  </si>
  <si>
    <t>GRN DONE- 04/11/2025</t>
  </si>
  <si>
    <t>GRN DONE- 05/11/2025</t>
  </si>
  <si>
    <t>MAERSK SAN CHRISTOBAL V.544S ETA PTL 23RD NOV. 
TCKU7447769</t>
  </si>
  <si>
    <r>
      <t xml:space="preserve">Booking no. </t>
    </r>
    <r>
      <rPr>
        <b/>
        <sz val="14"/>
        <rFont val="Calibri"/>
        <family val="2"/>
        <scheme val="minor"/>
      </rPr>
      <t>CHP0184486</t>
    </r>
    <r>
      <rPr>
        <sz val="14"/>
        <rFont val="Calibri"/>
        <family val="2"/>
        <scheme val="minor"/>
      </rPr>
      <t xml:space="preserve"> - CMA CGM FUZHOU </t>
    </r>
  </si>
  <si>
    <t>CMA CGM FUZHOU / 0PNAFS1MA</t>
  </si>
  <si>
    <t>PFILM- STRETCH UV PROTECTED-50CM/25MIC/1500M- 1,035</t>
  </si>
  <si>
    <r>
      <rPr>
        <strike/>
        <sz val="14"/>
        <rFont val="Calibri"/>
        <family val="2"/>
        <scheme val="minor"/>
      </rPr>
      <t>27/11/2025</t>
    </r>
    <r>
      <rPr>
        <sz val="14"/>
        <rFont val="Calibri"/>
        <family val="2"/>
        <scheme val="minor"/>
      </rPr>
      <t xml:space="preserve">
</t>
    </r>
    <r>
      <rPr>
        <strike/>
        <sz val="14"/>
        <rFont val="Calibri"/>
        <family val="2"/>
        <scheme val="minor"/>
      </rPr>
      <t>27/11/2025</t>
    </r>
    <r>
      <rPr>
        <sz val="14"/>
        <rFont val="Calibri"/>
        <family val="2"/>
        <scheme val="minor"/>
      </rPr>
      <t xml:space="preserve">
</t>
    </r>
    <r>
      <rPr>
        <strike/>
        <sz val="14"/>
        <rFont val="Calibri"/>
        <family val="2"/>
        <scheme val="minor"/>
      </rPr>
      <t>30/11/2025</t>
    </r>
    <r>
      <rPr>
        <sz val="14"/>
        <rFont val="Calibri"/>
        <family val="2"/>
        <scheme val="minor"/>
      </rPr>
      <t xml:space="preserve">
02/12/2025</t>
    </r>
  </si>
  <si>
    <t>Ongoing 14/11/2025</t>
  </si>
  <si>
    <t>PIP done
Bill of Lading : MEDUW6378790</t>
  </si>
  <si>
    <t>Ongoing 17/11/2025</t>
  </si>
  <si>
    <t>N/A - 100% ADVANCE PAYMENT</t>
  </si>
  <si>
    <t>MSC LONG BEACH VI XA545A</t>
  </si>
  <si>
    <t xml:space="preserve">Pip done.
Damage of 1 Bag noted at PATS - Cargo delivered at PBL. Karishma to advise which product has been damage. Insurance ogoing
</t>
  </si>
  <si>
    <t xml:space="preserve">PIP done
BL:MEDUFI648504
</t>
  </si>
  <si>
    <t>PIP done - Phyto received</t>
  </si>
  <si>
    <t>MSC AZOV, MA544A</t>
  </si>
  <si>
    <t>20/11/25025</t>
  </si>
  <si>
    <t>ON GOING- 20/11/2025</t>
  </si>
  <si>
    <t>ON GOING -20/11/2025</t>
  </si>
  <si>
    <t>0/11/2025</t>
  </si>
  <si>
    <t xml:space="preserve">BOOKING NO. EBKG14730706 /MEDUKU103413
 </t>
  </si>
  <si>
    <t>Sample received &amp; validated - awaiting invoice</t>
  </si>
  <si>
    <t>Booking on going 18/11/2025</t>
  </si>
  <si>
    <t xml:space="preserve">
PREFORM-CRYSTAL BLUE 29/25-23.5GM- 550,000
PREFORM-CRYSTAL BLUE 29/25-27GM- 1,100,000
</t>
  </si>
  <si>
    <t>booking done awaiting BL - 24/11/2025</t>
  </si>
  <si>
    <t>BL - MEDUFI668189</t>
  </si>
  <si>
    <t>FPO12699</t>
  </si>
  <si>
    <t>IPR148871</t>
  </si>
  <si>
    <t xml:space="preserve">pick up done 20/11/2025
Awt shipping details </t>
  </si>
  <si>
    <t xml:space="preserve">Part of this order requested earlier as per DP.
Bank Guarantee received and sent to FTL.
BL: MEDUW6384962
</t>
  </si>
  <si>
    <t xml:space="preserve">Part of this order requested earlier as per DP.
BL: MEDUW6385076
</t>
  </si>
  <si>
    <r>
      <rPr>
        <strike/>
        <sz val="14"/>
        <rFont val="Calibri"/>
        <family val="2"/>
        <scheme val="minor"/>
      </rPr>
      <t>MSC PALERMO IS543A</t>
    </r>
    <r>
      <rPr>
        <sz val="14"/>
        <rFont val="Calibri"/>
        <family val="2"/>
        <scheme val="minor"/>
      </rPr>
      <t xml:space="preserve">
MSC HERMES KC548A</t>
    </r>
  </si>
  <si>
    <r>
      <rPr>
        <strike/>
        <sz val="14"/>
        <rFont val="Calibri"/>
        <family val="2"/>
        <scheme val="minor"/>
      </rPr>
      <t>27.10.2025</t>
    </r>
    <r>
      <rPr>
        <sz val="14"/>
        <rFont val="Calibri"/>
        <family val="2"/>
        <scheme val="minor"/>
      </rPr>
      <t xml:space="preserve">
</t>
    </r>
    <r>
      <rPr>
        <strike/>
        <sz val="14"/>
        <rFont val="Calibri"/>
        <family val="2"/>
        <scheme val="minor"/>
      </rPr>
      <t>31.10.2025</t>
    </r>
    <r>
      <rPr>
        <sz val="14"/>
        <rFont val="Calibri"/>
        <family val="2"/>
        <scheme val="minor"/>
      </rPr>
      <t xml:space="preserve">
</t>
    </r>
    <r>
      <rPr>
        <strike/>
        <sz val="14"/>
        <rFont val="Calibri"/>
        <family val="2"/>
        <scheme val="minor"/>
      </rPr>
      <t>05.11.2025</t>
    </r>
    <r>
      <rPr>
        <sz val="14"/>
        <rFont val="Calibri"/>
        <family val="2"/>
        <scheme val="minor"/>
      </rPr>
      <t xml:space="preserve">
</t>
    </r>
    <r>
      <rPr>
        <strike/>
        <sz val="14"/>
        <rFont val="Calibri"/>
        <family val="2"/>
        <scheme val="minor"/>
      </rPr>
      <t>08.11.2025</t>
    </r>
    <r>
      <rPr>
        <sz val="14"/>
        <rFont val="Calibri"/>
        <family val="2"/>
        <scheme val="minor"/>
      </rPr>
      <t xml:space="preserve">
</t>
    </r>
    <r>
      <rPr>
        <strike/>
        <sz val="14"/>
        <rFont val="Calibri"/>
        <family val="2"/>
        <scheme val="minor"/>
      </rPr>
      <t>12/11/2025
14/11/2025
23/11/2025</t>
    </r>
    <r>
      <rPr>
        <sz val="14"/>
        <rFont val="Calibri"/>
        <family val="2"/>
        <scheme val="minor"/>
      </rPr>
      <t xml:space="preserve">
22/11/2025</t>
    </r>
  </si>
  <si>
    <r>
      <rPr>
        <strike/>
        <sz val="14"/>
        <rFont val="Calibri"/>
        <family val="2"/>
        <scheme val="minor"/>
      </rPr>
      <t>13/11/2025</t>
    </r>
    <r>
      <rPr>
        <sz val="14"/>
        <rFont val="Calibri"/>
        <family val="2"/>
        <scheme val="minor"/>
      </rPr>
      <t xml:space="preserve">
</t>
    </r>
    <r>
      <rPr>
        <strike/>
        <sz val="14"/>
        <rFont val="Calibri"/>
        <family val="2"/>
        <scheme val="minor"/>
      </rPr>
      <t>22/11/2025</t>
    </r>
    <r>
      <rPr>
        <sz val="14"/>
        <rFont val="Calibri"/>
        <family val="2"/>
        <scheme val="minor"/>
      </rPr>
      <t xml:space="preserve">
25/11/2025</t>
    </r>
  </si>
  <si>
    <t>MSC Kotka, IP546R</t>
  </si>
  <si>
    <t>on going with FTL - To follow pick up</t>
  </si>
  <si>
    <t xml:space="preserve">Positionning of container on 21.11.2025- iso kit be added </t>
  </si>
  <si>
    <t>CLEARED - 17/11/2025</t>
  </si>
  <si>
    <t>LOT 11
MALT-HOLLAND PILSEN-XX-XX- 211,360KG</t>
  </si>
  <si>
    <t>LOT 12
MALT-BOORTMALT PILSEN-XX-(BELGIUM)- 172,000KG
MALT-BOORTMALT PILSEN-XX-(BELGIUM)- 48,998KG</t>
  </si>
  <si>
    <t>FPO12709</t>
  </si>
  <si>
    <t>IPR148930</t>
  </si>
  <si>
    <t>FPO12710</t>
  </si>
  <si>
    <t>IPR148882</t>
  </si>
  <si>
    <t>FPO12711</t>
  </si>
  <si>
    <t>IPR148883</t>
  </si>
  <si>
    <t>IPR148896</t>
  </si>
  <si>
    <t>FPO12712</t>
  </si>
  <si>
    <t>LPO10020602</t>
  </si>
  <si>
    <t>IPR148884</t>
  </si>
  <si>
    <t>ESKI- ASPARTAME
ESKI- ACESULFAME 
SODIUM BENZOATE-XX-XX-FOOD GRADE
ESKI- CITRIC ACID ANHYDROUS
ESKI- CREAM SODA PMP(GREEN COLOUR)
ESKI- CARMOISINE GRANULA(RED COLOUR)
ESKI- SUCRALOSE</t>
  </si>
  <si>
    <t>125
125
325
1900
30
20
10</t>
  </si>
  <si>
    <t>LPO10020601</t>
  </si>
  <si>
    <t>IPR148888</t>
  </si>
  <si>
    <t>PREFORM- CLEAR-ALPLA 1881-32G ($ 38.57 + RS 1228.17)
PREFORM- CLEAR-ALPLA 1881-48G ($ 57.85 + 1112.12)</t>
  </si>
  <si>
    <r>
      <rPr>
        <sz val="14"/>
        <color rgb="FF00B050"/>
        <rFont val="Calibri"/>
        <family val="2"/>
        <scheme val="minor"/>
      </rPr>
      <t>50 % ADVANCE  - 321,300 ( 03/07/2025)</t>
    </r>
    <r>
      <rPr>
        <sz val="14"/>
        <color rgb="FFFF0000"/>
        <rFont val="Calibri"/>
        <family val="2"/>
        <scheme val="minor"/>
      </rPr>
      <t xml:space="preserve">
</t>
    </r>
    <r>
      <rPr>
        <sz val="14"/>
        <color rgb="FF00B050"/>
        <rFont val="Calibri"/>
        <family val="2"/>
        <scheme val="minor"/>
      </rPr>
      <t>50 % ON SCAN BL - 107,100.00(due- 05/11/2025)</t>
    </r>
  </si>
  <si>
    <r>
      <rPr>
        <sz val="14"/>
        <color rgb="FF00B050"/>
        <rFont val="Calibri"/>
        <family val="2"/>
        <scheme val="minor"/>
      </rPr>
      <t>50% ADV- 37,964.24 ( 25/08/2025)</t>
    </r>
    <r>
      <rPr>
        <sz val="14"/>
        <rFont val="Calibri"/>
        <family val="2"/>
        <scheme val="minor"/>
      </rPr>
      <t xml:space="preserve">
</t>
    </r>
    <r>
      <rPr>
        <sz val="14"/>
        <color rgb="FF00B050"/>
        <rFont val="Calibri"/>
        <family val="2"/>
        <scheme val="minor"/>
      </rPr>
      <t>50% BL DATE- 37,964.21 - 24/11/2025</t>
    </r>
  </si>
  <si>
    <t>Container No. MSDU5742091
PAID IN ZAR</t>
  </si>
  <si>
    <t>BL :MEDUFX871512
Trasshipment 08/12/2025 Sri Lanka</t>
  </si>
  <si>
    <r>
      <rPr>
        <strike/>
        <sz val="14"/>
        <rFont val="Calibri"/>
        <family val="2"/>
        <scheme val="minor"/>
      </rPr>
      <t>04/12/2025</t>
    </r>
    <r>
      <rPr>
        <sz val="14"/>
        <rFont val="Calibri"/>
        <family val="2"/>
        <scheme val="minor"/>
      </rPr>
      <t xml:space="preserve">
03/12/2025</t>
    </r>
  </si>
  <si>
    <t>Container No. : SZLU9476310</t>
  </si>
  <si>
    <t>CLEARANCE  OBTAINED 24/11/2025</t>
  </si>
  <si>
    <t>LPO10020663</t>
  </si>
  <si>
    <t>PR</t>
  </si>
  <si>
    <t>IPR148974</t>
  </si>
  <si>
    <t>LABEL- SPRITE-0.5LT
LABEL- CRYSTAL SPARKLING-1LT</t>
  </si>
  <si>
    <t>1,300,000
300,000</t>
  </si>
  <si>
    <t>LPO10020665</t>
  </si>
  <si>
    <t>IPR148975</t>
  </si>
  <si>
    <t>LABELLING INDUSTRIES LTD
LABEL- SCHWP SOD- 0.5LT
LABEL- SCHWP G ALE-0.5LT
LABEL- ESKI ALMOND 2.25LT
LABEL- ESKI STRAWBERRY 2.25LT
LABEL- ESKI VANILLA 2.25LT</t>
  </si>
  <si>
    <t>150,000
50,000
200,000
100,000
100,000
100,000</t>
  </si>
  <si>
    <t xml:space="preserve">To Close PO </t>
  </si>
  <si>
    <t xml:space="preserve">MSC CAPUCINE R XA549A  </t>
  </si>
  <si>
    <t xml:space="preserve">
500ML CAN MONSTER PIPELINE PUNCH- 1,440 </t>
  </si>
  <si>
    <t xml:space="preserve">Monster Energy Original 500ML CAN- ordered 26,400 
500ML CAN MONSTER PIPELINE PUNCH- 320 </t>
  </si>
  <si>
    <t xml:space="preserve">Monster Energy Original 500ML CAN-1120
</t>
  </si>
  <si>
    <t>LPO10020672</t>
  </si>
  <si>
    <t>IPR149143</t>
  </si>
  <si>
    <t xml:space="preserve">CRYSTALASE </t>
  </si>
  <si>
    <t>Ongoing 02/12/2025</t>
  </si>
  <si>
    <t>ONGOING 28/11/2025</t>
  </si>
  <si>
    <t>FPO12715</t>
  </si>
  <si>
    <t>IPR149247</t>
  </si>
  <si>
    <t>45 DAYS INVOICE DATE+30 DAYS CREDIT</t>
  </si>
  <si>
    <t>BBASE- COKE-1504
BBASE- SPRITE-800
BBASE- CRYSTAL WATER- WA12-1080
As per SAP order No. 2001462540 dated 02/12/2025</t>
  </si>
  <si>
    <r>
      <rPr>
        <strike/>
        <sz val="14"/>
        <rFont val="Calibri"/>
        <family val="2"/>
        <scheme val="minor"/>
      </rPr>
      <t>11/11/2025</t>
    </r>
    <r>
      <rPr>
        <sz val="14"/>
        <rFont val="Calibri"/>
        <family val="2"/>
        <scheme val="minor"/>
      </rPr>
      <t xml:space="preserve">
</t>
    </r>
    <r>
      <rPr>
        <strike/>
        <sz val="14"/>
        <rFont val="Calibri"/>
        <family val="2"/>
        <scheme val="minor"/>
      </rPr>
      <t>18/11/2025</t>
    </r>
    <r>
      <rPr>
        <sz val="14"/>
        <rFont val="Calibri"/>
        <family val="2"/>
        <scheme val="minor"/>
      </rPr>
      <t xml:space="preserve">
</t>
    </r>
    <r>
      <rPr>
        <strike/>
        <sz val="14"/>
        <rFont val="Calibri"/>
        <family val="2"/>
        <scheme val="minor"/>
      </rPr>
      <t>29/11/2025</t>
    </r>
    <r>
      <rPr>
        <sz val="14"/>
        <rFont val="Calibri"/>
        <family val="2"/>
        <scheme val="minor"/>
      </rPr>
      <t xml:space="preserve">
</t>
    </r>
    <r>
      <rPr>
        <strike/>
        <sz val="14"/>
        <rFont val="Calibri"/>
        <family val="2"/>
        <scheme val="minor"/>
      </rPr>
      <t>01/12/2025</t>
    </r>
    <r>
      <rPr>
        <sz val="14"/>
        <rFont val="Calibri"/>
        <family val="2"/>
        <scheme val="minor"/>
      </rPr>
      <t xml:space="preserve">
</t>
    </r>
    <r>
      <rPr>
        <strike/>
        <sz val="14"/>
        <rFont val="Calibri"/>
        <family val="2"/>
        <scheme val="minor"/>
      </rPr>
      <t>30/11/2025</t>
    </r>
    <r>
      <rPr>
        <sz val="14"/>
        <rFont val="Calibri"/>
        <family val="2"/>
        <scheme val="minor"/>
      </rPr>
      <t xml:space="preserve">
02/12/2025</t>
    </r>
  </si>
  <si>
    <t>MSC FOLEGANDROS VI  ZF551R</t>
  </si>
  <si>
    <t>BL no. MEDUKU122215</t>
  </si>
  <si>
    <t>BL NO. MEDURQ046027</t>
  </si>
  <si>
    <r>
      <rPr>
        <b/>
        <sz val="14"/>
        <rFont val="Calibri"/>
        <family val="2"/>
        <scheme val="minor"/>
      </rPr>
      <t>LOT 366C</t>
    </r>
    <r>
      <rPr>
        <sz val="14"/>
        <rFont val="Calibri"/>
        <family val="2"/>
        <scheme val="minor"/>
      </rPr>
      <t xml:space="preserve">
Phoenix Beer DG -  1,526,436 
Blue Marlin DG -  21,006 
 Blue Marlin DG -  245,070 
ENDS-ALUMINIUM-DIA 202-LARGE OPENING-DG - 2,660,760
ENDS-ALUMINIUM-DIA 202-LARGE OPENING-HG - 805,230</t>
    </r>
  </si>
  <si>
    <r>
      <rPr>
        <b/>
        <sz val="14"/>
        <rFont val="Calibri"/>
        <family val="2"/>
        <scheme val="minor"/>
      </rPr>
      <t>LOT 366D</t>
    </r>
    <r>
      <rPr>
        <sz val="14"/>
        <rFont val="Calibri"/>
        <family val="2"/>
        <scheme val="minor"/>
      </rPr>
      <t xml:space="preserve">
Phoenix Special DG - 56,016
ENDS-ALUMINIUM-DIA 202-LARGE OPENING-DG - 2,660,760
ENDS-ALUMINIUM-DIA 202-LARGE OPENING-HG - 805,230</t>
    </r>
  </si>
  <si>
    <t>03//12/2025</t>
  </si>
  <si>
    <r>
      <rPr>
        <b/>
        <sz val="14"/>
        <rFont val="Calibri"/>
        <family val="2"/>
        <scheme val="minor"/>
      </rPr>
      <t>LOT 367 A</t>
    </r>
    <r>
      <rPr>
        <sz val="14"/>
        <rFont val="Calibri"/>
        <family val="2"/>
        <scheme val="minor"/>
      </rPr>
      <t xml:space="preserve">
CAN-MALTA GUINNESS-33CL-XX - HG- 805,230
CAN-SMIRNOFF ICE BLUE-33CL- (GUARANA) - HG-  322,092
ENDS-ALUMINIUM-DIA 202-LARGE OPENING- 1,127,322
ENDS-ALUMINIUM-DIA 202-LARGE OPENING- 539,154</t>
    </r>
  </si>
  <si>
    <r>
      <rPr>
        <b/>
        <sz val="14"/>
        <rFont val="Calibri"/>
        <family val="2"/>
        <scheme val="minor"/>
      </rPr>
      <t xml:space="preserve">LOT 367 B
</t>
    </r>
    <r>
      <rPr>
        <sz val="14"/>
        <rFont val="Calibri"/>
        <family val="2"/>
        <scheme val="minor"/>
      </rPr>
      <t>CAN-GUINNESS-33CL-XX - HG- 133,038</t>
    </r>
    <r>
      <rPr>
        <b/>
        <sz val="14"/>
        <rFont val="Calibri"/>
        <family val="2"/>
        <scheme val="minor"/>
      </rPr>
      <t xml:space="preserve">
</t>
    </r>
    <r>
      <rPr>
        <sz val="14"/>
        <rFont val="Calibri"/>
        <family val="2"/>
        <scheme val="minor"/>
      </rPr>
      <t xml:space="preserve">
</t>
    </r>
  </si>
  <si>
    <t xml:space="preserve">CAPS- FANTA ORANGE-RGB- 100,000
CAPS- COKE-RGB- 580,000
CAPS- COKE ZERO-RGB 1LT- 20,000
CAPS- SPRITE-RGB- 340,000
CAPS- FANTA PASSION-RGB- 20,000
</t>
  </si>
  <si>
    <t>FPO12713</t>
  </si>
  <si>
    <t>IPR149030</t>
  </si>
  <si>
    <t>Doelhler South Africa (Pty) Ltd</t>
  </si>
  <si>
    <t>CONC- CIDONA (APPLE BASE)-1000KG</t>
  </si>
  <si>
    <t>100% Advance payment</t>
  </si>
  <si>
    <t xml:space="preserve">03/12/2025- Goods received in agent's warehouse </t>
  </si>
  <si>
    <t>OSLO TRADER / 551W</t>
  </si>
  <si>
    <t xml:space="preserve"> Bl  LHV3831487 container CMAU4298114</t>
  </si>
  <si>
    <t xml:space="preserve">Divish wrogly nominated RDT,  New agent nominated (speed  Freight), awt pick up details  </t>
  </si>
  <si>
    <t>MEDU3905551</t>
  </si>
  <si>
    <t>KOTKA, IP546R</t>
  </si>
  <si>
    <t>03/12.2025</t>
  </si>
  <si>
    <t xml:space="preserve">BL: MEDUKD996642
Transshipment 27/10/2025-08/11/2025
</t>
  </si>
  <si>
    <r>
      <rPr>
        <strike/>
        <sz val="14"/>
        <rFont val="Calibri"/>
        <family val="2"/>
        <scheme val="minor"/>
      </rPr>
      <t>MSC ADELAIDE
MSC SKY II KC550A
KUMASI KC551A</t>
    </r>
    <r>
      <rPr>
        <sz val="14"/>
        <rFont val="Calibri"/>
        <family val="2"/>
        <scheme val="minor"/>
      </rPr>
      <t xml:space="preserve">
</t>
    </r>
    <r>
      <rPr>
        <strike/>
        <sz val="14"/>
        <rFont val="Calibri"/>
        <family val="2"/>
        <scheme val="minor"/>
      </rPr>
      <t>MSC ADELAIDE MA543R</t>
    </r>
    <r>
      <rPr>
        <sz val="14"/>
        <rFont val="Calibri"/>
        <family val="2"/>
        <scheme val="minor"/>
      </rPr>
      <t xml:space="preserve">
NAVARINO ZF548A</t>
    </r>
  </si>
  <si>
    <t>FPO12716</t>
  </si>
  <si>
    <t>IPR149141</t>
  </si>
  <si>
    <t>FLAVOUR EMULSION LEMON CLOUD-XX-XX-XX- 500KG</t>
  </si>
  <si>
    <t>LPO10020809</t>
  </si>
  <si>
    <t>IPR149294</t>
  </si>
  <si>
    <t>CLUSTER-PHOENIX PANACHE LEMON-33CLX6-XX</t>
  </si>
  <si>
    <t>LPO10020802</t>
  </si>
  <si>
    <t>IPR149295</t>
  </si>
  <si>
    <t>PFILM-CLEAR-520MMX65MIC-NON COATED(PACK X 24 CANS)</t>
  </si>
  <si>
    <t>LPO10020811</t>
  </si>
  <si>
    <t>IPR149307</t>
  </si>
  <si>
    <t>GLUE-AVANTRA PHC9202-XX-HOT MELT</t>
  </si>
  <si>
    <t>LPO10020807</t>
  </si>
  <si>
    <t>IPR149306</t>
  </si>
  <si>
    <t>LPO10020806</t>
  </si>
  <si>
    <t>IPR149304</t>
  </si>
  <si>
    <r>
      <rPr>
        <sz val="14"/>
        <color rgb="FF00B050"/>
        <rFont val="Calibri"/>
        <family val="2"/>
        <scheme val="minor"/>
      </rPr>
      <t>50% ADV -  EUR 44,687.60 ( 16/07/2025)</t>
    </r>
    <r>
      <rPr>
        <sz val="14"/>
        <rFont val="Calibri"/>
        <family val="2"/>
        <scheme val="minor"/>
      </rPr>
      <t xml:space="preserve">
</t>
    </r>
    <r>
      <rPr>
        <sz val="14"/>
        <color rgb="FF00B050"/>
        <rFont val="Calibri"/>
        <family val="2"/>
        <scheme val="minor"/>
      </rPr>
      <t xml:space="preserve">50% 45 DAYS INVOICE DATE -  </t>
    </r>
    <r>
      <rPr>
        <b/>
        <sz val="14"/>
        <color rgb="FF00B050"/>
        <rFont val="Calibri"/>
        <family val="2"/>
        <scheme val="minor"/>
      </rPr>
      <t>EUR 42,910.60 (DUE- 22/11/25)</t>
    </r>
  </si>
  <si>
    <r>
      <rPr>
        <sz val="14"/>
        <color rgb="FF00B050"/>
        <rFont val="Calibri"/>
        <family val="2"/>
        <scheme val="minor"/>
      </rPr>
      <t>50% Advance payment-USD 28,482.66- due 09/10/2025</t>
    </r>
    <r>
      <rPr>
        <sz val="14"/>
        <rFont val="Calibri"/>
        <family val="2"/>
        <scheme val="minor"/>
      </rPr>
      <t xml:space="preserve">
</t>
    </r>
    <r>
      <rPr>
        <sz val="14"/>
        <color rgb="FF00B050"/>
        <rFont val="Calibri"/>
        <family val="2"/>
        <scheme val="minor"/>
      </rPr>
      <t>50% NET 45 DAYS- USD 28,482.66 - 05/12/2025</t>
    </r>
  </si>
  <si>
    <t>BULK WINE- MERLOT -5100 LT</t>
  </si>
  <si>
    <t>MSC Roma</t>
  </si>
  <si>
    <t>MSC AZOV MA544A</t>
  </si>
  <si>
    <t>CORU2556399</t>
  </si>
  <si>
    <t>MEDU5806408</t>
  </si>
  <si>
    <t>petit rupture sur le TC 6 
sur la ref, 133112 (JP CHENET ICE EDITION BLANC 0% )  fournmisseur a  réussi à charger quelques bouteilles uniquement
lProchaine production étant le 27/11 
MEDU5806408</t>
  </si>
  <si>
    <t>FCIU4373553</t>
  </si>
  <si>
    <t>MAGU2264558</t>
  </si>
  <si>
    <t>CMA CGM AQABA, 550W</t>
  </si>
  <si>
    <t>Maersk Valvik 549W</t>
  </si>
  <si>
    <t>CMA CGM Aqaba V.550W</t>
  </si>
  <si>
    <t>FPO12717</t>
  </si>
  <si>
    <t>IPR149158</t>
  </si>
  <si>
    <t>DD Williamson (Pty) Ltd</t>
  </si>
  <si>
    <t>CARAMEL E150D-LIQUID 136-50Kg</t>
  </si>
  <si>
    <r>
      <rPr>
        <strike/>
        <sz val="14"/>
        <rFont val="Calibri"/>
        <family val="2"/>
        <scheme val="minor"/>
      </rPr>
      <t>02/12/2025</t>
    </r>
    <r>
      <rPr>
        <sz val="14"/>
        <rFont val="Calibri"/>
        <family val="2"/>
        <scheme val="minor"/>
      </rPr>
      <t xml:space="preserve">
11/12/2025</t>
    </r>
  </si>
  <si>
    <t>FPO12725</t>
  </si>
  <si>
    <t>IPR149244</t>
  </si>
  <si>
    <t>FPO12726</t>
  </si>
  <si>
    <t>IPR149041</t>
  </si>
  <si>
    <t>LPO10020877</t>
  </si>
  <si>
    <t>IPR149418</t>
  </si>
  <si>
    <t>CBOX- COKE BDB 24X30CL</t>
  </si>
  <si>
    <t>LPO10020825</t>
  </si>
  <si>
    <t>IPR149245</t>
  </si>
  <si>
    <t>PFILM-SHRINK-390MM X 60MIC
PFILM-SHRINK-340MM X 60MIC</t>
  </si>
  <si>
    <t>8,000
2,500</t>
  </si>
  <si>
    <t>LPO10020827</t>
  </si>
  <si>
    <t>IPR149195</t>
  </si>
  <si>
    <t>4,200,000
735,000
1,890,000
1,575,000
420,000
210,000
315,000
105,000
315,000
525,000</t>
  </si>
  <si>
    <t>LPO10020824</t>
  </si>
  <si>
    <t>IPR149286</t>
  </si>
  <si>
    <t>LPO10020823</t>
  </si>
  <si>
    <t>IPR149289</t>
  </si>
  <si>
    <t>3,000
7,000</t>
  </si>
  <si>
    <t>RRD: Oct 25 - JR Postponed to ETA: Mid-Dec 25
BL no. MEDUR6019620</t>
  </si>
  <si>
    <t>29/11//2025</t>
  </si>
  <si>
    <t>NAVARINO ZF548A</t>
  </si>
  <si>
    <t>MSC FOLEGANDROS VI ZF546A</t>
  </si>
  <si>
    <t xml:space="preserve">
MSC CHARLESTON ZF545A</t>
  </si>
  <si>
    <t>BL. NO MEDUTZ344846</t>
  </si>
  <si>
    <t>MSC GRENADA III JO546R</t>
  </si>
  <si>
    <t xml:space="preserve">Requested by mail </t>
  </si>
  <si>
    <t xml:space="preserve">15/12/2025  </t>
  </si>
  <si>
    <t>BL .no MEDURQ046027</t>
  </si>
  <si>
    <t xml:space="preserve">on going - validation of technical drawing  </t>
  </si>
  <si>
    <r>
      <rPr>
        <strike/>
        <sz val="14"/>
        <rFont val="Calibri"/>
        <family val="2"/>
        <scheme val="minor"/>
      </rPr>
      <t>06/12/2025</t>
    </r>
    <r>
      <rPr>
        <sz val="14"/>
        <rFont val="Calibri"/>
        <family val="2"/>
        <scheme val="minor"/>
      </rPr>
      <t xml:space="preserve">
12/12/2025</t>
    </r>
  </si>
  <si>
    <t>Please note that upon retrieval of MSDU4619518, seals differs and container cannot be retrieved.
Real seal FX40705436 as per attached picture
Logistic doing needful for manifest corrector..</t>
  </si>
  <si>
    <t>Grapetiser Red NBT 750ML -700 
Appletiser NBT 750ML -338</t>
  </si>
  <si>
    <t>60 DAYS INVOPICE DATE</t>
  </si>
  <si>
    <t xml:space="preserve">On going - Agent details to supplier </t>
  </si>
  <si>
    <t>MRKU9202475</t>
  </si>
  <si>
    <t>MSMU6129603</t>
  </si>
  <si>
    <t>MSC Christina</t>
  </si>
  <si>
    <t xml:space="preserve">BL:MEDUP4319661
</t>
  </si>
  <si>
    <t>Ongoing 12/12/2025</t>
  </si>
  <si>
    <r>
      <rPr>
        <strike/>
        <sz val="14"/>
        <rFont val="Calibri"/>
        <family val="2"/>
        <scheme val="minor"/>
      </rPr>
      <t>06/12/2025</t>
    </r>
    <r>
      <rPr>
        <sz val="14"/>
        <rFont val="Calibri"/>
        <family val="2"/>
        <scheme val="minor"/>
      </rPr>
      <t xml:space="preserve">
11/12/2025</t>
    </r>
  </si>
  <si>
    <t>Container: CAAU8154275</t>
  </si>
  <si>
    <r>
      <rPr>
        <strike/>
        <sz val="14"/>
        <rFont val="Calibri"/>
        <family val="2"/>
        <scheme val="minor"/>
      </rPr>
      <t>16/12/2025</t>
    </r>
    <r>
      <rPr>
        <sz val="14"/>
        <rFont val="Calibri"/>
        <family val="2"/>
        <scheme val="minor"/>
      </rPr>
      <t xml:space="preserve">
23/12/2025</t>
    </r>
  </si>
  <si>
    <t>PIP done &amp; sent to supplier
BL:MEDUGT703667</t>
  </si>
  <si>
    <t>Pip done.
Booking Ref: 356SL2003212</t>
  </si>
  <si>
    <t>MSC KERRY VII ZF5498R</t>
  </si>
  <si>
    <t>FPO12724</t>
  </si>
  <si>
    <t>IPR149298</t>
  </si>
  <si>
    <t>FPO12735</t>
  </si>
  <si>
    <t>IPR149506</t>
  </si>
  <si>
    <t>Plastic Sheets 1290 x 920 x 3.5mm-12,000</t>
  </si>
  <si>
    <t>FPO12736</t>
  </si>
  <si>
    <t>IPR149507</t>
  </si>
  <si>
    <t>Plastic Sheets 1290 x 920 x 3.5mm-6,000</t>
  </si>
  <si>
    <t>LPO10020979</t>
  </si>
  <si>
    <t>IPR149504</t>
  </si>
  <si>
    <t>SHEET-CARTON-920X1280MM-XX</t>
  </si>
  <si>
    <t>FPO12737</t>
  </si>
  <si>
    <t>IPR149467</t>
  </si>
  <si>
    <t>Dematech (Pty) Ltd.</t>
  </si>
  <si>
    <t>MALT-CARAPILS-XX-XX- 400
MALT-CARAAMBER-XX-XX- 100
MALT-CARARED-XX-XX- 100
MALT-VIENNA-XX-XX- 100
MALT-CARAAROMA-XX-XX- 50</t>
  </si>
  <si>
    <t xml:space="preserve">Plastic Sheets 1290 x 920 x 3.5mm - 12,000 UNITS </t>
  </si>
  <si>
    <t>Amortisation cost for spare parts</t>
  </si>
  <si>
    <t>Container no. FFAU5688218</t>
  </si>
  <si>
    <r>
      <rPr>
        <strike/>
        <sz val="14"/>
        <rFont val="Calibri"/>
        <family val="2"/>
        <scheme val="minor"/>
      </rPr>
      <t>20/12/2025</t>
    </r>
    <r>
      <rPr>
        <sz val="14"/>
        <rFont val="Calibri"/>
        <family val="2"/>
        <scheme val="minor"/>
      </rPr>
      <t xml:space="preserve">
</t>
    </r>
    <r>
      <rPr>
        <strike/>
        <sz val="14"/>
        <rFont val="Calibri"/>
        <family val="2"/>
        <scheme val="minor"/>
      </rPr>
      <t>23/12/2025</t>
    </r>
    <r>
      <rPr>
        <sz val="14"/>
        <rFont val="Calibri"/>
        <family val="2"/>
        <scheme val="minor"/>
      </rPr>
      <t xml:space="preserve">
20/12/2025</t>
    </r>
  </si>
  <si>
    <t>Ongoing 13/12/2025</t>
  </si>
  <si>
    <t>MALT-Lot 12-HOLLAND PILSEN-XX-XX- 105,520</t>
  </si>
  <si>
    <t>MSC MAUREEN, IP550R</t>
  </si>
  <si>
    <t xml:space="preserve">
300ml Can Appletiser- 2,430
Grapetiser Red NBT 275ML- 1518
Grapetiser Red NBT 750ML- 838
Appletiser NBT 750ML- 200</t>
  </si>
  <si>
    <t xml:space="preserve">no warehouse space </t>
  </si>
  <si>
    <r>
      <rPr>
        <strike/>
        <sz val="14"/>
        <rFont val="Calibri"/>
        <family val="2"/>
        <scheme val="minor"/>
      </rPr>
      <t>30.07.2025 :Currently awaiting Raw Materials at AEB premises ETA 03.08.2025</t>
    </r>
    <r>
      <rPr>
        <sz val="14"/>
        <rFont val="Calibri"/>
        <family val="2"/>
        <scheme val="minor"/>
      </rPr>
      <t xml:space="preserve">
initial RRD: 01.10.2025 - Demand planning requested to postpone delivery for beginning of November 2025
Batch has been accepted by DP
</t>
    </r>
  </si>
  <si>
    <t>Ongoing 18/12/2025</t>
  </si>
  <si>
    <t>MSC BEIJING IP549R</t>
  </si>
  <si>
    <t>FPO12761</t>
  </si>
  <si>
    <t>IPR149546</t>
  </si>
  <si>
    <t>Malteurop France S.A.</t>
  </si>
  <si>
    <t>30DAYS AFTER BL DATE</t>
  </si>
  <si>
    <t>FPO12760</t>
  </si>
  <si>
    <t>IPR149544</t>
  </si>
  <si>
    <t>FPO12759</t>
  </si>
  <si>
    <t>IPR149542</t>
  </si>
  <si>
    <t>Holland malt</t>
  </si>
  <si>
    <t>60DAYS INVOICE DATE</t>
  </si>
  <si>
    <t>FPO12758</t>
  </si>
  <si>
    <t>IPR149540</t>
  </si>
  <si>
    <t>FPO12757</t>
  </si>
  <si>
    <t>IPR149539</t>
  </si>
  <si>
    <t>FPO12756</t>
  </si>
  <si>
    <t>IPR149538</t>
  </si>
  <si>
    <t>FPO12755</t>
  </si>
  <si>
    <t>IPR149536</t>
  </si>
  <si>
    <t>FPO12754</t>
  </si>
  <si>
    <t>IPR149535</t>
  </si>
  <si>
    <t>IPR149606</t>
  </si>
  <si>
    <t>FPO12762</t>
  </si>
  <si>
    <t>MSC JAMBOREE XA550A</t>
  </si>
  <si>
    <t>BL no. MEDUFI684160</t>
  </si>
  <si>
    <t>BL no. MEDURQ073351</t>
  </si>
  <si>
    <t>Ongoing 19/12/2025</t>
  </si>
  <si>
    <r>
      <rPr>
        <strike/>
        <sz val="14"/>
        <rFont val="Calibri"/>
        <family val="2"/>
        <scheme val="minor"/>
      </rPr>
      <t xml:space="preserve">
MSC SKY II KC549A
MSC SILVA UX542R
MSC KATRINA UX541R</t>
    </r>
    <r>
      <rPr>
        <sz val="14"/>
        <rFont val="Calibri"/>
        <family val="2"/>
        <scheme val="minor"/>
      </rPr>
      <t xml:space="preserve">
</t>
    </r>
    <r>
      <rPr>
        <strike/>
        <sz val="14"/>
        <rFont val="Calibri"/>
        <family val="2"/>
        <scheme val="minor"/>
      </rPr>
      <t>MSC ALIZEE III SI545R</t>
    </r>
    <r>
      <rPr>
        <sz val="14"/>
        <rFont val="Calibri"/>
        <family val="2"/>
        <scheme val="minor"/>
      </rPr>
      <t xml:space="preserve">
MSC MILA 3 KC550A</t>
    </r>
  </si>
  <si>
    <t xml:space="preserve">Bank Guarantee received and sent to FTL.
</t>
  </si>
  <si>
    <t>CONC- ESKI STRAWBERRY- 24.295LT
SO 21495806</t>
  </si>
  <si>
    <t>CONC- ESKI VANILLA(CREAM SODA)- 75.97LT
CONC- ESKI ALMOND ( To be packed in 4 kgs)- 106.72LT
SO 21495805</t>
  </si>
  <si>
    <t>MSC ALBA F KB549R</t>
  </si>
  <si>
    <t>FPO12763</t>
  </si>
  <si>
    <t>IPR149547</t>
  </si>
  <si>
    <t>FPO12764</t>
  </si>
  <si>
    <t>IPR149553</t>
  </si>
  <si>
    <t>FPO12765</t>
  </si>
  <si>
    <t>IPR149576</t>
  </si>
  <si>
    <t>LOT 7
FINISHED PRODUCTS:
Monster ernergy original 500ml - 1760
500ml Can Monster Aussie Limonade-320</t>
  </si>
  <si>
    <t>LOT 6
FINISHED PRODUCTS:
Monster ernergy original 500ml - 26967
Monster Ultra White - 1760 
Monster Mucho Loco - 1760
500ml Can Monster Aussie Limonade-1513</t>
  </si>
  <si>
    <t xml:space="preserve">LOT 5
Monster ernergy original 500ml -640
</t>
  </si>
  <si>
    <t xml:space="preserve">LOT 6
FINISHED PRODUCTS:
Pipeline punch - 1760 
</t>
  </si>
  <si>
    <t xml:space="preserve">LOT 5
FINISHED PRODUCTS:
Monster ernergy original 500ml -26400
</t>
  </si>
  <si>
    <t xml:space="preserve">LOT 5
FINISHED PRODUCTS:
Monster ernergy original 500ml -24000
</t>
  </si>
  <si>
    <r>
      <rPr>
        <sz val="14"/>
        <color rgb="FF00B050"/>
        <rFont val="Calibri"/>
        <family val="2"/>
        <scheme val="minor"/>
      </rPr>
      <t>50 % ADVANCE  - 321,300 ( 03/07/2025)</t>
    </r>
    <r>
      <rPr>
        <sz val="14"/>
        <color rgb="FFFF0000"/>
        <rFont val="Calibri"/>
        <family val="2"/>
        <scheme val="minor"/>
      </rPr>
      <t xml:space="preserve">
</t>
    </r>
    <r>
      <rPr>
        <sz val="14"/>
        <color rgb="FF00B050"/>
        <rFont val="Calibri"/>
        <family val="2"/>
        <scheme val="minor"/>
      </rPr>
      <t>50 % ON SCAN BL - 116,100 (Due date: 23/12/2025)</t>
    </r>
  </si>
  <si>
    <t>105,000
4,797.37</t>
  </si>
  <si>
    <t>09/01/2026
27/01/2026</t>
  </si>
  <si>
    <t>90,000
4,797.37</t>
  </si>
  <si>
    <t>80,000
4,797.37</t>
  </si>
  <si>
    <t>BL NO, MEDURQ073351</t>
  </si>
  <si>
    <t>MSC UTMOST VIII ZF549A</t>
  </si>
  <si>
    <t>MSC HEIDI MA547A</t>
  </si>
  <si>
    <t>BL no. MEDUP4570685</t>
  </si>
  <si>
    <t>MSC AKITETA II KC551A</t>
  </si>
  <si>
    <t>APL COLUMBUS</t>
  </si>
  <si>
    <r>
      <t xml:space="preserve">ETA - end of Jan 26 - DP - 24/10/205
</t>
    </r>
    <r>
      <rPr>
        <sz val="14"/>
        <rFont val="Calibri"/>
        <family val="2"/>
        <scheme val="minor"/>
      </rPr>
      <t>Booking CMACGM - LHV3853208</t>
    </r>
  </si>
  <si>
    <t>Booking no,. CMACGM - LHV3877510</t>
  </si>
  <si>
    <t>MSC BANJUL IV HR549A</t>
  </si>
  <si>
    <t xml:space="preserve">ORICON ENTERPRISES LTD  ( GUALA CLOSURES) </t>
  </si>
  <si>
    <t>COCA COLA CAN 300 ML- 12,150
300ml Can Fanta Orange x24- 2,430</t>
  </si>
  <si>
    <t>Prosecco Extra Dry Fratelli Cosmo 750ML-2024-300
Terramene Primitivo Salento 750ml - 2024-300</t>
  </si>
  <si>
    <t>FPO12766</t>
  </si>
  <si>
    <t>IPR149550</t>
  </si>
  <si>
    <t>FPO12767</t>
  </si>
  <si>
    <t>IPR149578</t>
  </si>
  <si>
    <t>Esprit de Pavie 2019 Bordeaux Rouge- 600</t>
  </si>
  <si>
    <t>FPO12768</t>
  </si>
  <si>
    <t>IPR149581</t>
  </si>
  <si>
    <t>Touraine Sauvignon Blanc 750ml - 2024- 600</t>
  </si>
  <si>
    <t>FPO12769</t>
  </si>
  <si>
    <t>IPR149582</t>
  </si>
  <si>
    <t>Vins de Fontenille SAS</t>
  </si>
  <si>
    <t>Vins de Fontenille SAS- 600</t>
  </si>
  <si>
    <t>FPO12770</t>
  </si>
  <si>
    <t>IPR149583</t>
  </si>
  <si>
    <t>SAS Gilles Gelin</t>
  </si>
  <si>
    <t>FLEURIE DOMAINE DES NUGUES 750ML - 2024- 600
Morgon Domaine Des Nugues Rge 750ML-2023- 600</t>
  </si>
  <si>
    <t>FPO12771</t>
  </si>
  <si>
    <t>IPR149590</t>
  </si>
  <si>
    <t>VSPT Wine Group</t>
  </si>
  <si>
    <t>Bodega Tamari Varietal Malbec 750ML RED- 1,800
Bodega Tamari Varietal  750MLROSE- 1,800
Bodega Tamari Varietal Pinot Grigio 750MLWHITE- 1,800</t>
  </si>
  <si>
    <t>90 DAYS FROM BL DATE</t>
  </si>
  <si>
    <t>MALT-JOE WHITE PILSEN-XX-(AUSTRALIAN)- 52,500KG-Lot 11</t>
  </si>
  <si>
    <t>MALT-JOE WHITE PILSEN-XX-(AUSTRALIAN)- 52,500KG-Lot 10</t>
  </si>
  <si>
    <r>
      <rPr>
        <strike/>
        <sz val="14"/>
        <rFont val="Calibri"/>
        <family val="2"/>
        <scheme val="minor"/>
      </rPr>
      <t>15/12/2025</t>
    </r>
    <r>
      <rPr>
        <sz val="14"/>
        <rFont val="Calibri"/>
        <family val="2"/>
        <scheme val="minor"/>
      </rPr>
      <t xml:space="preserve">
24/12/2025</t>
    </r>
  </si>
  <si>
    <t>SHANDONG YUNCHENG - VALIENT</t>
  </si>
  <si>
    <t>MRSU6136388</t>
  </si>
  <si>
    <t>MALT-BOORTMALT PILSEN-XX-(BELGIUM)- 54,000KG-Lot 2</t>
  </si>
  <si>
    <t>MALT-LOT 13-(252,010kg)</t>
  </si>
  <si>
    <t>In store 7/12/2025</t>
  </si>
  <si>
    <t xml:space="preserve">60 DATE INVOICE DATE </t>
  </si>
  <si>
    <t>SUGAR-XX-WHITE-XX- 270,000 LOW WHITE QUALITY</t>
  </si>
  <si>
    <t>FPO12753</t>
  </si>
  <si>
    <t>IPR149534</t>
  </si>
  <si>
    <t>Cactus Craft (Pty) Ltd</t>
  </si>
  <si>
    <t>MALT CRISP-FLAKED TORREFIELD OATS-XX-UNMILLED
MALT CRISP-CARA MALT-XX-UNMILLED
MALT CRISP-CRYSTAL 240-XX-UNMILLED
MALT CRISP-LOW COLOR CHOCOLATE MALT-XX-XX-UNMILLED
MALT CRISP-CRYSTAL 400-XX-UNMILLED
MALT CRISP-FINEST MARIS OTTER ALE-XX-UNMILLED
LACTOSE POWDER-XX-XX-XX - 25kg x 50EA</t>
  </si>
  <si>
    <t>100% Advance</t>
  </si>
  <si>
    <t>MSC COTONOU</t>
  </si>
  <si>
    <t>MSC KERRY VII ZF549R</t>
  </si>
  <si>
    <t>MSC MAEVA IP606R</t>
  </si>
  <si>
    <r>
      <rPr>
        <strike/>
        <sz val="14"/>
        <rFont val="Calibri"/>
        <family val="2"/>
        <scheme val="minor"/>
      </rPr>
      <t>11/12/2025</t>
    </r>
    <r>
      <rPr>
        <sz val="14"/>
        <rFont val="Calibri"/>
        <family val="2"/>
        <scheme val="minor"/>
      </rPr>
      <t xml:space="preserve">
</t>
    </r>
    <r>
      <rPr>
        <strike/>
        <sz val="14"/>
        <rFont val="Calibri"/>
        <family val="2"/>
        <scheme val="minor"/>
      </rPr>
      <t>17/12/2025</t>
    </r>
    <r>
      <rPr>
        <sz val="14"/>
        <rFont val="Calibri"/>
        <family val="2"/>
        <scheme val="minor"/>
      </rPr>
      <t xml:space="preserve">
28/12/2025
</t>
    </r>
  </si>
  <si>
    <r>
      <rPr>
        <strike/>
        <sz val="14"/>
        <rFont val="Calibri"/>
        <family val="2"/>
        <scheme val="minor"/>
      </rPr>
      <t>MSC BEIJING</t>
    </r>
    <r>
      <rPr>
        <sz val="14"/>
        <rFont val="Calibri"/>
        <family val="2"/>
        <scheme val="minor"/>
      </rPr>
      <t xml:space="preserve">
</t>
    </r>
    <r>
      <rPr>
        <strike/>
        <sz val="14"/>
        <rFont val="Calibri"/>
        <family val="2"/>
        <scheme val="minor"/>
      </rPr>
      <t>APL COLUMBUS 0NNMTE</t>
    </r>
    <r>
      <rPr>
        <sz val="14"/>
        <rFont val="Calibri"/>
        <family val="2"/>
        <scheme val="minor"/>
      </rPr>
      <t xml:space="preserve">
</t>
    </r>
    <r>
      <rPr>
        <strike/>
        <sz val="14"/>
        <rFont val="Calibri"/>
        <family val="2"/>
        <scheme val="minor"/>
      </rPr>
      <t>MSC MAUREEN IP550R</t>
    </r>
    <r>
      <rPr>
        <sz val="14"/>
        <rFont val="Calibri"/>
        <family val="2"/>
        <scheme val="minor"/>
      </rPr>
      <t xml:space="preserve">
</t>
    </r>
    <r>
      <rPr>
        <strike/>
        <sz val="14"/>
        <rFont val="Calibri"/>
        <family val="2"/>
        <scheme val="minor"/>
      </rPr>
      <t xml:space="preserve">APL Columbus </t>
    </r>
    <r>
      <rPr>
        <sz val="14"/>
        <rFont val="Calibri"/>
        <family val="2"/>
        <scheme val="minor"/>
      </rPr>
      <t xml:space="preserve">
MSC MAUREEN IP550R</t>
    </r>
  </si>
  <si>
    <t>MSC MAEVA</t>
  </si>
  <si>
    <t xml:space="preserve">PIP done &amp; sent to supplier
</t>
  </si>
  <si>
    <t xml:space="preserve">BL:MEDU9789119
</t>
  </si>
  <si>
    <t>BL:MEDU9789119</t>
  </si>
  <si>
    <t>FPO12786</t>
  </si>
  <si>
    <t>IPR149580</t>
  </si>
  <si>
    <t>Collegiale des Domaines de Loire</t>
  </si>
  <si>
    <t>Gamay Rouge Les Lezards 750ML- 600
Brouilly Lea Perreux 750ML- 150</t>
  </si>
  <si>
    <t>60 Jours Enlevement</t>
  </si>
  <si>
    <t>sd</t>
  </si>
  <si>
    <t xml:space="preserve">MRSU6136388
</t>
  </si>
  <si>
    <t>MSKU5626013</t>
  </si>
  <si>
    <t>7 Janvier 2026</t>
  </si>
  <si>
    <t>07/01/26.</t>
  </si>
  <si>
    <t>FPO12788</t>
  </si>
  <si>
    <t>IPR148825</t>
  </si>
  <si>
    <t>CROWN CORK-PHOENIX BEER-XX-(BPA-NI)- 2,640,000
CROWN CORK-PLAIN HEALTH MESSAGE-XX-(BPA-NI)- 7,920,000</t>
  </si>
  <si>
    <t>IPR148324</t>
  </si>
  <si>
    <t>LPO10021307</t>
  </si>
  <si>
    <t>LABEL- FANTA PINEAPPLE 1.5LT NL3
LABEL- FANTA PINEAPPLE 0.5LT NL3</t>
  </si>
  <si>
    <t>300,000
500,000</t>
  </si>
  <si>
    <t>FPO12790</t>
  </si>
  <si>
    <t>IPR149815</t>
  </si>
  <si>
    <t>FPO12791</t>
  </si>
  <si>
    <t>IPR149811</t>
  </si>
  <si>
    <t>60 Days Inoice date</t>
  </si>
  <si>
    <r>
      <t xml:space="preserve">21/12/2025
07/02/2026
</t>
    </r>
    <r>
      <rPr>
        <sz val="14"/>
        <rFont val="Calibri"/>
        <family val="2"/>
        <scheme val="minor"/>
      </rPr>
      <t>06/01/2026</t>
    </r>
  </si>
  <si>
    <t xml:space="preserve">MK TO CHECK BALANCE PAYMENT STATUS </t>
  </si>
  <si>
    <t>LPO10021390</t>
  </si>
  <si>
    <t>IPR149910</t>
  </si>
  <si>
    <t>ASCORBIC ACID</t>
  </si>
  <si>
    <t>FPO12772</t>
  </si>
  <si>
    <t>IPR149584</t>
  </si>
  <si>
    <t>Merlet 3 citrons Triple Sec (boite de 6) 700ml- 48
NIKKA Coffey Grain Of 700ml- 30
NIKKA Coffey Malt Of 700ml- 30
FIREBALL 700ml- 30
SILENT POOL GIN 700ML- 18
NIKKA COFFEY VODKA 700ML- 50
NIKKA COFFEY GIN 700ML- 50
KING OF SCOTS BLEND 700ML- 36
NIKKA YOICHI NON AGE 700 ML- 50
Nikka Tailored 700ML- 20
Dassai 45 Junmai Daiginjo 720ml - 150
Laphoaig 10 Ans 700 ML- 12
Maker's Mark 700 ML- 48
KATORI 90 Junmai Kimoto Muroka By Tereda Honke- 84
Vodka Krupnik 40% 700ml- 24
FOC ITEMS :
NIKKA Coffey Grain Of 700ml - 6 UNITS
NIKKA Coffey Malt Of 700ml- 6 UNITS
NIKKA COFFEY VODKA 700ML-10 UNITS
NIKKA COFFEY GIN 700ML-10 UNITS
NIKKA YOICHI NON AGE 700 ML-10 UNITS
Nikka Tailored 700ML- 4 UNITS</t>
  </si>
  <si>
    <r>
      <rPr>
        <sz val="14"/>
        <color rgb="FF00B050"/>
        <rFont val="Calibri"/>
        <family val="2"/>
        <scheme val="minor"/>
      </rPr>
      <t>50% ADVANCE-  USD 1,197 (Due 12/11/2025)</t>
    </r>
    <r>
      <rPr>
        <sz val="14"/>
        <rFont val="Calibri"/>
        <family val="2"/>
        <scheme val="minor"/>
      </rPr>
      <t xml:space="preserve">
</t>
    </r>
    <r>
      <rPr>
        <sz val="14"/>
        <color rgb="FF00B050"/>
        <rFont val="Calibri"/>
        <family val="2"/>
        <scheme val="minor"/>
      </rPr>
      <t>50% 30 DAYS BL- USD 1,197 (DUE 07/01/26)</t>
    </r>
  </si>
  <si>
    <t>cleared 05/01/2026</t>
  </si>
  <si>
    <r>
      <rPr>
        <strike/>
        <sz val="14"/>
        <rFont val="Calibri"/>
        <family val="2"/>
        <scheme val="minor"/>
      </rPr>
      <t>MSC BEIJING IP549R</t>
    </r>
    <r>
      <rPr>
        <sz val="14"/>
        <rFont val="Calibri"/>
        <family val="2"/>
        <scheme val="minor"/>
      </rPr>
      <t xml:space="preserve">
MSC MAUREEN IP550R</t>
    </r>
  </si>
  <si>
    <r>
      <rPr>
        <strike/>
        <sz val="14"/>
        <rFont val="Calibri"/>
        <family val="2"/>
        <scheme val="minor"/>
      </rPr>
      <t>APL BOSTON 0NNMLE</t>
    </r>
    <r>
      <rPr>
        <sz val="14"/>
        <rFont val="Calibri"/>
        <family val="2"/>
        <scheme val="minor"/>
      </rPr>
      <t xml:space="preserve">
MSC HEIDI MA547A</t>
    </r>
  </si>
  <si>
    <t>APL NEW YORK 0NNMPE</t>
  </si>
  <si>
    <r>
      <rPr>
        <strike/>
        <sz val="14"/>
        <rFont val="Calibri"/>
        <family val="2"/>
        <scheme val="minor"/>
      </rPr>
      <t>20/12/2025</t>
    </r>
    <r>
      <rPr>
        <sz val="14"/>
        <rFont val="Calibri"/>
        <family val="2"/>
        <scheme val="minor"/>
      </rPr>
      <t xml:space="preserve">
26/12/2025</t>
    </r>
  </si>
  <si>
    <t>Ongoing 08/01/2026</t>
  </si>
  <si>
    <t>PIP done and sent to supplier
BL: MEDUW6559720</t>
  </si>
  <si>
    <t>LPO10021399</t>
  </si>
  <si>
    <t>IPR149848</t>
  </si>
  <si>
    <t>LPO10021400</t>
  </si>
  <si>
    <t>IPR149702</t>
  </si>
  <si>
    <t>CAPS- FWC PROMO WHITE-XX-PET</t>
  </si>
  <si>
    <t>LPO10021402</t>
  </si>
  <si>
    <t>IPR149845</t>
  </si>
  <si>
    <t>Mauritius Revenue Authority</t>
  </si>
  <si>
    <t>LPO10021183</t>
  </si>
  <si>
    <t>IPR149706</t>
  </si>
  <si>
    <t>CAPS- SCHWEPPES PET YELLOW 87-PLEASE REPLACE CAP</t>
  </si>
  <si>
    <t>719712
224,672</t>
  </si>
  <si>
    <t>LPO10021297</t>
  </si>
  <si>
    <t>IPR148886</t>
  </si>
  <si>
    <t>5253120
1,105,920
3,407,616</t>
  </si>
  <si>
    <t>To follow end of September 2025 or beginning Oct 2025 with Hillebrand / Logistics
DELAY DUE TO ISSUE WITH FLOWBIN - LOGISTIC TO PROVIDE NEW ETD AND ETA 
80,000- has been paid</t>
  </si>
  <si>
    <t>To follow end of September 2025 or beginning Oct 2025 with Hillebrand / Logistics
DELAY DUE TO ISSUE WITH FLOWBIN - LOGISTIC TO PROVIDE NEW ETD AND ETA 
90,000- has been paid</t>
  </si>
  <si>
    <t>To follow 1st week of Oct 2025 with Hillebrand / Logistics
DELAY DUE TO ISSUE WITH FLOWBIN - LOGISTIC TO PROVIDE NEW ETD AND ETA 
105,000- has been paid</t>
  </si>
  <si>
    <r>
      <rPr>
        <strike/>
        <sz val="14"/>
        <rFont val="Calibri"/>
        <family val="2"/>
        <scheme val="minor"/>
      </rPr>
      <t>12/01/2026</t>
    </r>
    <r>
      <rPr>
        <sz val="14"/>
        <rFont val="Calibri"/>
        <family val="2"/>
        <scheme val="minor"/>
      </rPr>
      <t xml:space="preserve">
13/01/2026</t>
    </r>
  </si>
  <si>
    <t>PIP done and sent
Booking No. 006IFR0362210</t>
  </si>
  <si>
    <t xml:space="preserve">BBASE- FANTA ORANGE-700
</t>
  </si>
  <si>
    <t xml:space="preserve">
CONC- FUZE TEA - APPLE LEMONGRASS-24
</t>
  </si>
  <si>
    <t>BBASE- COKE-800
BBASE- COKE NO SUGAR( KAIZEN)-240
BBASE- COKE NO SUGAR POSTMIX-16
BBASE- SPRITE-240
BBASE- FANTA PASSION-160
BBASE- FANTA PINEAPPLE-360
BBASE- SCHWEPPE TONIC-16
BBASE- CRYSTAL WATER- WA12-1800
BBASE- DASANI WATER- WA64-80
BBASE- COKE EINSTEIN (30% LESS SUGAR)-160
CONC- FUZE TEA - PEACH-240
CONC- FUZE TEA -MANGO CAMOMILE-150
CONC - FUZE TEA - MANGO BAOBAB-36</t>
  </si>
  <si>
    <r>
      <t xml:space="preserve">CONC- FUZE TEA - APPLE LEMONGRASS-96
</t>
    </r>
    <r>
      <rPr>
        <b/>
        <sz val="14"/>
        <rFont val="Calibri"/>
        <family val="2"/>
        <scheme val="minor"/>
      </rPr>
      <t>As per SAP order No. 2001212712 dated 19/09/2025</t>
    </r>
  </si>
  <si>
    <r>
      <rPr>
        <strike/>
        <sz val="14"/>
        <rFont val="Calibri"/>
        <family val="2"/>
        <scheme val="minor"/>
      </rPr>
      <t>MSC AJACCIO MA545R</t>
    </r>
    <r>
      <rPr>
        <sz val="14"/>
        <rFont val="Calibri"/>
        <family val="2"/>
        <scheme val="minor"/>
      </rPr>
      <t xml:space="preserve">
</t>
    </r>
    <r>
      <rPr>
        <strike/>
        <sz val="14"/>
        <rFont val="Calibri"/>
        <family val="2"/>
        <scheme val="minor"/>
      </rPr>
      <t>MSC SKY II KC601A</t>
    </r>
    <r>
      <rPr>
        <sz val="14"/>
        <rFont val="Calibri"/>
        <family val="2"/>
        <scheme val="minor"/>
      </rPr>
      <t xml:space="preserve">
KUMASI KC602R</t>
    </r>
  </si>
  <si>
    <t>PIP done 19.08.2025
Booking ref: 356SL1993942
Malt clumps issue-To follow with concern parties.</t>
  </si>
  <si>
    <t>Delays in shipment caused by supplier
Seafreight shipment as per DP confirmation
BL: MEDUKJ704882</t>
  </si>
  <si>
    <r>
      <rPr>
        <strike/>
        <sz val="14"/>
        <rFont val="Calibri"/>
        <family val="2"/>
        <scheme val="minor"/>
      </rPr>
      <t>10/12/2025</t>
    </r>
    <r>
      <rPr>
        <sz val="14"/>
        <rFont val="Calibri"/>
        <family val="2"/>
        <scheme val="minor"/>
      </rPr>
      <t xml:space="preserve">
22/12/2025</t>
    </r>
  </si>
  <si>
    <t>29/12/2025</t>
  </si>
  <si>
    <t>24/12/2025</t>
  </si>
  <si>
    <t>26/12/2025</t>
  </si>
  <si>
    <t>16/01/2026</t>
  </si>
  <si>
    <t>17/12/25</t>
  </si>
  <si>
    <t>BL NO MEDURQ149250</t>
  </si>
  <si>
    <t>MSC CATHERINE VI HI601A</t>
  </si>
  <si>
    <t>30/12/25</t>
  </si>
  <si>
    <t>BL NO MEDUG9775073</t>
  </si>
  <si>
    <t>APL COLUMBUS 0NNMTE</t>
  </si>
  <si>
    <t>BL NO. MEDUM2828470</t>
  </si>
  <si>
    <t>22/12/25</t>
  </si>
  <si>
    <t>BOOKING CONTACT  NO, 30/12/25</t>
  </si>
  <si>
    <t>BOOKING DONE -STACKS 23/01/26</t>
  </si>
  <si>
    <t>BOOKING DONE * STACKS 9/1/26</t>
  </si>
  <si>
    <t>31/12/25</t>
  </si>
  <si>
    <t>BL NO MEDUEK911935</t>
  </si>
  <si>
    <t>MSC BRUNELLA ZF550A</t>
  </si>
  <si>
    <t>MSMU6423789</t>
  </si>
  <si>
    <t>NAVARINO ZF601R</t>
  </si>
  <si>
    <t>week 4 January 
(19-25 Jan)</t>
  </si>
  <si>
    <t xml:space="preserve">
500ml Can Monster Mucho Loco- 1,760
500ML CAN MONSTER PIPELINE PUNCH- 1,760</t>
  </si>
  <si>
    <t>Monster Energy Original 500ML CAN- 34.080
MONSTER ROSSI 500ml CAN- 1,760
500ML CAN MONSTER AB ZERO- 1,760
500ML CAN MONSTER ULTRA WHITE-1760</t>
  </si>
  <si>
    <r>
      <rPr>
        <strike/>
        <sz val="14"/>
        <rFont val="Calibri"/>
        <family val="2"/>
        <scheme val="minor"/>
      </rPr>
      <t xml:space="preserve">01/03/2025
</t>
    </r>
    <r>
      <rPr>
        <sz val="14"/>
        <rFont val="Calibri"/>
        <family val="2"/>
        <scheme val="minor"/>
      </rPr>
      <t>01/02/2026</t>
    </r>
  </si>
  <si>
    <t>KUMASI KC602R</t>
  </si>
  <si>
    <t>MSNU6569036</t>
  </si>
  <si>
    <t>MSC ADU V ZF551A</t>
  </si>
  <si>
    <t>CAAU9219149</t>
  </si>
  <si>
    <t>IN STORE 05/01/2026</t>
  </si>
  <si>
    <t>LPO10021525</t>
  </si>
  <si>
    <t>IPR149914</t>
  </si>
  <si>
    <r>
      <rPr>
        <strike/>
        <sz val="14"/>
        <rFont val="Calibri"/>
        <family val="2"/>
        <scheme val="minor"/>
      </rPr>
      <t>MSC ALINA MA551R</t>
    </r>
    <r>
      <rPr>
        <sz val="14"/>
        <rFont val="Calibri"/>
        <family val="2"/>
        <scheme val="minor"/>
      </rPr>
      <t xml:space="preserve">
KUMASI KC606A</t>
    </r>
  </si>
  <si>
    <t xml:space="preserve">
14/01/2026</t>
  </si>
  <si>
    <t>Ongoing 13/01/2026</t>
  </si>
  <si>
    <r>
      <rPr>
        <strike/>
        <sz val="14"/>
        <rFont val="Calibri"/>
        <family val="2"/>
        <scheme val="minor"/>
      </rPr>
      <t xml:space="preserve">MSC SINDY IP604R </t>
    </r>
    <r>
      <rPr>
        <sz val="14"/>
        <rFont val="Calibri"/>
        <family val="2"/>
        <scheme val="minor"/>
      </rPr>
      <t xml:space="preserve">
MSC SURABAYA VIII IP603R </t>
    </r>
  </si>
  <si>
    <t>BL: MEDUW6591756</t>
  </si>
  <si>
    <t>Ongoing 14/01/2026</t>
  </si>
  <si>
    <t>EK709</t>
  </si>
  <si>
    <r>
      <rPr>
        <strike/>
        <sz val="14"/>
        <rFont val="Calibri"/>
        <family val="2"/>
        <scheme val="minor"/>
      </rPr>
      <t>17/01/2026</t>
    </r>
    <r>
      <rPr>
        <sz val="14"/>
        <rFont val="Calibri"/>
        <family val="2"/>
        <scheme val="minor"/>
      </rPr>
      <t xml:space="preserve">
19/01/2026</t>
    </r>
  </si>
  <si>
    <t xml:space="preserve">MSC INES ZF603R </t>
  </si>
  <si>
    <t>031CP0105524</t>
  </si>
  <si>
    <r>
      <rPr>
        <sz val="14"/>
        <color rgb="FF00B050"/>
        <rFont val="Calibri"/>
        <family val="2"/>
        <scheme val="minor"/>
      </rPr>
      <t>50 % ADVANCE- ZAR 224,958.5 (Due-  30/10/2025)</t>
    </r>
    <r>
      <rPr>
        <sz val="14"/>
        <rFont val="Calibri"/>
        <family val="2"/>
        <scheme val="minor"/>
      </rPr>
      <t xml:space="preserve">
</t>
    </r>
    <r>
      <rPr>
        <sz val="14"/>
        <color rgb="FF00B050"/>
        <rFont val="Calibri"/>
        <family val="2"/>
        <scheme val="minor"/>
      </rPr>
      <t>50% BEFORE COLLECTION- ZAR 224,958.5(due date: 23/12/2025)</t>
    </r>
  </si>
  <si>
    <t>650ML AMBER BOTTLE - MOULD AND 1 PALLET</t>
  </si>
  <si>
    <r>
      <rPr>
        <b/>
        <sz val="14"/>
        <rFont val="Calibri"/>
        <family val="2"/>
        <scheme val="minor"/>
      </rPr>
      <t>LOT 367 C</t>
    </r>
    <r>
      <rPr>
        <sz val="14"/>
        <rFont val="Calibri"/>
        <family val="2"/>
        <scheme val="minor"/>
      </rPr>
      <t xml:space="preserve">
CAN-GUINNESS-33CL-XX - HG- 133,038
CAN -MALTA GUINNESS - 280 080
CAN-SMIRNOFF ICE RED-33CL-XX - HG- 539,154
CAN-PHOENIX CIDER ALCO-33CL-XX -DG- 133,038
CAN- PHX SPECIAL  DG - 322,092
CAN- PHX BEER DG - 2,100,600
CAN- PHX FRESH DG - 133,038</t>
    </r>
  </si>
  <si>
    <t xml:space="preserve">01/04/2025
</t>
  </si>
  <si>
    <t>Ongoing 10/01/2026</t>
  </si>
  <si>
    <t>Ongoing 16/01/2026</t>
  </si>
  <si>
    <t>Ongoing 08/01/2026
pick up: 14.01.2026</t>
  </si>
  <si>
    <t>LPO10021524</t>
  </si>
  <si>
    <t>IPR149944</t>
  </si>
  <si>
    <t>LPO10021526</t>
  </si>
  <si>
    <t>IPR149946</t>
  </si>
  <si>
    <t>LPO10021527</t>
  </si>
  <si>
    <t>IPR149947</t>
  </si>
  <si>
    <t>LPO10021528</t>
  </si>
  <si>
    <t>IPR149948</t>
  </si>
  <si>
    <t>LPO10021529</t>
  </si>
  <si>
    <t>IPR149949</t>
  </si>
  <si>
    <t>IPR149951</t>
  </si>
  <si>
    <t>LPO10021530</t>
  </si>
  <si>
    <t>LPO10021531</t>
  </si>
  <si>
    <t>IPR149952</t>
  </si>
  <si>
    <t>FPO12803</t>
  </si>
  <si>
    <t>IPR150113</t>
  </si>
  <si>
    <t>PREFORM-CRYSTAL BLUE 29/25-23.5GM-550,000
PREFORM-CRYSTAL BLUE 29/25-27GM- 1,100,000
PREFORM- CLEAR-38MM-52GM-299,200</t>
  </si>
  <si>
    <t>FPO12804</t>
  </si>
  <si>
    <t>IPR150112</t>
  </si>
  <si>
    <t>PREFORM-CRYSTAL BLUE 29/25-27GM- 1,650,000</t>
  </si>
  <si>
    <t>LPO10021601</t>
  </si>
  <si>
    <t>IPR150016</t>
  </si>
  <si>
    <t>18,000
5,000
8,000</t>
  </si>
  <si>
    <t>IPR150000</t>
  </si>
  <si>
    <t>LPO10021608</t>
  </si>
  <si>
    <t>LPO10021609</t>
  </si>
  <si>
    <t>LPO10021610</t>
  </si>
  <si>
    <t>LABEL-COKE NO SUGAR KAIZEN 1LT
LABEL-COKE NO SUGAR KAIZEN 0.5LT</t>
  </si>
  <si>
    <t>IPR149999</t>
  </si>
  <si>
    <t>LABEL- FANTA ORANGE- 0.5LT NL3
LABEL- FANTA PASSION- 0.5LT NL3</t>
  </si>
  <si>
    <t>300,000
200,000</t>
  </si>
  <si>
    <t>IPR149997</t>
  </si>
  <si>
    <t>LABEL-COKE EINSTEIN 1LT 30% LESS SUGAR
LABEL- SPRITE-2.0LT
LABEL- SPRITE-2.0LT</t>
  </si>
  <si>
    <t>300,000
500,000
100,000</t>
  </si>
  <si>
    <t>30 Days Invoice date</t>
  </si>
  <si>
    <t>FLAVOUR SMIRNOFF ICE RED-XX-XX-WINEGUM (ITALY)-274.738LT</t>
  </si>
  <si>
    <t>MALT-Lot 1-HOLLAND PILSEN-XX-XX- 53,840KG</t>
  </si>
  <si>
    <t>FPO12807</t>
  </si>
  <si>
    <t>IPR149994</t>
  </si>
  <si>
    <t>45 Days Invoice Days</t>
  </si>
  <si>
    <t>FPO12808</t>
  </si>
  <si>
    <t>IPR149996</t>
  </si>
  <si>
    <t>CONC- FUZE TEA LIQUID - PART2B- 768</t>
  </si>
  <si>
    <t>Coca-cola Midi SAS</t>
  </si>
  <si>
    <r>
      <rPr>
        <strike/>
        <sz val="14"/>
        <rFont val="Calibri"/>
        <family val="2"/>
        <scheme val="minor"/>
      </rPr>
      <t>19/01/2026</t>
    </r>
    <r>
      <rPr>
        <sz val="14"/>
        <rFont val="Calibri"/>
        <family val="2"/>
        <scheme val="minor"/>
      </rPr>
      <t xml:space="preserve">
</t>
    </r>
    <r>
      <rPr>
        <strike/>
        <sz val="14"/>
        <rFont val="Calibri"/>
        <family val="2"/>
        <scheme val="minor"/>
      </rPr>
      <t>06/01/2026</t>
    </r>
    <r>
      <rPr>
        <sz val="14"/>
        <rFont val="Calibri"/>
        <family val="2"/>
        <scheme val="minor"/>
      </rPr>
      <t xml:space="preserve">
</t>
    </r>
    <r>
      <rPr>
        <strike/>
        <sz val="14"/>
        <rFont val="Calibri"/>
        <family val="2"/>
        <scheme val="minor"/>
      </rPr>
      <t>15/01/2026</t>
    </r>
    <r>
      <rPr>
        <sz val="14"/>
        <rFont val="Calibri"/>
        <family val="2"/>
        <scheme val="minor"/>
      </rPr>
      <t xml:space="preserve">
21/01/2026</t>
    </r>
  </si>
  <si>
    <r>
      <rPr>
        <strike/>
        <sz val="14"/>
        <rFont val="Calibri"/>
        <family val="2"/>
        <scheme val="minor"/>
      </rPr>
      <t>08/01/2026</t>
    </r>
    <r>
      <rPr>
        <sz val="14"/>
        <rFont val="Calibri"/>
        <family val="2"/>
        <scheme val="minor"/>
      </rPr>
      <t xml:space="preserve">
</t>
    </r>
    <r>
      <rPr>
        <strike/>
        <sz val="14"/>
        <rFont val="Calibri"/>
        <family val="2"/>
        <scheme val="minor"/>
      </rPr>
      <t>31/01/2026</t>
    </r>
    <r>
      <rPr>
        <sz val="14"/>
        <rFont val="Calibri"/>
        <family val="2"/>
        <scheme val="minor"/>
      </rPr>
      <t xml:space="preserve">
</t>
    </r>
    <r>
      <rPr>
        <strike/>
        <sz val="14"/>
        <rFont val="Calibri"/>
        <family val="2"/>
        <scheme val="minor"/>
      </rPr>
      <t>29/01/2026</t>
    </r>
    <r>
      <rPr>
        <sz val="14"/>
        <rFont val="Calibri"/>
        <family val="2"/>
        <scheme val="minor"/>
      </rPr>
      <t xml:space="preserve">
21/01/2026</t>
    </r>
  </si>
  <si>
    <t>PIP done and sent
BL: MEDUW6754065</t>
  </si>
  <si>
    <t>FPO12805</t>
  </si>
  <si>
    <t>IPR150111</t>
  </si>
  <si>
    <t>Manjushree Technopack Ltd</t>
  </si>
  <si>
    <t>CAPS- CRYSTAL WATER 29/25</t>
  </si>
  <si>
    <t>21 days from BL date</t>
  </si>
  <si>
    <t>MSC SURABAYA VIII, IP603R</t>
  </si>
  <si>
    <t>Collection on 19 January 2026 and is scheduled to arrive in agent  warehouse during week 4</t>
  </si>
  <si>
    <t xml:space="preserve">NA </t>
  </si>
  <si>
    <r>
      <rPr>
        <sz val="14"/>
        <color rgb="FF00B050"/>
        <rFont val="Calibri"/>
        <family val="2"/>
        <scheme val="minor"/>
      </rPr>
      <t>30% ADVANCE- EUR 1080 (Due 09/01/2026)</t>
    </r>
    <r>
      <rPr>
        <sz val="14"/>
        <rFont val="Calibri"/>
        <family val="2"/>
        <scheme val="minor"/>
      </rPr>
      <t xml:space="preserve">
</t>
    </r>
    <r>
      <rPr>
        <sz val="14"/>
        <color rgb="FF00B050"/>
        <rFont val="Calibri"/>
        <family val="2"/>
        <scheme val="minor"/>
      </rPr>
      <t>70% ENLEVEMENT- EUR 2520 (Due 23/01/2026)</t>
    </r>
  </si>
  <si>
    <t>50% ADVANCE - USD9270.00 - 04.04.2025
50% 60 DAYS - USD 9270 30/07/2025</t>
  </si>
  <si>
    <t>30 % ADVANCE  EUR 5894.40
70% BALANCE EUR 13753.6- 25/07/2025</t>
  </si>
  <si>
    <t>LPO10021644</t>
  </si>
  <si>
    <t>IPR150148</t>
  </si>
  <si>
    <t>Mauritius Sugar Syndicate</t>
  </si>
  <si>
    <t>SUGAR-XX-WHITE-XX</t>
  </si>
  <si>
    <r>
      <t xml:space="preserve">FINISHED PRODUCTS:
FANTA ORANGE 300ML-58
</t>
    </r>
    <r>
      <rPr>
        <sz val="14"/>
        <color rgb="FFFF0000"/>
        <rFont val="Calibri"/>
        <family val="2"/>
        <scheme val="minor"/>
      </rPr>
      <t xml:space="preserve">To see Prisha for modification - cancel the 58 cases or not  - </t>
    </r>
    <r>
      <rPr>
        <b/>
        <sz val="14"/>
        <color rgb="FFFF0000"/>
        <rFont val="Calibri"/>
        <family val="2"/>
        <scheme val="minor"/>
      </rPr>
      <t xml:space="preserve">TO CLOSE  </t>
    </r>
    <r>
      <rPr>
        <sz val="14"/>
        <rFont val="Calibri"/>
        <family val="2"/>
        <scheme val="minor"/>
      </rPr>
      <t xml:space="preserve">
</t>
    </r>
  </si>
  <si>
    <t>10/02/205</t>
  </si>
  <si>
    <t>LPO10021757</t>
  </si>
  <si>
    <t>IPR150283</t>
  </si>
  <si>
    <t>CBOX- COKE BDB 4X6X30CL</t>
  </si>
  <si>
    <r>
      <rPr>
        <strike/>
        <sz val="14"/>
        <rFont val="Calibri"/>
        <family val="2"/>
        <scheme val="minor"/>
      </rPr>
      <t>21/01/2026</t>
    </r>
    <r>
      <rPr>
        <sz val="14"/>
        <rFont val="Calibri"/>
        <family val="2"/>
        <scheme val="minor"/>
      </rPr>
      <t xml:space="preserve">
23/01/2026</t>
    </r>
  </si>
  <si>
    <r>
      <rPr>
        <strike/>
        <sz val="14"/>
        <rFont val="Calibri"/>
        <family val="2"/>
        <scheme val="minor"/>
      </rPr>
      <t>10/01/2026</t>
    </r>
    <r>
      <rPr>
        <sz val="14"/>
        <rFont val="Calibri"/>
        <family val="2"/>
        <scheme val="minor"/>
      </rPr>
      <t xml:space="preserve">
22/01/2026</t>
    </r>
  </si>
  <si>
    <r>
      <rPr>
        <strike/>
        <sz val="14"/>
        <rFont val="Calibri"/>
        <family val="2"/>
        <scheme val="minor"/>
      </rPr>
      <t>29/12/2025</t>
    </r>
    <r>
      <rPr>
        <sz val="14"/>
        <rFont val="Calibri"/>
        <family val="2"/>
        <scheme val="minor"/>
      </rPr>
      <t xml:space="preserve">
</t>
    </r>
    <r>
      <rPr>
        <strike/>
        <sz val="14"/>
        <rFont val="Calibri"/>
        <family val="2"/>
        <scheme val="minor"/>
      </rPr>
      <t>06/01/2026</t>
    </r>
    <r>
      <rPr>
        <sz val="14"/>
        <rFont val="Calibri"/>
        <family val="2"/>
        <scheme val="minor"/>
      </rPr>
      <t xml:space="preserve">
</t>
    </r>
    <r>
      <rPr>
        <strike/>
        <sz val="14"/>
        <rFont val="Calibri"/>
        <family val="2"/>
        <scheme val="minor"/>
      </rPr>
      <t>10/01/2026</t>
    </r>
    <r>
      <rPr>
        <sz val="14"/>
        <rFont val="Calibri"/>
        <family val="2"/>
        <scheme val="minor"/>
      </rPr>
      <t xml:space="preserve">
17/01/2026</t>
    </r>
  </si>
  <si>
    <t>Container No.  MSMU7748109</t>
  </si>
  <si>
    <t>LX6401</t>
  </si>
  <si>
    <r>
      <t xml:space="preserve">December batch accepted by DP.
</t>
    </r>
    <r>
      <rPr>
        <strike/>
        <sz val="14"/>
        <rFont val="Calibri"/>
        <family val="2"/>
        <scheme val="minor"/>
      </rPr>
      <t>To collect Mid February 2026</t>
    </r>
    <r>
      <rPr>
        <sz val="14"/>
        <rFont val="Calibri"/>
        <family val="2"/>
        <scheme val="minor"/>
      </rPr>
      <t xml:space="preserve">
Due to SLE rejected causing out of stock situation, order to be consider urgent by DP
FedEx AWB 888234581067 </t>
    </r>
  </si>
  <si>
    <t>Ongoing 27/01/2026</t>
  </si>
  <si>
    <t>To follow with Logistics around 05.12.2025 &amp; pick up around 10.12.2025 - 
Supplier doing repacking for transportation purposes.</t>
  </si>
  <si>
    <t>PREFORM-CRYSTAL BLUE 29/25-23.5GM- 537,500 UNITS</t>
  </si>
  <si>
    <t>FPO12834</t>
  </si>
  <si>
    <t>IPR150132</t>
  </si>
  <si>
    <t>Uby Zero Alcool Sauvignon 750ML- 630</t>
  </si>
  <si>
    <t>60 Days</t>
  </si>
  <si>
    <t>FPO12835</t>
  </si>
  <si>
    <t>IPR150131</t>
  </si>
  <si>
    <t>SAS VIGNOBLES LAYDIS</t>
  </si>
  <si>
    <t>FPO12836</t>
  </si>
  <si>
    <t>IPR150191</t>
  </si>
  <si>
    <t>CAPS- FUZE TEA GREEN 38MM NECK FINISH(NGOC)- 2,016,000</t>
  </si>
  <si>
    <t>FPO12837</t>
  </si>
  <si>
    <t>IPR150308</t>
  </si>
  <si>
    <t>Plastic Pallets for Cans - UCC- 2500</t>
  </si>
  <si>
    <t>Advance payment</t>
  </si>
  <si>
    <t>LPO10021807</t>
  </si>
  <si>
    <t>IPR150124</t>
  </si>
  <si>
    <t>Health Message stickers</t>
  </si>
  <si>
    <t>LPO10021806</t>
  </si>
  <si>
    <t>IPR150327</t>
  </si>
  <si>
    <t>LABEL-MALTA GUINNESS-33CL-BACK
LABEL-MALTA GUINNESS-33CL-BODY
LABEL-SMIRNOFF ICE RED-275ML-NECK
LABEL-SMIRNOFF ICE RED-275ML-BODY
LABEL-SMIRNOFF ICE RED-275ML-FOOT
LABEL-SMIRNOFF ICE BLUE-275ML-NECK (GUARANA)
LABEL-SMIRNOFF ICE BLUE-275ML-BODY (GUARANA)
LABEL-SMIRNOFF ICE BLUE-275ML-FOOT (GUARANA)</t>
  </si>
  <si>
    <t>200,000
50,000
150,000
150,000
150,000
150,000
150,000
150,000</t>
  </si>
  <si>
    <r>
      <t>MSC HEIDI</t>
    </r>
    <r>
      <rPr>
        <u/>
        <sz val="11"/>
        <color theme="1"/>
        <rFont val="Roboto__regular"/>
      </rPr>
      <t> ( 0NNMJE1MA)</t>
    </r>
  </si>
  <si>
    <t>MALT-MALTEUROP-XX-XX-54,000KG-Lot 1</t>
  </si>
  <si>
    <t>MALT-MALTEUROP-XX-XX- 54,000KG-Lot 2</t>
  </si>
  <si>
    <t>LPO10021833</t>
  </si>
  <si>
    <t>IPR149136</t>
  </si>
  <si>
    <t>LABEL- COKE 2.0L FWC PROMO - NL3
LABEL- COKE 1.5L FWC PROMO - NL3
LABEL- COKE 1.0L FWC PROMO - EXISTING LINE
LABEL- COKE 0.5L FWC PROMO - EXISTING LINE
LABEL- COKE ZERO 1.0L FWC PROMO - EXISTING LINE
LABEL- COKE ZERO 0.5L FWC PROMO - EXISTING LINE</t>
  </si>
  <si>
    <t>2,900,000
2,700,000
1,500,000
4,300,000
800,000
1,000,000</t>
  </si>
  <si>
    <r>
      <rPr>
        <b/>
        <sz val="14"/>
        <rFont val="Calibri"/>
        <family val="2"/>
        <scheme val="minor"/>
      </rPr>
      <t>LOT 368 A</t>
    </r>
    <r>
      <rPr>
        <sz val="14"/>
        <rFont val="Calibri"/>
        <family val="2"/>
        <scheme val="minor"/>
      </rPr>
      <t xml:space="preserve">
CAN-PHOENIX SPECIALE-33CL-XX-DG- 392,112
CAN-SMIRNOFF ICE RED-33CL-XX-HG- 539,154
CAN-SMIRNOFF ICE BLUE-33CL- (GUARANA)-HG- 147,042</t>
    </r>
  </si>
  <si>
    <r>
      <rPr>
        <b/>
        <sz val="14"/>
        <rFont val="Calibri"/>
        <family val="2"/>
        <scheme val="minor"/>
      </rPr>
      <t>LOT 367 D</t>
    </r>
    <r>
      <rPr>
        <sz val="14"/>
        <rFont val="Calibri"/>
        <family val="2"/>
        <scheme val="minor"/>
      </rPr>
      <t xml:space="preserve">
CAN- Pearona DG  - 427,122
</t>
    </r>
  </si>
  <si>
    <t>Cht Roc de Calon Montagne St Emillion 2020 Rouge- 600</t>
  </si>
  <si>
    <r>
      <rPr>
        <strike/>
        <sz val="14"/>
        <rFont val="Calibri"/>
        <family val="2"/>
        <scheme val="minor"/>
      </rPr>
      <t>27/01/2026</t>
    </r>
    <r>
      <rPr>
        <sz val="14"/>
        <rFont val="Calibri"/>
        <family val="2"/>
        <scheme val="minor"/>
      </rPr>
      <t xml:space="preserve">
29/01/2026</t>
    </r>
  </si>
  <si>
    <t>MSC BARBARA ZF605R</t>
  </si>
  <si>
    <t>Container No. TGBU3527897</t>
  </si>
  <si>
    <r>
      <t xml:space="preserve">MSC NAMIBIA
</t>
    </r>
    <r>
      <rPr>
        <sz val="14"/>
        <rFont val="Calibri"/>
        <family val="2"/>
        <scheme val="minor"/>
      </rPr>
      <t xml:space="preserve">MSC COTONOU VIII IP602R
</t>
    </r>
  </si>
  <si>
    <t>Ongoing 30/01/2026</t>
  </si>
  <si>
    <t xml:space="preserve">MSC KALAMATA  VII ZF607R </t>
  </si>
  <si>
    <r>
      <t xml:space="preserve">BBASE- COKE-2240
BBASE- COKE NO SUGAR( KAIZEN)-50
BBASE- COKE NO SUGAR POSTMIX-16
BBASE- SPRITE-1120
BBASE- FANTA PASSION-160
BBASE- SCHWEPPE TONIC-24
BBASE- SCHWEPPE GINGER ALE-24
BBASE- SCHWEPPE SODA-12
BBASE- CRYSTAL WATER- WA12-2700
BBASE- DASANI WATER- WA64-64
BBASE- COKE EINSTEIN (30% LESS SUGAR)-320
CONC- FUZE TEA - PEACH-240
CONC- FUZE TEA -MANGO CAMOMILE-60
CONC - FUZE TEA - MANGO BAOBAB-36
</t>
    </r>
    <r>
      <rPr>
        <b/>
        <sz val="14"/>
        <rFont val="Calibri"/>
        <family val="2"/>
        <scheme val="minor"/>
      </rPr>
      <t>As per SAP order No. 2001303806 dated 15/10/2025</t>
    </r>
  </si>
  <si>
    <r>
      <t xml:space="preserve">
BBASE- COKE NO SUGAR( KAIZEN)-90
</t>
    </r>
    <r>
      <rPr>
        <b/>
        <sz val="14"/>
        <rFont val="Calibri"/>
        <family val="2"/>
        <scheme val="minor"/>
      </rPr>
      <t>As per SAP order No. 2001303806 dated 15/10/2025</t>
    </r>
  </si>
  <si>
    <t>Short shipment of 18EA (90units) will be shipped on this vessel.</t>
  </si>
  <si>
    <t xml:space="preserve">LOT 8
FINISHED PRODUCTS:
Monster ernergy original 500ml - 73 - to see if we can close 
</t>
  </si>
  <si>
    <r>
      <t xml:space="preserve">MSC ADA F (LLOYDS NO. 9190119)
MSC TOKATA F ZB601R
</t>
    </r>
    <r>
      <rPr>
        <sz val="14"/>
        <rFont val="Calibri"/>
        <family val="2"/>
        <scheme val="minor"/>
      </rPr>
      <t>MSC BARBARA ZF605R</t>
    </r>
  </si>
  <si>
    <t>Grapetiser Red NBT 275ML- 1000 cacelled
Appletiser NBT 275ML- 518 cancelled</t>
  </si>
  <si>
    <t>FPO12839</t>
  </si>
  <si>
    <t>IPR150129</t>
  </si>
  <si>
    <t>Wines</t>
  </si>
  <si>
    <t>90 Days invoice date</t>
  </si>
  <si>
    <t>FPO12851</t>
  </si>
  <si>
    <t>IPR150455</t>
  </si>
  <si>
    <t>Blackhawk Molding Co Inc</t>
  </si>
  <si>
    <t>Caps- Crystal -Jar 18.9L- 399,000</t>
  </si>
  <si>
    <t>IPR150596</t>
  </si>
  <si>
    <t>LPO10022024</t>
  </si>
  <si>
    <t>CTRAY-PLAIN WHITE-PINT-33CLX24
CTRAY-PHOENIX REJUV-CAN-50CLX24
CTRAY-PHOENIX SPECIALE-50CLX24-FOR CANS</t>
  </si>
  <si>
    <t>5,000
5,000
10,000</t>
  </si>
  <si>
    <t xml:space="preserve">SJ </t>
  </si>
  <si>
    <t>04/02/206</t>
  </si>
  <si>
    <t>LPO10021805</t>
  </si>
  <si>
    <t>IPR150282</t>
  </si>
  <si>
    <t>CLUSTER-MANAWA-TRIPLE MALT LOCAL-4 BOTTLE</t>
  </si>
  <si>
    <t>FPO12861</t>
  </si>
  <si>
    <t>IPR150471</t>
  </si>
  <si>
    <t>LPO10022051</t>
  </si>
  <si>
    <t>IPR150463</t>
  </si>
  <si>
    <t>PREFORM- CLEAR-ALPLA 1881-32G ($ 38.33+ RS 1228.17)</t>
  </si>
  <si>
    <t>IPR150470</t>
  </si>
  <si>
    <t>LPO10022052</t>
  </si>
  <si>
    <t>CAPS- COKE PET RED 13-PLEASE REPLACE CAP
CAPS- COKE NO SUGAR BLACK 14-PLEASE REPLACE CAP
CAPS- FANTA ORANGE PET BLUE 47-PLEASE REPLACE CAP
CAPS- SCHWEPPES PET YELLOW 87-PLEASE REPLACE CAP
CAPS- ESKI ALMOND
CAPS- ESKI STRAWBERRY</t>
  </si>
  <si>
    <t>1575000
315,000
420,000
105,000
105,000
105,000</t>
  </si>
  <si>
    <t>LPO10022053</t>
  </si>
  <si>
    <t>IPR150449</t>
  </si>
  <si>
    <t>PREFORM- CLEAR-EMPAK 1881-22.2G
PREFORM- CLEAR-EMPAK 1881-32.5G
PREFORM- CLEAR-EMPAK 1881-41.9G
PREFORM- CLEAR-EMPAK 1881-46.6G</t>
  </si>
  <si>
    <t>5253120
276,480
2,405,376
4,008,960</t>
  </si>
  <si>
    <t>LPO10022049</t>
  </si>
  <si>
    <t>IPR150456</t>
  </si>
  <si>
    <t>LPO10022045</t>
  </si>
  <si>
    <t>IPR150472</t>
  </si>
  <si>
    <t>LPO10021944</t>
  </si>
  <si>
    <t>IPR150559</t>
  </si>
  <si>
    <t>LABEL-PEARONA-33CL/65CL-LONG NECK
LABEL-PEARONA-33CL-BACK
LABEL-PEARONA-33CL-BODY</t>
  </si>
  <si>
    <t>100,000
100,000
100,000</t>
  </si>
  <si>
    <t>FPO12859</t>
  </si>
  <si>
    <t>IPR150458</t>
  </si>
  <si>
    <t>Wagner Kunststofftechnik GmbH</t>
  </si>
  <si>
    <t>POSTMIX- CAP COKE RED SECURITY- 40,000</t>
  </si>
  <si>
    <t>FPO12860</t>
  </si>
  <si>
    <t>IPR150447</t>
  </si>
  <si>
    <r>
      <rPr>
        <strike/>
        <sz val="14"/>
        <rFont val="Calibri"/>
        <family val="2"/>
        <scheme val="minor"/>
      </rPr>
      <t>12/02/2026</t>
    </r>
    <r>
      <rPr>
        <sz val="14"/>
        <rFont val="Calibri"/>
        <family val="2"/>
        <scheme val="minor"/>
      </rPr>
      <t xml:space="preserve">
</t>
    </r>
    <r>
      <rPr>
        <strike/>
        <sz val="14"/>
        <rFont val="Calibri"/>
        <family val="2"/>
        <scheme val="minor"/>
      </rPr>
      <t>27/02/2026</t>
    </r>
    <r>
      <rPr>
        <sz val="14"/>
        <rFont val="Calibri"/>
        <family val="2"/>
        <scheme val="minor"/>
      </rPr>
      <t xml:space="preserve">
</t>
    </r>
    <r>
      <rPr>
        <strike/>
        <sz val="14"/>
        <rFont val="Calibri"/>
        <family val="2"/>
        <scheme val="minor"/>
      </rPr>
      <t>13/02/2026</t>
    </r>
    <r>
      <rPr>
        <sz val="14"/>
        <rFont val="Calibri"/>
        <family val="2"/>
        <scheme val="minor"/>
      </rPr>
      <t xml:space="preserve">
</t>
    </r>
    <r>
      <rPr>
        <strike/>
        <sz val="14"/>
        <rFont val="Calibri"/>
        <family val="2"/>
        <scheme val="minor"/>
      </rPr>
      <t>15/02/2026</t>
    </r>
    <r>
      <rPr>
        <sz val="14"/>
        <rFont val="Calibri"/>
        <family val="2"/>
        <scheme val="minor"/>
      </rPr>
      <t xml:space="preserve">
19/02/2026</t>
    </r>
  </si>
  <si>
    <t>PIP done and sent.
Container : MRSU4774110</t>
  </si>
  <si>
    <t>MAERSK VALLVIK 610W</t>
  </si>
  <si>
    <r>
      <rPr>
        <strike/>
        <sz val="14"/>
        <rFont val="Calibri"/>
        <family val="2"/>
        <scheme val="minor"/>
      </rPr>
      <t>29/01/2026</t>
    </r>
    <r>
      <rPr>
        <sz val="14"/>
        <rFont val="Calibri"/>
        <family val="2"/>
        <scheme val="minor"/>
      </rPr>
      <t xml:space="preserve">
07/02/2026</t>
    </r>
  </si>
  <si>
    <r>
      <rPr>
        <strike/>
        <sz val="14"/>
        <rFont val="Calibri"/>
        <family val="2"/>
        <scheme val="minor"/>
      </rPr>
      <t>08/01/2026</t>
    </r>
    <r>
      <rPr>
        <sz val="14"/>
        <rFont val="Calibri"/>
        <family val="2"/>
        <scheme val="minor"/>
      </rPr>
      <t xml:space="preserve">
13/01/2026
</t>
    </r>
  </si>
  <si>
    <r>
      <rPr>
        <strike/>
        <sz val="14"/>
        <rFont val="Calibri"/>
        <family val="2"/>
        <scheme val="minor"/>
      </rPr>
      <t>05/02/2026</t>
    </r>
    <r>
      <rPr>
        <sz val="14"/>
        <rFont val="Calibri"/>
        <family val="2"/>
        <scheme val="minor"/>
      </rPr>
      <t xml:space="preserve">
07/02/2026</t>
    </r>
  </si>
  <si>
    <t>FPO12873</t>
  </si>
  <si>
    <t>IPR150569</t>
  </si>
  <si>
    <t>FLAVOUR-XX-XX-MIXED FRUIT-100Kg</t>
  </si>
  <si>
    <t>FPO12874</t>
  </si>
  <si>
    <t>IPR150567</t>
  </si>
  <si>
    <t>FPO12875</t>
  </si>
  <si>
    <t>IPR150552</t>
  </si>
  <si>
    <t>MALT-BOORTMALT PILSEN-XX-(BELGIUM) - Lot 3 - 162,000 Kgs</t>
  </si>
  <si>
    <t>FPO12876</t>
  </si>
  <si>
    <t>IPR150557</t>
  </si>
  <si>
    <t>FPO12878</t>
  </si>
  <si>
    <t>IPR150561</t>
  </si>
  <si>
    <t>MALT-MALTEUROP-XX-XX - Lot 3 - 54,000 Kgs</t>
  </si>
  <si>
    <t>FPO12886</t>
  </si>
  <si>
    <t>IPR150574</t>
  </si>
  <si>
    <t>FLAVOUR SMIRNOFF ICE RED-XX-XX-WINEGUM (ITALY)-270 LT</t>
  </si>
  <si>
    <t>FPO12879</t>
  </si>
  <si>
    <t>IPR150652</t>
  </si>
  <si>
    <t>CROWN CORK-PHOENIX BEER-XX-(BPA-NI)-1,584,000
CROWN CORK-PLAIN HEALTH MESSAGE-XX-(BPA-NI)- 3,696,000</t>
  </si>
  <si>
    <t>FPO12880</t>
  </si>
  <si>
    <t>IPR150655</t>
  </si>
  <si>
    <t>FPO12881</t>
  </si>
  <si>
    <t>IPR150654</t>
  </si>
  <si>
    <t>CROWN CORK-PHOENIX BEER-XX-(BPA-NI)-1,056,000
CROWN CORK-PLAIN HEALTH MESSAGE-XX-(BPA-NI)- 3,168,000
CROWN CORK-PEARONA-XX-(BPA-NI)- 528,000
CROWN CORK-PHOENIX SPECIALE-XX-(BPA-NI)- 528,000</t>
  </si>
  <si>
    <t>FPO12882</t>
  </si>
  <si>
    <t>IPR150658</t>
  </si>
  <si>
    <t>PFILM-PHOENIX 33CL-530MMXR555X65MIC-LOCAL/EXPORT- 11,250</t>
  </si>
  <si>
    <t>LPO10022088</t>
  </si>
  <si>
    <t>IPR150659</t>
  </si>
  <si>
    <t>LPO10022087</t>
  </si>
  <si>
    <t>IPR150461</t>
  </si>
  <si>
    <t>Plain Paper Cups 250ml</t>
  </si>
  <si>
    <t>LPO10022086</t>
  </si>
  <si>
    <t>IPR150656</t>
  </si>
  <si>
    <t>LPO10022085</t>
  </si>
  <si>
    <t>IPR150657</t>
  </si>
  <si>
    <t>CLUSTER-P.PANACHE RED FRUITS-33CLX6-(LOCAL/EXPORT)</t>
  </si>
  <si>
    <t>FPO12883</t>
  </si>
  <si>
    <t>IPR150476</t>
  </si>
  <si>
    <t>KIOO LIMITED</t>
  </si>
  <si>
    <t>DISP- BOTTLES- COKE BDB 300ML- 379,050</t>
  </si>
  <si>
    <t>LPO10022093</t>
  </si>
  <si>
    <t>IPR150660</t>
  </si>
  <si>
    <t>LPO10022094</t>
  </si>
  <si>
    <t>IPR150661</t>
  </si>
  <si>
    <t>MALT-BOORTMALT PILSEN-XX-(BELGIUM)- 54,164KG-Lot 1</t>
  </si>
  <si>
    <t>PIP done and sent
Booking Ref: 356SL2009053
Transshipment Colombo, India.</t>
  </si>
  <si>
    <t xml:space="preserve">PIP done &amp; sent to supplier
BL: MEDUW6800264
</t>
  </si>
  <si>
    <r>
      <rPr>
        <strike/>
        <sz val="14"/>
        <rFont val="Calibri"/>
        <family val="2"/>
        <scheme val="minor"/>
      </rPr>
      <t>15/01/2026</t>
    </r>
    <r>
      <rPr>
        <sz val="14"/>
        <rFont val="Calibri"/>
        <family val="2"/>
        <scheme val="minor"/>
      </rPr>
      <t xml:space="preserve">
</t>
    </r>
    <r>
      <rPr>
        <strike/>
        <sz val="14"/>
        <rFont val="Calibri"/>
        <family val="2"/>
        <scheme val="minor"/>
      </rPr>
      <t>23/01/2026</t>
    </r>
    <r>
      <rPr>
        <sz val="14"/>
        <rFont val="Calibri"/>
        <family val="2"/>
        <scheme val="minor"/>
      </rPr>
      <t xml:space="preserve">
07/02/2026</t>
    </r>
  </si>
  <si>
    <r>
      <t xml:space="preserve">08.01.2026
</t>
    </r>
    <r>
      <rPr>
        <sz val="14"/>
        <rFont val="Calibri"/>
        <family val="2"/>
        <scheme val="minor"/>
      </rPr>
      <t>19/01/2026</t>
    </r>
  </si>
  <si>
    <t>MSBU5149535</t>
  </si>
  <si>
    <t xml:space="preserve">MSC SURABAYA VIII, IP603R </t>
  </si>
  <si>
    <t>Shipment scheduled for June /July 26</t>
  </si>
  <si>
    <r>
      <t xml:space="preserve">1000 ML COKE RGB BOTTLES 
1 CONTAINERS - 54,644 units
5th </t>
    </r>
    <r>
      <rPr>
        <b/>
        <sz val="14"/>
        <rFont val="Calibri"/>
        <family val="2"/>
        <scheme val="minor"/>
      </rPr>
      <t xml:space="preserve"> SHIPMENT </t>
    </r>
    <r>
      <rPr>
        <sz val="14"/>
        <rFont val="Calibri"/>
        <family val="2"/>
        <scheme val="minor"/>
      </rPr>
      <t xml:space="preserve">
</t>
    </r>
  </si>
  <si>
    <t>21/01/26</t>
  </si>
  <si>
    <t>24/12/25</t>
  </si>
  <si>
    <t>17/01/26</t>
  </si>
  <si>
    <t>KUMASI KC606A</t>
  </si>
  <si>
    <t>18/02/26</t>
  </si>
  <si>
    <t>JR - amend RRD from NOV 25 to DEC 2025 - RFP on hold with AC dept - To release payment  end of Oct 2025
 BL NO. MEDUH9202977</t>
  </si>
  <si>
    <t>BL NO. MEDUH9202977</t>
  </si>
  <si>
    <t>18/01/26</t>
  </si>
  <si>
    <t>23/01/26</t>
  </si>
  <si>
    <t>21/02/26</t>
  </si>
  <si>
    <t>15/02</t>
  </si>
  <si>
    <t>15/02/26</t>
  </si>
  <si>
    <t xml:space="preserve">
MSC AKITETA II KC605B</t>
  </si>
  <si>
    <t>on going - preparation of mould - 12/02/2026</t>
  </si>
  <si>
    <t>FPO12877</t>
  </si>
  <si>
    <t>IPR150537</t>
  </si>
  <si>
    <t>Stassen S.A.</t>
  </si>
  <si>
    <t>CONC-PEARONA BASE-XX-XX-9000lt
CONC-CIDER-XX-ALCOHOLIC CANNING ONLY-9000lt</t>
  </si>
  <si>
    <t>29/01/2026</t>
  </si>
  <si>
    <t>30/01/2027</t>
  </si>
  <si>
    <t>16/02/26</t>
  </si>
  <si>
    <t>Bl no, MEDUG9797663</t>
  </si>
  <si>
    <t>24/01/26</t>
  </si>
  <si>
    <t>MSC SASHA MA603A</t>
  </si>
  <si>
    <t>MSC TOKYO</t>
  </si>
  <si>
    <t>19/02/26</t>
  </si>
  <si>
    <t>27/01/26</t>
  </si>
  <si>
    <t>28/02/2026</t>
  </si>
  <si>
    <r>
      <t xml:space="preserve">BL .NO </t>
    </r>
    <r>
      <rPr>
        <b/>
        <sz val="14"/>
        <rFont val="Calibri"/>
        <family val="2"/>
        <scheme val="minor"/>
      </rPr>
      <t>MEDURQ240505</t>
    </r>
  </si>
  <si>
    <t>GSL VIOLETTA ZF604A</t>
  </si>
  <si>
    <t>BL .NO MEDURQ240505</t>
  </si>
  <si>
    <r>
      <rPr>
        <strike/>
        <sz val="14"/>
        <rFont val="Calibri"/>
        <family val="2"/>
        <scheme val="minor"/>
      </rPr>
      <t xml:space="preserve">10/02/2026
</t>
    </r>
    <r>
      <rPr>
        <sz val="14"/>
        <rFont val="Calibri"/>
        <family val="2"/>
        <scheme val="minor"/>
      </rPr>
      <t>22/02/2026</t>
    </r>
  </si>
  <si>
    <t>MSC Babara ZF605R -</t>
  </si>
  <si>
    <t>week 7/8 (9-22 Fev)</t>
  </si>
  <si>
    <t>FPO12904</t>
  </si>
  <si>
    <t>IPR150554</t>
  </si>
  <si>
    <t>FPO12906</t>
  </si>
  <si>
    <t>IPR150793</t>
  </si>
  <si>
    <t>FPO12907</t>
  </si>
  <si>
    <t>IPR150794</t>
  </si>
  <si>
    <t>FPO12905</t>
  </si>
  <si>
    <t>IPR150718</t>
  </si>
  <si>
    <t>HOPS CONES-XX-5KG-WILLAMETTE FRESHPAK- 5KG
HOPS CONES-XX-5KG-EL DORADO FRESHPAK- 5KG
HOPS CONES-XX-5KG-FIRST GOLD FRESHPAK- 5KG
HOPS CONES-XX-5KG-TETTNANG FRESHPAK- 5KG
HOPS CONES-XX-5KG-MITTELFRUH FRESHPAK- 5KG
HOPS CONES-XX-5KG-STRISSELSPALT FRESHPAK- 5KG</t>
  </si>
  <si>
    <t>LPO10022198</t>
  </si>
  <si>
    <t>IPR150473</t>
  </si>
  <si>
    <r>
      <t>1</t>
    </r>
    <r>
      <rPr>
        <strike/>
        <sz val="14"/>
        <rFont val="Calibri"/>
        <family val="2"/>
        <scheme val="minor"/>
      </rPr>
      <t>0/02/2026</t>
    </r>
    <r>
      <rPr>
        <sz val="14"/>
        <rFont val="Calibri"/>
        <family val="2"/>
        <scheme val="minor"/>
      </rPr>
      <t xml:space="preserve">
</t>
    </r>
    <r>
      <rPr>
        <strike/>
        <sz val="14"/>
        <rFont val="Calibri"/>
        <family val="2"/>
        <scheme val="minor"/>
      </rPr>
      <t>14/02/2026</t>
    </r>
    <r>
      <rPr>
        <sz val="14"/>
        <rFont val="Calibri"/>
        <family val="2"/>
        <scheme val="minor"/>
      </rPr>
      <t xml:space="preserve">
</t>
    </r>
    <r>
      <rPr>
        <strike/>
        <sz val="14"/>
        <rFont val="Calibri"/>
        <family val="2"/>
        <scheme val="minor"/>
      </rPr>
      <t>19/02/2026</t>
    </r>
    <r>
      <rPr>
        <sz val="14"/>
        <rFont val="Calibri"/>
        <family val="2"/>
        <scheme val="minor"/>
      </rPr>
      <t xml:space="preserve">
17/02/2026</t>
    </r>
  </si>
  <si>
    <r>
      <rPr>
        <strike/>
        <sz val="14"/>
        <rFont val="Calibri"/>
        <family val="2"/>
        <scheme val="minor"/>
      </rPr>
      <t>10/02/2026</t>
    </r>
    <r>
      <rPr>
        <sz val="14"/>
        <rFont val="Calibri"/>
        <family val="2"/>
        <scheme val="minor"/>
      </rPr>
      <t xml:space="preserve">
</t>
    </r>
    <r>
      <rPr>
        <strike/>
        <sz val="14"/>
        <rFont val="Calibri"/>
        <family val="2"/>
        <scheme val="minor"/>
      </rPr>
      <t>14/02/2026</t>
    </r>
    <r>
      <rPr>
        <sz val="14"/>
        <rFont val="Calibri"/>
        <family val="2"/>
        <scheme val="minor"/>
      </rPr>
      <t xml:space="preserve">
</t>
    </r>
    <r>
      <rPr>
        <strike/>
        <sz val="14"/>
        <rFont val="Calibri"/>
        <family val="2"/>
        <scheme val="minor"/>
      </rPr>
      <t>19/02/2026</t>
    </r>
    <r>
      <rPr>
        <sz val="14"/>
        <rFont val="Calibri"/>
        <family val="2"/>
        <scheme val="minor"/>
      </rPr>
      <t xml:space="preserve">
</t>
    </r>
    <r>
      <rPr>
        <strike/>
        <sz val="14"/>
        <rFont val="Calibri"/>
        <family val="2"/>
        <scheme val="minor"/>
      </rPr>
      <t>06/03/2026</t>
    </r>
    <r>
      <rPr>
        <sz val="14"/>
        <rFont val="Calibri"/>
        <family val="2"/>
        <scheme val="minor"/>
      </rPr>
      <t xml:space="preserve">
17/02/2026</t>
    </r>
  </si>
  <si>
    <r>
      <rPr>
        <strike/>
        <sz val="14"/>
        <rFont val="Calibri"/>
        <family val="2"/>
        <scheme val="minor"/>
      </rPr>
      <t>MSC COTONOU VIII</t>
    </r>
    <r>
      <rPr>
        <sz val="14"/>
        <rFont val="Calibri"/>
        <family val="2"/>
        <scheme val="minor"/>
      </rPr>
      <t xml:space="preserve">
</t>
    </r>
    <r>
      <rPr>
        <strike/>
        <sz val="14"/>
        <rFont val="Calibri"/>
        <family val="2"/>
        <scheme val="minor"/>
      </rPr>
      <t>MSC AKITETA II KC608A</t>
    </r>
    <r>
      <rPr>
        <sz val="14"/>
        <rFont val="Calibri"/>
        <family val="2"/>
        <scheme val="minor"/>
      </rPr>
      <t xml:space="preserve">
MSC COTONOU VIII IP602R</t>
    </r>
  </si>
  <si>
    <r>
      <t xml:space="preserve">03.02.2026
10/02/2026
19/02/2026
06/03/2026
</t>
    </r>
    <r>
      <rPr>
        <sz val="14"/>
        <rFont val="Calibri"/>
        <family val="2"/>
        <scheme val="minor"/>
      </rPr>
      <t>17/02/2026</t>
    </r>
  </si>
  <si>
    <t>LPO10022267</t>
  </si>
  <si>
    <t>IPR150587</t>
  </si>
  <si>
    <t>LABEL-PHOENIX PANACHE PEACH-33CL-BODY
LABEL-PHOENIX PANACHE PEACH-33CL-L/NECK
LABEL-PHOENIX PANACHE PEACH-33CL-BACK
LABEL-PHOENIX PANACHE PEACH-33CL-BACK EXPORT
LABEL-PHOENIX PANACHE RED FRUITS-33CL-BACK EXPORT</t>
  </si>
  <si>
    <t>50000
50,000
50,000
50,000
50,000</t>
  </si>
  <si>
    <t>LPO10022268</t>
  </si>
  <si>
    <t>IPR150588</t>
  </si>
  <si>
    <t>LABEL-GUINNESS-65CL-NECK
LABEL-GUINNESS-65CL-BACK
LABEL-GUINNESS-65CL-BODY
LABEL-GUINNESS-33CL-NECK
LABEL-GUINNESS-33CL-BACK
LABEL-GUINNESS-33CL-BODY</t>
  </si>
  <si>
    <t>300,000
300,000
300,000
250,000
250,000
250,000</t>
  </si>
  <si>
    <t xml:space="preserve">Awt supplier's feedback for missing bottles </t>
  </si>
  <si>
    <t>in agent warehouse 13/02/2026</t>
  </si>
  <si>
    <t>Kotka IP608R</t>
  </si>
  <si>
    <t>PFILM-CLEAR-520MMX65MIC-NON COATED(PACK X 24 CANS)- 12,306
PFILM-CLEAR-530MMX65MIC-COATED (PACK X 6 CANS)- For Trials-1 Pallet- 651</t>
  </si>
  <si>
    <t>CROWN- CORK- COKE RED MTIUS- 1,390,000
CROWN- CORK COKE ZERO SUGAR- 160,000
CROWN- CORK- SPRITE- 520,000
CROWN- CORK- SCHWEPPES G ALE- 90,000
CROWN- CORK ESKI VANILLA- 40,000
CROWN- CORK ESKI ALMOND- 90,000</t>
  </si>
  <si>
    <t>LPO10022337</t>
  </si>
  <si>
    <t>IPR151006</t>
  </si>
  <si>
    <t>CAPS- ESKI VANILLA</t>
  </si>
  <si>
    <t>LPO10022360</t>
  </si>
  <si>
    <t>IPR150575</t>
  </si>
  <si>
    <t>LABEL-PHOENIX REJUV-33CL-BACK
LABEL-PHOENIX REJUV-33CL-BODY
LABEL-PHOENIX REJUV-33CL-L/NECK
LABEL-BLUE MARLIN-65CL BACK
LABEL-BLUE MARLIN-50/65CL-BODY OVAL SHAPE ALU
LABEL-BLUE MARLIN-33/50/65CL- L/NECK
LABEL-BLUE MARLIN-33CL-BODY
LABEL-BLUE MARLIN-33CL BACK
LABEL-PEARONA-65CL-BACK (To be produced on NEW VIS)
LABEL-PEARONA-65CL-BODY (To be produced on NEW VIS)
LABEL-PEARONA-33CL/65CL-LONG NECK (To be produced on NEW VIS)
LABEL-PEARONA-33CL-BACK (To be produced on NEW VIS)
LABEL-PEARONA-33CL-BODY (To be produced on NEW VIS)</t>
  </si>
  <si>
    <t>2,000,000
2,000,000
2,000,000
300,000
200,000
700,000
500,000
500,000
300,000
300,000
800,000
300,000
300,000</t>
  </si>
  <si>
    <t>LPO10022097</t>
  </si>
  <si>
    <t>IPR150547</t>
  </si>
  <si>
    <t>TRISODIUM CITRATE-XX-XX-FOOD GRADE
CITRIC ACID-XX-XX-FOOD GRADE MONOHYDRATE
CALCIUM CHLORIDE-XX-XX-FOOD GRADE
CALCIUM SULPHATE-XX-XX-FOOD GRADE
SODIUM BENZOATE-XX-XX-FOOD GRADE
SUGAR GLUCOSE-XX-XX-DEXTROSE MONOHYDRATE 
YELLOW COLOUR-XX-XX-QUINOLINE E104</t>
  </si>
  <si>
    <t>700
3,200
800
50
50
1,300
5</t>
  </si>
  <si>
    <t>Picked up 19.02.2026</t>
  </si>
  <si>
    <t>CROWN CORK-PHOENIX BEER-XX-(BPA-NI)- 1,474,000
CROWN CORK-PLAIN HEALTH MESSAGE-XX-(BPA-NI)- 2,640,000
CROWN CORK-PEARONA-XX-(BPA-NI)- 484,000
CROWN CORK-BLUE MARLIN-XX-(BPA-NI)- 479,000</t>
  </si>
  <si>
    <t>Maersk Hartford/608E</t>
  </si>
  <si>
    <t>LPO10022336</t>
  </si>
  <si>
    <t>IPR150948</t>
  </si>
  <si>
    <t>LABEL- CRYSTAL BOPP CLR 1.5LT
LABEL- CRYSTAL BOPP CLR 1.0LT
LABEL- CRYSTAL BOPP CLR 0.5LT
SLEEVE- FUZE TEA PEACH 0.5LT
SLEEVE- FUZE TEA PEACH 1.5LT
SLEEVE- FUZE TEA APPLE LEMONGRASS 1.5LT
SLEEVE- FUZE TEA MANGO CAMOMILE 0.5LT
SLEEVE- FUZE TEA MANGO CAMOMILE 1.5LT</t>
  </si>
  <si>
    <t>1,500,000
500,000
900,000
200,000
150,000
250,000
100,000
50,000</t>
  </si>
  <si>
    <r>
      <rPr>
        <strike/>
        <sz val="14"/>
        <rFont val="Calibri"/>
        <family val="2"/>
        <scheme val="minor"/>
      </rPr>
      <t>10/02/2026</t>
    </r>
    <r>
      <rPr>
        <sz val="14"/>
        <rFont val="Calibri"/>
        <family val="2"/>
        <scheme val="minor"/>
      </rPr>
      <t xml:space="preserve">
</t>
    </r>
    <r>
      <rPr>
        <strike/>
        <sz val="14"/>
        <rFont val="Calibri"/>
        <family val="2"/>
        <scheme val="minor"/>
      </rPr>
      <t>27/02/2026</t>
    </r>
    <r>
      <rPr>
        <sz val="14"/>
        <rFont val="Calibri"/>
        <family val="2"/>
        <scheme val="minor"/>
      </rPr>
      <t xml:space="preserve">
05/03/2026</t>
    </r>
  </si>
  <si>
    <r>
      <rPr>
        <strike/>
        <sz val="14"/>
        <rFont val="Calibri"/>
        <family val="2"/>
        <scheme val="minor"/>
      </rPr>
      <t>12/02/2026</t>
    </r>
    <r>
      <rPr>
        <sz val="14"/>
        <rFont val="Calibri"/>
        <family val="2"/>
        <scheme val="minor"/>
      </rPr>
      <t xml:space="preserve">
14/02/2026</t>
    </r>
  </si>
  <si>
    <r>
      <rPr>
        <strike/>
        <sz val="14"/>
        <rFont val="Calibri"/>
        <family val="2"/>
        <scheme val="minor"/>
      </rPr>
      <t>16/02/2026</t>
    </r>
    <r>
      <rPr>
        <sz val="14"/>
        <rFont val="Calibri"/>
        <family val="2"/>
        <scheme val="minor"/>
      </rPr>
      <t xml:space="preserve">
21/02/2026</t>
    </r>
  </si>
  <si>
    <t>MALT-Lot 2-HOLLAND PILSEN-XX-XX-53,620KG</t>
  </si>
  <si>
    <t>PIP done and sent
BL :MEDUO9514045</t>
  </si>
  <si>
    <r>
      <rPr>
        <strike/>
        <sz val="14"/>
        <rFont val="Calibri"/>
        <family val="2"/>
        <scheme val="minor"/>
      </rPr>
      <t>11/03/2026</t>
    </r>
    <r>
      <rPr>
        <sz val="14"/>
        <rFont val="Calibri"/>
        <family val="2"/>
        <scheme val="minor"/>
      </rPr>
      <t xml:space="preserve">
15/03/2026</t>
    </r>
  </si>
  <si>
    <r>
      <rPr>
        <strike/>
        <sz val="14"/>
        <rFont val="Calibri"/>
        <family val="2"/>
        <scheme val="minor"/>
      </rPr>
      <t>15/02/2026</t>
    </r>
    <r>
      <rPr>
        <sz val="14"/>
        <rFont val="Calibri"/>
        <family val="2"/>
        <scheme val="minor"/>
      </rPr>
      <t xml:space="preserve">
</t>
    </r>
    <r>
      <rPr>
        <strike/>
        <sz val="14"/>
        <rFont val="Calibri"/>
        <family val="2"/>
        <scheme val="minor"/>
      </rPr>
      <t>17/02/2026</t>
    </r>
    <r>
      <rPr>
        <sz val="14"/>
        <rFont val="Calibri"/>
        <family val="2"/>
        <scheme val="minor"/>
      </rPr>
      <t xml:space="preserve">
</t>
    </r>
    <r>
      <rPr>
        <strike/>
        <sz val="14"/>
        <rFont val="Calibri"/>
        <family val="2"/>
        <scheme val="minor"/>
      </rPr>
      <t>21/02/2026</t>
    </r>
    <r>
      <rPr>
        <sz val="14"/>
        <rFont val="Calibri"/>
        <family val="2"/>
        <scheme val="minor"/>
      </rPr>
      <t xml:space="preserve">
26/02/2026</t>
    </r>
  </si>
  <si>
    <t xml:space="preserve">FLAVOUR EMULSION LEMON CLOUD-XX-XX-XX-500KG
</t>
  </si>
  <si>
    <t xml:space="preserve">
FLAVOUR-XX-XX-MIXED FRUIT- 100KG</t>
  </si>
  <si>
    <t>BL NO MEDUG9806373</t>
  </si>
  <si>
    <t>MEDUG9806373</t>
  </si>
  <si>
    <t>MEDUWP599683</t>
  </si>
  <si>
    <t>MSMU1543816</t>
  </si>
  <si>
    <t>MSC Ines- ZF603R</t>
  </si>
  <si>
    <t>MEDUW5039278</t>
  </si>
  <si>
    <t>Mid-march</t>
  </si>
  <si>
    <t>MEDUR6077826</t>
  </si>
  <si>
    <t>30.06.2026</t>
  </si>
  <si>
    <t>13.02.2026</t>
  </si>
  <si>
    <t>FPO12924</t>
  </si>
  <si>
    <t>IPR150935</t>
  </si>
  <si>
    <t>FPO12925</t>
  </si>
  <si>
    <t>IPR150938</t>
  </si>
  <si>
    <t>Coca-Cola Midi SAS</t>
  </si>
  <si>
    <t>CONC- FUZE TEA LIQUID - PART2B-768UN</t>
  </si>
  <si>
    <t>45 days  Bill of Lading</t>
  </si>
  <si>
    <t>FPO12926</t>
  </si>
  <si>
    <t>IPR150977</t>
  </si>
  <si>
    <t>Schweppes International Limited</t>
  </si>
  <si>
    <t>CONC- ORANGINA [1DRUM=7UN]-364un
CONC- POTASSIUM SORBATE(1 CARTON=28UN)-364un
CONC- ORANGINA ZERO DRUM KIT(28UN)-84un
CONC- PRESERVATIVE KIT FOR 0! ZERO(28UN)-56un
CONC- ANTIOXIDANT KIT(28UN)-56un
SAP order No. 1000022695 dated 23/02/2026</t>
  </si>
  <si>
    <t>Pick up 23/02/2026-To follow booking</t>
  </si>
  <si>
    <t>GSL ARCADIA ZF611R</t>
  </si>
  <si>
    <t>FPO12955</t>
  </si>
  <si>
    <t>IPR150957</t>
  </si>
  <si>
    <t>500ML CAN MONSTER ULTRA WHITE- 1760
500ML CAN MONSTER PIPELINE PUNCH- 1,760</t>
  </si>
  <si>
    <t>500ML CAN MONSTER ULTRA WHITE-1760
500ml Can Monster Mucho Loco- 1760
500ML CAN MONSTER PIPELINE PUNCH-1760</t>
  </si>
  <si>
    <t>FPO12957</t>
  </si>
  <si>
    <t>IPR149872</t>
  </si>
  <si>
    <t>LPO10022096</t>
  </si>
  <si>
    <t>IPR150534</t>
  </si>
  <si>
    <t>GLUE-EARTHIC-2027 LQ-XX - For Labels
GLUE-AVANTRA PHC9202-XX-HOT MELT - For Trays/Boxes</t>
  </si>
  <si>
    <t>1,000
200</t>
  </si>
  <si>
    <t>100% Advance Payment- USD 15,237.10
100% ADVANCE PAYMENT additional order- USD 28,535.21 (DUE 16/02/2026)</t>
  </si>
  <si>
    <t>FPO12960</t>
  </si>
  <si>
    <t>IPR150475</t>
  </si>
  <si>
    <t>FPO12962</t>
  </si>
  <si>
    <t>IPR151097</t>
  </si>
  <si>
    <t xml:space="preserve">HOPS-BARTH CO2 EXTRACT-35%-HALLERTAU MAGNUM (2025)-350
HOPS-BARTH CO2 EXTRACT-35%-HALLERTAU HERKULE(2025)- 350
HOPS-BARTH CO2 EXTRACT-40%-HALLERTAU PERLE (2025)- 525
HOPS-BARTH P45-10%-HALLERTAU PERLE CROP 2025- 500
HOPS-BARTH P45-7-9%-SLOVENIA AURORA CROP 2025- 300
HOPS-BARTH CO2 EXTRACT-35%-SLOVENIA AURORA (2023)- 1,000
</t>
  </si>
  <si>
    <t>FPO12963</t>
  </si>
  <si>
    <t>IPR151130</t>
  </si>
  <si>
    <t>CONC- ESKI VANILLA(CREAM SODA)- 94.97LT</t>
  </si>
  <si>
    <t>FPO12964</t>
  </si>
  <si>
    <t>IPR151132</t>
  </si>
  <si>
    <t>CONC-PEARONA BASE-XX-XX- 18,000LT</t>
  </si>
  <si>
    <t>FPO12965</t>
  </si>
  <si>
    <t>IPR151133</t>
  </si>
  <si>
    <t>CONC-PEARONA BASE-XX-XX- 9,000LT
CONC-CIDER-XX-ALCOHOLIC CANNING ONLY- 9,000LT</t>
  </si>
  <si>
    <t>FPO12966</t>
  </si>
  <si>
    <t>IPR151158</t>
  </si>
  <si>
    <t>CONC-MGFC-XX-XX- 5,000LT
CONC-GUINNESS GFE-2%-(CMB) - 5,000LT</t>
  </si>
  <si>
    <t>FPO12967</t>
  </si>
  <si>
    <t>IPR151159</t>
  </si>
  <si>
    <t>NATURAL FLAVOUR PEACH-XX-XX-XX- 60KG</t>
  </si>
  <si>
    <t>FPO12968</t>
  </si>
  <si>
    <t>IPR151161</t>
  </si>
  <si>
    <t xml:space="preserve">DSM FOOD SPECIALTIES </t>
  </si>
  <si>
    <t>FILTRASE NL-XX-XX-XX- 480KG</t>
  </si>
  <si>
    <t>FPO12969</t>
  </si>
  <si>
    <t>IPR151170</t>
  </si>
  <si>
    <t>GIVAUDAN</t>
  </si>
  <si>
    <t>FLAVOUR-XX-XX-GUARANA- 200KG</t>
  </si>
  <si>
    <t>120 DAYS FROM INVOICE DATE</t>
  </si>
  <si>
    <t>LPO10022502</t>
  </si>
  <si>
    <t>IPR151131</t>
  </si>
  <si>
    <t>ESKI- ASPARTAME
ESKI- ACESULFAME
SODIUM BENZOATE-XX-XX-FOOD GRADE
ESKI- CITRIC ACID ANHYDROUS
ESKI- CREAM SODA PMP(GREEN COLOUR)</t>
  </si>
  <si>
    <t>100
100
250
1,300 
10</t>
  </si>
  <si>
    <t>BARTHHAAS GMBH</t>
  </si>
  <si>
    <t>MSC KOREA III HU608A</t>
  </si>
  <si>
    <r>
      <rPr>
        <b/>
        <sz val="14"/>
        <rFont val="Calibri"/>
        <family val="2"/>
        <scheme val="minor"/>
      </rPr>
      <t>LOT 370A</t>
    </r>
    <r>
      <rPr>
        <sz val="14"/>
        <rFont val="Calibri"/>
        <family val="2"/>
        <scheme val="minor"/>
      </rPr>
      <t xml:space="preserve">
CAN-P.FRESH LEMON-33CL-XX - DG- 133,038
CAN-SMIRNOFF ICE BLUE-33CL- (GUARANA) - HG- 133,038
CAN-PEARONA33CL-DG- 133,038
</t>
    </r>
  </si>
  <si>
    <r>
      <rPr>
        <b/>
        <sz val="14"/>
        <rFont val="Calibri"/>
        <family val="2"/>
        <scheme val="minor"/>
      </rPr>
      <t>LOT 367 E</t>
    </r>
    <r>
      <rPr>
        <sz val="14"/>
        <rFont val="Calibri"/>
        <family val="2"/>
        <scheme val="minor"/>
      </rPr>
      <t xml:space="preserve">
CAN- PHX BEER DG - 896,256</t>
    </r>
  </si>
  <si>
    <r>
      <rPr>
        <b/>
        <sz val="14"/>
        <rFont val="Calibri"/>
        <family val="2"/>
        <scheme val="minor"/>
      </rPr>
      <t>LOT 368 B</t>
    </r>
    <r>
      <rPr>
        <sz val="14"/>
        <rFont val="Calibri"/>
        <family val="2"/>
        <scheme val="minor"/>
      </rPr>
      <t xml:space="preserve">
CAN-PHOENIX BEER-33CL-XX-DG- 805,230
CAN-Malta Guinness - HG -   413,118 
CAN- Pearona DG  - 427,122- 266,076</t>
    </r>
  </si>
  <si>
    <r>
      <rPr>
        <b/>
        <sz val="14"/>
        <rFont val="Calibri"/>
        <family val="2"/>
        <scheme val="minor"/>
      </rPr>
      <t xml:space="preserve">LOT 368 C
</t>
    </r>
    <r>
      <rPr>
        <sz val="14"/>
        <rFont val="Calibri"/>
        <family val="2"/>
        <scheme val="minor"/>
      </rPr>
      <t xml:space="preserve">
Malta Guinness - 287,082
</t>
    </r>
  </si>
  <si>
    <t>CW14 (30 March - 03 April 2026)</t>
  </si>
  <si>
    <r>
      <t xml:space="preserve">100% ADVANCE PAYMENT
</t>
    </r>
    <r>
      <rPr>
        <sz val="14"/>
        <color rgb="FF00B050"/>
        <rFont val="Calibri"/>
        <family val="2"/>
        <scheme val="minor"/>
      </rPr>
      <t>Additional Payment done- ZAR 10,900- Due 24/02/2026</t>
    </r>
  </si>
  <si>
    <t>PIP done and sent 
BL: MEDUW6754271</t>
  </si>
  <si>
    <t>AF0261</t>
  </si>
  <si>
    <t>FPO12961</t>
  </si>
  <si>
    <t>IPR151194</t>
  </si>
  <si>
    <t>LPO10022584</t>
  </si>
  <si>
    <t>IPR151250</t>
  </si>
  <si>
    <t>LABEL-SPRITE 1.5LT NL3
LABEL- FANTA ORANGE- 1.5LT NL3
LABEL- FANTA ORANGE- 1.0LT NL3
LABEL- FANTA ORANGE- 0.5LT NL3
LABEL- FANTA PASSION- 2.0LT NL3
LABEL- FANTA PASSION- 1.5LT NL3
LABEL- FANTA PASSION- 0.5LT NL3</t>
  </si>
  <si>
    <t>900,000
400,000
150,000
700,000
100,000
100,000
400,000</t>
  </si>
  <si>
    <t>IPR151254</t>
  </si>
  <si>
    <t>LPO10022582</t>
  </si>
  <si>
    <t>LABEL- SPRITE-0.5LT</t>
  </si>
  <si>
    <t>LPO10022583</t>
  </si>
  <si>
    <t>IPR151268</t>
  </si>
  <si>
    <t>LABEL- SCHWP TONIC- 0.5LT
LABEL- SCHWP SOD- 0.5LT
LABEL- SCHWP G ALE-0.5LT</t>
  </si>
  <si>
    <t>250,000
50,000
300,000</t>
  </si>
  <si>
    <t>LPO10022586</t>
  </si>
  <si>
    <t>IPR151260</t>
  </si>
  <si>
    <t>LABEL- ESKI ALMOND 2.0LT NL3
LABEL- ESKI ALMOND 1.0LT NL3
LABEL- ESKI ALMOND 0.4LT NL3
LABEL- ESKI STRAWBERRY 2.0LT NL3
LABEL- ESKI STRAWBERRY 0.4LT NL3
LABEL- ESKI VANILLA 2.0 LT NL3
LABEL- ESKI VANILLA 1.0 LT NL3
LABEL- ESKI VANILLA 0.4 LT NL3</t>
  </si>
  <si>
    <t>200,000
50,000
100,000
100,000
200,000
300,000
50,000
250,000</t>
  </si>
  <si>
    <t>BSIU2814940</t>
  </si>
  <si>
    <t>GSL VIOLETTA ZF609R</t>
  </si>
  <si>
    <t>WEEK 11 (9 - 15 March 2026)</t>
  </si>
  <si>
    <t>Monster Energy Original 500ML CAN- 1120</t>
  </si>
  <si>
    <t>Monster Energy Original 500ML CAN- 16480</t>
  </si>
  <si>
    <t xml:space="preserve">Monster Energy Original 500ML CAN- 1120
500ml Can Monster Mucho Loco-1,760
</t>
  </si>
  <si>
    <t xml:space="preserve">PREFORM-CRYSTAL BLUE 29/25-12GM- 1,166,000
PREFORM- CLEAR-38MM-30GM- 528,000
PREFORM- CLEAR-38MM-52GM- 299,000
2nd shipment </t>
  </si>
  <si>
    <t>booking - 04/03/26</t>
  </si>
  <si>
    <t>End of march 26</t>
  </si>
  <si>
    <t>To collect by 18/05/2026</t>
  </si>
  <si>
    <t>PIP done and sent
Booking No. 006IFR0363962
BL : MEDUGT717352</t>
  </si>
  <si>
    <t>MSC SINDY IP611R</t>
  </si>
  <si>
    <t xml:space="preserve">PIP done and sent
Booking No. 356SL2018406
</t>
  </si>
  <si>
    <r>
      <rPr>
        <strike/>
        <sz val="14"/>
        <rFont val="Calibri"/>
        <family val="2"/>
        <scheme val="minor"/>
      </rPr>
      <t>19/02/2026</t>
    </r>
    <r>
      <rPr>
        <sz val="14"/>
        <rFont val="Calibri"/>
        <family val="2"/>
        <scheme val="minor"/>
      </rPr>
      <t xml:space="preserve">
</t>
    </r>
    <r>
      <rPr>
        <strike/>
        <sz val="14"/>
        <rFont val="Calibri"/>
        <family val="2"/>
        <scheme val="minor"/>
      </rPr>
      <t>26/02/2026</t>
    </r>
    <r>
      <rPr>
        <sz val="14"/>
        <rFont val="Calibri"/>
        <family val="2"/>
        <scheme val="minor"/>
      </rPr>
      <t xml:space="preserve">
</t>
    </r>
    <r>
      <rPr>
        <strike/>
        <sz val="14"/>
        <rFont val="Calibri"/>
        <family val="2"/>
        <scheme val="minor"/>
      </rPr>
      <t>28/02/2026</t>
    </r>
    <r>
      <rPr>
        <sz val="14"/>
        <rFont val="Calibri"/>
        <family val="2"/>
        <scheme val="minor"/>
      </rPr>
      <t xml:space="preserve">
04/03/2026</t>
    </r>
  </si>
  <si>
    <t>MEDUPZ669375</t>
  </si>
  <si>
    <r>
      <t xml:space="preserve">300ml Can Grapetiser Red-4,860-
Grapetiser Red NBT 275ML- 618 - 
Appletiser NBT 275ML- 900 
</t>
    </r>
    <r>
      <rPr>
        <b/>
        <sz val="14"/>
        <color theme="1"/>
        <rFont val="Calibri"/>
        <family val="2"/>
        <scheme val="minor"/>
      </rPr>
      <t xml:space="preserve">Grapetiser Red NBT 750ML- 919 </t>
    </r>
    <r>
      <rPr>
        <b/>
        <sz val="14"/>
        <color rgb="FF00B050"/>
        <rFont val="Calibri"/>
        <family val="2"/>
        <scheme val="minor"/>
      </rPr>
      <t xml:space="preserve">
</t>
    </r>
    <r>
      <rPr>
        <b/>
        <sz val="14"/>
        <color theme="1"/>
        <rFont val="Calibri"/>
        <family val="2"/>
        <scheme val="minor"/>
      </rPr>
      <t>Appletiser NBT 750ML- 119</t>
    </r>
    <r>
      <rPr>
        <b/>
        <sz val="14"/>
        <color rgb="FF00B050"/>
        <rFont val="Calibri"/>
        <family val="2"/>
        <scheme val="minor"/>
      </rPr>
      <t xml:space="preserve"> - Balance of 119 , to cancel</t>
    </r>
  </si>
  <si>
    <t>received in nagent warehouse on 09/03/2026</t>
  </si>
  <si>
    <t>forwarder  warehouse 10/03/2026</t>
  </si>
  <si>
    <t>TCLU5199573</t>
  </si>
  <si>
    <t>FPO12918</t>
  </si>
  <si>
    <t>IPR150885</t>
  </si>
  <si>
    <t>FPO12989</t>
  </si>
  <si>
    <t>IPR151303</t>
  </si>
  <si>
    <t>FPO12990</t>
  </si>
  <si>
    <t>IPR151301</t>
  </si>
  <si>
    <t>FPO12991</t>
  </si>
  <si>
    <t>IPR151307</t>
  </si>
  <si>
    <t>FPO12992</t>
  </si>
  <si>
    <t>IPR151309</t>
  </si>
  <si>
    <t>FPO12993</t>
  </si>
  <si>
    <t>IPR151391</t>
  </si>
  <si>
    <t>LPO10022714</t>
  </si>
  <si>
    <t>IPR151296</t>
  </si>
  <si>
    <t>PFILM- SHRINK-400/425/450/70MIC</t>
  </si>
  <si>
    <t>LPO10022715</t>
  </si>
  <si>
    <t>IPR151302</t>
  </si>
  <si>
    <t>PFILM-SHRINK-390MM X 70MIC
PFILM-SHRINK-340MM X 70MIC
PFILM-SHRINK-390MMX70MIC- UV</t>
  </si>
  <si>
    <t>12,000
3,000
7,000</t>
  </si>
  <si>
    <t>LPO10022716</t>
  </si>
  <si>
    <t>IPR151298</t>
  </si>
  <si>
    <t>PFILM-SHRINK-400MMX70MIC-1500ML</t>
  </si>
  <si>
    <t>LPO10022717</t>
  </si>
  <si>
    <t>IPR151392</t>
  </si>
  <si>
    <t>PFILM-CLEAR-530MMX70MIC-COATED (PACK X 6 CANS)</t>
  </si>
  <si>
    <t>WEEK 11</t>
  </si>
  <si>
    <t>MALT-Lot 3-HOLLAND PILSEN-XX-XX- 216,000 KG</t>
  </si>
  <si>
    <r>
      <rPr>
        <strike/>
        <sz val="14"/>
        <rFont val="Calibri"/>
        <family val="2"/>
        <scheme val="minor"/>
      </rPr>
      <t>07/03/2026</t>
    </r>
    <r>
      <rPr>
        <sz val="14"/>
        <rFont val="Calibri"/>
        <family val="2"/>
        <scheme val="minor"/>
      </rPr>
      <t xml:space="preserve">
</t>
    </r>
    <r>
      <rPr>
        <strike/>
        <sz val="14"/>
        <rFont val="Calibri"/>
        <family val="2"/>
        <scheme val="minor"/>
      </rPr>
      <t>09/03/2026</t>
    </r>
    <r>
      <rPr>
        <sz val="14"/>
        <rFont val="Calibri"/>
        <family val="2"/>
        <scheme val="minor"/>
      </rPr>
      <t xml:space="preserve">
15/03/2026</t>
    </r>
  </si>
  <si>
    <t>Fedex</t>
  </si>
  <si>
    <t>AWB 889354511999</t>
  </si>
  <si>
    <t>FPO12994</t>
  </si>
  <si>
    <t>IPR151297</t>
  </si>
  <si>
    <t>Shandong Angu Seals and Packaging Co.Ltd</t>
  </si>
  <si>
    <t>POSTMIX- TAG COKE LIGHT WHITE- 5,000
POSTMIX- TAG COKE RED- 8,000
POSTMIX- TAG SPRITE GREEN - 8,000
POSTMIX- TAG FANTA ORANGE- 3,000
POSTMIX- TAG SCHWP TONIC YELLO- 1,000</t>
  </si>
  <si>
    <t>T/T Before Delivery</t>
  </si>
  <si>
    <t>FPO12995</t>
  </si>
  <si>
    <t>IPR151371</t>
  </si>
  <si>
    <t>Advini SA</t>
  </si>
  <si>
    <t>LAVENIR HORIZON PINOTAGE ROUGE 750 ML- 450</t>
  </si>
  <si>
    <t>FPO12996</t>
  </si>
  <si>
    <t>IPR151372</t>
  </si>
  <si>
    <t>Touraine Sauvignon Blanc 750ml- 600</t>
  </si>
  <si>
    <t>FPO12997</t>
  </si>
  <si>
    <t>IPR151386</t>
  </si>
  <si>
    <t>Sarl Maison Austruy</t>
  </si>
  <si>
    <t>Chateau Peyrassol 2020 Cotes De Provence Rose 75cl- 300</t>
  </si>
  <si>
    <t>FPO12988</t>
  </si>
  <si>
    <t>IPR151300</t>
  </si>
  <si>
    <t>Bl NO . MEDURQ406551</t>
  </si>
  <si>
    <t>MSC AKITETA II KC610A</t>
  </si>
  <si>
    <t>BL. NO MEDUW5086253</t>
  </si>
  <si>
    <t>19/03/26</t>
  </si>
  <si>
    <t>Logistics take two weeks to send docs to FTL (Health Certificate, attestations)</t>
  </si>
  <si>
    <t>16.03.2026</t>
  </si>
  <si>
    <t>19.03.2026</t>
  </si>
  <si>
    <t>DISP- BOTTLES- COKE BDB 300ML- 323,190</t>
  </si>
  <si>
    <t>CAPS- FUZE TEA GREEN 38MM NECK FINISH(NGOC)- 1,946,400</t>
  </si>
  <si>
    <t>FPO12998</t>
  </si>
  <si>
    <t>IPR151126</t>
  </si>
  <si>
    <t>SAS Vigneau Chevreau</t>
  </si>
  <si>
    <t>Vouvray Methods Trad Brut 750ML- 150
Vouvray Methods Trad Extra Brut 750ML- 150
Vouvray Blanc Sec 750ML- 300</t>
  </si>
  <si>
    <t>LPO10022592</t>
  </si>
  <si>
    <t>IPR151241</t>
  </si>
  <si>
    <t>Hygiene Solutions (Mauritius) Ltd</t>
  </si>
  <si>
    <t>STABIFIX STABIQUICK STRONG-XX-XX-XX</t>
  </si>
  <si>
    <t>Ongoing 13/03/2026</t>
  </si>
  <si>
    <r>
      <rPr>
        <strike/>
        <sz val="14"/>
        <rFont val="Calibri"/>
        <family val="2"/>
        <scheme val="minor"/>
      </rPr>
      <t>10/03/2026</t>
    </r>
    <r>
      <rPr>
        <sz val="14"/>
        <rFont val="Calibri"/>
        <family val="2"/>
        <scheme val="minor"/>
      </rPr>
      <t xml:space="preserve">
16/03/2026</t>
    </r>
  </si>
  <si>
    <r>
      <rPr>
        <strike/>
        <sz val="14"/>
        <rFont val="Calibri"/>
        <family val="2"/>
        <scheme val="minor"/>
      </rPr>
      <t>12/03/2026</t>
    </r>
    <r>
      <rPr>
        <sz val="14"/>
        <rFont val="Calibri"/>
        <family val="2"/>
        <scheme val="minor"/>
      </rPr>
      <t xml:space="preserve">
17/03/2026</t>
    </r>
  </si>
  <si>
    <r>
      <rPr>
        <strike/>
        <sz val="14"/>
        <rFont val="Calibri"/>
        <family val="2"/>
        <scheme val="minor"/>
      </rPr>
      <t>10/03/2026</t>
    </r>
    <r>
      <rPr>
        <sz val="14"/>
        <rFont val="Calibri"/>
        <family val="2"/>
        <scheme val="minor"/>
      </rPr>
      <t xml:space="preserve">
1</t>
    </r>
    <r>
      <rPr>
        <strike/>
        <sz val="14"/>
        <rFont val="Calibri"/>
        <family val="2"/>
        <scheme val="minor"/>
      </rPr>
      <t>1/03/2026</t>
    </r>
    <r>
      <rPr>
        <sz val="14"/>
        <rFont val="Calibri"/>
        <family val="2"/>
        <scheme val="minor"/>
      </rPr>
      <t xml:space="preserve">
16/03/2026</t>
    </r>
  </si>
  <si>
    <t>MSC GREENFIELD IP610R</t>
  </si>
  <si>
    <t>MALT-JOE WHITE PILSEN-XX-(AUSTRALIAN) - Lot 12 - 122,530 Kgs</t>
  </si>
  <si>
    <t>GREENFIELD IP610R</t>
  </si>
  <si>
    <t>Ongoing 13/03/2026
Clearance NPPO 17.03.2026</t>
  </si>
  <si>
    <t>16/03/2026
Clearance NPPO  - 16.03.2026</t>
  </si>
  <si>
    <t>NPPO Clearance 15.03.2026</t>
  </si>
  <si>
    <t>NPPO Clearance 04.03.2026</t>
  </si>
  <si>
    <t>Initial RRD: 01.05.2026 - DP asked to prepone shipment for ETA by mid of April 26 latest thus to be dispatched end of Feb 2026.</t>
  </si>
  <si>
    <t xml:space="preserve">CONC- FUZE TEA - PEACH-240
</t>
  </si>
  <si>
    <t xml:space="preserve">CONC- ESKI VANILLA(CREAM SODA)- 75.97LT
CONC- ESKI ALMOND- 111.6LT
CONC- ESKI STRAWBERRY- 24.295 LT
</t>
  </si>
  <si>
    <t>Diageo Ireland</t>
  </si>
  <si>
    <t>FPO12999</t>
  </si>
  <si>
    <t>IPR151455</t>
  </si>
  <si>
    <t>PFILM-CLEAR-520MMX70MIC-NON COATED(PACK X 24 CANS)- 20,000</t>
  </si>
  <si>
    <t>FPO13000</t>
  </si>
  <si>
    <t>IPR150480</t>
  </si>
  <si>
    <t>21  DAYS BL DATE</t>
  </si>
  <si>
    <t>FPO13001</t>
  </si>
  <si>
    <t>IPR151454</t>
  </si>
  <si>
    <t>PREFORM-CRYSTAL BLUE 29/25-12GM- 1,166,000
PREFORM-CRYSTAL BLUE 29/25-23.5GM- 550,000
PREFORM-CRYSTAL BLUE 29/25-27GM- 1,100,000
PREFORM- CLEAR-38MM-30GM- 528,000
PREFORM- CLEAR-38MM-52GM- 299,200</t>
  </si>
  <si>
    <t>FPO13002</t>
  </si>
  <si>
    <t>IPR151157</t>
  </si>
  <si>
    <t>Indian Ocean Export Com.Pty.Ltd</t>
  </si>
  <si>
    <t>Angel Tears red Cabernet Sauvignon-Merlot 750Ml- 300</t>
  </si>
  <si>
    <t>FPO13004</t>
  </si>
  <si>
    <t>IPR151547</t>
  </si>
  <si>
    <t>45 Days Invoice Date</t>
  </si>
  <si>
    <t>done - 09/03/26 awaiting vessel details -
Stuffing - 19/03/26</t>
  </si>
  <si>
    <t>Stuffing - 19/03/26</t>
  </si>
  <si>
    <t>24/03/26</t>
  </si>
  <si>
    <t>MSC SINDY, IP611R</t>
  </si>
  <si>
    <t>MAERSK CHESAPEAKE / 614N</t>
  </si>
  <si>
    <t>MSC CHIARA X GU610W</t>
  </si>
  <si>
    <t>BL Number: MEDUR7129642</t>
  </si>
  <si>
    <t xml:space="preserve"> 
Decoration on bottles starts on the 8th of april </t>
  </si>
  <si>
    <t xml:space="preserve">
PREFORM- CLEAR-38MM-52GM- 299,2000
3rd Shipment </t>
  </si>
  <si>
    <t xml:space="preserve">
PREFORM- CLEAR-38MM-30GM - 528,000
2nd Shipment </t>
  </si>
  <si>
    <t>To load 26/03</t>
  </si>
  <si>
    <t>MSC VEGA - IS611R</t>
  </si>
  <si>
    <t>BL Number: MEDUG9822073</t>
  </si>
  <si>
    <t>LPO10022903</t>
  </si>
  <si>
    <t>IPR150869</t>
  </si>
  <si>
    <t>GAZ CARBONIQUE LTEE</t>
  </si>
  <si>
    <t>LIQUID NITROGEN-XX-XX-IN BULK (IN KG)</t>
  </si>
  <si>
    <t>LPO10022928</t>
  </si>
  <si>
    <t>IPR151338</t>
  </si>
  <si>
    <t>GAS CO2 IN BULK (For LIMOOnly)</t>
  </si>
  <si>
    <t>LPO10022980</t>
  </si>
  <si>
    <t>IPR151744</t>
  </si>
  <si>
    <t>PREFORM- CLEAR- 1881-21.6G CLEAR 30% RPET ALPLA
PREFORM- CLEAR- 1881-32G CLEAR 30% RPET ALPLA
PREFORM- CLEAR- 1881-42.73G CLEAR 30% RPET ALPLA</t>
  </si>
  <si>
    <t>33,264
21,168
16,240</t>
  </si>
  <si>
    <t>FPO13037</t>
  </si>
  <si>
    <t>IPR151639</t>
  </si>
  <si>
    <t>Decoration Cost (ACL) for 1 Pallet</t>
  </si>
  <si>
    <t>MSC ALYSSA V.HR610A</t>
  </si>
  <si>
    <t>16/03/26</t>
  </si>
  <si>
    <t>22/03/26</t>
  </si>
  <si>
    <t>on going - nominating forwarder 3/25/2026</t>
  </si>
  <si>
    <t>MEDUKQ646060</t>
  </si>
  <si>
    <t>TLLU8720940</t>
  </si>
  <si>
    <t>MEDUKQ753858</t>
  </si>
  <si>
    <r>
      <rPr>
        <strike/>
        <sz val="14"/>
        <rFont val="Calibri"/>
        <family val="2"/>
        <scheme val="minor"/>
      </rPr>
      <t xml:space="preserve">01/05/2026
01/06/2026
01/07/2026
</t>
    </r>
    <r>
      <rPr>
        <sz val="14"/>
        <rFont val="Calibri"/>
        <family val="2"/>
        <scheme val="minor"/>
      </rPr>
      <t>01/06/2026</t>
    </r>
  </si>
  <si>
    <r>
      <rPr>
        <strike/>
        <sz val="14"/>
        <rFont val="Calibri"/>
        <family val="2"/>
        <scheme val="minor"/>
      </rPr>
      <t>MSC HEIDI MA603R</t>
    </r>
    <r>
      <rPr>
        <sz val="14"/>
        <rFont val="Calibri"/>
        <family val="2"/>
        <scheme val="minor"/>
      </rPr>
      <t xml:space="preserve">
</t>
    </r>
    <r>
      <rPr>
        <strike/>
        <sz val="14"/>
        <rFont val="Calibri"/>
        <family val="2"/>
        <scheme val="minor"/>
      </rPr>
      <t xml:space="preserve">APL NEW YORK </t>
    </r>
    <r>
      <rPr>
        <sz val="14"/>
        <rFont val="Calibri"/>
        <family val="2"/>
        <scheme val="minor"/>
      </rPr>
      <t xml:space="preserve">
</t>
    </r>
    <r>
      <rPr>
        <strike/>
        <sz val="14"/>
        <rFont val="Calibri"/>
        <family val="2"/>
        <scheme val="minor"/>
      </rPr>
      <t>CONTSHIP ANA II KC613A</t>
    </r>
    <r>
      <rPr>
        <sz val="14"/>
        <rFont val="Calibri"/>
        <family val="2"/>
        <scheme val="minor"/>
      </rPr>
      <t xml:space="preserve">
KUMASI KC615A
</t>
    </r>
  </si>
  <si>
    <t>PIP done and sent
BL: MEDUGT724846</t>
  </si>
  <si>
    <r>
      <rPr>
        <strike/>
        <sz val="14"/>
        <rFont val="Calibri"/>
        <family val="2"/>
        <scheme val="minor"/>
      </rPr>
      <t>MSC ROMANE MA609R</t>
    </r>
    <r>
      <rPr>
        <sz val="14"/>
        <rFont val="Calibri"/>
        <family val="2"/>
        <scheme val="minor"/>
      </rPr>
      <t xml:space="preserve">
KUMASI KC615A</t>
    </r>
  </si>
  <si>
    <t xml:space="preserve">BL: MEDUW6949707
PIP done and sent </t>
  </si>
  <si>
    <t>BL: MEDUW6946802
PIP done &amp; sent to supplier</t>
  </si>
  <si>
    <t>25/03/2026</t>
  </si>
  <si>
    <t>Ongoing 23/03/2026</t>
  </si>
  <si>
    <t>28/03/2026</t>
  </si>
  <si>
    <t>26/03/2026</t>
  </si>
  <si>
    <r>
      <t xml:space="preserve">
BBASE- COKE NO SUGAR( KAIZEN)- 100
BBASE- COKE NO SUGAR POSTMIX- 32
BBASE- FANTA PASSION-- 160
BBASE- SCHWEPPE TONIC-- 8
BBASE- SCHWEPPE GINGER ALE- 18
</t>
    </r>
    <r>
      <rPr>
        <b/>
        <sz val="14"/>
        <rFont val="Calibri"/>
        <family val="2"/>
        <scheme val="minor"/>
      </rPr>
      <t>As per SAP order No. 2001452530 dated 27/11/2025</t>
    </r>
  </si>
  <si>
    <r>
      <t xml:space="preserve">BBASE- COKE- 1,400
BBASE- SPRITE-- 720
</t>
    </r>
    <r>
      <rPr>
        <b/>
        <sz val="14"/>
        <rFont val="Calibri"/>
        <family val="2"/>
        <scheme val="minor"/>
      </rPr>
      <t>As per SAP order No. 2001452530 dated 27/11/2025</t>
    </r>
  </si>
  <si>
    <t>FPO12973</t>
  </si>
  <si>
    <t>IPR151128</t>
  </si>
  <si>
    <t>CAFD Latest 7d bef vessel ETA</t>
  </si>
  <si>
    <t>FPO13036</t>
  </si>
  <si>
    <t>IPR151612</t>
  </si>
  <si>
    <t>MALT-JOE WHITE PILSEN-XX-(AUSTRALIAN)-Lot 2-105,000kgs</t>
  </si>
  <si>
    <t>FPO13035</t>
  </si>
  <si>
    <t>IPR151611</t>
  </si>
  <si>
    <t>MALT-JOE WHITE PILSEN-XX-(AUSTRALIAN)-Lot 1-105,000kgs</t>
  </si>
  <si>
    <t>FPO13034</t>
  </si>
  <si>
    <t>IPR151608</t>
  </si>
  <si>
    <t>MALT-BOORTMALT PILSEN-XX-(BELGIUM)-Lot 5-216,000</t>
  </si>
  <si>
    <t>FPO13033</t>
  </si>
  <si>
    <t>IPR151603</t>
  </si>
  <si>
    <t>MALT-BOORTMALT PILSEN-XX-(BELGIUM)-Lot 4-216,000</t>
  </si>
  <si>
    <t>FPO13032</t>
  </si>
  <si>
    <t>IPR151598</t>
  </si>
  <si>
    <t>MALT-MALTEUROP-XX-XX-Lot 5-54,000kgs</t>
  </si>
  <si>
    <t>FPO13031</t>
  </si>
  <si>
    <t>IPR151597</t>
  </si>
  <si>
    <t>MALT-MALTEUROP-XX-XX-Lot 4-54,000kgs</t>
  </si>
  <si>
    <t>FPO13030</t>
  </si>
  <si>
    <t>IPR151596</t>
  </si>
  <si>
    <t>MALT-HOLLAND PILSEN-XX-XX-Lot 5-216,000kgs</t>
  </si>
  <si>
    <t>60 days Invoice</t>
  </si>
  <si>
    <t>FPO13029</t>
  </si>
  <si>
    <t>IPR151593</t>
  </si>
  <si>
    <t>MALT-HOLLAND PILSEN-XX-XX-Lot 4-252,000kgs</t>
  </si>
  <si>
    <t>on going 
25.03.2026</t>
  </si>
  <si>
    <t>19.02.2026</t>
  </si>
  <si>
    <t>27.02.2026</t>
  </si>
  <si>
    <t xml:space="preserve">DN requested for an earlier ETA
MEDUR6774414 </t>
  </si>
  <si>
    <t>18.03.2026</t>
  </si>
  <si>
    <t>25.03.2026</t>
  </si>
  <si>
    <t>TCLU2701564 (CMA)</t>
  </si>
  <si>
    <t>Container number: CMAU2346147</t>
  </si>
  <si>
    <t>MSC ANCHORAGE</t>
  </si>
  <si>
    <t>Order was delayed because lead time too short
Conatiner Number: DFSU1934905</t>
  </si>
  <si>
    <t>Production delayed bcause production slot not available
Booking Number- 267369137</t>
  </si>
  <si>
    <t>031DU0123391</t>
  </si>
  <si>
    <t>MSC ABUJA VI ZF613R</t>
  </si>
  <si>
    <t xml:space="preserve">TO PUT GRN DATE </t>
  </si>
  <si>
    <t>NZ</t>
  </si>
  <si>
    <t>FPO13054</t>
  </si>
  <si>
    <t>IPR151736</t>
  </si>
  <si>
    <t>PFILM-CLEAR-520MMX70MIC-NON COATED(PACK X 24 CANS)- 10,000</t>
  </si>
  <si>
    <t>FPO13056</t>
  </si>
  <si>
    <t>IPR151778</t>
  </si>
  <si>
    <t>PFILM-PHOENIX 33CL-530MMXR555X70MIC-LOCAL/EXPORT- 11,250</t>
  </si>
  <si>
    <t>IPR151718</t>
  </si>
  <si>
    <t>LPO10023065</t>
  </si>
  <si>
    <t>IPR151720</t>
  </si>
  <si>
    <t>LPO10023067</t>
  </si>
  <si>
    <t>LPO10023066</t>
  </si>
  <si>
    <t>IPR151733</t>
  </si>
  <si>
    <t>CTRAY-PHOENIX REJUV-CAN-33CLX24
CTRAY-PHOENIX REJUV-CAN-50CLX24
CTRAY-PHOENIX SPECIALE-50CLX24-FOR CANS</t>
  </si>
  <si>
    <t>15,000
10,000
10,000</t>
  </si>
  <si>
    <t>LPO10023058</t>
  </si>
  <si>
    <t>IPR151849</t>
  </si>
  <si>
    <t>PFILM- SHRINK-425MMX65MIC-PLAIN CLEAR UV</t>
  </si>
  <si>
    <t>IPR151872</t>
  </si>
  <si>
    <t>LPO10023063</t>
  </si>
  <si>
    <t>CBOX-PANACHE PROMO-XX-6X33CL 2 GLASSES</t>
  </si>
  <si>
    <t>FPO13038</t>
  </si>
  <si>
    <t>IPR151634</t>
  </si>
  <si>
    <t>FPO13039</t>
  </si>
  <si>
    <t>IPR151638</t>
  </si>
  <si>
    <t>FPO13040</t>
  </si>
  <si>
    <t>IPR151636</t>
  </si>
  <si>
    <t>COCA COLA CAN 300 ML- 12,150
300ml Can Fanta Orange x24- 4,860</t>
  </si>
  <si>
    <t>COCA COLA CAN 300 ML- 24,300
300ml Can Fanta Orange x24- 4,860</t>
  </si>
  <si>
    <t>FPO13046</t>
  </si>
  <si>
    <t>IPR151826</t>
  </si>
  <si>
    <t>SARL CHERRIER FRERES</t>
  </si>
  <si>
    <t>Sancerre Blanc Pierre Cherrier 750ml- 600</t>
  </si>
  <si>
    <t>FPO13047</t>
  </si>
  <si>
    <t>IPR151823</t>
  </si>
  <si>
    <t>SAS Melody</t>
  </si>
  <si>
    <t>Crozes Hermitage Friandise 750ml- 300</t>
  </si>
  <si>
    <t>IPR151822</t>
  </si>
  <si>
    <t>LPO10023050</t>
  </si>
  <si>
    <t>IPR151716</t>
  </si>
  <si>
    <t>GAS-CO2-XX-IN BULK (For PBL Only)</t>
  </si>
  <si>
    <t>LPO10023055</t>
  </si>
  <si>
    <t>IPR151810</t>
  </si>
  <si>
    <t>Refill and Delivery of 7kg Co2 Gas Cylinders @ Rs 27/ Kg - April 2026</t>
  </si>
  <si>
    <t>LPO10023057</t>
  </si>
  <si>
    <t>IPR151811</t>
  </si>
  <si>
    <t>Refill and Delivery of 5kg Co2 Gas Cylinders @ Rs 27/ Kg - April 2026</t>
  </si>
  <si>
    <t>MSC ALIYA IS611A</t>
  </si>
  <si>
    <t>FPO13052</t>
  </si>
  <si>
    <t>IPR151299</t>
  </si>
  <si>
    <t>BBASE- COKE-2,000
BBASE- COKE NO SUGAR( KAIZEN)- 200
BBASE- COKE NO SUGAR POSTMIX- 16
BBASE- SPRITE-- 720
BBASE- FANTA ORANGE-- 500
BBASE- FANTA PASSION-- 160
BBASE- SCHWEPPE TONIC-- 40
BBASE- SCHWEPPE GINGER ALE-- 36
BBASE- SCHWEPPE SODA-- 12
BBASE- CRYSTAL WATER- WA12- 3,960
BBASE- DASANI WATER- WA64- 64
BBASE- COKE EINSTEIN (30% LESS SUGAR)- 320
CONC- FUZE TEA - PEACH- 240
CONC- FUZE TEA - APPLE LEMONGRASS- 48
CONC- FUZE TEA -MANGO CAMOMILE- 150
CONC - FUZE TEA - MANGO BAOBAB- 72</t>
  </si>
  <si>
    <t>FPO13053</t>
  </si>
  <si>
    <t>IPR151782</t>
  </si>
  <si>
    <t>Soufflet Malt</t>
  </si>
  <si>
    <t>MALT-2RS PILSEN STANDARD-XX-(FRENCH)- 90,000</t>
  </si>
  <si>
    <t>FPO13055</t>
  </si>
  <si>
    <t>IPR151739</t>
  </si>
  <si>
    <t>MANUFACTURAS METALICAS CANALS</t>
  </si>
  <si>
    <t>FPO13057</t>
  </si>
  <si>
    <t>IPR151711</t>
  </si>
  <si>
    <t>Bangkok Can Manufacturing Co Ltd</t>
  </si>
  <si>
    <t>FPO13058</t>
  </si>
  <si>
    <t>IPR151846</t>
  </si>
  <si>
    <t>Retal France SARL</t>
  </si>
  <si>
    <t>PREFORM- CLEAR- 1881-22.5G CLEAR 30% RPET - 4 FCL- 2,298,240
PREFORM- CLEAR- 1881-31.5G CLEAR 30% RPET - 1 FCL- 390,096
PREFORM- CLEAR- 1881-41.4G CLEAR 30% RPET - 1 FCL- 310,464</t>
  </si>
  <si>
    <t>FPO13059</t>
  </si>
  <si>
    <t>IPR151715</t>
  </si>
  <si>
    <t>FPO13062</t>
  </si>
  <si>
    <t>IPR151885</t>
  </si>
  <si>
    <t>Arôme citron- 40
Jus concentre citron- 80
Agent Troublant Pamplemousse- 30</t>
  </si>
  <si>
    <t>LPO10023115</t>
  </si>
  <si>
    <t>IPR151858</t>
  </si>
  <si>
    <t>LPO10023116</t>
  </si>
  <si>
    <t>IPR151857</t>
  </si>
  <si>
    <t>IPR151860</t>
  </si>
  <si>
    <t>LPO10023118</t>
  </si>
  <si>
    <t>LPO10023119</t>
  </si>
  <si>
    <t>IPR151862</t>
  </si>
  <si>
    <t>MSC ASYA / 0NNNIE1MA</t>
  </si>
  <si>
    <t>MSC LORETTA</t>
  </si>
  <si>
    <t>PIP done on 18/03/2026</t>
  </si>
  <si>
    <t>PIP done on 18/03/2026
Booking ref: EBKG16188956</t>
  </si>
  <si>
    <t xml:space="preserve"> SWB not received-To follow</t>
  </si>
  <si>
    <r>
      <rPr>
        <strike/>
        <sz val="14"/>
        <rFont val="Calibri"/>
        <family val="2"/>
        <scheme val="minor"/>
      </rPr>
      <t>BOE sent to Gilbert for Bank guarantee application-To follow.</t>
    </r>
    <r>
      <rPr>
        <sz val="14"/>
        <rFont val="Calibri"/>
        <family val="2"/>
        <scheme val="minor"/>
      </rPr>
      <t xml:space="preserve">
Bank Guarantee received and sent to FTL.
BL :MEDUW6982385
</t>
    </r>
  </si>
  <si>
    <t xml:space="preserve">SUGAR-XX-WHITE-XX-Lot 2-513,000Kgs
</t>
  </si>
  <si>
    <t>MSC : LEVINA 3</t>
  </si>
  <si>
    <t>MSC RITA V MB606R</t>
  </si>
  <si>
    <t>MSC ALTAMIRA</t>
  </si>
  <si>
    <t xml:space="preserve">MSC LORETTA </t>
  </si>
  <si>
    <r>
      <rPr>
        <sz val="14"/>
        <color rgb="FF00B050"/>
        <rFont val="Calibri"/>
        <family val="2"/>
        <scheme val="minor"/>
      </rPr>
      <t>50% Advance payment- USD 15,916.32 (Due 02/03/2026)</t>
    </r>
    <r>
      <rPr>
        <sz val="14"/>
        <rFont val="Calibri"/>
        <family val="2"/>
        <scheme val="minor"/>
      </rPr>
      <t xml:space="preserve">
</t>
    </r>
    <r>
      <rPr>
        <sz val="14"/>
        <color rgb="FF00B050"/>
        <rFont val="Calibri"/>
        <family val="2"/>
        <scheme val="minor"/>
      </rPr>
      <t>50% on scan BL- USD 14,817.34 (Due date: 27/03/2026)</t>
    </r>
  </si>
  <si>
    <t>16/03/2026- Dispatched the material from our plant and planned to catch 24th Vessel.
Conatiner number: MSMU2708490</t>
  </si>
  <si>
    <t>MSMU3407932 - Shipment having various transhipment port</t>
  </si>
  <si>
    <t>06.04.2026</t>
  </si>
  <si>
    <t>no stock availability , Awt urgent feedback from supplier 
As per mail received on 11.03.2026  the machine is down. They are awaiting a replacement part, but unfortunately we cannot yet say when it will arrive or when the machine will be up and running again.
01.04.2026 - issue regarding max height 160cm for airfreight - supplier will repack - To follow</t>
  </si>
  <si>
    <t>POP sent on 24.03.2026 - Production needs around 10 days after payment confirmed</t>
  </si>
  <si>
    <t>03.04.2026</t>
  </si>
  <si>
    <t>02.04.2026</t>
  </si>
  <si>
    <t>26.03.2026</t>
  </si>
  <si>
    <t>LPO10023244</t>
  </si>
  <si>
    <t>IPR152031</t>
  </si>
  <si>
    <t>CAPS- COKE PET RED 13-PLEASE REPLACE CAP
CAPS- COKE NO SUGAR BLACK 14-PLEASE REPLACE CAP
CAPS- SPRITE PET GREEN 96-PLEASE REPLACE CAP
CAPS- FANTA ORANGE PET BLUE 47-PLEASE REPLACE CAP
CAPS- SCHWEPPES PET YELLOW 87-PLEASE REPLACE CAP
CAPS- CRYSTAL SPARKLING GRN 112-PLEASE REPLACE CAP
CAPS- ESKI ALMOND
CAPS- ESKI STRAWBERRY
CAPS- ORANGINA ORIGINAL/REGULAR PULPE BLUE
CAPS- ESKI PORTELLO</t>
  </si>
  <si>
    <t>1,050,000
315,000
525,000
630,000
315,000
105,000
105,000
105,000
105,000
210,000</t>
  </si>
  <si>
    <t>LPO10023246</t>
  </si>
  <si>
    <t>IPR151563</t>
  </si>
  <si>
    <t>4,200,000
735,000
1,470,000
945,000
420,000
105,000
105,000
210,000
315,000
210,000</t>
  </si>
  <si>
    <t>LPO10023236</t>
  </si>
  <si>
    <t>IPR152132</t>
  </si>
  <si>
    <t>LABEL- FANTA ORANGE- 0.5LT</t>
  </si>
  <si>
    <t>FPO13086</t>
  </si>
  <si>
    <t>IPR152028</t>
  </si>
  <si>
    <t>FPO13087</t>
  </si>
  <si>
    <t>IPR152008</t>
  </si>
  <si>
    <t>Tamarind Flavouring-50Kgs</t>
  </si>
  <si>
    <t>PIP done on 18/03/2026
Booking Ref: 006IFR0369566
BL: MEDUGT734431</t>
  </si>
  <si>
    <t>PIP done &amp; sent to supplier on 02/04/2026.</t>
  </si>
  <si>
    <t>Ongoing 08/04/2026</t>
  </si>
  <si>
    <t>first load finished 09/04/2026</t>
  </si>
  <si>
    <t xml:space="preserve">Postponed RRD from 01/05/2026 to 01/06/2026 as per DP.
07/04/2026: Order has been cancelled as per DP request.
</t>
  </si>
  <si>
    <t>Booking ref: 372IDB0077413</t>
  </si>
  <si>
    <t>MSC LORETTA IP614R</t>
  </si>
  <si>
    <t>08/04/2026: Supplier waiting for booking confirmation</t>
  </si>
  <si>
    <t xml:space="preserve">leakage issuye </t>
  </si>
  <si>
    <t xml:space="preserve">Leakage issue </t>
  </si>
  <si>
    <t xml:space="preserve">leakage issue </t>
  </si>
  <si>
    <t>ON GOING - 01.04.2026</t>
  </si>
  <si>
    <r>
      <rPr>
        <b/>
        <sz val="14"/>
        <rFont val="Calibri"/>
        <family val="2"/>
        <scheme val="minor"/>
      </rPr>
      <t>LOT 373 A</t>
    </r>
    <r>
      <rPr>
        <sz val="14"/>
        <rFont val="Calibri"/>
        <family val="2"/>
        <scheme val="minor"/>
      </rPr>
      <t xml:space="preserve">
CAN-P.FRESH LEMON-33CL-XX- DG- 133,038
CAN-PEARONA-33CL-XX- DGV- 133,038
CAN-SMIRNOFF ICE BLUE-33CL- (GUARANA)- HG- 133,038</t>
    </r>
  </si>
  <si>
    <t>Pallets already transfer to greyson's site</t>
  </si>
  <si>
    <r>
      <rPr>
        <b/>
        <sz val="14"/>
        <rFont val="Calibri"/>
        <family val="2"/>
        <scheme val="minor"/>
      </rPr>
      <t>LOT 371 A</t>
    </r>
    <r>
      <rPr>
        <sz val="14"/>
        <rFont val="Calibri"/>
        <family val="2"/>
        <scheme val="minor"/>
      </rPr>
      <t xml:space="preserve">
CAN-SPRITE-33CL-LOCAL - DG- 266,076</t>
    </r>
  </si>
  <si>
    <t xml:space="preserve">SUGAR-XX-WHITE-XX-Lot 3 - 486,000kgs (50kg bag)
</t>
  </si>
  <si>
    <t>SUGAR-XX-WHITE-XX-Lot 1-513,000Kgs
   - 27,000kgs (1trial  container of 1.2T)</t>
  </si>
  <si>
    <t xml:space="preserve">As as mail of sourabh dated 26/02/2026, they received ends from supplier, awaiting booking - ship is blocked in detroit d'ormuz
No vessels currently available at Jebel Ali port
</t>
  </si>
  <si>
    <t xml:space="preserve">29/4/2026. </t>
  </si>
  <si>
    <t>production to begin in May</t>
  </si>
  <si>
    <t>On going - 08.04.2026</t>
  </si>
  <si>
    <t>13.04.2026</t>
  </si>
  <si>
    <t>DE015</t>
  </si>
  <si>
    <t>10.04.2026</t>
  </si>
  <si>
    <t>BPA-NI material to reach greyson's site end of april</t>
  </si>
  <si>
    <t>BL</t>
  </si>
  <si>
    <t>To ship June instead of July as per Pranav's mail. As per mail from Barbera, same will not be possible due to short lead time - 23/03/2026</t>
  </si>
  <si>
    <t>PFILM-CLEAR-520MMX70MIC-NON COATED(PACK X 24 CANS)- 10,721KG</t>
  </si>
  <si>
    <t>PFILM-CLEAR-520MMX70MIC-NON COATED(PACK X 24 CANS)- 10,378KG</t>
  </si>
  <si>
    <t>LPO10023395</t>
  </si>
  <si>
    <t>IPR152036</t>
  </si>
  <si>
    <t>LABEL-MANAWA WITBIER-LOCAL-SELF ADHESIVE TYPE
LABEL-MANAWA PALE ALE-LOCAL-SELF ADHESIVE TYPE
LABEL-MANAWA TRIPLE MALT-LOCAL-SELF ADHESIVE TYPE</t>
  </si>
  <si>
    <t>10,000
10,000
10,000</t>
  </si>
  <si>
    <t>LPO10023366</t>
  </si>
  <si>
    <t>IPR152029</t>
  </si>
  <si>
    <t>PREFORM- CLEAR-EMPAK 1881-22.2G
PREFORM- CLEAR-EMPAK 1881-41.9G
PREFORM- CLEAR-EMPAK 1881-46.6G</t>
  </si>
  <si>
    <t>LPO10023144</t>
  </si>
  <si>
    <t>IPR151562</t>
  </si>
  <si>
    <t>PREFORM- CLEAR-ALPLA 1881-32G ( Total del $46.60)</t>
  </si>
  <si>
    <t>IPR151560</t>
  </si>
  <si>
    <t>LPO10023367</t>
  </si>
  <si>
    <t>4,815,360
552,960
3,006,720</t>
  </si>
  <si>
    <t>Week 21
(18/05/26- 22/05/26)</t>
  </si>
  <si>
    <r>
      <rPr>
        <b/>
        <sz val="14"/>
        <rFont val="Calibri"/>
        <family val="2"/>
        <scheme val="minor"/>
      </rPr>
      <t>LOT 369B</t>
    </r>
    <r>
      <rPr>
        <sz val="14"/>
        <rFont val="Calibri"/>
        <family val="2"/>
        <scheme val="minor"/>
      </rPr>
      <t xml:space="preserve">
CAN-PHOENIX BEER-33CL-XX - DG- 1,904,544
CAN-SMIRNOFF ICE BLUE-33CL- (GUARANA) - HG- 266,076</t>
    </r>
  </si>
  <si>
    <r>
      <rPr>
        <b/>
        <sz val="14"/>
        <rFont val="Calibri"/>
        <family val="2"/>
        <scheme val="minor"/>
      </rPr>
      <t>LOT 369A</t>
    </r>
    <r>
      <rPr>
        <sz val="14"/>
        <rFont val="Calibri"/>
        <family val="2"/>
        <scheme val="minor"/>
      </rPr>
      <t xml:space="preserve">
CAN-PHOENIX BEER-33CL-XX - DG- 294,084
CAN-SMIRNOFF ICE RED-33CL - HG- 266,076
ENDS-ALUMINIUM-DIA 202-LARGE OPENING - DG-294,084
ENDS-ALUMINIUM-DIA 202-LARGE OPENING - HG- 266,076</t>
    </r>
  </si>
  <si>
    <t>MSC REN V HN615R</t>
  </si>
  <si>
    <r>
      <rPr>
        <strike/>
        <sz val="14"/>
        <rFont val="Calibri"/>
        <family val="2"/>
        <scheme val="minor"/>
      </rPr>
      <t>07/04/2026</t>
    </r>
    <r>
      <rPr>
        <sz val="14"/>
        <rFont val="Calibri"/>
        <family val="2"/>
        <scheme val="minor"/>
      </rPr>
      <t xml:space="preserve">
15/04/2026</t>
    </r>
  </si>
  <si>
    <t>PIP done on 18/03/2026
BL: MEDUWO171468</t>
  </si>
  <si>
    <t>On hold-Magen to advise. As per mail received on 23.12.2025 - Doehler is reworking their concentrate preparation recipe and will revert back to us.
As per mail 23 December 2025 , Magen will have a meeting with Thomas and update us early next year for the trial concentrate 
09/04/2026: Still waiting for Magen's feedback regarding this order.
13/04/2026 :Still on hold as per Magen/He will revet back.</t>
  </si>
  <si>
    <r>
      <rPr>
        <strike/>
        <sz val="16"/>
        <color theme="1"/>
        <rFont val="Calibri"/>
        <family val="2"/>
        <scheme val="minor"/>
      </rPr>
      <t xml:space="preserve">CMA GM LOIRE </t>
    </r>
    <r>
      <rPr>
        <sz val="16"/>
        <color theme="1"/>
        <rFont val="Calibri"/>
        <family val="2"/>
        <scheme val="minor"/>
      </rPr>
      <t xml:space="preserve">
MSC ALTAMIRA </t>
    </r>
  </si>
  <si>
    <r>
      <rPr>
        <strike/>
        <sz val="14"/>
        <rFont val="Calibri"/>
        <family val="2"/>
        <scheme val="minor"/>
      </rPr>
      <t>30/03/2026</t>
    </r>
    <r>
      <rPr>
        <sz val="14"/>
        <rFont val="Calibri"/>
        <family val="2"/>
        <scheme val="minor"/>
      </rPr>
      <t xml:space="preserve">
17/04/2026</t>
    </r>
  </si>
  <si>
    <t>MSC ASYA, 0NNNIE1MA</t>
  </si>
  <si>
    <t>MSC DARWIN VI ZF616R</t>
  </si>
  <si>
    <t xml:space="preserve">
BBASE- COKE NO SUGAR( KAIZEN)-60
BBASE- COKE EINSTEIN (30% LESS SUGAR)-160
CONC - FUZE TEA - MANGO BAOBAB-60</t>
  </si>
  <si>
    <t xml:space="preserve">BBASE- COKE-360
BBASE- COKE NO SUGAR( KAIZEN)-160
BBASE- FANTA ORANGE--450
BBASE- SCHWEPPE TONIC--28
BBASE- SCHWEPPE GINGER ALE-72
BBASE- SCHWEPPE SODA-12
BBASE- CRYSTAL WATER- WA12-1,440
BBASE- COKE EINSTEIN (30% LESS SUGAR)-320
CONC- FUZE TEA - APPLE LEMONGRASS-120
</t>
  </si>
  <si>
    <t>BBASE- COKE- 400
BBASE- COKE NO SUGAR POSTMIX- 48
BBASE- FANTA PASSION-224
BBASE- SCHWEPPE TONIC-20
BBASE- SCHWEPPE GINGER ALE-48
BBASE- SCHWEPPE SODA- 12</t>
  </si>
  <si>
    <t xml:space="preserve">28/04/2026
</t>
  </si>
  <si>
    <t>Ongoing 15/04/2026</t>
  </si>
  <si>
    <t>LPO10023409</t>
  </si>
  <si>
    <t>IPR152196</t>
  </si>
  <si>
    <t>LPO10023408</t>
  </si>
  <si>
    <t>IPR152192</t>
  </si>
  <si>
    <t>LPO10023407</t>
  </si>
  <si>
    <t>IPR152194</t>
  </si>
  <si>
    <t>To load 26th of May</t>
  </si>
  <si>
    <t>Start of May</t>
  </si>
  <si>
    <t>FPO13098</t>
  </si>
  <si>
    <t>IPR152139</t>
  </si>
  <si>
    <t>CONC-PEARONA BASE-18,000LT</t>
  </si>
  <si>
    <t>FPO13099</t>
  </si>
  <si>
    <t>IPR152141</t>
  </si>
  <si>
    <t>DD Williamson (UK) Ltd</t>
  </si>
  <si>
    <t>FPO13100</t>
  </si>
  <si>
    <t>IPR152142</t>
  </si>
  <si>
    <t>BIOFINE CLEAR A3-4000KG</t>
  </si>
  <si>
    <t>FPO13101</t>
  </si>
  <si>
    <t>IPR152147</t>
  </si>
  <si>
    <t>FLAVOUR GUARANA-200KG</t>
  </si>
  <si>
    <t>FPO13103</t>
  </si>
  <si>
    <t>IPR152149</t>
  </si>
  <si>
    <t>DD Williamson (PTY) Ltd</t>
  </si>
  <si>
    <t>CARAMEL E150D-LIQUID 136-100Kg</t>
  </si>
  <si>
    <t>FPO13104</t>
  </si>
  <si>
    <t>IPR152191</t>
  </si>
  <si>
    <t>CONC-MGFC-5000LT</t>
  </si>
  <si>
    <r>
      <rPr>
        <sz val="14"/>
        <color rgb="FF00B050"/>
        <rFont val="Calibri"/>
        <family val="2"/>
        <scheme val="minor"/>
      </rPr>
      <t>50% Adv payment- USD 28,482.66 (Due 09/02/2026)</t>
    </r>
    <r>
      <rPr>
        <sz val="14"/>
        <rFont val="Calibri"/>
        <family val="2"/>
        <scheme val="minor"/>
      </rPr>
      <t xml:space="preserve">
</t>
    </r>
    <r>
      <rPr>
        <sz val="14"/>
        <color rgb="FF00B050"/>
        <rFont val="Calibri"/>
        <family val="2"/>
        <scheme val="minor"/>
      </rPr>
      <t>50% Net 45 Days- USD 28,482.66 (due 10/04/2026)</t>
    </r>
  </si>
  <si>
    <r>
      <rPr>
        <sz val="14"/>
        <color rgb="FF00B050"/>
        <rFont val="Calibri"/>
        <family val="2"/>
        <scheme val="minor"/>
      </rPr>
      <t>50% Advance payment- USD 37,964.24 (Due 16/02/2026)</t>
    </r>
    <r>
      <rPr>
        <sz val="14"/>
        <rFont val="Calibri"/>
        <family val="2"/>
        <scheme val="minor"/>
      </rPr>
      <t xml:space="preserve">
</t>
    </r>
    <r>
      <rPr>
        <sz val="14"/>
        <color rgb="FF00B050"/>
        <rFont val="Calibri"/>
        <family val="2"/>
        <scheme val="minor"/>
      </rPr>
      <t>50% BL Date-  USD 37,964.21 (Due 08.04.2026)</t>
    </r>
  </si>
  <si>
    <t>Ongoing 16/04/2026</t>
  </si>
  <si>
    <t xml:space="preserve">09/03/2026: Shipment put on hold as per DP request. Delivery date should be advise at later stage. Too much stock.
15/04/2026 :Mail sent to DP for the way forward as the supplier mentioned that order couldn't be cancelled as the flavours has already been produced.
16/04/2026 :Order released by DP and collection in progress.
</t>
  </si>
  <si>
    <t>MSC LONG BEACH IP617R</t>
  </si>
  <si>
    <t xml:space="preserve">PIP done on 06.03.2026
</t>
  </si>
  <si>
    <t>PIP done 14/04/2026 and sent to supplier.</t>
  </si>
  <si>
    <t>MSC LONG BEACH VI IP617R</t>
  </si>
  <si>
    <t>BEAU5838190</t>
  </si>
  <si>
    <t>500ML CAN MONSTER ULTRA WHITE- 1,760  -
500ML CAN MONSTER PIPELINE PUNCH- 1760</t>
  </si>
  <si>
    <t>MSC JUSTICE VIII ZF617R</t>
  </si>
  <si>
    <t xml:space="preserve">Monster Energy Original 500ML CAN- 303
500ML CAN MONSTER AB ZERO- 158
</t>
  </si>
  <si>
    <r>
      <t xml:space="preserve">01/07/2026
</t>
    </r>
    <r>
      <rPr>
        <sz val="14"/>
        <rFont val="Calibri"/>
        <family val="2"/>
        <scheme val="minor"/>
      </rPr>
      <t>Preponed to june 2026</t>
    </r>
  </si>
  <si>
    <t xml:space="preserve">
Monster Energy Original 500ML CAN- 26,400
500ML CAN MONSTER ULTRA WHITE- 1,760
500ml Can Monster Mucho Loco- 1,760
500ML CAN MONSTER PIPELINE PUNCH- 1,760
</t>
  </si>
  <si>
    <t>FPO13112</t>
  </si>
  <si>
    <t>IPR152271</t>
  </si>
  <si>
    <t>Monster rossi 500ml can - 1760
500ml can Monster AB Zero - 1760 
500ml can Monster Aussie Limonade x 24- 1760</t>
  </si>
  <si>
    <t>500ml can Monster Aussie Limonade x 24- 1760</t>
  </si>
  <si>
    <t>Fob</t>
  </si>
  <si>
    <t>sc</t>
  </si>
  <si>
    <t>FPO13111</t>
  </si>
  <si>
    <t>IPR152280</t>
  </si>
  <si>
    <t>Postmix Cap coke red security - 40000</t>
  </si>
  <si>
    <t>Exw</t>
  </si>
  <si>
    <r>
      <t xml:space="preserve">01/06/2026
01/07/2026
01/08/2026
</t>
    </r>
    <r>
      <rPr>
        <sz val="14"/>
        <rFont val="Calibri"/>
        <family val="2"/>
        <scheme val="minor"/>
      </rPr>
      <t>01/07/2026</t>
    </r>
  </si>
  <si>
    <r>
      <t>Grapetiser Red NBT 300ML-3360</t>
    </r>
    <r>
      <rPr>
        <sz val="14"/>
        <color rgb="FFFF0000"/>
        <rFont val="Calibri"/>
        <family val="2"/>
        <scheme val="minor"/>
      </rPr>
      <t xml:space="preserve">- postponed to august 2026 </t>
    </r>
    <r>
      <rPr>
        <sz val="14"/>
        <rFont val="Calibri"/>
        <family val="2"/>
        <scheme val="minor"/>
      </rPr>
      <t xml:space="preserve">
Appletiser NBT 300ML- 1500- </t>
    </r>
    <r>
      <rPr>
        <sz val="14"/>
        <color rgb="FFFF0000"/>
        <rFont val="Calibri"/>
        <family val="2"/>
        <scheme val="minor"/>
      </rPr>
      <t>postponed to august 2026 
Appletiser NBT 300ML- 1518</t>
    </r>
  </si>
  <si>
    <r>
      <rPr>
        <strike/>
        <sz val="14"/>
        <rFont val="Calibri"/>
        <family val="2"/>
        <scheme val="minor"/>
      </rPr>
      <t xml:space="preserve">01/08/2026
</t>
    </r>
    <r>
      <rPr>
        <sz val="14"/>
        <rFont val="Calibri"/>
        <family val="2"/>
        <scheme val="minor"/>
      </rPr>
      <t>01/07/2026</t>
    </r>
  </si>
  <si>
    <r>
      <t xml:space="preserve">Grapetiser Red NBT 275ML- </t>
    </r>
    <r>
      <rPr>
        <strike/>
        <sz val="14"/>
        <rFont val="Calibri"/>
        <family val="2"/>
        <scheme val="minor"/>
      </rPr>
      <t>1400</t>
    </r>
    <r>
      <rPr>
        <sz val="14"/>
        <rFont val="Calibri"/>
        <family val="2"/>
        <scheme val="minor"/>
      </rPr>
      <t xml:space="preserve"> </t>
    </r>
    <r>
      <rPr>
        <sz val="14"/>
        <color rgb="FFFF0000"/>
        <rFont val="Calibri"/>
        <family val="2"/>
        <scheme val="minor"/>
      </rPr>
      <t xml:space="preserve">1518  to amend qty and amend eta to 01/07/2026
</t>
    </r>
    <r>
      <rPr>
        <sz val="14"/>
        <color theme="1"/>
        <rFont val="Calibri"/>
        <family val="2"/>
        <scheme val="minor"/>
      </rPr>
      <t xml:space="preserve">Appletiser NBT 275ML- 118 </t>
    </r>
    <r>
      <rPr>
        <sz val="14"/>
        <color rgb="FFFF0000"/>
        <rFont val="Calibri"/>
        <family val="2"/>
        <scheme val="minor"/>
      </rPr>
      <t xml:space="preserve">- to cancel </t>
    </r>
    <r>
      <rPr>
        <sz val="14"/>
        <rFont val="Calibri"/>
        <family val="2"/>
        <scheme val="minor"/>
      </rPr>
      <t xml:space="preserve">
</t>
    </r>
  </si>
  <si>
    <r>
      <rPr>
        <strike/>
        <sz val="14"/>
        <rFont val="Calibri"/>
        <family val="2"/>
        <scheme val="minor"/>
      </rPr>
      <t xml:space="preserve">01/09/2026
</t>
    </r>
    <r>
      <rPr>
        <sz val="14"/>
        <rFont val="Calibri"/>
        <family val="2"/>
        <scheme val="minor"/>
      </rPr>
      <t>01/08/2026</t>
    </r>
  </si>
  <si>
    <t>received in agent warehouse on 13/04/2026</t>
  </si>
  <si>
    <t>à partir du 28/04/2026</t>
  </si>
  <si>
    <t xml:space="preserve">Advini SA - France </t>
  </si>
  <si>
    <t>LPO10023441</t>
  </si>
  <si>
    <t>IPR152145</t>
  </si>
  <si>
    <t>CALCIUM CHLORIDE-XX-XX-FOOD GRADE
SODIUM BENZOATE-XX-XX-FOOD GRADE
SUGAR GLUCOSE-XX-XX-DEXTROSE MONOHYDRATE</t>
  </si>
  <si>
    <t>800
100
2,000</t>
  </si>
  <si>
    <t>Postphone to June 2026- Mail from prisha 07/01/2026</t>
  </si>
  <si>
    <t>(11/05/2026- 15/05/2026)</t>
  </si>
  <si>
    <t>Week 20
(11/05/2026-15/05/2026)</t>
  </si>
  <si>
    <t>Booking No: EBKG16483023</t>
  </si>
  <si>
    <t>PREFORM-CRYSTAL BLUE 29/25-12GM- 1,166,000
PREFORM-CRYSTAL BLUE 29/25-23.5GM- 550,000
PREFORM-CRYSTAL BLUE 29/25-27GM- 1,100,000
PREFORM- CLEAR-38MM-52GM- 598,400
PREFORM- CLEAR-38MM-30GM- 1,056,000</t>
  </si>
  <si>
    <r>
      <rPr>
        <b/>
        <sz val="14"/>
        <rFont val="Calibri"/>
        <family val="2"/>
        <scheme val="minor"/>
      </rPr>
      <t>LOT 371 B</t>
    </r>
    <r>
      <rPr>
        <sz val="14"/>
        <rFont val="Calibri"/>
        <family val="2"/>
        <scheme val="minor"/>
      </rPr>
      <t xml:space="preserve">
CAN-PHOENIX BEER-33CL-XX - DG- 133,038
</t>
    </r>
  </si>
  <si>
    <t>MSC ALDI III HU617R</t>
  </si>
  <si>
    <r>
      <rPr>
        <b/>
        <sz val="14"/>
        <rFont val="Calibri"/>
        <family val="2"/>
        <scheme val="minor"/>
      </rPr>
      <t>LOtT 370 B</t>
    </r>
    <r>
      <rPr>
        <sz val="14"/>
        <rFont val="Calibri"/>
        <family val="2"/>
        <scheme val="minor"/>
      </rPr>
      <t xml:space="preserve">
CAN-PHOENIX BEER-33CL-XX - DG- 2,100,600
CAN-PHOENIX SPECIALE-33CL-XX - DG-133,038</t>
    </r>
  </si>
  <si>
    <r>
      <t xml:space="preserve">100% Advance payment
</t>
    </r>
    <r>
      <rPr>
        <sz val="14"/>
        <color rgb="FF00B050"/>
        <rFont val="Calibri"/>
        <family val="2"/>
        <scheme val="minor"/>
      </rPr>
      <t>Decoration cost- USD 600- Due 25/03/2026
Shipping cost- USD 200- Due 17/04/2026</t>
    </r>
  </si>
  <si>
    <t>pick up 22/04</t>
  </si>
  <si>
    <t>MSC CARPATHIA III MB617R</t>
  </si>
  <si>
    <t>BOOKING OF BOAT - 28/04/26</t>
  </si>
  <si>
    <r>
      <t xml:space="preserve">Postphone to April as per Prisha's mail dated 01/12/2025 
To load 14/04/2026
Shipment delayed because 52gr mould was not at their factory
</t>
    </r>
    <r>
      <rPr>
        <sz val="14"/>
        <color rgb="FFFF0000"/>
        <rFont val="Calibri"/>
        <family val="2"/>
        <scheme val="minor"/>
      </rPr>
      <t>Booking No: EBKG16483023</t>
    </r>
    <r>
      <rPr>
        <sz val="14"/>
        <rFont val="Calibri"/>
        <family val="2"/>
        <scheme val="minor"/>
      </rPr>
      <t xml:space="preserve">
</t>
    </r>
  </si>
  <si>
    <r>
      <t xml:space="preserve">09/03/2026- Delay due to problem on supplier's machine- problem resolved
</t>
    </r>
    <r>
      <rPr>
        <sz val="14"/>
        <color rgb="FFFF0000"/>
        <rFont val="Calibri"/>
        <family val="2"/>
        <scheme val="minor"/>
      </rPr>
      <t>TCKU6908110</t>
    </r>
  </si>
  <si>
    <r>
      <t xml:space="preserve">09/03/2026- Delay due to problem on supplier's machine- problem resolved
</t>
    </r>
    <r>
      <rPr>
        <sz val="14"/>
        <color rgb="FFFF0000"/>
        <rFont val="Calibri"/>
        <family val="2"/>
        <scheme val="minor"/>
      </rPr>
      <t xml:space="preserve">
TCKU6908110</t>
    </r>
  </si>
  <si>
    <t>21/04/2026</t>
  </si>
  <si>
    <t xml:space="preserve">To be shipped with 300 ml coke bottles new order - to optimise container space 
</t>
  </si>
  <si>
    <t>Coloading with FPO12960 - 1x20
21/04/2026- To fully utilize the 1×20ft container, we would need to add approximately 6–7 more pallets- Jeysen to confirm whether this is feasible.</t>
  </si>
  <si>
    <t>LPO10023555</t>
  </si>
  <si>
    <t>IPR152413</t>
  </si>
  <si>
    <t>LABEL- FANTA ORANGE- 0.5LT - L4
LABEL- FANTA PASSION- 0.5LT - L4</t>
  </si>
  <si>
    <t>800,000
600,000</t>
  </si>
  <si>
    <t>Mid June</t>
  </si>
  <si>
    <t>CARAMEL 385-1000LT</t>
  </si>
  <si>
    <t xml:space="preserve">CONC- ORANGINA [1DRUM=7UN]-364UN
CONC- POTASSIUM SORBATE(1 CARTON=28UN)-252UN
CONC- ORANGINA ZERO DRUM KIT(7UN)-84UN
CONC- PRESERVATIVE KIT FOR 0! ZERO(7UN)-84UN
CONC- ANTIOXIDANT KIT(7UN)-84UN
SAP 102003407 dated </t>
  </si>
  <si>
    <r>
      <rPr>
        <b/>
        <sz val="14"/>
        <rFont val="Calibri"/>
        <family val="2"/>
        <scheme val="minor"/>
      </rPr>
      <t>LOT 374</t>
    </r>
    <r>
      <rPr>
        <sz val="14"/>
        <rFont val="Calibri"/>
        <family val="2"/>
        <scheme val="minor"/>
      </rPr>
      <t xml:space="preserve">
CAN-PHOENIX BEER-33CL-XX- DG- 3,010,860
CAN-MALTA GUINNESS-33CL-XX- HG- 322,092
CAN-PEARONA-33CL-XX- DG- 133,038
CAN-PHOENIX SPECIALE-33CL-XX- DG- 133,038
CAN-SMIRNOFF ICE RED-33CL-XX- HG- 133,038
CAN-SMIRNOFF ICE BLUE-33CL- (GUARANA)- HG- 133,038
ENDS-ALUMINIUM-DIA 202-LARGE OPENING- DG- 3,276,936
ENDS-ALUMINIUM-DIA 202-LARGE OPENING- HG- 588,168</t>
    </r>
  </si>
  <si>
    <r>
      <rPr>
        <b/>
        <sz val="14"/>
        <rFont val="Calibri"/>
        <family val="2"/>
        <scheme val="minor"/>
      </rPr>
      <t>LOT 375</t>
    </r>
    <r>
      <rPr>
        <sz val="14"/>
        <rFont val="Calibri"/>
        <family val="2"/>
        <scheme val="minor"/>
      </rPr>
      <t xml:space="preserve">
CAN-COCA COLA-33CL-EXPORT MAYCO/LOCAL BPA-NI- 1,120,320
ENDS-ALUMINIUM-DIA 202-BPA-NI (STANDARD OPENING)- 1,120,320</t>
    </r>
  </si>
  <si>
    <r>
      <rPr>
        <b/>
        <sz val="14"/>
        <rFont val="Calibri"/>
        <family val="2"/>
        <scheme val="minor"/>
      </rPr>
      <t>LOT 371 C</t>
    </r>
    <r>
      <rPr>
        <sz val="14"/>
        <rFont val="Calibri"/>
        <family val="2"/>
        <scheme val="minor"/>
      </rPr>
      <t xml:space="preserve">
CAN-PHOENIX BEER-33CL-XX - DG- 2,128,608
</t>
    </r>
  </si>
  <si>
    <r>
      <rPr>
        <b/>
        <sz val="14"/>
        <rFont val="Calibri"/>
        <family val="2"/>
        <scheme val="minor"/>
      </rPr>
      <t>LOT 372 A</t>
    </r>
    <r>
      <rPr>
        <sz val="14"/>
        <rFont val="Calibri"/>
        <family val="2"/>
        <scheme val="minor"/>
      </rPr>
      <t xml:space="preserve">
CAN-PHOENIX REJUV-33CL-EXPORT (BPA-NI)- 539,154
CAN-BLUE MARLIN-33CL-EXPORT (REU/SEY) BPA-NI- 266,076
CAN-COCA COLA-33CL-EXPORT MAYCO/LOCAL BPA-NI- 1,022,292
ENDS-ALUMINIUM-DIA 202-BPA-NI (STANDARD OPENING)- 1,827,522</t>
    </r>
  </si>
  <si>
    <r>
      <rPr>
        <b/>
        <sz val="14"/>
        <rFont val="Calibri"/>
        <family val="2"/>
        <scheme val="minor"/>
      </rPr>
      <t>LOT 373 B</t>
    </r>
    <r>
      <rPr>
        <sz val="14"/>
        <rFont val="Calibri"/>
        <family val="2"/>
        <scheme val="minor"/>
      </rPr>
      <t xml:space="preserve">
CAN-MALTA GUINNESS-33CL-XX- HG- 322,092
CAN-PHOENIX CIDER ALCO-33CL-XX- DG - 133,038
</t>
    </r>
  </si>
  <si>
    <r>
      <rPr>
        <b/>
        <sz val="14"/>
        <rFont val="Calibri"/>
        <family val="2"/>
        <scheme val="minor"/>
      </rPr>
      <t>LOT 373 C
C</t>
    </r>
    <r>
      <rPr>
        <sz val="14"/>
        <rFont val="Calibri"/>
        <family val="2"/>
        <scheme val="minor"/>
      </rPr>
      <t xml:space="preserve">AN-PHOENIX BEER-33CL-XX- DG- 2,205,630
CAN-PHOENIX SPECIALE-33CL-XX- DG- 133,038
</t>
    </r>
  </si>
  <si>
    <r>
      <rPr>
        <b/>
        <sz val="14"/>
        <rFont val="Calibri"/>
        <family val="2"/>
        <scheme val="minor"/>
      </rPr>
      <t>LOtT 370 C</t>
    </r>
    <r>
      <rPr>
        <sz val="14"/>
        <rFont val="Calibri"/>
        <family val="2"/>
        <scheme val="minor"/>
      </rPr>
      <t xml:space="preserve">
CAN-BLUE MARLIN-33CL-XX - DG- 266,076
</t>
    </r>
    <r>
      <rPr>
        <sz val="14"/>
        <color rgb="FFFF0000"/>
        <rFont val="Calibri"/>
        <family val="2"/>
        <scheme val="minor"/>
      </rPr>
      <t>CAN-GUINNESS-33CL-XX - HG- 133.038 ( POSPONED TO AUG 26) PR</t>
    </r>
    <r>
      <rPr>
        <sz val="14"/>
        <rFont val="Calibri"/>
        <family val="2"/>
        <scheme val="minor"/>
      </rPr>
      <t xml:space="preserve">
CAN-SMIRNOFF ICE RED-33CL-XX - HG- 266,076</t>
    </r>
  </si>
  <si>
    <r>
      <rPr>
        <b/>
        <sz val="14"/>
        <rFont val="Calibri"/>
        <family val="2"/>
        <scheme val="minor"/>
      </rPr>
      <t>LOT 366 E</t>
    </r>
    <r>
      <rPr>
        <sz val="14"/>
        <rFont val="Calibri"/>
        <family val="2"/>
        <scheme val="minor"/>
      </rPr>
      <t xml:space="preserve">
Stella pills - 133,038 - </t>
    </r>
    <r>
      <rPr>
        <sz val="14"/>
        <color rgb="FFFF0000"/>
        <rFont val="Calibri"/>
        <family val="2"/>
        <scheme val="minor"/>
      </rPr>
      <t>( POSPONED TO JUNE 26 - PR)</t>
    </r>
  </si>
  <si>
    <t>22/04/26</t>
  </si>
  <si>
    <r>
      <rPr>
        <strike/>
        <sz val="14"/>
        <rFont val="Calibri"/>
        <family val="2"/>
        <scheme val="minor"/>
      </rPr>
      <t>19/04/2026</t>
    </r>
    <r>
      <rPr>
        <sz val="14"/>
        <rFont val="Calibri"/>
        <family val="2"/>
        <scheme val="minor"/>
      </rPr>
      <t xml:space="preserve">
24/04/2026</t>
    </r>
  </si>
  <si>
    <t>Ongoing 22/04/2026</t>
  </si>
  <si>
    <t xml:space="preserve">BBASE- SCHWEPPE GINGER ALE-48
</t>
  </si>
  <si>
    <t>BBASE- COKE-1,200
BBASE- COKE NO SUGAR( KAIZEN)-60
BBASE- COKE NO SUGAR POSTMIX- 16
BBASE- SPRITE-240
BBASE- FANTA PASSION-96
BBASE- SCHWEPPE TONIC-28 
BBASE- SCHWEPPE SODA-12
BBASE- CRYSTAL WATER- WA12- 900
CONC- FUZE TEA - PEACH- 300
CONC- FUZE TEA - APPLE LEMONGRASS- 60
CONC- FUZE TEA -MANGO CAMOMILE- 120</t>
  </si>
  <si>
    <t>BBASE- COKE-1200
BBASE- COKE NO SUGAR( KAIZEN)-200
BBASE- COKE NO SUGAR POSTMIX-16
BBASE- SPRITE-640
BBASE- FANTA ORANGE-500
BBASE- FANTA PASSION-64
BBASE- SCHWEPPE TONIC-32
BBASE- CRYSTAL WATER- WA12-900
BBASE- COKE EINSTEIN (30% LESS SUGAR)-320
CONC- FUZE TEA - PEACH-180
CONC- FUZE TEA - APPLE LEMONGRASS-132</t>
  </si>
  <si>
    <t>CONC- FUZE TEA - APPLE LEMONGRASS-48</t>
  </si>
  <si>
    <t>23/02/2026: DP asked for early delivery for Vanilla.
RFP under approval</t>
  </si>
  <si>
    <t>14/04/2026- 1st container of 42 pallets x 300ml Coke stock ready for container loading on Wed, 15th April &amp; the balance of the ware (4 containers) will be ready on Mon, 20th April
Booking ref: 031DU0127426
TRHU7878091</t>
  </si>
  <si>
    <t>first load ready for dispatch 14/04/2026
5x20- ready 20/04</t>
  </si>
  <si>
    <t>18/04/26</t>
  </si>
  <si>
    <t>GUALA CLOSURES (INDIA) PVT.LTD.</t>
  </si>
  <si>
    <t>on going - 22/04/26</t>
  </si>
  <si>
    <r>
      <rPr>
        <strike/>
        <sz val="14"/>
        <rFont val="Calibri"/>
        <family val="2"/>
        <scheme val="minor"/>
      </rPr>
      <t>11/03/2026</t>
    </r>
    <r>
      <rPr>
        <sz val="14"/>
        <rFont val="Calibri"/>
        <family val="2"/>
        <scheme val="minor"/>
      </rPr>
      <t xml:space="preserve">
</t>
    </r>
    <r>
      <rPr>
        <strike/>
        <sz val="14"/>
        <rFont val="Calibri"/>
        <family val="2"/>
        <scheme val="minor"/>
      </rPr>
      <t>16/03/2026</t>
    </r>
    <r>
      <rPr>
        <sz val="14"/>
        <rFont val="Calibri"/>
        <family val="2"/>
        <scheme val="minor"/>
      </rPr>
      <t xml:space="preserve">
</t>
    </r>
    <r>
      <rPr>
        <strike/>
        <sz val="14"/>
        <rFont val="Calibri"/>
        <family val="2"/>
        <scheme val="minor"/>
      </rPr>
      <t>01/04/2026</t>
    </r>
    <r>
      <rPr>
        <sz val="14"/>
        <rFont val="Calibri"/>
        <family val="2"/>
        <scheme val="minor"/>
      </rPr>
      <t xml:space="preserve">
</t>
    </r>
    <r>
      <rPr>
        <strike/>
        <sz val="14"/>
        <rFont val="Calibri"/>
        <family val="2"/>
        <scheme val="minor"/>
      </rPr>
      <t>31/03/2026</t>
    </r>
    <r>
      <rPr>
        <sz val="14"/>
        <rFont val="Calibri"/>
        <family val="2"/>
        <scheme val="minor"/>
      </rPr>
      <t xml:space="preserve">
</t>
    </r>
    <r>
      <rPr>
        <strike/>
        <sz val="14"/>
        <rFont val="Calibri"/>
        <family val="2"/>
        <scheme val="minor"/>
      </rPr>
      <t>15/04/2026</t>
    </r>
    <r>
      <rPr>
        <sz val="14"/>
        <rFont val="Calibri"/>
        <family val="2"/>
        <scheme val="minor"/>
      </rPr>
      <t xml:space="preserve">
</t>
    </r>
    <r>
      <rPr>
        <strike/>
        <sz val="14"/>
        <rFont val="Calibri"/>
        <family val="2"/>
        <scheme val="minor"/>
      </rPr>
      <t>19/04/2026</t>
    </r>
    <r>
      <rPr>
        <sz val="14"/>
        <rFont val="Calibri"/>
        <family val="2"/>
        <scheme val="minor"/>
      </rPr>
      <t xml:space="preserve">
24/04/2026</t>
    </r>
    <r>
      <rPr>
        <strike/>
        <sz val="14"/>
        <rFont val="Calibri"/>
        <family val="2"/>
        <scheme val="minor"/>
      </rPr>
      <t xml:space="preserve">
</t>
    </r>
  </si>
  <si>
    <r>
      <rPr>
        <strike/>
        <sz val="14"/>
        <rFont val="Calibri"/>
        <family val="2"/>
        <scheme val="minor"/>
      </rPr>
      <t>19/04/2026</t>
    </r>
    <r>
      <rPr>
        <sz val="14"/>
        <rFont val="Calibri"/>
        <family val="2"/>
        <scheme val="minor"/>
      </rPr>
      <t xml:space="preserve">
23/04/2026</t>
    </r>
  </si>
  <si>
    <t>FPO13120</t>
  </si>
  <si>
    <t>IPR152360</t>
  </si>
  <si>
    <t>Retal Baltic Films</t>
  </si>
  <si>
    <t>CAPS- TETHERED-COCA COLA - RED- 1,677,000
CAPS- TETHERED-COCA COLA - RED- 520,000
CAPS- TETHERED-SPRITE- GREEN- 292,000
CAPS- TETHERED-FANTA GENERIC-BLUE- 864,000</t>
  </si>
  <si>
    <t>MSNU7180265</t>
  </si>
  <si>
    <t xml:space="preserve">price increase of 10%, to do costing 
order cancelled as increase of 20% noted </t>
  </si>
  <si>
    <t>Ready 17/04/2026</t>
  </si>
  <si>
    <t>Booking ref : EBKG16610340</t>
  </si>
  <si>
    <t>LPO10023577</t>
  </si>
  <si>
    <t>IPR152370</t>
  </si>
  <si>
    <t>LPO10023580</t>
  </si>
  <si>
    <t>IPR152358</t>
  </si>
  <si>
    <t>CITRIC ACID</t>
  </si>
  <si>
    <r>
      <rPr>
        <sz val="14"/>
        <color rgb="FF00B050"/>
        <rFont val="Calibri"/>
        <family val="2"/>
        <scheme val="minor"/>
      </rPr>
      <t>50% Advance payment - EUR 1,620 (Due 20/03/2026)</t>
    </r>
    <r>
      <rPr>
        <sz val="14"/>
        <rFont val="Calibri"/>
        <family val="2"/>
        <scheme val="minor"/>
      </rPr>
      <t xml:space="preserve">
50% Balance payment - EUR 1,620 - 30.06.2026</t>
    </r>
  </si>
  <si>
    <t>LPO10023583</t>
  </si>
  <si>
    <t>IPR152401</t>
  </si>
  <si>
    <t>Pfilm shrink 365mmX60mic- 500ML
Pfilm shrink- 400mmX60mic- 1500ML
Pfilm shrink- 425mmX60mic- 2000ML</t>
  </si>
  <si>
    <t>5,000
10,000
15,000</t>
  </si>
  <si>
    <t>FPO13130</t>
  </si>
  <si>
    <t>IPR152368</t>
  </si>
  <si>
    <t>BBASE- COKE EINSTEIN (30% LESS SUGAR)-800un
BBASE- COKE NO SUGAR( KAIZEN)-140un
BBASE- SPRITE-112un
BBASE- FANTA ORANGE EXPORT-200un
BBASE- FANTA PASSION EXPORT-96un
BBASE- FANTA PINEAPPLE-28un</t>
  </si>
  <si>
    <t>FPO13131</t>
  </si>
  <si>
    <t>IPR152298</t>
  </si>
  <si>
    <t>CAPS- TETHERED-COCA COLA - RED- 1,677,000</t>
  </si>
  <si>
    <t>FPO13132</t>
  </si>
  <si>
    <t>IPR152340</t>
  </si>
  <si>
    <t>PREFORM-CRYSTAL BLUE 29/25-23.5GM- 550,000
PREFORM-CRYSTAL BLUE 29/25-27GM- 2,200,000
PREFORM- CLEAR-38MM-30GM- 528,000
PREFORM- CLEAR-38MM-52GM- 299,200</t>
  </si>
  <si>
    <t>Container number: FCIU6224332</t>
  </si>
  <si>
    <t>LPO10023636</t>
  </si>
  <si>
    <t>IPR152552</t>
  </si>
  <si>
    <t>SHEET-CARTON-720*2300MM-XX</t>
  </si>
  <si>
    <t>As per jeysen's mail dated 19.02.2026 to keep order pending - 
14/04/2026- Checking if can be dispatched with jeysen
16.04.2026 - To follow with Nicolas Laurette- We got the go-ahead
27.04.2026- Material is being moved to port tomorrow. We will update you on the vessel details by next mail.
Booking ref: EBKG16656456</t>
  </si>
  <si>
    <t>FPO13136</t>
  </si>
  <si>
    <t>IPR152534</t>
  </si>
  <si>
    <t>Champagne Deutz</t>
  </si>
  <si>
    <t>FPO13137</t>
  </si>
  <si>
    <t>IPR152544</t>
  </si>
  <si>
    <t>Treasury Wine Estates Vintners Ltd</t>
  </si>
  <si>
    <t>LINDEMANS BIN 95 SAUVIGNON BLANC 750ML- 90
Lindemans Bin 99 Pinot Noir 750ml- 300
Lindemans Bin 90 Moscato 750ml- 90
LINDEMANS BIN 65 CHARDONNAY 750ML- 150</t>
  </si>
  <si>
    <t>FPO13138</t>
  </si>
  <si>
    <t>IPR152541</t>
  </si>
  <si>
    <t>SCEA Les Ducs D'Aquitaine</t>
  </si>
  <si>
    <t>Bordeaux Superieur Cht Haut Nivelle 750ml- 600</t>
  </si>
  <si>
    <t>FPO13139</t>
  </si>
  <si>
    <t>IPR152540</t>
  </si>
  <si>
    <t>SARL SARRAZIN Michel et Fils</t>
  </si>
  <si>
    <t>LPO10023689</t>
  </si>
  <si>
    <t>IPR152538</t>
  </si>
  <si>
    <t>Saint Aubin Rum VSOP 4YO 700ml
Saint Aubin Rum Premium Black 700ml</t>
  </si>
  <si>
    <t>24
24</t>
  </si>
  <si>
    <r>
      <rPr>
        <strike/>
        <sz val="14"/>
        <rFont val="Calibri"/>
        <family val="2"/>
        <scheme val="minor"/>
      </rPr>
      <t xml:space="preserve">MSC SARA ELENA </t>
    </r>
    <r>
      <rPr>
        <sz val="14"/>
        <rFont val="Calibri"/>
        <family val="2"/>
        <scheme val="minor"/>
      </rPr>
      <t xml:space="preserve">
MSC VALERIA IP615R</t>
    </r>
  </si>
  <si>
    <t>PIP done &amp; sent to supplier on 26.03.2026
SWB: LHV3998029 (CMA CGM)</t>
  </si>
  <si>
    <t xml:space="preserve">MSC HEIDI
</t>
  </si>
  <si>
    <t>FPO13140</t>
  </si>
  <si>
    <t>IPR152636</t>
  </si>
  <si>
    <t>CROWN CORK-PHOENIX BEER-XX-(BPA-NI)- 1,584,000
CROWN CORK-PEARONA-XX-(BPA-NI)- 528,000
CROWN CORK-BLUE MARLIN-XX-(BPA-NI)- 1,584,000
CROWN CORK-PHOENIX SPECIALE-XX-(BPA-NI)- 528,000
CROWN CORK-PHOENIX PANACHE-XX-(BPA-NI)- 528,000
CROWN- CORK- COKE REUNION (BPA-NI)- 528,000</t>
  </si>
  <si>
    <t>FPO13141</t>
  </si>
  <si>
    <t>IPR152526</t>
  </si>
  <si>
    <t>ALTERNICQ LTD</t>
  </si>
  <si>
    <t xml:space="preserve">21 Days BL date </t>
  </si>
  <si>
    <t>FPO13142</t>
  </si>
  <si>
    <t>IPR152529</t>
  </si>
  <si>
    <t>Metal Crowns Ltd</t>
  </si>
  <si>
    <t>CAPS- COKE-RGB- 680,000
CAPS- SPRITE-RGB- 300,000
CAPS- FANTA ORANGE-RGB- 80,000</t>
  </si>
  <si>
    <t>31 Days invoice date</t>
  </si>
  <si>
    <t>FPO13143</t>
  </si>
  <si>
    <t>IPR152546</t>
  </si>
  <si>
    <t>FPO13144</t>
  </si>
  <si>
    <t>IPR152547</t>
  </si>
  <si>
    <t>CROWN- CORK- COKE RED MTIUS- 1,200,000
CROWN- CORK COKE ZERO SUGAR- 150,000
CROWN- CORK- SPRITE- 400,000
CROWN- CORK- FANTA ORANGE- 200,000
CROWN- CORK- SCHWEPPES G ALE- 100,000
CROWN- CORK- SCHWEPPES TONIC- 100,000
CROWN- CORK ESKI VANILLA- 150,000
CROWN- CORK ESKI STRAWBERRY- 100,000
CROWN- CORK ESKI PORTELLO- 100,000</t>
  </si>
  <si>
    <t>FPO13145</t>
  </si>
  <si>
    <t>IPR152604</t>
  </si>
  <si>
    <t>PFILM- STRETCH-50CM/25MIC/1500M- 17,077.5</t>
  </si>
  <si>
    <t>FPO13155</t>
  </si>
  <si>
    <t>IPR152528</t>
  </si>
  <si>
    <t>CONC- ESKI ALMOND- 89.28
CONC- ESKI STRAWBERRY- 24.3</t>
  </si>
  <si>
    <t>FPO13156</t>
  </si>
  <si>
    <t>IPR152548</t>
  </si>
  <si>
    <t>Takasago Europe Gmbh</t>
  </si>
  <si>
    <t>CONC- ESKI PORTELLO TAKASAGO TUTTI FRUTTI FLAVOUR- 200</t>
  </si>
  <si>
    <t>FPO13157</t>
  </si>
  <si>
    <t>IPR152632</t>
  </si>
  <si>
    <t>FLAVOUR-XX-XX-MIXED FRUIT- 200</t>
  </si>
  <si>
    <t>FPO13158</t>
  </si>
  <si>
    <t>IPR152671</t>
  </si>
  <si>
    <t>Alpla Packaging SA (PTY) Limited</t>
  </si>
  <si>
    <t>TK0176</t>
  </si>
  <si>
    <t>MSC SUAPE VII, IP618R</t>
  </si>
  <si>
    <t xml:space="preserve">reminder sent for readiness </t>
  </si>
  <si>
    <t>FPO13150</t>
  </si>
  <si>
    <t>IPR152442</t>
  </si>
  <si>
    <t>Adama Wines Pty Ltd</t>
  </si>
  <si>
    <t>Bulk wine - Red + White - 11700 Ltd/ reference</t>
  </si>
  <si>
    <t>60 days Bl</t>
  </si>
  <si>
    <t>Bulk wine - Red + rose - 11700 Ltd/ reference</t>
  </si>
  <si>
    <t>Bulk wine - white + Rose  11700 Ltd/ reference</t>
  </si>
  <si>
    <t>Msc Dubai VII ZF619R</t>
  </si>
  <si>
    <r>
      <t>MSC SUAPE VII</t>
    </r>
    <r>
      <rPr>
        <sz val="12"/>
        <color theme="1"/>
        <rFont val="Aptos"/>
        <family val="2"/>
      </rPr>
      <t xml:space="preserve"> </t>
    </r>
  </si>
  <si>
    <t>LPO10023710</t>
  </si>
  <si>
    <t>IPR152606</t>
  </si>
  <si>
    <t>LPO10023704</t>
  </si>
  <si>
    <t>IPR152607</t>
  </si>
  <si>
    <t>Refill and Delivery of 7kg Co2 Gas Cylinders</t>
  </si>
  <si>
    <t>LPO10023705</t>
  </si>
  <si>
    <t>IPR152610</t>
  </si>
  <si>
    <t>Refill and Delivery of 5kg Co2 Gas Cylinders</t>
  </si>
  <si>
    <t>LPO10023706</t>
  </si>
  <si>
    <t>IPR152637</t>
  </si>
  <si>
    <t>LPO10023809</t>
  </si>
  <si>
    <t>IPR152366</t>
  </si>
  <si>
    <t>LABELS-REU-COCA COLA LESS SUGAR 1.0 LT
LABELS-REU-COCA COLA LESS SUGAR 0.5LT
LABELS-REU-COCA COLA ZERO SUGAR 0.5 LT
LABELS-REU- SPRITE 1.5 LT
LABELS-REU- SPRITE 0.5 LT
LABELS-REU- FANTA ORANGE 1.5 LT
LABELS-REU- FANTA ORANGE 0.5 LT
LABELS-REU- FANTA PASSION 1.5 LT
LABELS-REU- FANTA PASSION 0.5 LT
LABELS-REU- FANTA PINEAPPLE 1.5 LT
LABELS-REU- FANTA PINEAPPLE 0.5 LT
LABELS-REU- SEGA ANANAS 1.5 LT
LABELS-REU- SEGA ANANAS 0.5 LT
LABELS-REU- SEGA BONBON ANGLAIS 1.5 LT
LABELS-REU- SEGA BONBON ANGLAIS 0.5 LT
LABELS-REU- SEGA TROPIK 1.5 LT
LABELS-REU- SEGA TROPIK 0.5 LT</t>
  </si>
  <si>
    <t xml:space="preserve">
250,000
4,000,000
900,000
150,000
400,000
150,000
500,000
100,000
300,000
100,000
100,000
100,000
150,000
100,000
150,000
50,000
100,000
</t>
  </si>
  <si>
    <t>LPO10023712</t>
  </si>
  <si>
    <t>IPR152342</t>
  </si>
  <si>
    <t>LABEL- CRYSTAL BOPP CLR 1.5LT
LABEL- CRYSTAL BOPP CLR 1.0LT
LABEL- CRYSTAL BOPP CLR 0.5LT
SLEEVE- FUZE TEA PEACH 0.5LT
SLEEVE- FUZE TEA PEACH 2L
SLEEVE- FUZE TEA APPLE LEMONGRASS 0.5LT
SLEEVE- FUZE TEA APPLE LEMONGRASS 2L
SLEEVE- FUZE TEA MANGO CAMOMILE 0.5LT
SLEEVE- FUZE TEA MANGO CAMOMILE 2L
SLEEVE- FUZE TEA MANGO BAOBAB 0.5LT
SLEEVE- FUZE TEA MANGO BAOBAB 2L</t>
  </si>
  <si>
    <t xml:space="preserve">5,500,000
2,400,000
2,300,000
800,000
700,000
300,000
300,000
400,000
400,000
150,000
200,000
</t>
  </si>
  <si>
    <t>LPO10023815</t>
  </si>
  <si>
    <t>IPR152521</t>
  </si>
  <si>
    <r>
      <t xml:space="preserve">CAPS- COKE PET RED 13-PLEASE REPLACE CAP- 3,420,000
CAPS- COKE NO SUGAR BLACK 14-PLEASE REPLACE CAP- 360,000
CAPS- SPRITE PET GREEN 96-PLEASE REPLACE CAP- 1,260,000
CAPS- FANTA ORANGE PET BLUE 47-PLEASE REPLACE CAP- 720,000
CAPS- SCHWEPPES PET YELLOW 87-PLEASE REPLACE CAP- 360,000
</t>
    </r>
    <r>
      <rPr>
        <b/>
        <sz val="14"/>
        <rFont val="Calibri"/>
        <family val="2"/>
        <scheme val="minor"/>
      </rPr>
      <t xml:space="preserve">2x40 FT </t>
    </r>
  </si>
  <si>
    <t>Early June 26</t>
  </si>
  <si>
    <t>EBKG16791095</t>
  </si>
  <si>
    <t xml:space="preserve">MSC JERSEY </t>
  </si>
  <si>
    <t>MEDUG9823154</t>
  </si>
  <si>
    <r>
      <t xml:space="preserve">Postphone to April as per Prisha's mail dated 01/12/2025
</t>
    </r>
    <r>
      <rPr>
        <sz val="14"/>
        <color rgb="FFFF0000"/>
        <rFont val="Calibri"/>
        <family val="2"/>
        <scheme val="minor"/>
      </rPr>
      <t xml:space="preserve">MEDUG9823154
</t>
    </r>
    <r>
      <rPr>
        <sz val="14"/>
        <rFont val="Calibri"/>
        <family val="2"/>
        <scheme val="minor"/>
      </rPr>
      <t xml:space="preserve">
</t>
    </r>
  </si>
  <si>
    <r>
      <rPr>
        <strike/>
        <sz val="14"/>
        <rFont val="Calibri"/>
        <family val="2"/>
        <scheme val="minor"/>
      </rPr>
      <t>06/05/2026</t>
    </r>
    <r>
      <rPr>
        <sz val="14"/>
        <rFont val="Calibri"/>
        <family val="2"/>
        <scheme val="minor"/>
      </rPr>
      <t xml:space="preserve">
27/05/2026</t>
    </r>
  </si>
  <si>
    <r>
      <rPr>
        <strike/>
        <sz val="14"/>
        <rFont val="Calibri"/>
        <family val="2"/>
        <scheme val="minor"/>
      </rPr>
      <t>KUMASI KC618A</t>
    </r>
    <r>
      <rPr>
        <sz val="14"/>
        <rFont val="Calibri"/>
        <family val="2"/>
        <scheme val="minor"/>
      </rPr>
      <t xml:space="preserve">
</t>
    </r>
    <r>
      <rPr>
        <strike/>
        <sz val="14"/>
        <rFont val="Calibri"/>
        <family val="2"/>
        <scheme val="minor"/>
      </rPr>
      <t xml:space="preserve">CONTSHIP ANA II KC619A
</t>
    </r>
    <r>
      <rPr>
        <sz val="14"/>
        <rFont val="Calibri"/>
        <family val="2"/>
        <scheme val="minor"/>
      </rPr>
      <t>MSC SILVER II KC621R</t>
    </r>
  </si>
  <si>
    <t>Loading date 29/04/2026 due to delay in delivery of raw materials-Supplier to revert with earlier ETD.
BL:MEDUWO266151</t>
  </si>
  <si>
    <t>APL COLUMBUS - 0NNNUE</t>
  </si>
  <si>
    <t>Booking Ref: EBKG16583938</t>
  </si>
  <si>
    <t>MK-015</t>
  </si>
  <si>
    <t>FPO13153</t>
  </si>
  <si>
    <t>IPR152543</t>
  </si>
  <si>
    <t xml:space="preserve">Blanton's Original 700ml-60
NIKKA From the Barrel Of 500ml-150
Planteray Three Stars White Rum 700ml-30
Planteray Rum Original Dark 700ml-30
NIKKA Taketsuru Pure Malt 700ml-24
Vodka Krupnik 40% 700ml-12
KI NO BI KYOTO DRY GIN 700ML-18
NIKKA MIYAGIKYO SINGLE MALT 43 700ML-24
NIKKA DAYS WHISKY OF 700 ML-60
Plantation Rum Barbados Grande Reserve 1000ml-18
</t>
  </si>
  <si>
    <t>FPO13051</t>
  </si>
  <si>
    <t>LAVENIR HORIZON SAUV BLANC 750 ML - 300
LAVENIR HORIZON PINOTAGE ROSE 750 ML- 300</t>
  </si>
  <si>
    <r>
      <t xml:space="preserve">Monster Energy Original 500ML CAN- </t>
    </r>
    <r>
      <rPr>
        <b/>
        <sz val="14"/>
        <color theme="1"/>
        <rFont val="Calibri"/>
        <family val="2"/>
        <scheme val="minor"/>
      </rPr>
      <t xml:space="preserve"> </t>
    </r>
    <r>
      <rPr>
        <sz val="14"/>
        <color theme="1"/>
        <rFont val="Calibri"/>
        <family val="2"/>
        <scheme val="minor"/>
      </rPr>
      <t xml:space="preserve">7680
500ml Can Monster Mucho Loco-1,760
500ML CAN MONSTER PIPELINE PUNCH- 1760
</t>
    </r>
  </si>
  <si>
    <t xml:space="preserve">Monster Energy Original 500ML CAN- 16880
500ML CAN MONSTER AB ZERO- 1680
</t>
  </si>
  <si>
    <t xml:space="preserve">Monster Energy Original 500ML CAN- 417
500ML CAN MONSTER AB ZERO- 78
</t>
  </si>
  <si>
    <t xml:space="preserve">Monster Energy Original 500ML CAN- 26,400 
MONSTER ROSSI 500ml CAN- 1,760
</t>
  </si>
  <si>
    <t xml:space="preserve">500ML CAN MONSTER ULTRA WHITE-3557 </t>
  </si>
  <si>
    <t xml:space="preserve">
500ML CAN MONSTER AB ZERO- 3520
</t>
  </si>
  <si>
    <r>
      <t xml:space="preserve">Monster Energy Original 500ML CAN- 35,200
</t>
    </r>
    <r>
      <rPr>
        <sz val="14"/>
        <color theme="1"/>
        <rFont val="Calibri"/>
        <family val="2"/>
        <scheme val="minor"/>
      </rPr>
      <t xml:space="preserve">MONSTER ROSSI 500ml CAN- 1,760
500ML CAN MONSTER AB ZERO- 1,760 
500ml Can Monster Aussie Limonade x24- 1,760 
</t>
    </r>
    <r>
      <rPr>
        <sz val="14"/>
        <rFont val="Calibri"/>
        <family val="2"/>
        <scheme val="minor"/>
      </rPr>
      <t>500ML CAN MONSTER ULTRA WHITE- 1,760
500ml Can Monster Mucho Loco- 1,760
500ML CAN MONSTER PIPELINE PUNCH- 1,760</t>
    </r>
  </si>
  <si>
    <t xml:space="preserve">Monster Energy Original 500ML CAN- 44,000
500ML CAN MONSTER ULTRA WHITE- 1,760
500ml Can Monster Mucho Loco- 1,760
500ML CAN MONSTER PIPELINE PUNCH- 1,760
</t>
  </si>
  <si>
    <r>
      <t xml:space="preserve">300ml Can Grapetiser Red- 3,060
Appletiser CAN 300ML-1800 </t>
    </r>
    <r>
      <rPr>
        <sz val="14"/>
        <color rgb="FFFF0000"/>
        <rFont val="Calibri"/>
        <family val="2"/>
        <scheme val="minor"/>
      </rPr>
      <t xml:space="preserve">
</t>
    </r>
    <r>
      <rPr>
        <sz val="14"/>
        <color theme="1"/>
        <rFont val="Calibri"/>
        <family val="2"/>
        <scheme val="minor"/>
      </rPr>
      <t xml:space="preserve">
</t>
    </r>
  </si>
  <si>
    <t>MSC MALIN II ZS619R</t>
  </si>
  <si>
    <r>
      <rPr>
        <sz val="14"/>
        <color theme="1"/>
        <rFont val="Calibri"/>
        <family val="2"/>
        <scheme val="minor"/>
      </rPr>
      <t xml:space="preserve">300ml Can Grapetiser Red- 2430   - </t>
    </r>
    <r>
      <rPr>
        <sz val="14"/>
        <color rgb="FFFF0000"/>
        <rFont val="Calibri"/>
        <family val="2"/>
        <scheme val="minor"/>
      </rPr>
      <t xml:space="preserve">prepone from July to june </t>
    </r>
    <r>
      <rPr>
        <sz val="14"/>
        <color theme="1"/>
        <rFont val="Calibri"/>
        <family val="2"/>
        <scheme val="minor"/>
      </rPr>
      <t xml:space="preserve">
300ml Can Appletiser- </t>
    </r>
    <r>
      <rPr>
        <strike/>
        <sz val="14"/>
        <color theme="1"/>
        <rFont val="Calibri"/>
        <family val="2"/>
        <scheme val="minor"/>
      </rPr>
      <t xml:space="preserve">3,660- </t>
    </r>
    <r>
      <rPr>
        <sz val="14"/>
        <color theme="1"/>
        <rFont val="Calibri"/>
        <family val="2"/>
        <scheme val="minor"/>
      </rPr>
      <t xml:space="preserve">   2430 - </t>
    </r>
    <r>
      <rPr>
        <sz val="14"/>
        <color rgb="FFFF0000"/>
        <rFont val="Calibri"/>
        <family val="2"/>
        <scheme val="minor"/>
      </rPr>
      <t xml:space="preserve">prepone from July to june </t>
    </r>
    <r>
      <rPr>
        <sz val="14"/>
        <color theme="1"/>
        <rFont val="Calibri"/>
        <family val="2"/>
        <scheme val="minor"/>
      </rPr>
      <t xml:space="preserve">
</t>
    </r>
    <r>
      <rPr>
        <sz val="14"/>
        <rFont val="Calibri"/>
        <family val="2"/>
        <scheme val="minor"/>
      </rPr>
      <t xml:space="preserve">Grapetiser Red NBT 275ML- </t>
    </r>
    <r>
      <rPr>
        <sz val="14"/>
        <color rgb="FFFF0000"/>
        <rFont val="Calibri"/>
        <family val="2"/>
        <scheme val="minor"/>
      </rPr>
      <t>1518 - postponed to July 2026</t>
    </r>
    <r>
      <rPr>
        <sz val="14"/>
        <rFont val="Calibri"/>
        <family val="2"/>
        <scheme val="minor"/>
      </rPr>
      <t xml:space="preserve"> 
</t>
    </r>
  </si>
  <si>
    <t>300ml Can Grapetiser Red- 4045
300ml Can Grapetiser Red- 5675</t>
  </si>
  <si>
    <t>300ml Can Grapetiser Red- 2430</t>
  </si>
  <si>
    <r>
      <t xml:space="preserve">
300ml Can Grapetiser Red- 2430
300ml Can Appletiser- 2430
Grapetiser Red NBT 275ML- </t>
    </r>
    <r>
      <rPr>
        <sz val="14"/>
        <color rgb="FFFF0000"/>
        <rFont val="Calibri"/>
        <family val="2"/>
        <scheme val="minor"/>
      </rPr>
      <t>1300</t>
    </r>
    <r>
      <rPr>
        <sz val="14"/>
        <rFont val="Calibri"/>
        <family val="2"/>
        <scheme val="minor"/>
      </rPr>
      <t xml:space="preserve"> 
Appletiser NBT 275ML</t>
    </r>
    <r>
      <rPr>
        <sz val="14"/>
        <color rgb="FFFF0000"/>
        <rFont val="Calibri"/>
        <family val="2"/>
        <scheme val="minor"/>
      </rPr>
      <t xml:space="preserve">- 218 </t>
    </r>
  </si>
  <si>
    <r>
      <rPr>
        <strike/>
        <sz val="14"/>
        <rFont val="Calibri"/>
        <family val="2"/>
        <scheme val="minor"/>
      </rPr>
      <t xml:space="preserve">MSC MAEVA </t>
    </r>
    <r>
      <rPr>
        <sz val="14"/>
        <rFont val="Calibri"/>
        <family val="2"/>
        <scheme val="minor"/>
      </rPr>
      <t xml:space="preserve">
MSC AURORA IP619R</t>
    </r>
  </si>
  <si>
    <t>PIP done &amp; sent to supplier on 02/04/2026.
Booking Ref: 356SL2024622</t>
  </si>
  <si>
    <t>CROWN CORK-PHOENIX BEER-XX-(BPA-NI)- 462,000
CROWN CORK-PLAIN HEALTH MESSAGE-XX-(BPA-NI)- 2,607,000
CROWN CORK-GUINNESS-XX-(BPA-NI)- 517,000
CROWN CORK-BLUE MARLIN-XX-(BPA-NI)- 517,000
CROWN CORK-SMIRNOFF ICE BLUE-XX-(GUARANA)- 171,000
CROWN CORK- MANAWA- 242,000</t>
  </si>
  <si>
    <t>N/A- 100% Advance payment</t>
  </si>
  <si>
    <t>Ongoing 27/04/2026</t>
  </si>
  <si>
    <t>Ongoing 06/05/2026</t>
  </si>
  <si>
    <t>CW23 (01/06/2026 - 05/06/2026)</t>
  </si>
  <si>
    <t>MSC SUAPE VII - IP618R</t>
  </si>
  <si>
    <t>04.05.2026</t>
  </si>
  <si>
    <t>10.06.2026</t>
  </si>
  <si>
    <t>283 packs of Monster Original with Bob Squad artwork</t>
  </si>
  <si>
    <t xml:space="preserve">SADC MISSING </t>
  </si>
  <si>
    <t>to send to a/c dept</t>
  </si>
  <si>
    <t xml:space="preserve">mk to process rfp </t>
  </si>
  <si>
    <t xml:space="preserve"> SADC  MISSING </t>
  </si>
  <si>
    <t>mk to send</t>
  </si>
  <si>
    <t xml:space="preserve">mk to propcess rfp </t>
  </si>
  <si>
    <t xml:space="preserve"> Sadc ,missing </t>
  </si>
  <si>
    <t>Madagascat order:
Monster Energy Original 500ML CAN X 24-560
MONSTER ROSSI 500ml CAN X 24- 400
MONSTER ULTRA WHITE 500ML CANS X 24- 320
500ml Can Monster Mucho Loco- 320
500ml Can Monster Pipeline Punch x24-160</t>
  </si>
  <si>
    <t>FPO13163</t>
  </si>
  <si>
    <t>IPR152719</t>
  </si>
  <si>
    <t>CAN-PHOENIX BEER-50CL-REJUV- 1,734,000
CAN-BLUE MARLIN-50CL-XX- 1,040,400
ENDS-ALUMINIUM-DIA 202-LARGE OPENING- 2,774,400</t>
  </si>
  <si>
    <t>FPO13164</t>
  </si>
  <si>
    <t>IPR152720</t>
  </si>
  <si>
    <t>CAN-MALTA GUINNESS-33CL-XX - HG- 644,184
CAN-PEARONA-33CL-XX - DG- 749,214
CAN-SPRITE-33CL-LOCAL- HG- 427,122
CAN-SMIRNOFF ICE BLUE-33CL- (GUARANA) - HG- 644,184
CAN-BLUE MARLIN-33CL-EXPORT (REU/SEY) BPA-NI - DG- 224,064
ENDS-ALUMINIUM-DIA 202-LARGE OPENING - HG- 1,715,490
ENDS-ALUMINIUM-DIA 202-LARGE OPENING - DG- 749,214
ENDS-ALUMINIUM-DIA 202-LARGE OPENING - BPA-NI - DG- 224,064</t>
  </si>
  <si>
    <t>LPO10023707</t>
  </si>
  <si>
    <t>IPR152655</t>
  </si>
  <si>
    <t>2,669,568
1,599,840</t>
  </si>
  <si>
    <t>PREFORM- CLEAR-EMPAK 1881-22.2G
PREFORM- CLEAR-EMPAK 1881-46.6G</t>
  </si>
  <si>
    <t>2,626,560
2,004,480
1,403,136
276,480</t>
  </si>
  <si>
    <t>LPO10023746</t>
  </si>
  <si>
    <t>IPR152625</t>
  </si>
  <si>
    <t>MAIZE-CORN STARCH-(Egypt)-25kg
MAIZE-CORN STARCH-(South Africa-In Grain)-25kg</t>
  </si>
  <si>
    <t>250
1,000</t>
  </si>
  <si>
    <t>LPO10023940</t>
  </si>
  <si>
    <t>IPR152807</t>
  </si>
  <si>
    <t>PAPAIN CRYSTALASE-XX-100TU/MG-XX</t>
  </si>
  <si>
    <t>MSC Marie Leslie</t>
  </si>
  <si>
    <t>Awt vessel details</t>
  </si>
  <si>
    <r>
      <rPr>
        <sz val="14"/>
        <color rgb="FFFF0000"/>
        <rFont val="Calibri"/>
        <family val="2"/>
        <scheme val="minor"/>
      </rPr>
      <t>50% Advance- USD 29,630.41 (Due 15/05/2026)</t>
    </r>
    <r>
      <rPr>
        <sz val="14"/>
        <rFont val="Calibri"/>
        <family val="2"/>
        <scheme val="minor"/>
      </rPr>
      <t xml:space="preserve">
50 % Balance payment 45 days- USD 29,630.41</t>
    </r>
  </si>
  <si>
    <t xml:space="preserve">Beaulieu Cuvee Alexandre  750ml- 300
ROSE D'ETE 750ML- 600
Ogier Cote Rotie 750ml- 12
OGIER ARTESIS BLANC 750ML- 300
</t>
  </si>
  <si>
    <t>FPO13172</t>
  </si>
  <si>
    <t>IPR153014</t>
  </si>
  <si>
    <t>PFILM-CLEAR-530MMX70MIC-COATED (PACK X 6 CANS)- 10,000KG</t>
  </si>
  <si>
    <t>FPO13173</t>
  </si>
  <si>
    <t>IPR147787</t>
  </si>
  <si>
    <t>FPO13174</t>
  </si>
  <si>
    <t>IPR152830</t>
  </si>
  <si>
    <t>CAPS- CRYSTAL WATER 29/25- 4,500,000 units</t>
  </si>
  <si>
    <t>FPO13175</t>
  </si>
  <si>
    <t>IPR152834</t>
  </si>
  <si>
    <t xml:space="preserve">50% Advance payment- USD 18,043.20
50% on scan BL- USD 18,043.20 </t>
  </si>
  <si>
    <t>LPO10023983</t>
  </si>
  <si>
    <t>IPR153016</t>
  </si>
  <si>
    <t>PFILM-CLEAR-530MMX70MIC-COATED (PACK X 6 CANS)- 5,000</t>
  </si>
  <si>
    <t>LPO10023988</t>
  </si>
  <si>
    <t>IPR152828</t>
  </si>
  <si>
    <t>LABEL-COKE CLASSIC 2.0LT NL3
LABEL-COKE CLASSIC 1.5LT NL3
LABEL-COKE LESS SUGAR 1.0LT NL3
LABEL- COKE-OBS 0.5LT
LABEL-SPRITE 2.0LT NL3
LABEL-SPRITE 1.5LT NL3
LABEL-SPRITE 1.0LT NL3
LABEL- SPRITE-0.5LT
LABEL- FANTA ORANGE- 1.5LT NL3
LABEL- FANTA ORANGE- 1.0LT NL3
LABEL- FANTA ORANGE- 0.5LT
LABEL- FANTA PASSION- 2.0LT NL3
LABEL- FANTA PASSION- 1.5LT NL3
LABEL- FANTA PASSION- 1.0LT NL3
LABEL- FANTA PASSION- 0.5LT
LABEL- CRYSTAL SPARKLING-1LT
LABEL- CRYSTAL SPARKLING-500ML</t>
  </si>
  <si>
    <t>800,000
1,200,000
1,400,000
2,900,000
1,400,000
500,000
600,000
1,500,000
400,000
200,000
200,000
900,000
300,000
200,000
250,000
450,000
150,000
50,000</t>
  </si>
  <si>
    <t>LPO10023985</t>
  </si>
  <si>
    <t>IPR152812</t>
  </si>
  <si>
    <t>LABEL-COKE ZERO SUGAR 1.0LT NL3
LABEL-COKE NO SUGAR KAIZEN 0.5LT
LABEL- FANTA PINEAPPLE 1.5LT NL3
LABEL- FANTA PINEAPPLE 0.5LT NL3
LABEL- SCHWP TONIC- 0.5LT
LABEL- SCHWP SOD- 0.5LT
LABEL- SCHWP G ALE-0.5LT
LABEL- ORANGINA REGULAR 1.5LT NL3
LABEL- ORANGINA REGULAR 0.5LT NL3
LABEL- ORANGINA ZERO 1.5LT NL3
LABEL- ESKI ALMOND 2.0LT NL3
LABEL- ESKI ALMOND 1.0LT NL3
LABEL- ESKI ALMOND 0.4LT NL3
LABEL- ESKI STRAWBERRY 2.0LT NL3
LABEL- ESKI STRAWBERRY 1.0LT NL3
LABEL- ESKI STRAWBERRY 0.4LT NL3
LABEL- ESKI VANILLA 2.0 LT NL3
LABEL- ESKI VANILLA 1.0 LT NL3
LABEL- ESKI VANILLA 0.4 LT NL3
LABEL- ESKI PORTELLO 2.0LT NL3
LABEL- ESKI PORTELLO 1.0LT NL3
LABEL- ESKI PORTELLO 0.4LT NL3</t>
  </si>
  <si>
    <t>300,000
600,000
250,000
250,000
500,000
100,000
600,000
450,000
300,000
100,000
200,000
50,000
250,000
150,000
100,000
200,000
300,000
100,000
350,000
100,000
50,000
100,000</t>
  </si>
  <si>
    <t>LPO10023990</t>
  </si>
  <si>
    <t>IPR152983</t>
  </si>
  <si>
    <t>PREFORM- CLEAR-ALPLA 1881-32G (Total del $59.42)- 719,712</t>
  </si>
  <si>
    <t>APL VANCOUVER</t>
  </si>
  <si>
    <r>
      <rPr>
        <strike/>
        <sz val="14"/>
        <rFont val="Calibri"/>
        <family val="2"/>
        <scheme val="minor"/>
      </rPr>
      <t>MSC MAEVA</t>
    </r>
    <r>
      <rPr>
        <sz val="14"/>
        <rFont val="Calibri"/>
        <family val="2"/>
        <scheme val="minor"/>
      </rPr>
      <t xml:space="preserve">
MSC Aurora </t>
    </r>
  </si>
  <si>
    <t>25.03.2026 - Waiting for Credit note for wrong currency payment.
13.05.2026-Credit note received and processed againt payment of the order  FPO13103.</t>
  </si>
  <si>
    <t>BL:FR106557172</t>
  </si>
  <si>
    <t>Requested to supplier</t>
  </si>
  <si>
    <t>Booking ref: LHV4005420</t>
  </si>
  <si>
    <r>
      <rPr>
        <strike/>
        <sz val="14"/>
        <rFont val="Calibri"/>
        <family val="2"/>
        <scheme val="minor"/>
      </rPr>
      <t>MSC RAPALLO IS614A</t>
    </r>
    <r>
      <rPr>
        <sz val="14"/>
        <rFont val="Calibri"/>
        <family val="2"/>
        <scheme val="minor"/>
      </rPr>
      <t xml:space="preserve">
MSC MILA 3 KC622A</t>
    </r>
  </si>
  <si>
    <t>AWB No. 239-24842985
RFP under approval</t>
  </si>
  <si>
    <t>Ongoing 13/05/2026</t>
  </si>
  <si>
    <t>RFP under approval</t>
  </si>
  <si>
    <t xml:space="preserve">awaiting doc </t>
  </si>
  <si>
    <r>
      <t>Production is scheduled 1</t>
    </r>
    <r>
      <rPr>
        <vertAlign val="superscript"/>
        <sz val="11"/>
        <color rgb="FF1F497D"/>
        <rFont val="Calibri"/>
        <family val="2"/>
        <scheme val="minor"/>
      </rPr>
      <t>st</t>
    </r>
    <r>
      <rPr>
        <sz val="11"/>
        <color rgb="FF1F497D"/>
        <rFont val="Calibri"/>
        <family val="2"/>
        <scheme val="minor"/>
      </rPr>
      <t xml:space="preserve"> week of Jun.</t>
    </r>
  </si>
  <si>
    <t xml:space="preserve">Approval of Cap Colours - Ashna </t>
  </si>
  <si>
    <t xml:space="preserve">Booking Number: 266515533
Container Number: TCKU7413861
</t>
  </si>
  <si>
    <t>Estimated completion date is now first week of June</t>
  </si>
  <si>
    <t>MEDUXO914345</t>
  </si>
  <si>
    <t>MSC MARIE LESLIE IS619A</t>
  </si>
  <si>
    <t>MSC TIA V / OM621R</t>
  </si>
  <si>
    <t>on going - dd 13/05/26</t>
  </si>
  <si>
    <t xml:space="preserve">end of June </t>
  </si>
  <si>
    <t>MSNU1432570 (MSC)</t>
  </si>
  <si>
    <t>NLLU4202490</t>
  </si>
  <si>
    <t>UNDER CLEARANCE 07/05/26</t>
  </si>
  <si>
    <t>REQUESTING DOCS</t>
  </si>
  <si>
    <t>TO LOAD -  16/6/2026</t>
  </si>
  <si>
    <t>Pick up will be done on 14.05.26</t>
  </si>
  <si>
    <t>CMA CGM GULF EXPRE / 622W</t>
  </si>
  <si>
    <t>SCZA00156718</t>
  </si>
  <si>
    <t xml:space="preserve">inv missing </t>
  </si>
  <si>
    <t>pick-up is scheduled to be done on 18/05/26</t>
  </si>
  <si>
    <t>Pick up Ongoing</t>
  </si>
  <si>
    <t>On going</t>
  </si>
  <si>
    <t>15.05.2026- Bank Guarantee received and sent to FTL
BL: MEDUWO266201</t>
  </si>
  <si>
    <t>On going 14.05.2026</t>
  </si>
  <si>
    <t>On going  - 08.05.2026</t>
  </si>
  <si>
    <t>Provisional packing details sent by supplier for freight purposes</t>
  </si>
  <si>
    <t>Deutz Brut Classic- 1,842 
Deutz Rose 75cl- 300
Amour de Deutz  Magnum 1.5lt- 6</t>
  </si>
  <si>
    <t>Awaiting POP from Alexandra prior to shipment</t>
  </si>
  <si>
    <t xml:space="preserve">Givry 1er Cru Rouge Clos Salomon Monopole 750ml- 90
</t>
  </si>
  <si>
    <t>To call Ludovic - On holiday since 04.05.2026</t>
  </si>
  <si>
    <t>CROWN CORK-PHOENIX BEER-XX-(BPA-NI)- 1,400,000
CROWN CORK-PLAIN HEALTH MESSAGE-XX-(BPA-NI)- 4,640,000</t>
  </si>
  <si>
    <t>04/05/26 - As per mail Divish ,Quote: Despite our effort, we could not secure the booking for below reason from shipping line:
Please note following the return from our HO, understand that ICD in Sohar is congested and currently they are not accepting additional units. 
We shall inform you in due course once containers can be accepted, thanks.
Could you please seek an alternate way, that is incoterms CFR Jebel Ali to Port Louis.
Please advise if we can consider FOB SOHAR - 12/05/2026 - to consider</t>
  </si>
  <si>
    <t>on going - logistic - 14/05/26</t>
  </si>
  <si>
    <r>
      <rPr>
        <sz val="14"/>
        <color rgb="FF00B050"/>
        <rFont val="Calibri"/>
        <family val="2"/>
        <scheme val="minor"/>
      </rPr>
      <t>50% Advance payment- USD 18,043.20 - due date 23/03/26</t>
    </r>
    <r>
      <rPr>
        <sz val="14"/>
        <rFont val="Calibri"/>
        <family val="2"/>
        <scheme val="minor"/>
      </rPr>
      <t xml:space="preserve">
50% on scan BL- USD 18,043.20 - 30/065/26</t>
    </r>
  </si>
  <si>
    <t>FPO13182</t>
  </si>
  <si>
    <t>IPR152899</t>
  </si>
  <si>
    <t>Other Expenses (Pricing Adjustment)
FPO12617/FPO12790/FPO12726/FPO12579</t>
  </si>
  <si>
    <t>Immediate Payment</t>
  </si>
  <si>
    <t>FPO13189</t>
  </si>
  <si>
    <t>IPR153108</t>
  </si>
  <si>
    <t>CAN-PHOENIX BEER-50CL-REJUV- 1,213,800
CAN-BLUE MARLIN-50CL-XX-867,000
ENDS-ALUMINIUM-DIA 202-LARGE OPENING-2,080,800</t>
  </si>
  <si>
    <t>FPO13190</t>
  </si>
  <si>
    <t>IPR153112</t>
  </si>
  <si>
    <t>CAN-PHOENIX REJUV-33CL-EXPORT (BPA-NI)- DG-560,160
ENDS-ALUMINIUM-DIA 202-BPA-NI (STANDARD OPENING)-DG-560,160</t>
  </si>
  <si>
    <t>FPO13191</t>
  </si>
  <si>
    <t>IPR152738</t>
  </si>
  <si>
    <t>PFILM-CLEAR-520MMX70MIC-NON COATED(PACK X 24 CANS) - 1 FCL-10,000KG
PFILM-PHOENIX 50CL-560MMX660X70MIC-FOR 50CL CANS - 1 FCL- 10,000KG
PFILM-PHOENIX 33CL-530MMXR555X70MIC-LOCAL/EXPORT - 1 FCL- 11,250KG</t>
  </si>
  <si>
    <t>FPO13192</t>
  </si>
  <si>
    <t>IPR153054</t>
  </si>
  <si>
    <t>50% Advance- USD 29,630.41
50 % Balance payment 45 days- USD 29,630.41</t>
  </si>
  <si>
    <t>FPO13193</t>
  </si>
  <si>
    <t>IPR152835</t>
  </si>
  <si>
    <t>FPO13196</t>
  </si>
  <si>
    <t>IPR153148</t>
  </si>
  <si>
    <t>CROWN CORK-PHOENIX BEER-XX-(BPA-NI)-3,520,000
CROWN CORK-PLAIN HEALTH MESSAGE-XX-(BPA-NI)- 528,000
CROWN CORK-PEARONA-XX-(BPA-NI)- 528,000
CROWN CORK-BLUE MARLIN-XX-(BPA-NI)- 528,000
CROWN CORK-SMIRNOFF ICE BLUE-XX-(GUARANA)-176,000</t>
  </si>
  <si>
    <t>FPO13201</t>
  </si>
  <si>
    <t>IPR153110</t>
  </si>
  <si>
    <t>CAN-PHOENIX BEER-33CL-XX-DG- 4,411,260
CAN-P.FRESH LEMON-33CL-XX-DG- 266,076
CAN-MALTA GUINNESS-33CL-XX-HG- 266,076
CAN-PEARONA-33CL-XX-DG- 378,108
CAN-SPRITE-33CL-LOCAL-HG- 266,076
CAN-SMIRNOFF ICE BLUE-33CL- (GUARANA)-HG- 322,092
ENDS-ALUMINIUM-DIA 202-LARGE OPENING-DG- 5,055,444
ENDS-ALUMINIUM-DIA 202-LARGE OPENING-HG- 854,244</t>
  </si>
  <si>
    <t>LPO10024084</t>
  </si>
  <si>
    <t>IPR153127</t>
  </si>
  <si>
    <t>CTRAY-PHOENIX SPECIALE-50CLX24-FOR CANS- 10,000
CTRAY-PLAIN WHITE-PINT-33CLX24- 5,000</t>
  </si>
  <si>
    <t>LPO10024056</t>
  </si>
  <si>
    <t>IPR152836</t>
  </si>
  <si>
    <t>10,000
3,000
5,000</t>
  </si>
  <si>
    <t>LPO10024055</t>
  </si>
  <si>
    <t>IPR152729</t>
  </si>
  <si>
    <t>CTRAY-PLAIN WHITE-PINT-33CLX24
CTRAY-PHOENIX REJUV-CAN-33CLX24
CTRAY-PHOENIX REJUV-33CL-FOR 4 CLUSTER X 6 BOTTLES
CTRAY-PHOENIX REJUV-CAN-50CLX24</t>
  </si>
  <si>
    <t>20,000
25,000
5,000
10,000</t>
  </si>
  <si>
    <t>LPO10024060</t>
  </si>
  <si>
    <t>IPR153056</t>
  </si>
  <si>
    <t>LPO10024061</t>
  </si>
  <si>
    <t>IPR153058</t>
  </si>
  <si>
    <t>LPO10024062</t>
  </si>
  <si>
    <t>IPR153060</t>
  </si>
  <si>
    <t xml:space="preserve">Awt invoice for payment </t>
  </si>
  <si>
    <t>IPR153146</t>
  </si>
  <si>
    <t>FPO13199</t>
  </si>
  <si>
    <t>BIOFINE CLEAR A3-XX-XX-XX- 4,000KG</t>
  </si>
  <si>
    <t>FPO13198</t>
  </si>
  <si>
    <t>IPR153050</t>
  </si>
  <si>
    <t>CONC- ESKI VANILLA(CREAM SODA)- 94.97L
CONC- ESKI ALMOND- 84.82L</t>
  </si>
  <si>
    <t>FPO13200</t>
  </si>
  <si>
    <t>IPR152717</t>
  </si>
  <si>
    <t>NATURAL FLAVOUR GRENADINE-XX-XX-XX- 100kg</t>
  </si>
  <si>
    <t>FPO13195</t>
  </si>
  <si>
    <t>IPR153051</t>
  </si>
  <si>
    <t>CONC- ESKI PORTELLO TAKASAGO TUTTI FRUTTI FLAVOUR- 500</t>
  </si>
  <si>
    <t>FPO13176</t>
  </si>
  <si>
    <t>IPR152838</t>
  </si>
  <si>
    <t>BBASE- COKE-3,200
BBASE- COKE NO SUGAR( KAIZEN)- 140
BBASE- COKE NO SUGAR POSTMIX- 16
BBASE- SPRITE-- 1,200
BBASE- FANTA ORANGE-800
BBASE- FANTA PASSION-160
BBASE- SCHWEPPE TONIC-80
BBASE- SCHWEPPE GINGER ALE-60
BBASE- SCHWEPPE SODA-24
BBASE- CRYSTAL WATER- WA12- 2,700
BBASE- DASANI WATER- WA64-64
BBASE- COKE EINSTEIN (30% LESS SUGAR)- 160
BBASE- FANTA PINEAPPLE- 280
CONC- FUZE TEA - PEACH- 360
CONC- FUZE TEA - APPLE LEMONGRASS- 108
CONC- FUZE TEA -MANGO CAMOMILE- 180
CONC - FUZE TEA - MANGO BAOBAB- 36</t>
  </si>
  <si>
    <t>45 Days invoice date</t>
  </si>
  <si>
    <t>30.05.2026</t>
  </si>
  <si>
    <t>clearance obtained 10/06/2026</t>
  </si>
  <si>
    <t>on going 09/06/2026</t>
  </si>
  <si>
    <t>TGBU7109529</t>
  </si>
  <si>
    <r>
      <t>APL VANCOUVER</t>
    </r>
    <r>
      <rPr>
        <u/>
        <sz val="11"/>
        <color rgb="FF3159ED"/>
        <rFont val="Roboto__regular"/>
      </rPr>
      <t> ( 0NNNWE1MA)</t>
    </r>
  </si>
  <si>
    <t>MSC SASHA, 0NNO0E1MA</t>
  </si>
  <si>
    <t xml:space="preserve">Certified HC </t>
  </si>
  <si>
    <t>ON GOING- 12/06/2026</t>
  </si>
  <si>
    <t xml:space="preserve">To Update Rfp </t>
  </si>
  <si>
    <t>CMA CGM JEAN GABRIEL, 0SSOAE1MA</t>
  </si>
  <si>
    <r>
      <t>Please note that the vessel </t>
    </r>
    <r>
      <rPr>
        <b/>
        <sz val="11"/>
        <color rgb="FF212121"/>
        <rFont val="Inherit"/>
      </rPr>
      <t>CMA CGM JEAN GABRIEL 0SSOAE1MA</t>
    </r>
    <r>
      <rPr>
        <sz val="11"/>
        <color rgb="FF212121"/>
        <rFont val="Inherit"/>
      </rPr>
      <t> is now expected at</t>
    </r>
    <r>
      <rPr>
        <sz val="11"/>
        <color rgb="FF212121"/>
        <rFont val="Calibri"/>
        <family val="2"/>
      </rPr>
      <t> </t>
    </r>
    <r>
      <rPr>
        <b/>
        <sz val="11"/>
        <color rgb="FF212121"/>
        <rFont val="Calibri"/>
        <family val="2"/>
      </rPr>
      <t>Port Louis</t>
    </r>
    <r>
      <rPr>
        <sz val="11"/>
        <color rgb="FF212121"/>
        <rFont val="Calibri"/>
        <family val="2"/>
      </rPr>
      <t> on </t>
    </r>
    <r>
      <rPr>
        <b/>
        <sz val="11"/>
        <color rgb="FF212121"/>
        <rFont val="Calibri"/>
        <family val="2"/>
      </rPr>
      <t>25 June 2026</t>
    </r>
    <r>
      <rPr>
        <sz val="11"/>
        <color rgb="FF212121"/>
        <rFont val="Calibri"/>
        <family val="2"/>
      </rPr>
      <t>. The reason for this delay may be due to port issues, change of rotation from carrier, or other operational reasons.</t>
    </r>
  </si>
  <si>
    <t>Mk to Update for payment
The vessel CMA CGM JEAN GABRIEL 0SSOAE1MA is now expected at Port Louis on 25 June 2026. The reason for this delay may be due to port issues, change of rotation from carrier, or other operational reasons.</t>
  </si>
  <si>
    <t xml:space="preserve">Only invoice for payment received </t>
  </si>
  <si>
    <t xml:space="preserve">reminder sent for docs </t>
  </si>
  <si>
    <t>FPO13245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</si>
</sst>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dd/mm/yyyy;@"/>
    <numFmt numFmtId="166" formatCode="_-* #,##0_-;\-* #,##0_-;_-* &quot;-&quot;??_-;_-@_-"/>
    <numFmt numFmtId="167" formatCode="#,##0.00_ ;\-#,##0.00\ "/>
  </numFmts>
  <fonts count="97">
    <font>
      <sz val="11"/>
      <color theme="1"/>
      <name val="Calibri"/>
      <family val="2"/>
      <scheme val="minor"/>
    </font>
    <font>
      <sz val="11"/>
      <color theme="1"/>
      <name val="Calibri"/>
      <family val="2"/>
      <scheme val="minor"/>
    </font>
    <font>
      <sz val="10"/>
      <name val="Arial"/>
      <family val="2"/>
    </font>
    <font>
      <sz val="14"/>
      <name val="Calibri"/>
      <family val="2"/>
      <scheme val="minor"/>
    </font>
    <font>
      <sz val="14"/>
      <color rgb="FFFF0000"/>
      <name val="Calibri"/>
      <family val="2"/>
      <scheme val="minor"/>
    </font>
    <font>
      <sz val="14"/>
      <color theme="1"/>
      <name val="Calibri"/>
      <family val="2"/>
      <scheme val="minor"/>
    </font>
    <font>
      <strike/>
      <sz val="14"/>
      <name val="Calibri"/>
      <family val="2"/>
      <scheme val="minor"/>
    </font>
    <font>
      <b/>
      <sz val="14"/>
      <name val="Calibri"/>
      <family val="2"/>
      <scheme val="minor"/>
    </font>
    <font>
      <sz val="12"/>
      <color rgb="FF222221"/>
      <name val="Arial"/>
      <family val="2"/>
    </font>
    <font>
      <i/>
      <sz val="14"/>
      <color rgb="FFFF0000"/>
      <name val="Calibri"/>
      <family val="2"/>
      <scheme val="minor"/>
    </font>
    <font>
      <b/>
      <u/>
      <sz val="14"/>
      <name val="Calibri"/>
      <family val="2"/>
      <scheme val="minor"/>
    </font>
    <font>
      <sz val="14"/>
      <color rgb="FF222221"/>
      <name val="Calibri"/>
      <family val="2"/>
      <scheme val="minor"/>
    </font>
    <font>
      <sz val="11"/>
      <name val="Univers"/>
      <family val="2"/>
    </font>
    <font>
      <sz val="11"/>
      <name val="Univers"/>
      <family val="2"/>
    </font>
    <font>
      <sz val="14"/>
      <color rgb="FFFF3300"/>
      <name val="Calibri"/>
      <family val="2"/>
      <scheme val="minor"/>
    </font>
    <font>
      <sz val="12"/>
      <color theme="1"/>
      <name val="Aptos"/>
      <family val="2"/>
    </font>
    <font>
      <sz val="8"/>
      <name val="Calibri"/>
      <family val="2"/>
      <scheme val="minor"/>
    </font>
    <font>
      <sz val="11"/>
      <color theme="1"/>
      <name val="Aptos"/>
      <family val="2"/>
    </font>
    <font>
      <b/>
      <sz val="14"/>
      <color rgb="FFFF0000"/>
      <name val="Calibri"/>
      <family val="2"/>
      <scheme val="minor"/>
    </font>
    <font>
      <sz val="12"/>
      <name val="Calibri"/>
      <family val="2"/>
      <scheme val="minor"/>
    </font>
    <font>
      <sz val="11"/>
      <color theme="1"/>
      <name val="Arial"/>
      <family val="2"/>
    </font>
    <font>
      <b/>
      <sz val="14"/>
      <color rgb="FF00B0F0"/>
      <name val="Calibri"/>
      <family val="2"/>
      <scheme val="minor"/>
    </font>
    <font>
      <b/>
      <sz val="14"/>
      <color rgb="FF7030A0"/>
      <name val="Calibri"/>
      <family val="2"/>
      <scheme val="minor"/>
    </font>
    <font>
      <sz val="14"/>
      <color rgb="FF222221"/>
      <name val="Arial"/>
      <family val="2"/>
    </font>
    <font>
      <sz val="11"/>
      <name val="Calibri"/>
      <family val="2"/>
      <scheme val="minor"/>
    </font>
    <font>
      <sz val="14"/>
      <color rgb="FF0A2F41"/>
      <name val="Calibri"/>
      <family val="2"/>
      <scheme val="minor"/>
    </font>
    <font>
      <b/>
      <sz val="14"/>
      <color theme="3"/>
      <name val="Calibri"/>
      <family val="2"/>
      <scheme val="minor"/>
    </font>
    <font>
      <sz val="9"/>
      <color indexed="81"/>
      <name val="Tahoma"/>
      <family val="2"/>
    </font>
    <font>
      <b/>
      <sz val="9"/>
      <color indexed="81"/>
      <name val="Tahoma"/>
      <family val="2"/>
    </font>
    <font>
      <b/>
      <sz val="11"/>
      <color theme="3"/>
      <name val="Calibri"/>
      <family val="2"/>
      <scheme val="minor"/>
    </font>
    <font>
      <b/>
      <u/>
      <sz val="14"/>
      <color theme="1"/>
      <name val="Calibri"/>
      <family val="2"/>
      <scheme val="minor"/>
    </font>
    <font>
      <sz val="11"/>
      <name val="Univers"/>
      <family val="2"/>
    </font>
    <font>
      <sz val="14"/>
      <color theme="4" tint="0.39997558519241921"/>
      <name val="Calibri"/>
      <family val="2"/>
      <scheme val="minor"/>
    </font>
    <font>
      <b/>
      <sz val="14"/>
      <color theme="1"/>
      <name val="Calibri"/>
      <family val="2"/>
      <scheme val="minor"/>
    </font>
    <font>
      <sz val="14"/>
      <color rgb="FF00B050"/>
      <name val="Calibri"/>
      <family val="2"/>
      <scheme val="minor"/>
    </font>
    <font>
      <b/>
      <sz val="14"/>
      <color indexed="81"/>
      <name val="Tahoma"/>
      <family val="2"/>
    </font>
    <font>
      <sz val="14"/>
      <color indexed="81"/>
      <name val="Tahoma"/>
      <family val="2"/>
    </font>
    <font>
      <b/>
      <sz val="16"/>
      <color indexed="81"/>
      <name val="Calibri"/>
      <family val="2"/>
      <scheme val="minor"/>
    </font>
    <font>
      <b/>
      <sz val="16"/>
      <color indexed="81"/>
      <name val="Tahoma"/>
      <family val="2"/>
    </font>
    <font>
      <sz val="14"/>
      <color theme="7" tint="0.39997558519241921"/>
      <name val="Calibri"/>
      <family val="2"/>
      <scheme val="minor"/>
    </font>
    <font>
      <sz val="10"/>
      <name val="Univers"/>
      <family val="2"/>
    </font>
    <font>
      <sz val="12"/>
      <color theme="1"/>
      <name val="Calibri"/>
      <family val="2"/>
      <scheme val="minor"/>
    </font>
    <font>
      <sz val="14"/>
      <color theme="9"/>
      <name val="Calibri"/>
      <family val="2"/>
      <scheme val="minor"/>
    </font>
    <font>
      <b/>
      <sz val="12"/>
      <color indexed="81"/>
      <name val="Tahoma"/>
      <family val="2"/>
    </font>
    <font>
      <sz val="14"/>
      <color theme="4" tint="-0.249977111117893"/>
      <name val="Calibri"/>
      <family val="2"/>
      <scheme val="minor"/>
    </font>
    <font>
      <sz val="12"/>
      <color rgb="FFFF0000"/>
      <name val="Aptos"/>
      <family val="2"/>
    </font>
    <font>
      <sz val="11"/>
      <name val="Univers"/>
      <family val="2"/>
    </font>
    <font>
      <sz val="11"/>
      <color rgb="FFFF0000"/>
      <name val="Calibri"/>
      <family val="2"/>
      <scheme val="minor"/>
    </font>
    <font>
      <strike/>
      <sz val="11"/>
      <color theme="1"/>
      <name val="Calibri"/>
      <family val="2"/>
      <scheme val="minor"/>
    </font>
    <font>
      <sz val="16"/>
      <color rgb="FFFF0000"/>
      <name val="Calibri"/>
      <family val="2"/>
      <scheme val="minor"/>
    </font>
    <font>
      <sz val="11"/>
      <name val="Univers"/>
      <family val="2"/>
    </font>
    <font>
      <sz val="11"/>
      <color rgb="FF1F497D"/>
      <name val="Calibri"/>
      <family val="2"/>
      <scheme val="minor"/>
    </font>
    <font>
      <sz val="12"/>
      <color theme="1"/>
      <name val="Aptos Display"/>
      <family val="2"/>
    </font>
    <font>
      <b/>
      <sz val="11"/>
      <color theme="1"/>
      <name val="Calibri"/>
      <family val="2"/>
      <scheme val="minor"/>
    </font>
    <font>
      <b/>
      <sz val="14"/>
      <color rgb="FF00B050"/>
      <name val="Calibri"/>
      <family val="2"/>
      <scheme val="minor"/>
    </font>
    <font>
      <vertAlign val="superscript"/>
      <sz val="11"/>
      <color theme="1"/>
      <name val="Calibri"/>
      <family val="2"/>
      <scheme val="minor"/>
    </font>
    <font>
      <sz val="14"/>
      <color theme="1"/>
      <name val="Aptos"/>
      <family val="2"/>
    </font>
    <font>
      <sz val="14"/>
      <color rgb="FFFF0000"/>
      <name val="Aptos"/>
      <family val="2"/>
    </font>
    <font>
      <sz val="11"/>
      <color rgb="FF000000"/>
      <name val="Calibri"/>
      <family val="2"/>
      <scheme val="minor"/>
    </font>
    <font>
      <b/>
      <sz val="11"/>
      <color theme="8"/>
      <name val="Calibri"/>
      <family val="2"/>
      <scheme val="minor"/>
    </font>
    <font>
      <b/>
      <strike/>
      <sz val="11"/>
      <color theme="8"/>
      <name val="Calibri"/>
      <family val="2"/>
      <scheme val="minor"/>
    </font>
    <font>
      <sz val="10"/>
      <color theme="1"/>
      <name val="Verdana Pro"/>
      <family val="2"/>
    </font>
    <font>
      <b/>
      <strike/>
      <sz val="11"/>
      <name val="Calibri"/>
      <family val="2"/>
      <scheme val="minor"/>
    </font>
    <font>
      <b/>
      <sz val="11"/>
      <name val="Calibri"/>
      <family val="2"/>
      <scheme val="minor"/>
    </font>
    <font>
      <b/>
      <sz val="11"/>
      <color indexed="81"/>
      <name val="Tahoma"/>
      <family val="2"/>
    </font>
    <font>
      <sz val="11"/>
      <color rgb="FF222221"/>
      <name val="Arial"/>
      <family val="2"/>
    </font>
    <font>
      <sz val="16"/>
      <name val="Calibri"/>
      <family val="2"/>
      <scheme val="minor"/>
    </font>
    <font>
      <sz val="14"/>
      <color theme="0"/>
      <name val="Calibri"/>
      <family val="2"/>
      <scheme val="minor"/>
    </font>
    <font>
      <b/>
      <sz val="13.5"/>
      <color rgb="FF222221"/>
      <name val="Arial"/>
      <family val="2"/>
    </font>
    <font>
      <strike/>
      <sz val="14"/>
      <color theme="1"/>
      <name val="Calibri"/>
      <family val="2"/>
      <scheme val="minor"/>
    </font>
    <font>
      <b/>
      <sz val="11"/>
      <color theme="8"/>
      <name val="Aptos"/>
      <family val="2"/>
    </font>
    <font>
      <sz val="16"/>
      <color rgb="FF00B050"/>
      <name val="Calibri"/>
      <family val="2"/>
      <scheme val="minor"/>
    </font>
    <font>
      <sz val="12"/>
      <color theme="1"/>
      <name val="Aptos"/>
      <family val="2"/>
    </font>
    <font>
      <b/>
      <sz val="12"/>
      <color theme="1"/>
      <name val="Avenir Next LT Pro Light"/>
      <family val="2"/>
    </font>
    <font>
      <sz val="10.5"/>
      <color rgb="FF000000"/>
      <name val="Calibri"/>
      <family val="2"/>
      <scheme val="minor"/>
    </font>
    <font>
      <sz val="11"/>
      <color theme="1"/>
      <name val="Aptos"/>
      <family val="2"/>
    </font>
    <font>
      <b/>
      <sz val="11"/>
      <color rgb="FF000000"/>
      <name val="Aptos"/>
      <family val="2"/>
    </font>
    <font>
      <sz val="11"/>
      <color rgb="FF212121"/>
      <name val="Calibri"/>
      <family val="2"/>
      <scheme val="minor"/>
    </font>
    <font>
      <sz val="11"/>
      <color theme="1"/>
      <name val="Roboto__regular"/>
    </font>
    <font>
      <u/>
      <sz val="11"/>
      <color theme="1"/>
      <name val="Roboto__regular"/>
    </font>
    <font>
      <sz val="16"/>
      <color theme="1"/>
      <name val="Calibri"/>
      <family val="2"/>
      <scheme val="minor"/>
    </font>
    <font>
      <sz val="14"/>
      <color rgb="FF0A2F41"/>
      <name val="Segoe UI Emoji"/>
      <family val="2"/>
    </font>
    <font>
      <sz val="11"/>
      <color rgb="FF141414"/>
      <name val="Microsoft JhengHei"/>
      <family val="2"/>
    </font>
    <font>
      <sz val="14"/>
      <color rgb="FF333333"/>
      <name val="Arial"/>
      <family val="2"/>
    </font>
    <font>
      <sz val="12"/>
      <color theme="1"/>
      <name val="Times New Roman"/>
      <family val="1"/>
    </font>
    <font>
      <sz val="11"/>
      <color theme="1"/>
      <name val="Aptos"/>
      <family val="2"/>
    </font>
    <font>
      <sz val="12"/>
      <color rgb="FF002060"/>
      <name val="Calibri"/>
      <family val="2"/>
      <scheme val="minor"/>
    </font>
    <font>
      <strike/>
      <sz val="16"/>
      <color theme="1"/>
      <name val="Calibri"/>
      <family val="2"/>
      <scheme val="minor"/>
    </font>
    <font>
      <sz val="12"/>
      <color theme="1"/>
      <name val="Aptos"/>
      <family val="2"/>
    </font>
    <font>
      <vertAlign val="superscript"/>
      <sz val="11"/>
      <color rgb="FF1F497D"/>
      <name val="Calibri"/>
      <family val="2"/>
      <scheme val="minor"/>
    </font>
    <font>
      <sz val="11"/>
      <color rgb="FF3159ED"/>
      <name val="Roboto__regular"/>
    </font>
    <font>
      <u/>
      <sz val="11"/>
      <color rgb="FF3159ED"/>
      <name val="Roboto__regular"/>
    </font>
    <font>
      <sz val="11"/>
      <color theme="1"/>
      <name val="Times New Roman"/>
      <family val="1"/>
    </font>
    <font>
      <sz val="11"/>
      <color rgb="FF212121"/>
      <name val="Calibri"/>
      <family val="2"/>
    </font>
    <font>
      <sz val="11"/>
      <color rgb="FF212121"/>
      <name val="Inherit"/>
    </font>
    <font>
      <b/>
      <sz val="11"/>
      <color rgb="FF212121"/>
      <name val="Inherit"/>
    </font>
    <font>
      <b/>
      <sz val="11"/>
      <color rgb="FF212121"/>
      <name val="Calibri"/>
      <family val="2"/>
    </font>
  </fonts>
  <fills count="19">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theme="4"/>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3" tint="0.59999389629810485"/>
        <bgColor indexed="64"/>
      </patternFill>
    </fill>
    <fill>
      <patternFill patternType="solid">
        <fgColor theme="0" tint="-4.9989318521683403E-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s>
  <cellStyleXfs count="15">
    <xf numFmtId="0" fontId="0" fillId="0" borderId="0"/>
    <xf numFmtId="164" fontId="1" fillId="0" borderId="0" applyFont="0" applyFill="0" applyBorder="0" applyAlignment="0" applyProtection="0"/>
    <xf numFmtId="0" fontId="2" fillId="0" borderId="0"/>
    <xf numFmtId="0" fontId="2" fillId="0" borderId="0"/>
    <xf numFmtId="0" fontId="12" fillId="0" borderId="0"/>
    <xf numFmtId="164" fontId="12" fillId="0" borderId="0" applyFont="0" applyFill="0" applyBorder="0" applyAlignment="0" applyProtection="0"/>
    <xf numFmtId="0" fontId="13" fillId="0" borderId="0"/>
    <xf numFmtId="164" fontId="13" fillId="0" borderId="0" applyFont="0" applyFill="0" applyBorder="0" applyAlignment="0" applyProtection="0"/>
    <xf numFmtId="0" fontId="20" fillId="0" borderId="0"/>
    <xf numFmtId="0" fontId="31" fillId="0" borderId="0"/>
    <xf numFmtId="164" fontId="31" fillId="0" borderId="0" applyFont="0" applyFill="0" applyBorder="0" applyAlignment="0" applyProtection="0"/>
    <xf numFmtId="0" fontId="46" fillId="0" borderId="0"/>
    <xf numFmtId="164" fontId="46" fillId="0" borderId="0" applyFont="0" applyFill="0" applyBorder="0" applyAlignment="0" applyProtection="0"/>
    <xf numFmtId="0" fontId="50" fillId="0" borderId="0"/>
    <xf numFmtId="164" fontId="50" fillId="0" borderId="0" applyFont="0" applyFill="0" applyBorder="0" applyAlignment="0" applyProtection="0"/>
  </cellStyleXfs>
  <cellXfs count="406">
    <xf numFmtId="0" fontId="0" fillId="0" borderId="0" xfId="0"/>
    <xf numFmtId="0" fontId="3" fillId="0" borderId="1" xfId="0" applyFont="1" applyBorder="1" applyAlignment="1">
      <alignment horizontal="left" vertical="top"/>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3" fillId="0" borderId="1" xfId="0" applyFont="1" applyBorder="1"/>
    <xf numFmtId="165" fontId="3" fillId="2" borderId="1" xfId="0" applyNumberFormat="1" applyFont="1" applyFill="1" applyBorder="1" applyAlignment="1">
      <alignment horizontal="center" vertical="center" wrapText="1"/>
    </xf>
    <xf numFmtId="0" fontId="3" fillId="0" borderId="1" xfId="0" applyFont="1" applyBorder="1" applyAlignment="1">
      <alignment vertical="center"/>
    </xf>
    <xf numFmtId="165" fontId="3" fillId="2" borderId="1" xfId="0" applyNumberFormat="1" applyFont="1" applyFill="1" applyBorder="1" applyAlignment="1">
      <alignment horizontal="center" vertical="center"/>
    </xf>
    <xf numFmtId="0" fontId="3" fillId="0" borderId="1" xfId="0" applyFont="1" applyBorder="1" applyAlignment="1">
      <alignment horizontal="left" vertical="center"/>
    </xf>
    <xf numFmtId="164" fontId="3" fillId="2" borderId="1" xfId="1" applyFont="1" applyFill="1" applyBorder="1" applyAlignment="1">
      <alignment vertical="center"/>
    </xf>
    <xf numFmtId="0" fontId="3" fillId="0" borderId="1" xfId="0" applyFont="1" applyBorder="1" applyAlignment="1">
      <alignment horizontal="center" vertical="center"/>
    </xf>
    <xf numFmtId="14" fontId="3" fillId="0" borderId="1" xfId="0" applyNumberFormat="1" applyFont="1" applyBorder="1" applyAlignment="1">
      <alignment horizontal="center" vertical="center"/>
    </xf>
    <xf numFmtId="165" fontId="3" fillId="0" borderId="1" xfId="0" applyNumberFormat="1" applyFont="1" applyBorder="1" applyAlignment="1">
      <alignment wrapText="1"/>
    </xf>
    <xf numFmtId="0" fontId="3" fillId="0" borderId="1" xfId="0" applyFont="1" applyBorder="1" applyAlignment="1">
      <alignment vertical="top" wrapText="1"/>
    </xf>
    <xf numFmtId="0" fontId="8" fillId="0" borderId="0" xfId="0" applyFont="1"/>
    <xf numFmtId="165" fontId="3" fillId="0" borderId="1" xfId="0" applyNumberFormat="1" applyFont="1" applyBorder="1" applyAlignment="1">
      <alignment horizontal="center" vertical="center" wrapText="1"/>
    </xf>
    <xf numFmtId="0" fontId="4" fillId="0" borderId="1" xfId="0" applyFont="1" applyBorder="1" applyAlignment="1">
      <alignment vertical="top" wrapText="1"/>
    </xf>
    <xf numFmtId="165" fontId="3" fillId="0" borderId="1" xfId="0" applyNumberFormat="1" applyFont="1" applyBorder="1" applyAlignment="1">
      <alignment horizontal="center" vertical="top" wrapText="1"/>
    </xf>
    <xf numFmtId="0" fontId="3" fillId="5" borderId="1" xfId="0" applyFont="1" applyFill="1" applyBorder="1" applyAlignment="1">
      <alignment vertical="center"/>
    </xf>
    <xf numFmtId="165" fontId="3" fillId="0" borderId="1" xfId="0" applyNumberFormat="1" applyFont="1" applyBorder="1" applyAlignment="1">
      <alignment horizontal="center" wrapText="1"/>
    </xf>
    <xf numFmtId="164" fontId="3" fillId="2" borderId="1" xfId="1" applyFont="1" applyFill="1" applyBorder="1" applyAlignment="1">
      <alignment horizontal="left" vertical="center"/>
    </xf>
    <xf numFmtId="164" fontId="3" fillId="3" borderId="1" xfId="1" applyFont="1" applyFill="1" applyBorder="1" applyAlignment="1">
      <alignment vertical="center"/>
    </xf>
    <xf numFmtId="164" fontId="3" fillId="0" borderId="1" xfId="1" applyFont="1" applyFill="1" applyBorder="1" applyAlignment="1">
      <alignment vertical="center"/>
    </xf>
    <xf numFmtId="0" fontId="4" fillId="0" borderId="1" xfId="0" applyFont="1" applyBorder="1" applyAlignment="1">
      <alignment vertical="center" wrapText="1"/>
    </xf>
    <xf numFmtId="0" fontId="5" fillId="0" borderId="1" xfId="0" applyFont="1" applyBorder="1" applyAlignment="1">
      <alignment vertical="center" wrapText="1"/>
    </xf>
    <xf numFmtId="164" fontId="3" fillId="4" borderId="1" xfId="1" applyFont="1" applyFill="1" applyBorder="1" applyAlignment="1">
      <alignment vertical="center"/>
    </xf>
    <xf numFmtId="0" fontId="4" fillId="2" borderId="1" xfId="0" applyFont="1" applyFill="1" applyBorder="1" applyAlignment="1">
      <alignment vertical="center" wrapText="1"/>
    </xf>
    <xf numFmtId="165" fontId="3" fillId="0" borderId="2" xfId="0" applyNumberFormat="1" applyFont="1" applyBorder="1" applyAlignment="1">
      <alignment horizontal="center" vertical="center" wrapText="1"/>
    </xf>
    <xf numFmtId="164" fontId="3" fillId="3" borderId="1" xfId="1" applyFont="1" applyFill="1" applyBorder="1" applyAlignment="1">
      <alignment horizontal="left" vertical="center"/>
    </xf>
    <xf numFmtId="0" fontId="3" fillId="0" borderId="1" xfId="0" applyFont="1" applyBorder="1" applyAlignment="1">
      <alignment horizontal="left" vertical="center" wrapText="1" indent="1"/>
    </xf>
    <xf numFmtId="14" fontId="3" fillId="0" borderId="1" xfId="0" applyNumberFormat="1" applyFont="1" applyBorder="1" applyAlignment="1">
      <alignment horizontal="center" vertical="center" wrapText="1"/>
    </xf>
    <xf numFmtId="0" fontId="3" fillId="0" borderId="1" xfId="0" applyFont="1" applyBorder="1" applyAlignment="1">
      <alignment horizontal="left" vertical="center" indent="1"/>
    </xf>
    <xf numFmtId="164" fontId="3" fillId="0" borderId="1" xfId="1" applyFont="1" applyFill="1" applyBorder="1" applyAlignment="1">
      <alignment horizontal="center" vertical="center"/>
    </xf>
    <xf numFmtId="0" fontId="3" fillId="2" borderId="1" xfId="0" applyFont="1" applyFill="1" applyBorder="1" applyAlignment="1">
      <alignment horizontal="center" vertical="center" wrapText="1"/>
    </xf>
    <xf numFmtId="0" fontId="4" fillId="2" borderId="1" xfId="0" applyFont="1" applyFill="1" applyBorder="1" applyAlignment="1">
      <alignment vertical="top" wrapText="1"/>
    </xf>
    <xf numFmtId="2" fontId="3" fillId="2" borderId="1" xfId="1" applyNumberFormat="1" applyFont="1" applyFill="1" applyBorder="1" applyAlignment="1">
      <alignment vertical="center"/>
    </xf>
    <xf numFmtId="0" fontId="7" fillId="0" borderId="1" xfId="0" applyFont="1" applyBorder="1" applyAlignment="1">
      <alignment horizontal="center" vertical="center" wrapText="1"/>
    </xf>
    <xf numFmtId="164" fontId="7" fillId="0" borderId="1" xfId="1" applyFont="1" applyFill="1" applyBorder="1" applyAlignment="1">
      <alignment horizontal="center" vertical="center"/>
    </xf>
    <xf numFmtId="165" fontId="7" fillId="2" borderId="1" xfId="0" applyNumberFormat="1" applyFont="1" applyFill="1" applyBorder="1" applyAlignment="1">
      <alignment horizontal="center" vertical="center" wrapText="1"/>
    </xf>
    <xf numFmtId="164" fontId="7" fillId="2" borderId="1" xfId="1" applyFont="1" applyFill="1" applyBorder="1" applyAlignment="1">
      <alignment horizontal="center" vertical="center" wrapText="1"/>
    </xf>
    <xf numFmtId="2" fontId="7" fillId="2" borderId="1" xfId="1" applyNumberFormat="1" applyFont="1" applyFill="1" applyBorder="1" applyAlignment="1">
      <alignment horizontal="center" vertical="center" wrapText="1"/>
    </xf>
    <xf numFmtId="165" fontId="7" fillId="0" borderId="1" xfId="0" applyNumberFormat="1" applyFont="1" applyBorder="1" applyAlignment="1">
      <alignment horizontal="center" vertical="center" wrapText="1"/>
    </xf>
    <xf numFmtId="164" fontId="3" fillId="3" borderId="1" xfId="1" applyFont="1" applyFill="1" applyBorder="1" applyAlignment="1">
      <alignment horizontal="right" vertical="center"/>
    </xf>
    <xf numFmtId="164" fontId="3" fillId="2" borderId="1" xfId="1" applyFont="1" applyFill="1" applyBorder="1" applyAlignment="1">
      <alignment horizontal="right" vertical="center"/>
    </xf>
    <xf numFmtId="2" fontId="3" fillId="2" borderId="1" xfId="1" applyNumberFormat="1" applyFont="1" applyFill="1" applyBorder="1" applyAlignment="1">
      <alignment horizontal="left" vertical="center"/>
    </xf>
    <xf numFmtId="2" fontId="3" fillId="0" borderId="1" xfId="1" applyNumberFormat="1" applyFont="1" applyFill="1" applyBorder="1" applyAlignment="1">
      <alignment vertical="center"/>
    </xf>
    <xf numFmtId="0" fontId="3" fillId="0" borderId="1" xfId="0" applyFont="1" applyBorder="1" applyAlignment="1">
      <alignment horizontal="left" vertical="top" wrapText="1" indent="1"/>
    </xf>
    <xf numFmtId="14" fontId="3" fillId="0" borderId="1" xfId="0" applyNumberFormat="1" applyFont="1" applyBorder="1" applyAlignment="1">
      <alignment horizontal="center" vertical="top"/>
    </xf>
    <xf numFmtId="0" fontId="3" fillId="0" borderId="1" xfId="0" applyFont="1" applyBorder="1" applyAlignment="1">
      <alignment horizontal="center" vertical="top"/>
    </xf>
    <xf numFmtId="0" fontId="3" fillId="0" borderId="1" xfId="0" applyFont="1" applyBorder="1" applyAlignment="1">
      <alignment vertical="top"/>
    </xf>
    <xf numFmtId="14" fontId="3" fillId="2" borderId="1" xfId="0" applyNumberFormat="1" applyFont="1" applyFill="1" applyBorder="1" applyAlignment="1">
      <alignment horizontal="center" vertical="top"/>
    </xf>
    <xf numFmtId="2" fontId="3" fillId="2" borderId="1" xfId="1" applyNumberFormat="1" applyFont="1" applyFill="1" applyBorder="1" applyAlignment="1">
      <alignment vertical="top"/>
    </xf>
    <xf numFmtId="164" fontId="3" fillId="2" borderId="0" xfId="1" applyFont="1" applyFill="1" applyBorder="1" applyAlignment="1">
      <alignment vertical="top"/>
    </xf>
    <xf numFmtId="164" fontId="3" fillId="2" borderId="1" xfId="1" applyFont="1" applyFill="1" applyBorder="1" applyAlignment="1">
      <alignment vertical="top"/>
    </xf>
    <xf numFmtId="0" fontId="3" fillId="0" borderId="1" xfId="0" applyFont="1" applyBorder="1" applyAlignment="1">
      <alignment horizontal="center" vertical="top" wrapText="1"/>
    </xf>
    <xf numFmtId="0" fontId="14" fillId="0" borderId="1" xfId="0" applyFont="1" applyBorder="1" applyAlignment="1">
      <alignment vertical="top" wrapText="1"/>
    </xf>
    <xf numFmtId="14" fontId="3" fillId="0" borderId="1" xfId="0" applyNumberFormat="1" applyFont="1" applyBorder="1" applyAlignment="1">
      <alignment vertical="top" wrapText="1"/>
    </xf>
    <xf numFmtId="164" fontId="3" fillId="0" borderId="1" xfId="1" applyFont="1" applyFill="1" applyBorder="1" applyAlignment="1">
      <alignment horizontal="right" vertical="center"/>
    </xf>
    <xf numFmtId="165" fontId="9" fillId="0" borderId="1" xfId="0" applyNumberFormat="1" applyFont="1" applyBorder="1" applyAlignment="1">
      <alignment horizontal="center" vertical="center" wrapText="1"/>
    </xf>
    <xf numFmtId="0" fontId="3" fillId="0" borderId="1" xfId="0" applyFont="1" applyBorder="1" applyAlignment="1">
      <alignment horizontal="left" vertical="top" indent="1"/>
    </xf>
    <xf numFmtId="164" fontId="3" fillId="0" borderId="1" xfId="1" applyFont="1" applyFill="1" applyBorder="1" applyAlignment="1">
      <alignment horizontal="left" vertical="center" wrapText="1" indent="1"/>
    </xf>
    <xf numFmtId="14" fontId="3" fillId="0" borderId="1" xfId="0" applyNumberFormat="1" applyFont="1" applyBorder="1" applyAlignment="1">
      <alignment horizontal="left" vertical="center"/>
    </xf>
    <xf numFmtId="0" fontId="15" fillId="0" borderId="0" xfId="0" applyFont="1"/>
    <xf numFmtId="14" fontId="11" fillId="0" borderId="1" xfId="0" applyNumberFormat="1" applyFont="1" applyBorder="1"/>
    <xf numFmtId="164" fontId="3" fillId="0" borderId="1" xfId="1" applyFont="1" applyFill="1" applyBorder="1" applyAlignment="1">
      <alignment horizontal="left" vertical="center"/>
    </xf>
    <xf numFmtId="3" fontId="3" fillId="0" borderId="1" xfId="0" applyNumberFormat="1" applyFont="1" applyBorder="1" applyAlignment="1">
      <alignment horizontal="left" vertical="center" wrapText="1" indent="1"/>
    </xf>
    <xf numFmtId="14" fontId="17" fillId="0" borderId="0" xfId="0" applyNumberFormat="1" applyFont="1"/>
    <xf numFmtId="165" fontId="3" fillId="0" borderId="1" xfId="0" applyNumberFormat="1" applyFont="1" applyBorder="1" applyAlignment="1">
      <alignment horizontal="center" vertical="center"/>
    </xf>
    <xf numFmtId="164" fontId="3" fillId="0" borderId="1" xfId="1" applyFont="1" applyBorder="1" applyAlignment="1">
      <alignment horizontal="left" vertical="center"/>
    </xf>
    <xf numFmtId="164" fontId="3" fillId="2" borderId="1" xfId="1" applyFont="1" applyFill="1" applyBorder="1" applyAlignment="1">
      <alignment horizontal="left" vertical="center" wrapText="1" indent="1"/>
    </xf>
    <xf numFmtId="14" fontId="3" fillId="0" borderId="1" xfId="0" applyNumberFormat="1" applyFont="1" applyBorder="1" applyAlignment="1">
      <alignment horizontal="center" vertical="top" wrapText="1"/>
    </xf>
    <xf numFmtId="165" fontId="3" fillId="2" borderId="1" xfId="0" applyNumberFormat="1" applyFont="1" applyFill="1" applyBorder="1" applyAlignment="1">
      <alignment horizontal="center" vertical="top"/>
    </xf>
    <xf numFmtId="164" fontId="3" fillId="2" borderId="1" xfId="1" applyFont="1" applyFill="1" applyBorder="1" applyAlignment="1">
      <alignment horizontal="left" vertical="top"/>
    </xf>
    <xf numFmtId="2" fontId="3" fillId="2" borderId="1" xfId="1" applyNumberFormat="1" applyFont="1" applyFill="1" applyBorder="1" applyAlignment="1">
      <alignment horizontal="left" vertical="top"/>
    </xf>
    <xf numFmtId="0" fontId="11" fillId="0" borderId="1" xfId="0" applyFont="1" applyBorder="1" applyAlignment="1">
      <alignment wrapText="1"/>
    </xf>
    <xf numFmtId="15" fontId="3" fillId="2" borderId="3" xfId="4" applyNumberFormat="1" applyFont="1" applyFill="1" applyBorder="1" applyAlignment="1">
      <alignment horizontal="center"/>
    </xf>
    <xf numFmtId="164" fontId="5" fillId="3" borderId="1" xfId="1" applyFont="1" applyFill="1" applyBorder="1" applyAlignment="1">
      <alignment horizontal="left" vertical="center"/>
    </xf>
    <xf numFmtId="164" fontId="5" fillId="2" borderId="1" xfId="1" applyFont="1" applyFill="1" applyBorder="1" applyAlignment="1">
      <alignment vertical="center"/>
    </xf>
    <xf numFmtId="165" fontId="5" fillId="0" borderId="4" xfId="0" applyNumberFormat="1" applyFont="1" applyBorder="1" applyAlignment="1">
      <alignment horizontal="center" vertical="center" wrapText="1"/>
    </xf>
    <xf numFmtId="0" fontId="3" fillId="0" borderId="6" xfId="0" applyFont="1" applyBorder="1" applyAlignment="1">
      <alignment horizontal="center" vertical="center"/>
    </xf>
    <xf numFmtId="165" fontId="5" fillId="0" borderId="5" xfId="0" applyNumberFormat="1" applyFont="1" applyBorder="1" applyAlignment="1">
      <alignment horizontal="center" vertical="center" wrapText="1"/>
    </xf>
    <xf numFmtId="0" fontId="5" fillId="2" borderId="1" xfId="0" applyFont="1" applyFill="1" applyBorder="1" applyAlignment="1">
      <alignment horizontal="center" vertical="center" wrapText="1"/>
    </xf>
    <xf numFmtId="0" fontId="17" fillId="0" borderId="0" xfId="0" applyFont="1" applyAlignment="1">
      <alignment wrapText="1"/>
    </xf>
    <xf numFmtId="165" fontId="3" fillId="0" borderId="1" xfId="0" applyNumberFormat="1" applyFont="1" applyBorder="1" applyAlignment="1">
      <alignment horizontal="left" vertical="center" wrapText="1"/>
    </xf>
    <xf numFmtId="164" fontId="3" fillId="0" borderId="1" xfId="1" applyFont="1" applyFill="1" applyBorder="1" applyAlignment="1">
      <alignment horizontal="left" vertical="top" wrapText="1" indent="1"/>
    </xf>
    <xf numFmtId="0" fontId="5" fillId="3" borderId="0" xfId="0" applyFont="1" applyFill="1" applyAlignment="1">
      <alignment horizontal="center" vertical="center"/>
    </xf>
    <xf numFmtId="0" fontId="23" fillId="0" borderId="0" xfId="0" applyFont="1" applyAlignment="1">
      <alignment horizontal="center" vertical="center"/>
    </xf>
    <xf numFmtId="0" fontId="3" fillId="3" borderId="1" xfId="0" applyFont="1" applyFill="1" applyBorder="1" applyAlignment="1">
      <alignment horizontal="left" vertical="center" wrapText="1" indent="1"/>
    </xf>
    <xf numFmtId="0" fontId="11" fillId="0" borderId="0" xfId="0" applyFont="1" applyAlignment="1">
      <alignment vertical="center"/>
    </xf>
    <xf numFmtId="165" fontId="5" fillId="0" borderId="1" xfId="0" applyNumberFormat="1" applyFont="1" applyBorder="1" applyAlignment="1">
      <alignment wrapText="1"/>
    </xf>
    <xf numFmtId="0" fontId="5" fillId="0" borderId="0" xfId="0" applyFont="1"/>
    <xf numFmtId="165" fontId="4" fillId="0" borderId="4" xfId="0" applyNumberFormat="1" applyFont="1" applyBorder="1" applyAlignment="1">
      <alignment horizontal="center" vertical="center" wrapText="1"/>
    </xf>
    <xf numFmtId="165" fontId="4" fillId="0" borderId="5" xfId="0" applyNumberFormat="1" applyFont="1" applyBorder="1" applyAlignment="1">
      <alignment horizontal="center" vertical="center" wrapText="1"/>
    </xf>
    <xf numFmtId="0" fontId="24" fillId="0" borderId="1" xfId="0" applyFont="1" applyBorder="1"/>
    <xf numFmtId="0" fontId="3" fillId="0" borderId="1" xfId="0" applyFont="1" applyBorder="1" applyAlignment="1">
      <alignment horizontal="left" vertical="top" wrapText="1"/>
    </xf>
    <xf numFmtId="165" fontId="4" fillId="0" borderId="4" xfId="0" applyNumberFormat="1" applyFont="1" applyBorder="1" applyAlignment="1">
      <alignment horizontal="center" vertical="top" wrapText="1"/>
    </xf>
    <xf numFmtId="165" fontId="4" fillId="0" borderId="5" xfId="0" applyNumberFormat="1" applyFont="1" applyBorder="1" applyAlignment="1">
      <alignment horizontal="center" vertical="top" wrapText="1"/>
    </xf>
    <xf numFmtId="0" fontId="0" fillId="0" borderId="0" xfId="0" applyAlignment="1">
      <alignment vertical="top"/>
    </xf>
    <xf numFmtId="0" fontId="17" fillId="0" borderId="0" xfId="0" applyFont="1" applyAlignment="1">
      <alignment vertical="top" wrapText="1"/>
    </xf>
    <xf numFmtId="0" fontId="0" fillId="0" borderId="1" xfId="0" applyBorder="1"/>
    <xf numFmtId="0" fontId="3" fillId="0" borderId="1" xfId="0" applyFont="1" applyBorder="1" applyAlignment="1">
      <alignment horizontal="left" wrapText="1"/>
    </xf>
    <xf numFmtId="0" fontId="8" fillId="0" borderId="1" xfId="0" applyFont="1" applyBorder="1"/>
    <xf numFmtId="14" fontId="4" fillId="0" borderId="1" xfId="0" applyNumberFormat="1" applyFont="1" applyBorder="1" applyAlignment="1">
      <alignment vertical="center" wrapText="1"/>
    </xf>
    <xf numFmtId="14" fontId="3" fillId="0" borderId="1" xfId="0" applyNumberFormat="1" applyFont="1" applyBorder="1" applyAlignment="1">
      <alignment vertical="center" wrapText="1"/>
    </xf>
    <xf numFmtId="164" fontId="3" fillId="3" borderId="1" xfId="1" applyFont="1" applyFill="1" applyBorder="1" applyAlignment="1">
      <alignment horizontal="left" vertical="center" wrapText="1" indent="1"/>
    </xf>
    <xf numFmtId="15" fontId="3" fillId="0" borderId="3" xfId="0" applyNumberFormat="1" applyFont="1" applyBorder="1"/>
    <xf numFmtId="14" fontId="4" fillId="0" borderId="1" xfId="0" applyNumberFormat="1" applyFont="1" applyBorder="1" applyAlignment="1">
      <alignment vertical="top" wrapText="1"/>
    </xf>
    <xf numFmtId="0" fontId="26" fillId="6" borderId="1" xfId="0" applyFont="1" applyFill="1" applyBorder="1" applyAlignment="1">
      <alignment horizontal="center" vertical="center" wrapText="1"/>
    </xf>
    <xf numFmtId="165" fontId="26" fillId="6" borderId="1" xfId="0" applyNumberFormat="1" applyFont="1" applyFill="1" applyBorder="1" applyAlignment="1">
      <alignment horizontal="center" vertical="center" wrapText="1"/>
    </xf>
    <xf numFmtId="164" fontId="26" fillId="6" borderId="1" xfId="1" applyFont="1" applyFill="1" applyBorder="1" applyAlignment="1">
      <alignment horizontal="center" vertical="center" wrapText="1"/>
    </xf>
    <xf numFmtId="2" fontId="26" fillId="6" borderId="1" xfId="1" applyNumberFormat="1" applyFont="1" applyFill="1" applyBorder="1" applyAlignment="1">
      <alignment horizontal="center" vertical="center" wrapText="1"/>
    </xf>
    <xf numFmtId="166" fontId="0" fillId="0" borderId="0" xfId="1" applyNumberFormat="1" applyFont="1"/>
    <xf numFmtId="164" fontId="3" fillId="0" borderId="1" xfId="0" applyNumberFormat="1" applyFont="1" applyBorder="1" applyAlignment="1">
      <alignment horizontal="left" vertical="center"/>
    </xf>
    <xf numFmtId="0" fontId="5" fillId="0" borderId="1" xfId="0" applyFont="1" applyBorder="1" applyAlignment="1">
      <alignment vertical="top" wrapText="1"/>
    </xf>
    <xf numFmtId="165" fontId="3" fillId="7" borderId="1" xfId="0" applyNumberFormat="1" applyFont="1" applyFill="1" applyBorder="1" applyAlignment="1">
      <alignment horizontal="center" vertical="center" wrapText="1"/>
    </xf>
    <xf numFmtId="164" fontId="3" fillId="0" borderId="1" xfId="1" applyFont="1" applyBorder="1" applyAlignment="1">
      <alignment horizontal="center" vertical="center" wrapText="1"/>
    </xf>
    <xf numFmtId="165" fontId="3" fillId="7" borderId="1" xfId="0" applyNumberFormat="1" applyFont="1" applyFill="1" applyBorder="1" applyAlignment="1">
      <alignment horizontal="center" vertical="top" wrapText="1"/>
    </xf>
    <xf numFmtId="164" fontId="3" fillId="0" borderId="1" xfId="1" applyFont="1" applyFill="1" applyBorder="1" applyAlignment="1">
      <alignment horizontal="center" vertical="center" wrapText="1"/>
    </xf>
    <xf numFmtId="0" fontId="29" fillId="6" borderId="1" xfId="0" applyFont="1" applyFill="1" applyBorder="1" applyAlignment="1">
      <alignment horizontal="center" vertical="center"/>
    </xf>
    <xf numFmtId="165" fontId="29" fillId="6" borderId="1" xfId="0" applyNumberFormat="1" applyFont="1" applyFill="1" applyBorder="1" applyAlignment="1">
      <alignment horizontal="center" vertical="center"/>
    </xf>
    <xf numFmtId="164" fontId="29" fillId="6" borderId="1" xfId="1" applyFont="1" applyFill="1" applyBorder="1" applyAlignment="1">
      <alignment horizontal="center" vertical="center"/>
    </xf>
    <xf numFmtId="2" fontId="29" fillId="6" borderId="1" xfId="1" applyNumberFormat="1" applyFont="1" applyFill="1" applyBorder="1" applyAlignment="1">
      <alignment horizontal="center" vertical="center"/>
    </xf>
    <xf numFmtId="14" fontId="0" fillId="0" borderId="0" xfId="0" applyNumberFormat="1"/>
    <xf numFmtId="0" fontId="3" fillId="2" borderId="1" xfId="0" applyFont="1" applyFill="1" applyBorder="1" applyAlignment="1">
      <alignment vertical="center"/>
    </xf>
    <xf numFmtId="0" fontId="3" fillId="2" borderId="1" xfId="0" applyFont="1" applyFill="1" applyBorder="1" applyAlignment="1">
      <alignment horizontal="left" vertical="center" wrapText="1" indent="1"/>
    </xf>
    <xf numFmtId="0" fontId="3" fillId="2" borderId="1" xfId="0" applyFont="1" applyFill="1" applyBorder="1" applyAlignment="1">
      <alignment vertical="center" wrapText="1"/>
    </xf>
    <xf numFmtId="0" fontId="0" fillId="0" borderId="1" xfId="0" applyBorder="1" applyAlignment="1">
      <alignment horizontal="right" vertical="top"/>
    </xf>
    <xf numFmtId="14" fontId="0" fillId="0" borderId="1" xfId="0" applyNumberFormat="1" applyBorder="1"/>
    <xf numFmtId="164" fontId="0" fillId="0" borderId="1" xfId="1" applyFont="1" applyBorder="1"/>
    <xf numFmtId="0" fontId="0" fillId="0" borderId="1" xfId="0" applyBorder="1" applyAlignment="1">
      <alignment wrapText="1"/>
    </xf>
    <xf numFmtId="0" fontId="3" fillId="8" borderId="1" xfId="0" applyFont="1" applyFill="1" applyBorder="1" applyAlignment="1">
      <alignment horizontal="center" vertical="center" wrapText="1"/>
    </xf>
    <xf numFmtId="164" fontId="3" fillId="8" borderId="1" xfId="1" applyFont="1" applyFill="1" applyBorder="1" applyAlignment="1">
      <alignment horizontal="center" vertical="center" wrapText="1"/>
    </xf>
    <xf numFmtId="165" fontId="3" fillId="8" borderId="1" xfId="0" applyNumberFormat="1" applyFont="1" applyFill="1" applyBorder="1" applyAlignment="1">
      <alignment horizontal="center" vertical="center" wrapText="1"/>
    </xf>
    <xf numFmtId="0" fontId="18" fillId="0" borderId="1" xfId="0" applyFont="1" applyBorder="1" applyAlignment="1">
      <alignment vertical="center" wrapText="1"/>
    </xf>
    <xf numFmtId="164" fontId="5" fillId="3" borderId="1" xfId="1" applyFont="1" applyFill="1" applyBorder="1" applyAlignment="1">
      <alignment vertical="center"/>
    </xf>
    <xf numFmtId="165" fontId="32" fillId="7" borderId="1" xfId="0" applyNumberFormat="1" applyFont="1" applyFill="1" applyBorder="1" applyAlignment="1">
      <alignment horizontal="center" vertical="center" wrapText="1"/>
    </xf>
    <xf numFmtId="0" fontId="15" fillId="0" borderId="0" xfId="0" applyFont="1" applyAlignment="1">
      <alignment vertical="center"/>
    </xf>
    <xf numFmtId="14" fontId="15" fillId="0" borderId="0" xfId="0" applyNumberFormat="1" applyFont="1" applyAlignment="1">
      <alignment vertical="center"/>
    </xf>
    <xf numFmtId="14" fontId="17" fillId="0" borderId="0" xfId="0" applyNumberFormat="1" applyFont="1" applyAlignment="1">
      <alignment vertical="center"/>
    </xf>
    <xf numFmtId="164" fontId="0" fillId="0" borderId="1" xfId="1" applyFont="1" applyBorder="1" applyAlignment="1">
      <alignment horizontal="center" vertical="center"/>
    </xf>
    <xf numFmtId="14" fontId="0" fillId="0" borderId="1" xfId="0" applyNumberFormat="1" applyBorder="1" applyAlignment="1">
      <alignment vertical="center"/>
    </xf>
    <xf numFmtId="0" fontId="0" fillId="0" borderId="1" xfId="0" applyBorder="1" applyAlignment="1">
      <alignment vertical="center"/>
    </xf>
    <xf numFmtId="16" fontId="4" fillId="0" borderId="1" xfId="0" applyNumberFormat="1" applyFont="1" applyBorder="1" applyAlignment="1">
      <alignment vertical="center" wrapText="1"/>
    </xf>
    <xf numFmtId="164" fontId="3" fillId="3" borderId="1" xfId="1" applyFont="1" applyFill="1" applyBorder="1" applyAlignment="1">
      <alignment horizontal="center" vertical="center" wrapText="1"/>
    </xf>
    <xf numFmtId="14" fontId="5" fillId="0" borderId="0" xfId="0" applyNumberFormat="1" applyFont="1" applyAlignment="1">
      <alignment horizontal="center" vertical="center"/>
    </xf>
    <xf numFmtId="165" fontId="7" fillId="7" borderId="1" xfId="0" applyNumberFormat="1"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3" fillId="2" borderId="1" xfId="0" applyFont="1" applyFill="1" applyBorder="1" applyAlignment="1">
      <alignment horizontal="center" vertical="center"/>
    </xf>
    <xf numFmtId="16" fontId="4" fillId="2" borderId="1" xfId="0" applyNumberFormat="1" applyFont="1" applyFill="1" applyBorder="1" applyAlignment="1">
      <alignment vertical="center" wrapText="1"/>
    </xf>
    <xf numFmtId="0" fontId="3" fillId="2" borderId="1" xfId="0" applyFont="1" applyFill="1" applyBorder="1" applyAlignment="1">
      <alignment horizontal="left" vertical="center"/>
    </xf>
    <xf numFmtId="0" fontId="34" fillId="0" borderId="1" xfId="0" applyFont="1" applyBorder="1" applyAlignment="1">
      <alignment horizontal="left" vertical="center" wrapText="1" indent="1"/>
    </xf>
    <xf numFmtId="0" fontId="3" fillId="0" borderId="2" xfId="0" applyFont="1" applyBorder="1"/>
    <xf numFmtId="0" fontId="3" fillId="0" borderId="2" xfId="0" applyFont="1" applyBorder="1" applyAlignment="1">
      <alignment vertical="center"/>
    </xf>
    <xf numFmtId="0" fontId="3" fillId="0" borderId="7" xfId="0" applyFont="1" applyBorder="1" applyAlignment="1">
      <alignment vertical="center"/>
    </xf>
    <xf numFmtId="0" fontId="3" fillId="0" borderId="7" xfId="0" applyFont="1" applyBorder="1" applyAlignment="1">
      <alignment horizontal="center" vertical="center" wrapText="1"/>
    </xf>
    <xf numFmtId="0" fontId="11" fillId="0" borderId="1" xfId="0" applyFont="1" applyBorder="1" applyAlignment="1">
      <alignment vertical="center"/>
    </xf>
    <xf numFmtId="164" fontId="3" fillId="7" borderId="1" xfId="1" applyFont="1" applyFill="1" applyBorder="1" applyAlignment="1">
      <alignment horizontal="left" vertical="center"/>
    </xf>
    <xf numFmtId="165" fontId="3" fillId="7" borderId="2" xfId="0" applyNumberFormat="1" applyFont="1" applyFill="1" applyBorder="1" applyAlignment="1">
      <alignment horizontal="center" vertical="center" wrapText="1"/>
    </xf>
    <xf numFmtId="165" fontId="3" fillId="2" borderId="7" xfId="0" applyNumberFormat="1" applyFont="1" applyFill="1" applyBorder="1" applyAlignment="1">
      <alignment horizontal="center" vertical="center" wrapText="1"/>
    </xf>
    <xf numFmtId="165" fontId="3" fillId="7" borderId="7" xfId="0" applyNumberFormat="1" applyFont="1" applyFill="1" applyBorder="1" applyAlignment="1">
      <alignment horizontal="center" vertical="center" wrapText="1"/>
    </xf>
    <xf numFmtId="0" fontId="3" fillId="0" borderId="0" xfId="0" applyFont="1" applyAlignment="1">
      <alignment horizontal="center" vertical="center" wrapText="1"/>
    </xf>
    <xf numFmtId="164" fontId="0" fillId="0" borderId="0" xfId="1" applyFont="1"/>
    <xf numFmtId="0" fontId="0" fillId="0" borderId="1" xfId="0" applyBorder="1" applyAlignment="1">
      <alignment vertical="center" wrapText="1"/>
    </xf>
    <xf numFmtId="164" fontId="0" fillId="0" borderId="1" xfId="1" applyFont="1" applyBorder="1" applyAlignment="1">
      <alignment vertical="center"/>
    </xf>
    <xf numFmtId="0" fontId="0" fillId="0" borderId="0" xfId="0" applyAlignment="1">
      <alignment vertical="center"/>
    </xf>
    <xf numFmtId="165" fontId="39" fillId="9" borderId="1" xfId="0" applyNumberFormat="1" applyFont="1" applyFill="1" applyBorder="1" applyAlignment="1">
      <alignment horizontal="center" vertical="center" wrapText="1"/>
    </xf>
    <xf numFmtId="0" fontId="3" fillId="9" borderId="1" xfId="0" applyFont="1" applyFill="1" applyBorder="1" applyAlignment="1">
      <alignment vertical="center"/>
    </xf>
    <xf numFmtId="165" fontId="3" fillId="9" borderId="1" xfId="0" applyNumberFormat="1" applyFont="1" applyFill="1" applyBorder="1" applyAlignment="1">
      <alignment horizontal="center" vertical="center" wrapText="1"/>
    </xf>
    <xf numFmtId="15" fontId="40" fillId="7" borderId="3" xfId="4" applyNumberFormat="1" applyFont="1" applyFill="1" applyBorder="1"/>
    <xf numFmtId="14" fontId="3" fillId="2" borderId="1" xfId="1" applyNumberFormat="1" applyFont="1" applyFill="1" applyBorder="1" applyAlignment="1">
      <alignment horizontal="left" vertical="center"/>
    </xf>
    <xf numFmtId="0" fontId="8" fillId="0" borderId="0" xfId="0" applyFont="1" applyAlignment="1">
      <alignment horizontal="center" vertical="center"/>
    </xf>
    <xf numFmtId="16" fontId="3" fillId="0" borderId="1" xfId="0" applyNumberFormat="1" applyFont="1" applyBorder="1" applyAlignment="1">
      <alignment horizontal="center" vertical="center" wrapText="1"/>
    </xf>
    <xf numFmtId="0" fontId="41" fillId="0" borderId="0" xfId="0" applyFont="1" applyAlignment="1">
      <alignment vertical="center"/>
    </xf>
    <xf numFmtId="0" fontId="3" fillId="10" borderId="1" xfId="0" applyFont="1" applyFill="1" applyBorder="1" applyAlignment="1">
      <alignment horizontal="left" vertical="center" wrapText="1" indent="1"/>
    </xf>
    <xf numFmtId="0" fontId="3" fillId="11" borderId="1" xfId="0" applyFont="1" applyFill="1" applyBorder="1" applyAlignment="1">
      <alignment horizontal="left" vertical="center" wrapText="1" indent="1"/>
    </xf>
    <xf numFmtId="0" fontId="42" fillId="12" borderId="1" xfId="0" applyFont="1" applyFill="1" applyBorder="1" applyAlignment="1">
      <alignment horizontal="left" vertical="center" wrapText="1" indent="1"/>
    </xf>
    <xf numFmtId="164" fontId="3" fillId="3" borderId="1" xfId="1" applyFont="1" applyFill="1" applyBorder="1" applyAlignment="1">
      <alignment vertical="top"/>
    </xf>
    <xf numFmtId="164" fontId="3" fillId="4" borderId="1" xfId="1" applyFont="1" applyFill="1" applyBorder="1" applyAlignment="1">
      <alignment horizontal="left" vertical="center"/>
    </xf>
    <xf numFmtId="164" fontId="5" fillId="0" borderId="1" xfId="1" applyFont="1" applyFill="1" applyBorder="1" applyAlignment="1">
      <alignment vertical="center"/>
    </xf>
    <xf numFmtId="165" fontId="5" fillId="2" borderId="1" xfId="0" applyNumberFormat="1" applyFont="1" applyFill="1" applyBorder="1" applyAlignment="1">
      <alignment horizontal="center" vertical="center"/>
    </xf>
    <xf numFmtId="0" fontId="5" fillId="0" borderId="1" xfId="0" applyFont="1" applyBorder="1" applyAlignment="1">
      <alignment horizontal="left" wrapText="1"/>
    </xf>
    <xf numFmtId="165" fontId="6" fillId="0" borderId="1" xfId="0" applyNumberFormat="1" applyFont="1" applyBorder="1" applyAlignment="1">
      <alignment horizontal="center" vertical="center" wrapText="1"/>
    </xf>
    <xf numFmtId="0" fontId="0" fillId="0" borderId="3" xfId="0" applyBorder="1"/>
    <xf numFmtId="0" fontId="3" fillId="2" borderId="1" xfId="0" applyFont="1" applyFill="1" applyBorder="1" applyAlignment="1">
      <alignment horizontal="left" vertical="top" indent="1"/>
    </xf>
    <xf numFmtId="14" fontId="3" fillId="2" borderId="1" xfId="1" applyNumberFormat="1" applyFont="1" applyFill="1" applyBorder="1" applyAlignment="1">
      <alignment vertical="center"/>
    </xf>
    <xf numFmtId="14" fontId="44" fillId="2" borderId="1" xfId="1" applyNumberFormat="1" applyFont="1" applyFill="1" applyBorder="1" applyAlignment="1">
      <alignment vertical="center"/>
    </xf>
    <xf numFmtId="0" fontId="5" fillId="2" borderId="1" xfId="0" applyFont="1" applyFill="1" applyBorder="1" applyAlignment="1">
      <alignment vertical="center" wrapText="1"/>
    </xf>
    <xf numFmtId="0" fontId="4" fillId="0" borderId="1" xfId="0" applyFont="1" applyBorder="1" applyAlignment="1">
      <alignment horizontal="left" vertical="center"/>
    </xf>
    <xf numFmtId="165" fontId="3" fillId="2" borderId="4" xfId="0" applyNumberFormat="1" applyFont="1" applyFill="1" applyBorder="1" applyAlignment="1">
      <alignment horizontal="center" vertical="center" wrapText="1"/>
    </xf>
    <xf numFmtId="0" fontId="0" fillId="2" borderId="1" xfId="0" applyFill="1" applyBorder="1"/>
    <xf numFmtId="0" fontId="4" fillId="0" borderId="1" xfId="0" applyFont="1" applyBorder="1" applyAlignment="1">
      <alignment horizontal="left" vertical="center" wrapText="1" indent="1"/>
    </xf>
    <xf numFmtId="0" fontId="34" fillId="2" borderId="1" xfId="0" applyFont="1" applyFill="1" applyBorder="1" applyAlignment="1">
      <alignment horizontal="left" vertical="center" wrapText="1" indent="1"/>
    </xf>
    <xf numFmtId="164" fontId="3" fillId="7" borderId="1" xfId="1" applyFont="1" applyFill="1" applyBorder="1" applyAlignment="1">
      <alignment vertical="center"/>
    </xf>
    <xf numFmtId="0" fontId="0" fillId="0" borderId="7" xfId="0" applyBorder="1"/>
    <xf numFmtId="164" fontId="0" fillId="0" borderId="7" xfId="1" applyFont="1" applyBorder="1"/>
    <xf numFmtId="14" fontId="0" fillId="2" borderId="1" xfId="0" applyNumberFormat="1" applyFill="1" applyBorder="1" applyAlignment="1">
      <alignment vertical="center"/>
    </xf>
    <xf numFmtId="0" fontId="0" fillId="2" borderId="1" xfId="0" applyFill="1" applyBorder="1" applyAlignment="1">
      <alignment vertical="center"/>
    </xf>
    <xf numFmtId="0" fontId="0" fillId="2" borderId="1" xfId="0" applyFill="1" applyBorder="1" applyAlignment="1">
      <alignment vertical="center" wrapText="1"/>
    </xf>
    <xf numFmtId="164" fontId="0" fillId="2" borderId="1" xfId="1" applyFont="1" applyFill="1" applyBorder="1" applyAlignment="1">
      <alignment vertical="center"/>
    </xf>
    <xf numFmtId="0" fontId="0" fillId="2" borderId="0" xfId="0" applyFill="1" applyAlignment="1">
      <alignment vertical="center"/>
    </xf>
    <xf numFmtId="14" fontId="3" fillId="2" borderId="1" xfId="1" applyNumberFormat="1" applyFont="1" applyFill="1" applyBorder="1" applyAlignment="1"/>
    <xf numFmtId="0" fontId="3" fillId="0" borderId="1" xfId="0" applyFont="1" applyBorder="1" applyAlignment="1">
      <alignment wrapText="1"/>
    </xf>
    <xf numFmtId="165" fontId="3" fillId="0" borderId="0" xfId="0" applyNumberFormat="1" applyFont="1" applyAlignment="1">
      <alignment horizontal="center" vertical="center" wrapText="1"/>
    </xf>
    <xf numFmtId="14" fontId="3" fillId="7" borderId="1" xfId="1" applyNumberFormat="1" applyFont="1" applyFill="1" applyBorder="1" applyAlignment="1">
      <alignment vertical="center"/>
    </xf>
    <xf numFmtId="0" fontId="3" fillId="7" borderId="1" xfId="0" applyFont="1" applyFill="1" applyBorder="1" applyAlignment="1">
      <alignment vertical="center" wrapText="1"/>
    </xf>
    <xf numFmtId="14" fontId="17" fillId="2" borderId="0" xfId="0" applyNumberFormat="1" applyFont="1" applyFill="1"/>
    <xf numFmtId="14" fontId="4" fillId="2" borderId="1" xfId="0" applyNumberFormat="1" applyFont="1" applyFill="1" applyBorder="1" applyAlignment="1">
      <alignment vertical="center" wrapText="1"/>
    </xf>
    <xf numFmtId="0" fontId="0" fillId="2" borderId="8" xfId="0" applyFill="1" applyBorder="1"/>
    <xf numFmtId="0" fontId="0" fillId="2" borderId="9" xfId="0" applyFill="1" applyBorder="1"/>
    <xf numFmtId="0" fontId="5" fillId="4" borderId="1" xfId="0" applyFont="1" applyFill="1" applyBorder="1" applyAlignment="1">
      <alignment horizontal="center" vertical="center" wrapText="1"/>
    </xf>
    <xf numFmtId="0" fontId="45" fillId="0" borderId="0" xfId="0" applyFont="1" applyAlignment="1">
      <alignment vertical="center" wrapText="1"/>
    </xf>
    <xf numFmtId="165" fontId="6" fillId="2" borderId="1" xfId="0" applyNumberFormat="1" applyFont="1" applyFill="1" applyBorder="1" applyAlignment="1">
      <alignment horizontal="center" vertical="center" wrapText="1"/>
    </xf>
    <xf numFmtId="0" fontId="48" fillId="0" borderId="0" xfId="0" applyFont="1" applyAlignment="1">
      <alignment vertical="center" wrapText="1"/>
    </xf>
    <xf numFmtId="0" fontId="7" fillId="0" borderId="1" xfId="0" applyFont="1" applyBorder="1" applyAlignment="1">
      <alignment vertical="center" wrapText="1"/>
    </xf>
    <xf numFmtId="16" fontId="3" fillId="2" borderId="1" xfId="0" applyNumberFormat="1" applyFont="1" applyFill="1" applyBorder="1" applyAlignment="1">
      <alignment vertical="center" wrapText="1"/>
    </xf>
    <xf numFmtId="165" fontId="3" fillId="0" borderId="1" xfId="0" applyNumberFormat="1" applyFont="1" applyBorder="1" applyAlignment="1">
      <alignment horizontal="left" vertical="center"/>
    </xf>
    <xf numFmtId="0" fontId="0" fillId="7" borderId="1" xfId="0" applyFill="1" applyBorder="1"/>
    <xf numFmtId="14" fontId="3" fillId="0" borderId="1" xfId="0" applyNumberFormat="1" applyFont="1" applyBorder="1" applyAlignment="1">
      <alignment horizontal="left" vertical="center" wrapText="1"/>
    </xf>
    <xf numFmtId="0" fontId="0" fillId="7" borderId="11" xfId="0" applyFill="1" applyBorder="1" applyAlignment="1">
      <alignment vertical="center" wrapText="1"/>
    </xf>
    <xf numFmtId="0" fontId="6" fillId="2" borderId="1" xfId="0" applyFont="1" applyFill="1" applyBorder="1" applyAlignment="1">
      <alignment horizontal="center" vertical="center" wrapText="1"/>
    </xf>
    <xf numFmtId="0" fontId="17" fillId="0" borderId="0" xfId="0" applyFont="1" applyAlignment="1">
      <alignment vertical="center"/>
    </xf>
    <xf numFmtId="14" fontId="5" fillId="0" borderId="1" xfId="0" applyNumberFormat="1" applyFont="1" applyBorder="1" applyAlignment="1">
      <alignment vertical="center" wrapText="1"/>
    </xf>
    <xf numFmtId="165" fontId="5" fillId="2" borderId="4" xfId="0" applyNumberFormat="1" applyFont="1" applyFill="1" applyBorder="1" applyAlignment="1">
      <alignment horizontal="center" vertical="center" wrapText="1"/>
    </xf>
    <xf numFmtId="165" fontId="5" fillId="2" borderId="5" xfId="0" applyNumberFormat="1" applyFont="1" applyFill="1" applyBorder="1" applyAlignment="1">
      <alignment horizontal="center" vertical="center" wrapText="1"/>
    </xf>
    <xf numFmtId="0" fontId="4" fillId="0" borderId="12" xfId="0" applyFont="1" applyBorder="1" applyAlignment="1">
      <alignment vertical="center" wrapText="1"/>
    </xf>
    <xf numFmtId="0" fontId="0" fillId="7" borderId="10" xfId="0" applyFill="1" applyBorder="1" applyAlignment="1">
      <alignment vertical="center" wrapText="1"/>
    </xf>
    <xf numFmtId="0" fontId="3" fillId="0" borderId="0" xfId="0" applyFont="1" applyAlignment="1">
      <alignment vertical="center" wrapText="1"/>
    </xf>
    <xf numFmtId="165" fontId="4" fillId="7" borderId="1" xfId="0" applyNumberFormat="1" applyFont="1" applyFill="1" applyBorder="1" applyAlignment="1">
      <alignment horizontal="left" vertical="center" wrapText="1"/>
    </xf>
    <xf numFmtId="165" fontId="5" fillId="7" borderId="1" xfId="0" applyNumberFormat="1" applyFont="1" applyFill="1" applyBorder="1" applyAlignment="1">
      <alignment horizontal="left" vertical="center" wrapText="1"/>
    </xf>
    <xf numFmtId="0" fontId="52" fillId="0" borderId="0" xfId="0" applyFont="1"/>
    <xf numFmtId="0" fontId="51" fillId="7" borderId="0" xfId="0" applyFont="1" applyFill="1" applyAlignment="1">
      <alignment vertical="center" wrapText="1"/>
    </xf>
    <xf numFmtId="0" fontId="0" fillId="0" borderId="2" xfId="0" applyBorder="1" applyAlignment="1">
      <alignment horizontal="center"/>
    </xf>
    <xf numFmtId="14" fontId="5" fillId="2" borderId="1" xfId="1" applyNumberFormat="1" applyFont="1" applyFill="1" applyBorder="1" applyAlignment="1">
      <alignment vertical="center"/>
    </xf>
    <xf numFmtId="4" fontId="0" fillId="0" borderId="0" xfId="0" applyNumberFormat="1"/>
    <xf numFmtId="4" fontId="53" fillId="0" borderId="1" xfId="0" applyNumberFormat="1" applyFont="1" applyBorder="1"/>
    <xf numFmtId="0" fontId="0" fillId="7" borderId="0" xfId="0" applyFill="1" applyAlignment="1">
      <alignment vertical="center" wrapText="1"/>
    </xf>
    <xf numFmtId="164" fontId="3" fillId="0" borderId="1" xfId="1" applyFont="1" applyFill="1" applyBorder="1" applyAlignment="1">
      <alignment vertical="center" wrapText="1"/>
    </xf>
    <xf numFmtId="4" fontId="0" fillId="0" borderId="1" xfId="0" applyNumberFormat="1" applyBorder="1" applyAlignment="1">
      <alignment vertical="center"/>
    </xf>
    <xf numFmtId="166" fontId="0" fillId="0" borderId="1" xfId="1" applyNumberFormat="1" applyFont="1" applyBorder="1" applyAlignment="1">
      <alignment horizontal="right" vertical="center" wrapText="1"/>
    </xf>
    <xf numFmtId="166" fontId="3" fillId="8" borderId="1" xfId="1" applyNumberFormat="1" applyFont="1" applyFill="1" applyBorder="1" applyAlignment="1">
      <alignment horizontal="right" vertical="center"/>
    </xf>
    <xf numFmtId="166" fontId="0" fillId="0" borderId="1" xfId="1" applyNumberFormat="1" applyFont="1" applyBorder="1" applyAlignment="1">
      <alignment horizontal="right"/>
    </xf>
    <xf numFmtId="166" fontId="0" fillId="0" borderId="1" xfId="1" applyNumberFormat="1" applyFont="1" applyBorder="1" applyAlignment="1">
      <alignment horizontal="right" wrapText="1"/>
    </xf>
    <xf numFmtId="166" fontId="0" fillId="2" borderId="1" xfId="1" applyNumberFormat="1" applyFont="1" applyFill="1" applyBorder="1" applyAlignment="1">
      <alignment horizontal="right" vertical="center" wrapText="1"/>
    </xf>
    <xf numFmtId="166" fontId="0" fillId="0" borderId="7" xfId="1" applyNumberFormat="1" applyFont="1" applyBorder="1" applyAlignment="1">
      <alignment horizontal="right" wrapText="1"/>
    </xf>
    <xf numFmtId="166" fontId="0" fillId="0" borderId="7" xfId="1" applyNumberFormat="1" applyFont="1" applyBorder="1" applyAlignment="1">
      <alignment horizontal="right"/>
    </xf>
    <xf numFmtId="166" fontId="0" fillId="0" borderId="1" xfId="0" applyNumberFormat="1" applyBorder="1" applyAlignment="1">
      <alignment horizontal="right"/>
    </xf>
    <xf numFmtId="166" fontId="0" fillId="0" borderId="0" xfId="1" applyNumberFormat="1" applyFont="1" applyBorder="1" applyAlignment="1">
      <alignment horizontal="right" vertical="center" wrapText="1"/>
    </xf>
    <xf numFmtId="166" fontId="0" fillId="0" borderId="0" xfId="1" applyNumberFormat="1" applyFont="1" applyAlignment="1">
      <alignment horizontal="right"/>
    </xf>
    <xf numFmtId="14" fontId="0" fillId="0" borderId="1" xfId="0" applyNumberFormat="1" applyBorder="1" applyAlignment="1">
      <alignment horizontal="right" vertical="center"/>
    </xf>
    <xf numFmtId="14" fontId="0" fillId="0" borderId="2" xfId="0" applyNumberFormat="1" applyBorder="1" applyAlignment="1">
      <alignment vertical="center"/>
    </xf>
    <xf numFmtId="0" fontId="0" fillId="0" borderId="2" xfId="0" applyBorder="1"/>
    <xf numFmtId="0" fontId="0" fillId="0" borderId="2" xfId="0" applyBorder="1" applyAlignment="1">
      <alignment vertical="center"/>
    </xf>
    <xf numFmtId="166" fontId="0" fillId="0" borderId="2" xfId="1" applyNumberFormat="1" applyFont="1" applyBorder="1" applyAlignment="1">
      <alignment horizontal="right"/>
    </xf>
    <xf numFmtId="164" fontId="0" fillId="0" borderId="2" xfId="1" applyFont="1" applyBorder="1"/>
    <xf numFmtId="14" fontId="0" fillId="0" borderId="7" xfId="0" applyNumberFormat="1" applyBorder="1" applyAlignment="1">
      <alignment vertical="center"/>
    </xf>
    <xf numFmtId="0" fontId="0" fillId="0" borderId="7" xfId="0" applyBorder="1" applyAlignment="1">
      <alignment vertical="center"/>
    </xf>
    <xf numFmtId="166" fontId="0" fillId="0" borderId="1" xfId="1" applyNumberFormat="1" applyFont="1" applyFill="1" applyBorder="1" applyAlignment="1">
      <alignment horizontal="right"/>
    </xf>
    <xf numFmtId="164" fontId="0" fillId="0" borderId="1" xfId="1" applyFont="1" applyFill="1" applyBorder="1"/>
    <xf numFmtId="166" fontId="0" fillId="0" borderId="1" xfId="1" applyNumberFormat="1" applyFont="1" applyFill="1" applyBorder="1" applyAlignment="1">
      <alignment horizontal="right" wrapText="1"/>
    </xf>
    <xf numFmtId="166" fontId="0" fillId="0" borderId="1" xfId="1" applyNumberFormat="1" applyFont="1" applyFill="1" applyBorder="1" applyAlignment="1">
      <alignment horizontal="right" vertical="center"/>
    </xf>
    <xf numFmtId="164" fontId="0" fillId="0" borderId="1" xfId="1" applyFont="1" applyFill="1" applyBorder="1" applyAlignment="1">
      <alignment vertical="center"/>
    </xf>
    <xf numFmtId="166" fontId="0" fillId="0" borderId="1" xfId="1" applyNumberFormat="1" applyFont="1" applyFill="1" applyBorder="1" applyAlignment="1">
      <alignment horizontal="right" vertical="center" wrapText="1"/>
    </xf>
    <xf numFmtId="164" fontId="0" fillId="0" borderId="7" xfId="1" applyFont="1" applyFill="1" applyBorder="1"/>
    <xf numFmtId="164" fontId="0" fillId="0" borderId="0" xfId="1" applyFont="1" applyFill="1"/>
    <xf numFmtId="164" fontId="0" fillId="0" borderId="1" xfId="1" applyFont="1" applyFill="1" applyBorder="1" applyAlignment="1">
      <alignment horizontal="right" vertical="center" wrapText="1"/>
    </xf>
    <xf numFmtId="165" fontId="4" fillId="7" borderId="1" xfId="0" applyNumberFormat="1" applyFont="1" applyFill="1" applyBorder="1" applyAlignment="1">
      <alignment horizontal="center" vertical="center" wrapText="1"/>
    </xf>
    <xf numFmtId="16" fontId="0" fillId="0" borderId="1" xfId="0" applyNumberFormat="1" applyBorder="1"/>
    <xf numFmtId="165" fontId="3" fillId="0" borderId="1" xfId="0" applyNumberFormat="1" applyFont="1" applyBorder="1" applyAlignment="1">
      <alignment vertical="center" wrapText="1"/>
    </xf>
    <xf numFmtId="164" fontId="3" fillId="2" borderId="1" xfId="1" applyFont="1" applyFill="1" applyBorder="1" applyAlignment="1">
      <alignment horizontal="center" vertical="center" wrapText="1"/>
    </xf>
    <xf numFmtId="0" fontId="3" fillId="0" borderId="13" xfId="0" applyFont="1" applyBorder="1" applyAlignment="1">
      <alignment horizontal="left" vertical="center" wrapText="1" indent="1"/>
    </xf>
    <xf numFmtId="166" fontId="0" fillId="0" borderId="1" xfId="1" applyNumberFormat="1" applyFont="1" applyFill="1" applyBorder="1" applyAlignment="1">
      <alignment vertical="center"/>
    </xf>
    <xf numFmtId="0" fontId="53" fillId="7" borderId="1" xfId="0" applyFont="1" applyFill="1" applyBorder="1" applyAlignment="1">
      <alignment vertical="center" wrapText="1"/>
    </xf>
    <xf numFmtId="165" fontId="5" fillId="2" borderId="1" xfId="0" applyNumberFormat="1" applyFont="1" applyFill="1" applyBorder="1" applyAlignment="1">
      <alignment horizontal="center" vertical="center" wrapText="1"/>
    </xf>
    <xf numFmtId="165" fontId="3" fillId="2" borderId="1" xfId="0" applyNumberFormat="1" applyFont="1" applyFill="1" applyBorder="1" applyAlignment="1">
      <alignment horizontal="left" vertical="center"/>
    </xf>
    <xf numFmtId="0" fontId="6" fillId="0" borderId="1" xfId="0" applyFont="1" applyBorder="1" applyAlignment="1">
      <alignment vertical="center" wrapText="1"/>
    </xf>
    <xf numFmtId="4" fontId="0" fillId="0" borderId="1" xfId="0" applyNumberFormat="1" applyBorder="1" applyAlignment="1">
      <alignment vertical="center" wrapText="1"/>
    </xf>
    <xf numFmtId="0" fontId="3" fillId="2" borderId="1" xfId="0" applyFont="1" applyFill="1" applyBorder="1" applyAlignment="1">
      <alignment horizontal="left" vertical="top" wrapText="1"/>
    </xf>
    <xf numFmtId="0" fontId="56" fillId="0" borderId="1" xfId="0" applyFont="1" applyBorder="1" applyAlignment="1">
      <alignment vertical="center" wrapText="1"/>
    </xf>
    <xf numFmtId="2" fontId="3" fillId="0" borderId="1" xfId="1" applyNumberFormat="1" applyFont="1" applyFill="1" applyBorder="1" applyAlignment="1">
      <alignment horizontal="left" vertical="center"/>
    </xf>
    <xf numFmtId="0" fontId="0" fillId="0" borderId="0" xfId="0" applyAlignment="1">
      <alignment wrapText="1"/>
    </xf>
    <xf numFmtId="14" fontId="5" fillId="7" borderId="1" xfId="1" applyNumberFormat="1" applyFont="1" applyFill="1" applyBorder="1" applyAlignment="1">
      <alignment vertical="center"/>
    </xf>
    <xf numFmtId="164" fontId="0" fillId="0" borderId="0" xfId="1" applyFont="1" applyFill="1" applyBorder="1"/>
    <xf numFmtId="0" fontId="60" fillId="0" borderId="10" xfId="0" applyFont="1" applyBorder="1" applyAlignment="1">
      <alignment horizontal="center" vertical="center" wrapText="1"/>
    </xf>
    <xf numFmtId="0" fontId="0" fillId="2" borderId="10" xfId="0" applyFill="1" applyBorder="1" applyAlignment="1">
      <alignment horizontal="center" vertical="center" wrapText="1"/>
    </xf>
    <xf numFmtId="164" fontId="0" fillId="3" borderId="0" xfId="1" applyFont="1" applyFill="1"/>
    <xf numFmtId="14" fontId="3" fillId="0" borderId="1" xfId="0" applyNumberFormat="1" applyFont="1" applyBorder="1" applyAlignment="1">
      <alignment vertical="center"/>
    </xf>
    <xf numFmtId="0" fontId="61" fillId="0" borderId="0" xfId="0" applyFont="1"/>
    <xf numFmtId="165" fontId="3" fillId="0" borderId="1" xfId="0" applyNumberFormat="1" applyFont="1" applyBorder="1" applyAlignment="1">
      <alignment horizontal="left" vertical="top" wrapText="1"/>
    </xf>
    <xf numFmtId="165" fontId="67" fillId="7" borderId="1" xfId="0" applyNumberFormat="1" applyFont="1" applyFill="1" applyBorder="1" applyAlignment="1">
      <alignment horizontal="center" vertical="center" wrapText="1"/>
    </xf>
    <xf numFmtId="0" fontId="18" fillId="13" borderId="1" xfId="0" applyFont="1" applyFill="1" applyBorder="1" applyAlignment="1">
      <alignment vertical="center" wrapText="1"/>
    </xf>
    <xf numFmtId="0" fontId="4" fillId="13" borderId="1" xfId="0" applyFont="1" applyFill="1" applyBorder="1" applyAlignment="1">
      <alignment vertical="center" wrapText="1"/>
    </xf>
    <xf numFmtId="0" fontId="3" fillId="13" borderId="1" xfId="0" applyFont="1" applyFill="1" applyBorder="1" applyAlignment="1">
      <alignment vertical="center" wrapText="1"/>
    </xf>
    <xf numFmtId="165" fontId="3" fillId="13" borderId="1" xfId="0" applyNumberFormat="1" applyFont="1" applyFill="1" applyBorder="1" applyAlignment="1">
      <alignment horizontal="center" vertical="center" wrapText="1"/>
    </xf>
    <xf numFmtId="0" fontId="3" fillId="13" borderId="1" xfId="0" applyFont="1" applyFill="1" applyBorder="1" applyAlignment="1">
      <alignment horizontal="center" vertical="center" wrapText="1"/>
    </xf>
    <xf numFmtId="0" fontId="41" fillId="2" borderId="1" xfId="0" applyFont="1" applyFill="1" applyBorder="1" applyAlignment="1">
      <alignment vertical="center" wrapText="1"/>
    </xf>
    <xf numFmtId="0" fontId="65" fillId="0" borderId="1" xfId="0" applyFont="1" applyBorder="1" applyAlignment="1">
      <alignment horizontal="center" vertical="center"/>
    </xf>
    <xf numFmtId="0" fontId="3" fillId="0" borderId="0" xfId="0" applyFont="1" applyAlignment="1">
      <alignment vertical="center"/>
    </xf>
    <xf numFmtId="0" fontId="65" fillId="0" borderId="0" xfId="0" applyFont="1" applyAlignment="1">
      <alignment horizontal="center" vertical="center"/>
    </xf>
    <xf numFmtId="0" fontId="3" fillId="0" borderId="10" xfId="0" applyFont="1" applyBorder="1" applyAlignment="1">
      <alignment horizontal="center" vertical="center" wrapText="1"/>
    </xf>
    <xf numFmtId="0" fontId="59" fillId="0" borderId="1" xfId="0" applyFont="1" applyBorder="1" applyAlignment="1">
      <alignment horizontal="center" vertical="center" wrapText="1"/>
    </xf>
    <xf numFmtId="0" fontId="60" fillId="0" borderId="1" xfId="0" applyFont="1" applyBorder="1" applyAlignment="1">
      <alignment horizontal="center" vertical="center" wrapText="1"/>
    </xf>
    <xf numFmtId="0" fontId="0" fillId="2" borderId="1" xfId="0" applyFill="1" applyBorder="1" applyAlignment="1">
      <alignment horizontal="center" vertical="center" wrapText="1"/>
    </xf>
    <xf numFmtId="165" fontId="3" fillId="0" borderId="10" xfId="0" applyNumberFormat="1" applyFont="1" applyBorder="1" applyAlignment="1">
      <alignment horizontal="center" vertical="center" wrapText="1"/>
    </xf>
    <xf numFmtId="0" fontId="61" fillId="0" borderId="1" xfId="0" applyFont="1" applyBorder="1"/>
    <xf numFmtId="0" fontId="3" fillId="0" borderId="0" xfId="0" applyFont="1" applyAlignment="1">
      <alignment vertical="top" wrapText="1"/>
    </xf>
    <xf numFmtId="0" fontId="3" fillId="0" borderId="0" xfId="0" applyFont="1" applyAlignment="1">
      <alignment horizontal="left" vertical="center"/>
    </xf>
    <xf numFmtId="165" fontId="5" fillId="2" borderId="2" xfId="0" applyNumberFormat="1" applyFont="1" applyFill="1" applyBorder="1" applyAlignment="1">
      <alignment horizontal="center" vertical="center" wrapText="1"/>
    </xf>
    <xf numFmtId="0" fontId="3" fillId="0" borderId="12" xfId="0" applyFont="1" applyBorder="1" applyAlignment="1">
      <alignment horizontal="center" vertical="center" wrapText="1"/>
    </xf>
    <xf numFmtId="0" fontId="47" fillId="0" borderId="1" xfId="0" applyFont="1" applyBorder="1" applyAlignment="1">
      <alignment vertical="center"/>
    </xf>
    <xf numFmtId="0" fontId="0" fillId="0" borderId="1" xfId="0" applyBorder="1" applyAlignment="1">
      <alignment horizontal="center" vertical="center" wrapText="1"/>
    </xf>
    <xf numFmtId="0" fontId="4" fillId="13" borderId="0" xfId="0" applyFont="1" applyFill="1" applyAlignment="1">
      <alignment vertical="center" wrapText="1"/>
    </xf>
    <xf numFmtId="0" fontId="68" fillId="13" borderId="0" xfId="0" applyFont="1" applyFill="1" applyAlignment="1">
      <alignment vertical="center" wrapText="1"/>
    </xf>
    <xf numFmtId="0" fontId="53" fillId="0" borderId="1" xfId="0" applyFont="1" applyBorder="1"/>
    <xf numFmtId="0" fontId="59" fillId="0" borderId="11" xfId="0" applyFont="1" applyBorder="1" applyAlignment="1">
      <alignment horizontal="center" vertical="center" wrapText="1"/>
    </xf>
    <xf numFmtId="0" fontId="70" fillId="0" borderId="11" xfId="0" applyFont="1" applyBorder="1" applyAlignment="1">
      <alignment horizontal="center" vertical="center" wrapText="1"/>
    </xf>
    <xf numFmtId="0" fontId="70" fillId="0" borderId="10" xfId="0" applyFont="1" applyBorder="1" applyAlignment="1">
      <alignment horizontal="center" vertical="center" wrapText="1"/>
    </xf>
    <xf numFmtId="0" fontId="47" fillId="0" borderId="1" xfId="0" applyFont="1" applyBorder="1" applyAlignment="1">
      <alignment wrapText="1"/>
    </xf>
    <xf numFmtId="164" fontId="5" fillId="2" borderId="1" xfId="1" applyFont="1" applyFill="1" applyBorder="1" applyAlignment="1">
      <alignment horizontal="left" vertical="center"/>
    </xf>
    <xf numFmtId="0" fontId="65" fillId="0" borderId="0" xfId="0" applyFont="1"/>
    <xf numFmtId="0" fontId="72" fillId="0" borderId="0" xfId="0" applyFont="1" applyAlignment="1">
      <alignment horizontal="left" vertical="center" wrapText="1" indent="1"/>
    </xf>
    <xf numFmtId="0" fontId="3" fillId="14" borderId="1" xfId="0" applyFont="1" applyFill="1" applyBorder="1" applyAlignment="1">
      <alignment vertical="center" wrapText="1"/>
    </xf>
    <xf numFmtId="0" fontId="4" fillId="15" borderId="1" xfId="0" applyFont="1" applyFill="1" applyBorder="1" applyAlignment="1">
      <alignment vertical="center" wrapText="1"/>
    </xf>
    <xf numFmtId="0" fontId="41" fillId="0" borderId="1" xfId="0" applyFont="1" applyBorder="1" applyAlignment="1">
      <alignment vertical="center" wrapText="1"/>
    </xf>
    <xf numFmtId="0" fontId="3" fillId="13" borderId="0" xfId="0" applyFont="1" applyFill="1" applyAlignment="1">
      <alignment vertical="center" wrapText="1"/>
    </xf>
    <xf numFmtId="164" fontId="5" fillId="3" borderId="0" xfId="1" applyFont="1" applyFill="1" applyAlignment="1">
      <alignment vertical="center"/>
    </xf>
    <xf numFmtId="167" fontId="3" fillId="3" borderId="1" xfId="1" applyNumberFormat="1" applyFont="1" applyFill="1" applyBorder="1" applyAlignment="1">
      <alignment vertical="center"/>
    </xf>
    <xf numFmtId="0" fontId="70" fillId="2" borderId="10" xfId="0" applyFont="1" applyFill="1" applyBorder="1" applyAlignment="1">
      <alignment horizontal="center" vertical="center" wrapText="1"/>
    </xf>
    <xf numFmtId="165" fontId="18" fillId="0" borderId="1" xfId="0" applyNumberFormat="1" applyFont="1" applyBorder="1" applyAlignment="1">
      <alignment horizontal="center" vertical="center" wrapText="1"/>
    </xf>
    <xf numFmtId="165" fontId="18" fillId="2" borderId="1" xfId="0" applyNumberFormat="1" applyFont="1" applyFill="1" applyBorder="1" applyAlignment="1">
      <alignment horizontal="center" vertical="center" wrapText="1"/>
    </xf>
    <xf numFmtId="0" fontId="73" fillId="0" borderId="0" xfId="0" applyFont="1" applyAlignment="1">
      <alignment vertical="center"/>
    </xf>
    <xf numFmtId="165" fontId="19" fillId="7" borderId="1" xfId="0" applyNumberFormat="1" applyFont="1" applyFill="1" applyBorder="1" applyAlignment="1">
      <alignment horizontal="center" vertical="center" wrapText="1"/>
    </xf>
    <xf numFmtId="0" fontId="72" fillId="0" borderId="0" xfId="0" applyFont="1" applyAlignment="1">
      <alignment vertical="center"/>
    </xf>
    <xf numFmtId="0" fontId="58" fillId="0" borderId="0" xfId="0" applyFont="1"/>
    <xf numFmtId="0" fontId="3" fillId="16" borderId="1" xfId="0" applyFont="1" applyFill="1" applyBorder="1" applyAlignment="1">
      <alignment vertical="center" wrapText="1"/>
    </xf>
    <xf numFmtId="0" fontId="75" fillId="0" borderId="0" xfId="0" applyFont="1" applyAlignment="1">
      <alignment vertical="center"/>
    </xf>
    <xf numFmtId="0" fontId="75" fillId="0" borderId="0" xfId="0" applyFont="1" applyAlignment="1">
      <alignment vertical="center" wrapText="1"/>
    </xf>
    <xf numFmtId="166" fontId="0" fillId="0" borderId="0" xfId="1" applyNumberFormat="1" applyFont="1" applyFill="1" applyBorder="1" applyAlignment="1">
      <alignment horizontal="right" vertical="center" wrapText="1"/>
    </xf>
    <xf numFmtId="0" fontId="5" fillId="0" borderId="1" xfId="0" applyFont="1" applyBorder="1" applyAlignment="1">
      <alignment horizontal="left" vertical="center" wrapText="1" indent="1"/>
    </xf>
    <xf numFmtId="14" fontId="3" fillId="0" borderId="1" xfId="1" applyNumberFormat="1" applyFont="1" applyFill="1" applyBorder="1" applyAlignment="1">
      <alignment horizontal="center" vertical="center"/>
    </xf>
    <xf numFmtId="0" fontId="41" fillId="16" borderId="0" xfId="0" applyFont="1" applyFill="1" applyAlignment="1">
      <alignment wrapText="1"/>
    </xf>
    <xf numFmtId="0" fontId="7" fillId="16" borderId="1" xfId="0" applyFont="1" applyFill="1" applyBorder="1" applyAlignment="1">
      <alignment vertical="center" wrapText="1"/>
    </xf>
    <xf numFmtId="14" fontId="3" fillId="2" borderId="1" xfId="1" applyNumberFormat="1" applyFont="1" applyFill="1" applyBorder="1" applyAlignment="1">
      <alignment horizontal="center" vertical="center"/>
    </xf>
    <xf numFmtId="165" fontId="26" fillId="6" borderId="1" xfId="0" applyNumberFormat="1" applyFont="1" applyFill="1" applyBorder="1" applyAlignment="1">
      <alignment vertical="center" wrapText="1"/>
    </xf>
    <xf numFmtId="166" fontId="1" fillId="0" borderId="10" xfId="7" applyNumberFormat="1" applyFont="1" applyFill="1" applyBorder="1" applyAlignment="1">
      <alignment vertical="center" wrapText="1"/>
    </xf>
    <xf numFmtId="164" fontId="3" fillId="0" borderId="1" xfId="1" applyFont="1" applyBorder="1" applyAlignment="1">
      <alignment horizontal="right" vertical="center" wrapText="1"/>
    </xf>
    <xf numFmtId="0" fontId="3" fillId="7" borderId="1" xfId="0" applyFont="1" applyFill="1" applyBorder="1" applyAlignment="1">
      <alignment vertical="center"/>
    </xf>
    <xf numFmtId="0" fontId="77" fillId="0" borderId="0" xfId="0" applyFont="1" applyAlignment="1">
      <alignment wrapText="1"/>
    </xf>
    <xf numFmtId="0" fontId="3" fillId="7" borderId="1" xfId="0" applyFont="1" applyFill="1" applyBorder="1" applyAlignment="1">
      <alignment horizontal="left" vertical="center"/>
    </xf>
    <xf numFmtId="0" fontId="3" fillId="15" borderId="1" xfId="0" applyFont="1" applyFill="1" applyBorder="1" applyAlignment="1">
      <alignment horizontal="left" vertical="center" wrapText="1" indent="1"/>
    </xf>
    <xf numFmtId="0" fontId="0" fillId="7" borderId="0" xfId="0" applyFill="1" applyAlignment="1">
      <alignment wrapText="1"/>
    </xf>
    <xf numFmtId="0" fontId="4" fillId="16" borderId="1" xfId="0" applyFont="1" applyFill="1" applyBorder="1" applyAlignment="1">
      <alignment vertical="center" wrapText="1"/>
    </xf>
    <xf numFmtId="0" fontId="78" fillId="2" borderId="1" xfId="0" applyFont="1" applyFill="1" applyBorder="1"/>
    <xf numFmtId="0" fontId="75" fillId="0" borderId="1" xfId="0" applyFont="1" applyBorder="1"/>
    <xf numFmtId="0" fontId="74" fillId="0" borderId="1" xfId="0" applyFont="1" applyBorder="1" applyAlignment="1">
      <alignment horizontal="left" vertical="center"/>
    </xf>
    <xf numFmtId="0" fontId="76" fillId="0" borderId="1" xfId="0" applyFont="1" applyBorder="1"/>
    <xf numFmtId="0" fontId="72" fillId="0" borderId="1" xfId="0" applyFont="1" applyBorder="1" applyAlignment="1">
      <alignment vertical="center"/>
    </xf>
    <xf numFmtId="0" fontId="80" fillId="0" borderId="1" xfId="0" applyFont="1" applyBorder="1" applyAlignment="1">
      <alignment horizontal="center" vertical="center"/>
    </xf>
    <xf numFmtId="0" fontId="3" fillId="17" borderId="1" xfId="0" applyFont="1" applyFill="1" applyBorder="1" applyAlignment="1">
      <alignment horizontal="left" vertical="center" wrapText="1" indent="1"/>
    </xf>
    <xf numFmtId="0" fontId="5" fillId="13" borderId="1" xfId="0" applyFont="1" applyFill="1" applyBorder="1" applyAlignment="1">
      <alignment vertical="center" wrapText="1"/>
    </xf>
    <xf numFmtId="0" fontId="5" fillId="2" borderId="1" xfId="0" applyFont="1" applyFill="1" applyBorder="1" applyAlignment="1">
      <alignment horizontal="left" vertical="center" wrapText="1" indent="1"/>
    </xf>
    <xf numFmtId="164" fontId="3" fillId="3" borderId="1" xfId="1" applyFont="1" applyFill="1" applyBorder="1" applyAlignment="1">
      <alignment vertical="center" wrapText="1"/>
    </xf>
    <xf numFmtId="164" fontId="3" fillId="3" borderId="1" xfId="1" applyFont="1" applyFill="1" applyBorder="1" applyAlignment="1">
      <alignment horizontal="left" vertical="center" wrapText="1"/>
    </xf>
    <xf numFmtId="0" fontId="81" fillId="16" borderId="0" xfId="0" applyFont="1" applyFill="1" applyAlignment="1">
      <alignment vertical="center"/>
    </xf>
    <xf numFmtId="0" fontId="8" fillId="0" borderId="1" xfId="0" applyFont="1" applyBorder="1" applyAlignment="1">
      <alignment horizontal="center" vertical="center"/>
    </xf>
    <xf numFmtId="0" fontId="77" fillId="0" borderId="0" xfId="0" applyFont="1" applyAlignment="1">
      <alignment vertical="center"/>
    </xf>
    <xf numFmtId="164" fontId="5" fillId="4" borderId="1" xfId="1" applyFont="1" applyFill="1" applyBorder="1" applyAlignment="1">
      <alignment vertical="center"/>
    </xf>
    <xf numFmtId="0" fontId="80" fillId="0" borderId="1" xfId="0" applyFont="1" applyBorder="1" applyAlignment="1">
      <alignment horizontal="center" vertical="center" wrapText="1"/>
    </xf>
    <xf numFmtId="0" fontId="83" fillId="7" borderId="1" xfId="0" applyFont="1" applyFill="1" applyBorder="1" applyAlignment="1">
      <alignment wrapText="1"/>
    </xf>
    <xf numFmtId="165" fontId="3" fillId="7" borderId="0" xfId="0" applyNumberFormat="1" applyFont="1" applyFill="1" applyAlignment="1">
      <alignment horizontal="center" vertical="center" wrapText="1"/>
    </xf>
    <xf numFmtId="0" fontId="0" fillId="7" borderId="1" xfId="0" applyFill="1" applyBorder="1" applyAlignment="1">
      <alignment vertical="center"/>
    </xf>
    <xf numFmtId="0" fontId="85" fillId="7" borderId="1" xfId="0" applyFont="1" applyFill="1" applyBorder="1" applyAlignment="1">
      <alignment wrapText="1"/>
    </xf>
    <xf numFmtId="165" fontId="3" fillId="0" borderId="15" xfId="0" applyNumberFormat="1" applyFont="1" applyBorder="1" applyAlignment="1">
      <alignment horizontal="center" vertical="center" wrapText="1"/>
    </xf>
    <xf numFmtId="0" fontId="70" fillId="0" borderId="2" xfId="0" applyFont="1" applyBorder="1" applyAlignment="1">
      <alignment horizontal="center" vertical="center" wrapText="1"/>
    </xf>
    <xf numFmtId="165" fontId="3" fillId="0" borderId="16" xfId="0" applyNumberFormat="1" applyFont="1" applyBorder="1" applyAlignment="1">
      <alignment horizontal="center" vertical="center" wrapText="1"/>
    </xf>
    <xf numFmtId="0" fontId="3" fillId="0" borderId="2" xfId="0" applyFont="1" applyBorder="1" applyAlignment="1">
      <alignment wrapText="1"/>
    </xf>
    <xf numFmtId="0" fontId="70" fillId="0" borderId="1" xfId="0" applyFont="1" applyBorder="1" applyAlignment="1">
      <alignment horizontal="center" vertical="center" wrapText="1"/>
    </xf>
    <xf numFmtId="0" fontId="84" fillId="0" borderId="1" xfId="0" applyFont="1" applyBorder="1" applyAlignment="1">
      <alignment vertical="center"/>
    </xf>
    <xf numFmtId="0" fontId="82" fillId="0" borderId="1" xfId="0" applyFont="1" applyBorder="1" applyAlignment="1">
      <alignment horizontal="center" vertical="center"/>
    </xf>
    <xf numFmtId="0" fontId="86" fillId="2" borderId="1" xfId="0" applyFont="1" applyFill="1" applyBorder="1" applyAlignment="1">
      <alignment vertical="center"/>
    </xf>
    <xf numFmtId="0" fontId="88" fillId="7" borderId="0" xfId="0" applyFont="1" applyFill="1"/>
    <xf numFmtId="0" fontId="70" fillId="0" borderId="17" xfId="0" applyFont="1" applyBorder="1" applyAlignment="1">
      <alignment horizontal="center" vertical="center" wrapText="1"/>
    </xf>
    <xf numFmtId="14" fontId="3" fillId="2" borderId="1" xfId="0" applyNumberFormat="1" applyFont="1" applyFill="1" applyBorder="1" applyAlignment="1">
      <alignment horizontal="left" vertical="center"/>
    </xf>
    <xf numFmtId="165" fontId="19" fillId="0" borderId="1" xfId="0" applyNumberFormat="1" applyFont="1" applyBorder="1" applyAlignment="1">
      <alignment horizontal="center" vertical="center" wrapText="1"/>
    </xf>
    <xf numFmtId="165" fontId="3" fillId="7" borderId="14" xfId="0" applyNumberFormat="1" applyFont="1" applyFill="1" applyBorder="1" applyAlignment="1">
      <alignment horizontal="center" vertical="center" wrapText="1"/>
    </xf>
    <xf numFmtId="14" fontId="3" fillId="0" borderId="1" xfId="0" applyNumberFormat="1" applyFont="1" applyBorder="1" applyAlignment="1">
      <alignment horizontal="left" vertical="center" wrapText="1" indent="1"/>
    </xf>
    <xf numFmtId="166" fontId="1" fillId="0" borderId="1" xfId="1" applyNumberFormat="1" applyFont="1" applyFill="1" applyBorder="1" applyAlignment="1">
      <alignment horizontal="right"/>
    </xf>
    <xf numFmtId="165" fontId="26" fillId="2" borderId="1" xfId="0" applyNumberFormat="1" applyFont="1" applyFill="1" applyBorder="1" applyAlignment="1">
      <alignment vertical="center" wrapText="1"/>
    </xf>
    <xf numFmtId="166" fontId="53" fillId="0" borderId="10" xfId="7" applyNumberFormat="1" applyFont="1" applyFill="1" applyBorder="1" applyAlignment="1">
      <alignment horizontal="center" vertical="center" wrapText="1"/>
    </xf>
    <xf numFmtId="165" fontId="3" fillId="7" borderId="3" xfId="0" applyNumberFormat="1" applyFont="1" applyFill="1" applyBorder="1" applyAlignment="1">
      <alignment horizontal="center" vertical="center" wrapText="1"/>
    </xf>
    <xf numFmtId="15" fontId="0" fillId="0" borderId="0" xfId="0" applyNumberFormat="1"/>
    <xf numFmtId="0" fontId="0" fillId="7" borderId="0" xfId="0" applyFill="1"/>
    <xf numFmtId="166" fontId="0" fillId="0" borderId="1" xfId="1" applyNumberFormat="1" applyFont="1" applyBorder="1" applyAlignment="1">
      <alignment horizontal="right" vertical="center"/>
    </xf>
    <xf numFmtId="0" fontId="51" fillId="0" borderId="0" xfId="0" applyFont="1" applyAlignment="1">
      <alignment vertical="center"/>
    </xf>
    <xf numFmtId="14" fontId="3" fillId="18" borderId="1" xfId="0" applyNumberFormat="1" applyFont="1" applyFill="1" applyBorder="1" applyAlignment="1">
      <alignment horizontal="left" vertical="center"/>
    </xf>
    <xf numFmtId="165" fontId="4" fillId="2" borderId="1" xfId="0" applyNumberFormat="1" applyFont="1" applyFill="1" applyBorder="1" applyAlignment="1">
      <alignment horizontal="left" vertical="center" wrapText="1"/>
    </xf>
    <xf numFmtId="14" fontId="0" fillId="0" borderId="0" xfId="0" applyNumberFormat="1" applyAlignment="1">
      <alignment vertical="center"/>
    </xf>
    <xf numFmtId="0" fontId="90" fillId="0" borderId="0" xfId="0" applyFont="1"/>
    <xf numFmtId="0" fontId="92" fillId="0" borderId="0" xfId="0" applyFont="1"/>
    <xf numFmtId="0" fontId="93" fillId="0" borderId="0" xfId="0" applyFont="1" applyAlignment="1">
      <alignment vertical="center" wrapText="1"/>
    </xf>
    <xf numFmtId="0" fontId="34" fillId="0" borderId="2" xfId="0" applyFont="1" applyBorder="1" applyAlignment="1">
      <alignment horizontal="center" vertical="center" wrapText="1"/>
    </xf>
    <xf numFmtId="0" fontId="3" fillId="0" borderId="7" xfId="0" applyFont="1" applyBorder="1" applyAlignment="1">
      <alignment horizontal="center" vertical="center" wrapText="1"/>
    </xf>
    <xf numFmtId="165" fontId="3" fillId="2" borderId="2" xfId="0" applyNumberFormat="1" applyFont="1" applyFill="1" applyBorder="1" applyAlignment="1">
      <alignment horizontal="center" vertical="center"/>
    </xf>
    <xf numFmtId="165" fontId="3" fillId="2" borderId="7" xfId="0" applyNumberFormat="1" applyFont="1" applyFill="1" applyBorder="1" applyAlignment="1">
      <alignment horizontal="center" vertical="center"/>
    </xf>
    <xf numFmtId="164" fontId="3" fillId="3" borderId="2" xfId="1" applyFont="1" applyFill="1" applyBorder="1" applyAlignment="1">
      <alignment horizontal="center" vertical="center"/>
    </xf>
    <xf numFmtId="164" fontId="3" fillId="3" borderId="7" xfId="1" applyFont="1" applyFill="1" applyBorder="1" applyAlignment="1">
      <alignment horizontal="center" vertical="center"/>
    </xf>
  </cellXfs>
  <cellStyles count="15">
    <cellStyle name="Comma" xfId="1" builtinId="3"/>
    <cellStyle name="Comma 2" xfId="5" xr:uid="{00000000-0005-0000-0000-000001000000}"/>
    <cellStyle name="Comma 3" xfId="7" xr:uid="{00000000-0005-0000-0000-000002000000}"/>
    <cellStyle name="Comma 4" xfId="10" xr:uid="{00000000-0005-0000-0000-000036000000}"/>
    <cellStyle name="Comma 5" xfId="12" xr:uid="{B7FA2F31-3684-4BD0-AE5E-3259652FC298}"/>
    <cellStyle name="Comma 6" xfId="14" xr:uid="{12A5A4B9-BCF8-41E3-8DED-6ACDE9A7FE45}"/>
    <cellStyle name="Normal" xfId="0" builtinId="0"/>
    <cellStyle name="Normal 2" xfId="3" xr:uid="{00000000-0005-0000-0000-000004000000}"/>
    <cellStyle name="Normal 3" xfId="4" xr:uid="{00000000-0005-0000-0000-000005000000}"/>
    <cellStyle name="Normal 4" xfId="6" xr:uid="{00000000-0005-0000-0000-000006000000}"/>
    <cellStyle name="Normal 5" xfId="9" xr:uid="{00000000-0005-0000-0000-000037000000}"/>
    <cellStyle name="Normal 6" xfId="11" xr:uid="{5900AD47-07B3-49C4-B00C-5DE2A4168101}"/>
    <cellStyle name="Normal 7" xfId="13" xr:uid="{43C11791-C541-4AE8-B215-F6FAC18BC064}"/>
    <cellStyle name="Normal 8" xfId="2" xr:uid="{00000000-0005-0000-0000-000007000000}"/>
    <cellStyle name="Standard 2" xfId="8" xr:uid="{00000000-0005-0000-0000-00000800000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chartsheet" Target="chartsheets/sheet1.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openxmlformats.org/officeDocument/2006/relationships/customXml" Target="../customXml/item1.xml"/><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2D8-4A57-B525-596C9A895A29}"/>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F2D8-4A57-B525-596C9A895A29}"/>
            </c:ext>
          </c:extLst>
        </c:ser>
        <c:dLbls>
          <c:showLegendKey val="0"/>
          <c:showVal val="0"/>
          <c:showCatName val="0"/>
          <c:showSerName val="0"/>
          <c:showPercent val="0"/>
          <c:showBubbleSize val="0"/>
        </c:dLbls>
        <c:gapWidth val="219"/>
        <c:overlap val="-27"/>
        <c:axId val="-1538024992"/>
        <c:axId val="-1538019008"/>
      </c:barChart>
      <c:catAx>
        <c:axId val="-153802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019008"/>
        <c:crosses val="autoZero"/>
        <c:auto val="1"/>
        <c:lblAlgn val="ctr"/>
        <c:lblOffset val="100"/>
        <c:noMultiLvlLbl val="0"/>
      </c:catAx>
      <c:valAx>
        <c:axId val="-1538019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024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100-000000000000}">
  <sheetPr/>
  <sheetViews>
    <sheetView zoomScale="11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295379" cy="6072187"/>
    <xdr:graphicFrame macro="">
      <xdr:nvGraphicFramePr>
        <xdr:cNvPr id="2" name="Chart 1">
          <a:extLst>
            <a:ext uri="{FF2B5EF4-FFF2-40B4-BE49-F238E27FC236}">
              <a16:creationId xmlns:a16="http://schemas.microsoft.com/office/drawing/2014/main" id="{96B7C5E6-C4D3-4237-92BB-E29D176D0AC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oneCellAnchor>
    <xdr:from>
      <xdr:col>17</xdr:col>
      <xdr:colOff>0</xdr:colOff>
      <xdr:row>8</xdr:row>
      <xdr:rowOff>0</xdr:rowOff>
    </xdr:from>
    <xdr:ext cx="304800" cy="304800"/>
    <xdr:sp macro="" textlink="">
      <xdr:nvSpPr>
        <xdr:cNvPr id="2" name="AutoShape 1" descr="more description">
          <a:extLst>
            <a:ext uri="{FF2B5EF4-FFF2-40B4-BE49-F238E27FC236}">
              <a16:creationId xmlns:a16="http://schemas.microsoft.com/office/drawing/2014/main" id="{EFA2851E-8A9F-458B-948D-5FCF42B078AE}"/>
            </a:ext>
          </a:extLst>
        </xdr:cNvPr>
        <xdr:cNvSpPr>
          <a:spLocks noChangeAspect="1" noChangeArrowheads="1"/>
        </xdr:cNvSpPr>
      </xdr:nvSpPr>
      <xdr:spPr bwMode="auto">
        <a:xfrm>
          <a:off x="401478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8</xdr:row>
      <xdr:rowOff>0</xdr:rowOff>
    </xdr:from>
    <xdr:ext cx="304800" cy="308251"/>
    <xdr:sp macro="" textlink="">
      <xdr:nvSpPr>
        <xdr:cNvPr id="3" name="AutoShape 1" descr="more description">
          <a:extLst>
            <a:ext uri="{FF2B5EF4-FFF2-40B4-BE49-F238E27FC236}">
              <a16:creationId xmlns:a16="http://schemas.microsoft.com/office/drawing/2014/main" id="{452624B7-B140-434E-9FB5-1B527F6CBABD}"/>
            </a:ext>
          </a:extLst>
        </xdr:cNvPr>
        <xdr:cNvSpPr>
          <a:spLocks noChangeAspect="1" noChangeArrowheads="1"/>
        </xdr:cNvSpPr>
      </xdr:nvSpPr>
      <xdr:spPr bwMode="auto">
        <a:xfrm>
          <a:off x="40147875" y="480060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8</xdr:row>
      <xdr:rowOff>0</xdr:rowOff>
    </xdr:from>
    <xdr:ext cx="304800" cy="304800"/>
    <xdr:sp macro="" textlink="">
      <xdr:nvSpPr>
        <xdr:cNvPr id="4" name="AutoShape 1" descr="more description">
          <a:extLst>
            <a:ext uri="{FF2B5EF4-FFF2-40B4-BE49-F238E27FC236}">
              <a16:creationId xmlns:a16="http://schemas.microsoft.com/office/drawing/2014/main" id="{E81958C1-B03F-44E3-BE48-C8662C1B8E2B}"/>
            </a:ext>
          </a:extLst>
        </xdr:cNvPr>
        <xdr:cNvSpPr>
          <a:spLocks noChangeAspect="1" noChangeArrowheads="1"/>
        </xdr:cNvSpPr>
      </xdr:nvSpPr>
      <xdr:spPr bwMode="auto">
        <a:xfrm>
          <a:off x="401478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8</xdr:row>
      <xdr:rowOff>0</xdr:rowOff>
    </xdr:from>
    <xdr:ext cx="304800" cy="308251"/>
    <xdr:sp macro="" textlink="">
      <xdr:nvSpPr>
        <xdr:cNvPr id="5" name="AutoShape 1" descr="more description">
          <a:extLst>
            <a:ext uri="{FF2B5EF4-FFF2-40B4-BE49-F238E27FC236}">
              <a16:creationId xmlns:a16="http://schemas.microsoft.com/office/drawing/2014/main" id="{6BE2C266-D64A-43EB-B033-8DAADDC347ED}"/>
            </a:ext>
          </a:extLst>
        </xdr:cNvPr>
        <xdr:cNvSpPr>
          <a:spLocks noChangeAspect="1" noChangeArrowheads="1"/>
        </xdr:cNvSpPr>
      </xdr:nvSpPr>
      <xdr:spPr bwMode="auto">
        <a:xfrm>
          <a:off x="40147875" y="480060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8</xdr:row>
      <xdr:rowOff>0</xdr:rowOff>
    </xdr:from>
    <xdr:ext cx="304800" cy="304800"/>
    <xdr:sp macro="" textlink="">
      <xdr:nvSpPr>
        <xdr:cNvPr id="6" name="AutoShape 1" descr="more description">
          <a:extLst>
            <a:ext uri="{FF2B5EF4-FFF2-40B4-BE49-F238E27FC236}">
              <a16:creationId xmlns:a16="http://schemas.microsoft.com/office/drawing/2014/main" id="{13E90FFC-77D2-445E-96C8-7EB882A16352}"/>
            </a:ext>
          </a:extLst>
        </xdr:cNvPr>
        <xdr:cNvSpPr>
          <a:spLocks noChangeAspect="1" noChangeArrowheads="1"/>
        </xdr:cNvSpPr>
      </xdr:nvSpPr>
      <xdr:spPr bwMode="auto">
        <a:xfrm>
          <a:off x="401478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8</xdr:row>
      <xdr:rowOff>0</xdr:rowOff>
    </xdr:from>
    <xdr:ext cx="304800" cy="308251"/>
    <xdr:sp macro="" textlink="">
      <xdr:nvSpPr>
        <xdr:cNvPr id="7" name="AutoShape 1" descr="more description">
          <a:extLst>
            <a:ext uri="{FF2B5EF4-FFF2-40B4-BE49-F238E27FC236}">
              <a16:creationId xmlns:a16="http://schemas.microsoft.com/office/drawing/2014/main" id="{A1428054-0ACA-4537-891A-D10E8873F383}"/>
            </a:ext>
          </a:extLst>
        </xdr:cNvPr>
        <xdr:cNvSpPr>
          <a:spLocks noChangeAspect="1" noChangeArrowheads="1"/>
        </xdr:cNvSpPr>
      </xdr:nvSpPr>
      <xdr:spPr bwMode="auto">
        <a:xfrm>
          <a:off x="40147875" y="480060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8</xdr:row>
      <xdr:rowOff>0</xdr:rowOff>
    </xdr:from>
    <xdr:ext cx="304800" cy="304800"/>
    <xdr:sp macro="" textlink="">
      <xdr:nvSpPr>
        <xdr:cNvPr id="8" name="AutoShape 1" descr="more description">
          <a:extLst>
            <a:ext uri="{FF2B5EF4-FFF2-40B4-BE49-F238E27FC236}">
              <a16:creationId xmlns:a16="http://schemas.microsoft.com/office/drawing/2014/main" id="{4588A2A0-C0FC-45D3-AE2B-B60BBFDB0195}"/>
            </a:ext>
          </a:extLst>
        </xdr:cNvPr>
        <xdr:cNvSpPr>
          <a:spLocks noChangeAspect="1" noChangeArrowheads="1"/>
        </xdr:cNvSpPr>
      </xdr:nvSpPr>
      <xdr:spPr bwMode="auto">
        <a:xfrm>
          <a:off x="401478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8</xdr:row>
      <xdr:rowOff>0</xdr:rowOff>
    </xdr:from>
    <xdr:ext cx="304800" cy="308251"/>
    <xdr:sp macro="" textlink="">
      <xdr:nvSpPr>
        <xdr:cNvPr id="9" name="AutoShape 1" descr="more description">
          <a:extLst>
            <a:ext uri="{FF2B5EF4-FFF2-40B4-BE49-F238E27FC236}">
              <a16:creationId xmlns:a16="http://schemas.microsoft.com/office/drawing/2014/main" id="{91399101-FF6F-480C-86ED-AE329C43A27F}"/>
            </a:ext>
          </a:extLst>
        </xdr:cNvPr>
        <xdr:cNvSpPr>
          <a:spLocks noChangeAspect="1" noChangeArrowheads="1"/>
        </xdr:cNvSpPr>
      </xdr:nvSpPr>
      <xdr:spPr bwMode="auto">
        <a:xfrm>
          <a:off x="40147875" y="480060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297</xdr:row>
      <xdr:rowOff>0</xdr:rowOff>
    </xdr:from>
    <xdr:ext cx="304800" cy="304800"/>
    <xdr:sp macro="" textlink="">
      <xdr:nvSpPr>
        <xdr:cNvPr id="10" name="AutoShape 1" descr="more description">
          <a:extLst>
            <a:ext uri="{FF2B5EF4-FFF2-40B4-BE49-F238E27FC236}">
              <a16:creationId xmlns:a16="http://schemas.microsoft.com/office/drawing/2014/main" id="{F3297481-FF9D-42C4-AB02-94FC1D6DE7E9}"/>
            </a:ext>
          </a:extLst>
        </xdr:cNvPr>
        <xdr:cNvSpPr>
          <a:spLocks noChangeAspect="1" noChangeArrowheads="1"/>
        </xdr:cNvSpPr>
      </xdr:nvSpPr>
      <xdr:spPr bwMode="auto">
        <a:xfrm>
          <a:off x="44279820" y="1546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297</xdr:row>
      <xdr:rowOff>0</xdr:rowOff>
    </xdr:from>
    <xdr:ext cx="304800" cy="308251"/>
    <xdr:sp macro="" textlink="">
      <xdr:nvSpPr>
        <xdr:cNvPr id="11" name="AutoShape 1" descr="more description">
          <a:extLst>
            <a:ext uri="{FF2B5EF4-FFF2-40B4-BE49-F238E27FC236}">
              <a16:creationId xmlns:a16="http://schemas.microsoft.com/office/drawing/2014/main" id="{15851B41-4868-43E2-8D15-AC54EC97F22A}"/>
            </a:ext>
          </a:extLst>
        </xdr:cNvPr>
        <xdr:cNvSpPr>
          <a:spLocks noChangeAspect="1" noChangeArrowheads="1"/>
        </xdr:cNvSpPr>
      </xdr:nvSpPr>
      <xdr:spPr bwMode="auto">
        <a:xfrm>
          <a:off x="44279820" y="154686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297</xdr:row>
      <xdr:rowOff>0</xdr:rowOff>
    </xdr:from>
    <xdr:ext cx="304800" cy="304800"/>
    <xdr:sp macro="" textlink="">
      <xdr:nvSpPr>
        <xdr:cNvPr id="12" name="AutoShape 1" descr="more description">
          <a:extLst>
            <a:ext uri="{FF2B5EF4-FFF2-40B4-BE49-F238E27FC236}">
              <a16:creationId xmlns:a16="http://schemas.microsoft.com/office/drawing/2014/main" id="{45741E31-DF74-446E-88AC-01CAC2C6B2E8}"/>
            </a:ext>
          </a:extLst>
        </xdr:cNvPr>
        <xdr:cNvSpPr>
          <a:spLocks noChangeAspect="1" noChangeArrowheads="1"/>
        </xdr:cNvSpPr>
      </xdr:nvSpPr>
      <xdr:spPr bwMode="auto">
        <a:xfrm>
          <a:off x="44279820" y="1546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297</xdr:row>
      <xdr:rowOff>0</xdr:rowOff>
    </xdr:from>
    <xdr:ext cx="304800" cy="308251"/>
    <xdr:sp macro="" textlink="">
      <xdr:nvSpPr>
        <xdr:cNvPr id="13" name="AutoShape 1" descr="more description">
          <a:extLst>
            <a:ext uri="{FF2B5EF4-FFF2-40B4-BE49-F238E27FC236}">
              <a16:creationId xmlns:a16="http://schemas.microsoft.com/office/drawing/2014/main" id="{A9E4AEB8-590C-4790-84BE-13D0F86276D9}"/>
            </a:ext>
          </a:extLst>
        </xdr:cNvPr>
        <xdr:cNvSpPr>
          <a:spLocks noChangeAspect="1" noChangeArrowheads="1"/>
        </xdr:cNvSpPr>
      </xdr:nvSpPr>
      <xdr:spPr bwMode="auto">
        <a:xfrm>
          <a:off x="44279820" y="154686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297</xdr:row>
      <xdr:rowOff>0</xdr:rowOff>
    </xdr:from>
    <xdr:ext cx="304800" cy="304800"/>
    <xdr:sp macro="" textlink="">
      <xdr:nvSpPr>
        <xdr:cNvPr id="14" name="AutoShape 1" descr="more description">
          <a:extLst>
            <a:ext uri="{FF2B5EF4-FFF2-40B4-BE49-F238E27FC236}">
              <a16:creationId xmlns:a16="http://schemas.microsoft.com/office/drawing/2014/main" id="{4169D715-DA3C-4378-96F5-AEF41C297A2A}"/>
            </a:ext>
          </a:extLst>
        </xdr:cNvPr>
        <xdr:cNvSpPr>
          <a:spLocks noChangeAspect="1" noChangeArrowheads="1"/>
        </xdr:cNvSpPr>
      </xdr:nvSpPr>
      <xdr:spPr bwMode="auto">
        <a:xfrm>
          <a:off x="44279820" y="1546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297</xdr:row>
      <xdr:rowOff>0</xdr:rowOff>
    </xdr:from>
    <xdr:ext cx="304800" cy="308251"/>
    <xdr:sp macro="" textlink="">
      <xdr:nvSpPr>
        <xdr:cNvPr id="15" name="AutoShape 1" descr="more description">
          <a:extLst>
            <a:ext uri="{FF2B5EF4-FFF2-40B4-BE49-F238E27FC236}">
              <a16:creationId xmlns:a16="http://schemas.microsoft.com/office/drawing/2014/main" id="{3DA1366F-524A-4C32-A0B7-CC0403567DE6}"/>
            </a:ext>
          </a:extLst>
        </xdr:cNvPr>
        <xdr:cNvSpPr>
          <a:spLocks noChangeAspect="1" noChangeArrowheads="1"/>
        </xdr:cNvSpPr>
      </xdr:nvSpPr>
      <xdr:spPr bwMode="auto">
        <a:xfrm>
          <a:off x="44279820" y="154686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297</xdr:row>
      <xdr:rowOff>0</xdr:rowOff>
    </xdr:from>
    <xdr:ext cx="304800" cy="304800"/>
    <xdr:sp macro="" textlink="">
      <xdr:nvSpPr>
        <xdr:cNvPr id="16" name="AutoShape 1" descr="more description">
          <a:extLst>
            <a:ext uri="{FF2B5EF4-FFF2-40B4-BE49-F238E27FC236}">
              <a16:creationId xmlns:a16="http://schemas.microsoft.com/office/drawing/2014/main" id="{529A3976-7D5C-4A89-AB01-6D0E6C59B598}"/>
            </a:ext>
          </a:extLst>
        </xdr:cNvPr>
        <xdr:cNvSpPr>
          <a:spLocks noChangeAspect="1" noChangeArrowheads="1"/>
        </xdr:cNvSpPr>
      </xdr:nvSpPr>
      <xdr:spPr bwMode="auto">
        <a:xfrm>
          <a:off x="44279820" y="1546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297</xdr:row>
      <xdr:rowOff>0</xdr:rowOff>
    </xdr:from>
    <xdr:ext cx="304800" cy="308251"/>
    <xdr:sp macro="" textlink="">
      <xdr:nvSpPr>
        <xdr:cNvPr id="17" name="AutoShape 1" descr="more description">
          <a:extLst>
            <a:ext uri="{FF2B5EF4-FFF2-40B4-BE49-F238E27FC236}">
              <a16:creationId xmlns:a16="http://schemas.microsoft.com/office/drawing/2014/main" id="{644D1F06-442C-4E2A-BD82-5763DFC95F75}"/>
            </a:ext>
          </a:extLst>
        </xdr:cNvPr>
        <xdr:cNvSpPr>
          <a:spLocks noChangeAspect="1" noChangeArrowheads="1"/>
        </xdr:cNvSpPr>
      </xdr:nvSpPr>
      <xdr:spPr bwMode="auto">
        <a:xfrm>
          <a:off x="44279820" y="154686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300</xdr:row>
      <xdr:rowOff>0</xdr:rowOff>
    </xdr:from>
    <xdr:ext cx="304800" cy="304800"/>
    <xdr:sp macro="" textlink="">
      <xdr:nvSpPr>
        <xdr:cNvPr id="18" name="AutoShape 1" descr="more description">
          <a:extLst>
            <a:ext uri="{FF2B5EF4-FFF2-40B4-BE49-F238E27FC236}">
              <a16:creationId xmlns:a16="http://schemas.microsoft.com/office/drawing/2014/main" id="{C2796C10-5E46-4259-A83B-24DB34655993}"/>
            </a:ext>
          </a:extLst>
        </xdr:cNvPr>
        <xdr:cNvSpPr>
          <a:spLocks noChangeAspect="1" noChangeArrowheads="1"/>
        </xdr:cNvSpPr>
      </xdr:nvSpPr>
      <xdr:spPr bwMode="auto">
        <a:xfrm>
          <a:off x="44279820" y="1546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300</xdr:row>
      <xdr:rowOff>0</xdr:rowOff>
    </xdr:from>
    <xdr:ext cx="304800" cy="308251"/>
    <xdr:sp macro="" textlink="">
      <xdr:nvSpPr>
        <xdr:cNvPr id="19" name="AutoShape 1" descr="more description">
          <a:extLst>
            <a:ext uri="{FF2B5EF4-FFF2-40B4-BE49-F238E27FC236}">
              <a16:creationId xmlns:a16="http://schemas.microsoft.com/office/drawing/2014/main" id="{94D8AA68-F4DF-4AEF-B3F9-F958DE0C1B1D}"/>
            </a:ext>
          </a:extLst>
        </xdr:cNvPr>
        <xdr:cNvSpPr>
          <a:spLocks noChangeAspect="1" noChangeArrowheads="1"/>
        </xdr:cNvSpPr>
      </xdr:nvSpPr>
      <xdr:spPr bwMode="auto">
        <a:xfrm>
          <a:off x="44279820" y="154686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300</xdr:row>
      <xdr:rowOff>0</xdr:rowOff>
    </xdr:from>
    <xdr:ext cx="304800" cy="304800"/>
    <xdr:sp macro="" textlink="">
      <xdr:nvSpPr>
        <xdr:cNvPr id="20" name="AutoShape 1" descr="more description">
          <a:extLst>
            <a:ext uri="{FF2B5EF4-FFF2-40B4-BE49-F238E27FC236}">
              <a16:creationId xmlns:a16="http://schemas.microsoft.com/office/drawing/2014/main" id="{6A2C4B7E-66C6-4551-871C-B604F1C269F1}"/>
            </a:ext>
          </a:extLst>
        </xdr:cNvPr>
        <xdr:cNvSpPr>
          <a:spLocks noChangeAspect="1" noChangeArrowheads="1"/>
        </xdr:cNvSpPr>
      </xdr:nvSpPr>
      <xdr:spPr bwMode="auto">
        <a:xfrm>
          <a:off x="44279820" y="1546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300</xdr:row>
      <xdr:rowOff>0</xdr:rowOff>
    </xdr:from>
    <xdr:ext cx="304800" cy="308251"/>
    <xdr:sp macro="" textlink="">
      <xdr:nvSpPr>
        <xdr:cNvPr id="21" name="AutoShape 1" descr="more description">
          <a:extLst>
            <a:ext uri="{FF2B5EF4-FFF2-40B4-BE49-F238E27FC236}">
              <a16:creationId xmlns:a16="http://schemas.microsoft.com/office/drawing/2014/main" id="{9387141C-DB78-44F5-9F18-7068AE11CA13}"/>
            </a:ext>
          </a:extLst>
        </xdr:cNvPr>
        <xdr:cNvSpPr>
          <a:spLocks noChangeAspect="1" noChangeArrowheads="1"/>
        </xdr:cNvSpPr>
      </xdr:nvSpPr>
      <xdr:spPr bwMode="auto">
        <a:xfrm>
          <a:off x="44279820" y="154686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300</xdr:row>
      <xdr:rowOff>0</xdr:rowOff>
    </xdr:from>
    <xdr:ext cx="304800" cy="304800"/>
    <xdr:sp macro="" textlink="">
      <xdr:nvSpPr>
        <xdr:cNvPr id="22" name="AutoShape 1" descr="more description">
          <a:extLst>
            <a:ext uri="{FF2B5EF4-FFF2-40B4-BE49-F238E27FC236}">
              <a16:creationId xmlns:a16="http://schemas.microsoft.com/office/drawing/2014/main" id="{5FF8CC00-5A51-47DA-9FAE-3003227157EF}"/>
            </a:ext>
          </a:extLst>
        </xdr:cNvPr>
        <xdr:cNvSpPr>
          <a:spLocks noChangeAspect="1" noChangeArrowheads="1"/>
        </xdr:cNvSpPr>
      </xdr:nvSpPr>
      <xdr:spPr bwMode="auto">
        <a:xfrm>
          <a:off x="44279820" y="1546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300</xdr:row>
      <xdr:rowOff>0</xdr:rowOff>
    </xdr:from>
    <xdr:ext cx="304800" cy="308251"/>
    <xdr:sp macro="" textlink="">
      <xdr:nvSpPr>
        <xdr:cNvPr id="23" name="AutoShape 1" descr="more description">
          <a:extLst>
            <a:ext uri="{FF2B5EF4-FFF2-40B4-BE49-F238E27FC236}">
              <a16:creationId xmlns:a16="http://schemas.microsoft.com/office/drawing/2014/main" id="{9C045A4A-80BF-43C3-8A8B-D92BDEA691E3}"/>
            </a:ext>
          </a:extLst>
        </xdr:cNvPr>
        <xdr:cNvSpPr>
          <a:spLocks noChangeAspect="1" noChangeArrowheads="1"/>
        </xdr:cNvSpPr>
      </xdr:nvSpPr>
      <xdr:spPr bwMode="auto">
        <a:xfrm>
          <a:off x="44279820" y="154686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300</xdr:row>
      <xdr:rowOff>0</xdr:rowOff>
    </xdr:from>
    <xdr:ext cx="304800" cy="304800"/>
    <xdr:sp macro="" textlink="">
      <xdr:nvSpPr>
        <xdr:cNvPr id="24" name="AutoShape 1" descr="more description">
          <a:extLst>
            <a:ext uri="{FF2B5EF4-FFF2-40B4-BE49-F238E27FC236}">
              <a16:creationId xmlns:a16="http://schemas.microsoft.com/office/drawing/2014/main" id="{C7980566-A755-43AC-9797-8BEABBE49DE9}"/>
            </a:ext>
          </a:extLst>
        </xdr:cNvPr>
        <xdr:cNvSpPr>
          <a:spLocks noChangeAspect="1" noChangeArrowheads="1"/>
        </xdr:cNvSpPr>
      </xdr:nvSpPr>
      <xdr:spPr bwMode="auto">
        <a:xfrm>
          <a:off x="44279820" y="1546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300</xdr:row>
      <xdr:rowOff>0</xdr:rowOff>
    </xdr:from>
    <xdr:ext cx="304800" cy="308251"/>
    <xdr:sp macro="" textlink="">
      <xdr:nvSpPr>
        <xdr:cNvPr id="25" name="AutoShape 1" descr="more description">
          <a:extLst>
            <a:ext uri="{FF2B5EF4-FFF2-40B4-BE49-F238E27FC236}">
              <a16:creationId xmlns:a16="http://schemas.microsoft.com/office/drawing/2014/main" id="{17F79D3A-DE58-4F25-A6F1-674DD195598E}"/>
            </a:ext>
          </a:extLst>
        </xdr:cNvPr>
        <xdr:cNvSpPr>
          <a:spLocks noChangeAspect="1" noChangeArrowheads="1"/>
        </xdr:cNvSpPr>
      </xdr:nvSpPr>
      <xdr:spPr bwMode="auto">
        <a:xfrm>
          <a:off x="44279820" y="154686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321</xdr:row>
      <xdr:rowOff>0</xdr:rowOff>
    </xdr:from>
    <xdr:ext cx="304800" cy="304800"/>
    <xdr:sp macro="" textlink="">
      <xdr:nvSpPr>
        <xdr:cNvPr id="26" name="AutoShape 1" descr="more description">
          <a:extLst>
            <a:ext uri="{FF2B5EF4-FFF2-40B4-BE49-F238E27FC236}">
              <a16:creationId xmlns:a16="http://schemas.microsoft.com/office/drawing/2014/main" id="{221E1474-23BA-4B1E-B3CE-1600DD6FFE96}"/>
            </a:ext>
          </a:extLst>
        </xdr:cNvPr>
        <xdr:cNvSpPr>
          <a:spLocks noChangeAspect="1" noChangeArrowheads="1"/>
        </xdr:cNvSpPr>
      </xdr:nvSpPr>
      <xdr:spPr bwMode="auto">
        <a:xfrm>
          <a:off x="43024425" y="5943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321</xdr:row>
      <xdr:rowOff>0</xdr:rowOff>
    </xdr:from>
    <xdr:ext cx="304800" cy="308251"/>
    <xdr:sp macro="" textlink="">
      <xdr:nvSpPr>
        <xdr:cNvPr id="27" name="AutoShape 1" descr="more description">
          <a:extLst>
            <a:ext uri="{FF2B5EF4-FFF2-40B4-BE49-F238E27FC236}">
              <a16:creationId xmlns:a16="http://schemas.microsoft.com/office/drawing/2014/main" id="{55928708-990F-4B23-A6A4-48D314004D92}"/>
            </a:ext>
          </a:extLst>
        </xdr:cNvPr>
        <xdr:cNvSpPr>
          <a:spLocks noChangeAspect="1" noChangeArrowheads="1"/>
        </xdr:cNvSpPr>
      </xdr:nvSpPr>
      <xdr:spPr bwMode="auto">
        <a:xfrm>
          <a:off x="43024425" y="594360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321</xdr:row>
      <xdr:rowOff>0</xdr:rowOff>
    </xdr:from>
    <xdr:ext cx="304800" cy="304800"/>
    <xdr:sp macro="" textlink="">
      <xdr:nvSpPr>
        <xdr:cNvPr id="28" name="AutoShape 1" descr="more description">
          <a:extLst>
            <a:ext uri="{FF2B5EF4-FFF2-40B4-BE49-F238E27FC236}">
              <a16:creationId xmlns:a16="http://schemas.microsoft.com/office/drawing/2014/main" id="{0AE6B139-9EAD-43B3-865A-84DE1AF4D284}"/>
            </a:ext>
          </a:extLst>
        </xdr:cNvPr>
        <xdr:cNvSpPr>
          <a:spLocks noChangeAspect="1" noChangeArrowheads="1"/>
        </xdr:cNvSpPr>
      </xdr:nvSpPr>
      <xdr:spPr bwMode="auto">
        <a:xfrm>
          <a:off x="43024425" y="5943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321</xdr:row>
      <xdr:rowOff>0</xdr:rowOff>
    </xdr:from>
    <xdr:ext cx="304800" cy="308251"/>
    <xdr:sp macro="" textlink="">
      <xdr:nvSpPr>
        <xdr:cNvPr id="29" name="AutoShape 1" descr="more description">
          <a:extLst>
            <a:ext uri="{FF2B5EF4-FFF2-40B4-BE49-F238E27FC236}">
              <a16:creationId xmlns:a16="http://schemas.microsoft.com/office/drawing/2014/main" id="{49214EDE-E5E1-487A-B930-AA17EFB5EC34}"/>
            </a:ext>
          </a:extLst>
        </xdr:cNvPr>
        <xdr:cNvSpPr>
          <a:spLocks noChangeAspect="1" noChangeArrowheads="1"/>
        </xdr:cNvSpPr>
      </xdr:nvSpPr>
      <xdr:spPr bwMode="auto">
        <a:xfrm>
          <a:off x="43024425" y="594360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321</xdr:row>
      <xdr:rowOff>0</xdr:rowOff>
    </xdr:from>
    <xdr:ext cx="304800" cy="304800"/>
    <xdr:sp macro="" textlink="">
      <xdr:nvSpPr>
        <xdr:cNvPr id="30" name="AutoShape 1" descr="more description">
          <a:extLst>
            <a:ext uri="{FF2B5EF4-FFF2-40B4-BE49-F238E27FC236}">
              <a16:creationId xmlns:a16="http://schemas.microsoft.com/office/drawing/2014/main" id="{CB2CD98B-C68F-42F8-B6BB-7B4396410403}"/>
            </a:ext>
          </a:extLst>
        </xdr:cNvPr>
        <xdr:cNvSpPr>
          <a:spLocks noChangeAspect="1" noChangeArrowheads="1"/>
        </xdr:cNvSpPr>
      </xdr:nvSpPr>
      <xdr:spPr bwMode="auto">
        <a:xfrm>
          <a:off x="43024425" y="5943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321</xdr:row>
      <xdr:rowOff>0</xdr:rowOff>
    </xdr:from>
    <xdr:ext cx="304800" cy="308251"/>
    <xdr:sp macro="" textlink="">
      <xdr:nvSpPr>
        <xdr:cNvPr id="31" name="AutoShape 1" descr="more description">
          <a:extLst>
            <a:ext uri="{FF2B5EF4-FFF2-40B4-BE49-F238E27FC236}">
              <a16:creationId xmlns:a16="http://schemas.microsoft.com/office/drawing/2014/main" id="{CA1F3164-FB60-4A85-97F0-A04D5E429774}"/>
            </a:ext>
          </a:extLst>
        </xdr:cNvPr>
        <xdr:cNvSpPr>
          <a:spLocks noChangeAspect="1" noChangeArrowheads="1"/>
        </xdr:cNvSpPr>
      </xdr:nvSpPr>
      <xdr:spPr bwMode="auto">
        <a:xfrm>
          <a:off x="43024425" y="594360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321</xdr:row>
      <xdr:rowOff>0</xdr:rowOff>
    </xdr:from>
    <xdr:ext cx="304800" cy="304800"/>
    <xdr:sp macro="" textlink="">
      <xdr:nvSpPr>
        <xdr:cNvPr id="32" name="AutoShape 1" descr="more description">
          <a:extLst>
            <a:ext uri="{FF2B5EF4-FFF2-40B4-BE49-F238E27FC236}">
              <a16:creationId xmlns:a16="http://schemas.microsoft.com/office/drawing/2014/main" id="{B7C0E4FA-3F76-44DA-A953-F86D361569A4}"/>
            </a:ext>
          </a:extLst>
        </xdr:cNvPr>
        <xdr:cNvSpPr>
          <a:spLocks noChangeAspect="1" noChangeArrowheads="1"/>
        </xdr:cNvSpPr>
      </xdr:nvSpPr>
      <xdr:spPr bwMode="auto">
        <a:xfrm>
          <a:off x="43024425" y="5943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321</xdr:row>
      <xdr:rowOff>0</xdr:rowOff>
    </xdr:from>
    <xdr:ext cx="304800" cy="308251"/>
    <xdr:sp macro="" textlink="">
      <xdr:nvSpPr>
        <xdr:cNvPr id="33" name="AutoShape 1" descr="more description">
          <a:extLst>
            <a:ext uri="{FF2B5EF4-FFF2-40B4-BE49-F238E27FC236}">
              <a16:creationId xmlns:a16="http://schemas.microsoft.com/office/drawing/2014/main" id="{B2EF86AD-0B5B-4F92-B0DC-E62BA03D1487}"/>
            </a:ext>
          </a:extLst>
        </xdr:cNvPr>
        <xdr:cNvSpPr>
          <a:spLocks noChangeAspect="1" noChangeArrowheads="1"/>
        </xdr:cNvSpPr>
      </xdr:nvSpPr>
      <xdr:spPr bwMode="auto">
        <a:xfrm>
          <a:off x="43024425" y="594360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xdr:oneCellAnchor>
    <xdr:from>
      <xdr:col>17</xdr:col>
      <xdr:colOff>0</xdr:colOff>
      <xdr:row>0</xdr:row>
      <xdr:rowOff>0</xdr:rowOff>
    </xdr:from>
    <xdr:ext cx="304800" cy="304800"/>
    <xdr:sp macro="" textlink="">
      <xdr:nvSpPr>
        <xdr:cNvPr id="2" name="AutoShape 1" descr="more description">
          <a:extLst>
            <a:ext uri="{FF2B5EF4-FFF2-40B4-BE49-F238E27FC236}">
              <a16:creationId xmlns:a16="http://schemas.microsoft.com/office/drawing/2014/main" id="{9A0DC92E-F06A-48E3-8981-BA7E73C0B7D0}"/>
            </a:ext>
          </a:extLst>
        </xdr:cNvPr>
        <xdr:cNvSpPr>
          <a:spLocks noChangeAspect="1" noChangeArrowheads="1"/>
        </xdr:cNvSpPr>
      </xdr:nvSpPr>
      <xdr:spPr bwMode="auto">
        <a:xfrm>
          <a:off x="26189940" y="1303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0</xdr:row>
      <xdr:rowOff>0</xdr:rowOff>
    </xdr:from>
    <xdr:ext cx="304800" cy="308251"/>
    <xdr:sp macro="" textlink="">
      <xdr:nvSpPr>
        <xdr:cNvPr id="3" name="AutoShape 1" descr="more description">
          <a:extLst>
            <a:ext uri="{FF2B5EF4-FFF2-40B4-BE49-F238E27FC236}">
              <a16:creationId xmlns:a16="http://schemas.microsoft.com/office/drawing/2014/main" id="{3C422926-6E18-4AC6-A478-61D022389DCD}"/>
            </a:ext>
          </a:extLst>
        </xdr:cNvPr>
        <xdr:cNvSpPr>
          <a:spLocks noChangeAspect="1" noChangeArrowheads="1"/>
        </xdr:cNvSpPr>
      </xdr:nvSpPr>
      <xdr:spPr bwMode="auto">
        <a:xfrm>
          <a:off x="26189940" y="130302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0</xdr:row>
      <xdr:rowOff>0</xdr:rowOff>
    </xdr:from>
    <xdr:ext cx="304800" cy="304800"/>
    <xdr:sp macro="" textlink="">
      <xdr:nvSpPr>
        <xdr:cNvPr id="4" name="AutoShape 1" descr="more description">
          <a:extLst>
            <a:ext uri="{FF2B5EF4-FFF2-40B4-BE49-F238E27FC236}">
              <a16:creationId xmlns:a16="http://schemas.microsoft.com/office/drawing/2014/main" id="{871F4EB2-91AE-4DD2-B814-4DFED97DD2E2}"/>
            </a:ext>
          </a:extLst>
        </xdr:cNvPr>
        <xdr:cNvSpPr>
          <a:spLocks noChangeAspect="1" noChangeArrowheads="1"/>
        </xdr:cNvSpPr>
      </xdr:nvSpPr>
      <xdr:spPr bwMode="auto">
        <a:xfrm>
          <a:off x="26189940" y="1303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0</xdr:row>
      <xdr:rowOff>0</xdr:rowOff>
    </xdr:from>
    <xdr:ext cx="304800" cy="308251"/>
    <xdr:sp macro="" textlink="">
      <xdr:nvSpPr>
        <xdr:cNvPr id="5" name="AutoShape 1" descr="more description">
          <a:extLst>
            <a:ext uri="{FF2B5EF4-FFF2-40B4-BE49-F238E27FC236}">
              <a16:creationId xmlns:a16="http://schemas.microsoft.com/office/drawing/2014/main" id="{83221A72-25D1-42DA-ACB6-842258000481}"/>
            </a:ext>
          </a:extLst>
        </xdr:cNvPr>
        <xdr:cNvSpPr>
          <a:spLocks noChangeAspect="1" noChangeArrowheads="1"/>
        </xdr:cNvSpPr>
      </xdr:nvSpPr>
      <xdr:spPr bwMode="auto">
        <a:xfrm>
          <a:off x="26189940" y="130302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0</xdr:row>
      <xdr:rowOff>0</xdr:rowOff>
    </xdr:from>
    <xdr:ext cx="304800" cy="304800"/>
    <xdr:sp macro="" textlink="">
      <xdr:nvSpPr>
        <xdr:cNvPr id="6" name="AutoShape 1" descr="more description">
          <a:extLst>
            <a:ext uri="{FF2B5EF4-FFF2-40B4-BE49-F238E27FC236}">
              <a16:creationId xmlns:a16="http://schemas.microsoft.com/office/drawing/2014/main" id="{B114347B-46B6-4AD6-BDD8-B6DBD0B3BC54}"/>
            </a:ext>
          </a:extLst>
        </xdr:cNvPr>
        <xdr:cNvSpPr>
          <a:spLocks noChangeAspect="1" noChangeArrowheads="1"/>
        </xdr:cNvSpPr>
      </xdr:nvSpPr>
      <xdr:spPr bwMode="auto">
        <a:xfrm>
          <a:off x="26189940" y="1303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0</xdr:row>
      <xdr:rowOff>0</xdr:rowOff>
    </xdr:from>
    <xdr:ext cx="304800" cy="308251"/>
    <xdr:sp macro="" textlink="">
      <xdr:nvSpPr>
        <xdr:cNvPr id="7" name="AutoShape 1" descr="more description">
          <a:extLst>
            <a:ext uri="{FF2B5EF4-FFF2-40B4-BE49-F238E27FC236}">
              <a16:creationId xmlns:a16="http://schemas.microsoft.com/office/drawing/2014/main" id="{AACC94EE-48DC-4144-9DAE-B292BD5E4182}"/>
            </a:ext>
          </a:extLst>
        </xdr:cNvPr>
        <xdr:cNvSpPr>
          <a:spLocks noChangeAspect="1" noChangeArrowheads="1"/>
        </xdr:cNvSpPr>
      </xdr:nvSpPr>
      <xdr:spPr bwMode="auto">
        <a:xfrm>
          <a:off x="26189940" y="130302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0</xdr:row>
      <xdr:rowOff>0</xdr:rowOff>
    </xdr:from>
    <xdr:ext cx="304800" cy="304800"/>
    <xdr:sp macro="" textlink="">
      <xdr:nvSpPr>
        <xdr:cNvPr id="8" name="AutoShape 1" descr="more description">
          <a:extLst>
            <a:ext uri="{FF2B5EF4-FFF2-40B4-BE49-F238E27FC236}">
              <a16:creationId xmlns:a16="http://schemas.microsoft.com/office/drawing/2014/main" id="{1525BDC7-0D24-4B6E-B0E5-6DE2A11CA388}"/>
            </a:ext>
          </a:extLst>
        </xdr:cNvPr>
        <xdr:cNvSpPr>
          <a:spLocks noChangeAspect="1" noChangeArrowheads="1"/>
        </xdr:cNvSpPr>
      </xdr:nvSpPr>
      <xdr:spPr bwMode="auto">
        <a:xfrm>
          <a:off x="26189940" y="1303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17</xdr:col>
      <xdr:colOff>0</xdr:colOff>
      <xdr:row>0</xdr:row>
      <xdr:rowOff>0</xdr:rowOff>
    </xdr:from>
    <xdr:ext cx="304800" cy="308251"/>
    <xdr:sp macro="" textlink="">
      <xdr:nvSpPr>
        <xdr:cNvPr id="9" name="AutoShape 1" descr="more description">
          <a:extLst>
            <a:ext uri="{FF2B5EF4-FFF2-40B4-BE49-F238E27FC236}">
              <a16:creationId xmlns:a16="http://schemas.microsoft.com/office/drawing/2014/main" id="{A4811433-DF22-4009-B1A3-591C939FF62A}"/>
            </a:ext>
          </a:extLst>
        </xdr:cNvPr>
        <xdr:cNvSpPr>
          <a:spLocks noChangeAspect="1" noChangeArrowheads="1"/>
        </xdr:cNvSpPr>
      </xdr:nvSpPr>
      <xdr:spPr bwMode="auto">
        <a:xfrm>
          <a:off x="26189940" y="1303020"/>
          <a:ext cx="304800" cy="30825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url.za.m.mimecastprotect.com/s/VznRCxG5yri1vVV1C0TVUymQJQ"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heetViews>
  <sheetFormatPr defaultRowHeight="15"/>
  <sheetData/>
  <pageMargins left="0.7" right="0.7" top="0.75" bottom="0.75" header="0.3" footer="0.3"/>
  <customProperties>
    <customPr name="Dynamics Worksheet Id" r:id="rId1"/>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filterMode="1">
    <pageSetUpPr fitToPage="1"/>
  </sheetPr>
  <dimension ref="A1:AI317"/>
  <sheetViews>
    <sheetView topLeftCell="Y1" zoomScale="55" zoomScaleNormal="55" zoomScaleSheetLayoutView="50" workbookViewId="0">
      <pane ySplit="1" topLeftCell="A127" activePane="bottomLeft" state="frozen"/>
      <selection pane="bottomLeft" activeCell="AF127" sqref="AF127"/>
    </sheetView>
  </sheetViews>
  <sheetFormatPr defaultColWidth="9.140625" defaultRowHeight="122.25" customHeight="1"/>
  <cols>
    <col min="1" max="1" width="12.7109375" style="9" bestFit="1" customWidth="1"/>
    <col min="2" max="2" width="22.7109375" style="2" customWidth="1"/>
    <col min="3" max="3" width="19.85546875" style="11" customWidth="1"/>
    <col min="4" max="4" width="24.85546875" style="2" bestFit="1" customWidth="1"/>
    <col min="5" max="5" width="23.7109375" style="11" bestFit="1" customWidth="1"/>
    <col min="6" max="6" width="56.7109375" style="30" bestFit="1" customWidth="1"/>
    <col min="7" max="7" width="104.28515625" style="30" customWidth="1"/>
    <col min="8" max="8" width="29.28515625" style="16" customWidth="1"/>
    <col min="9" max="9" width="31.5703125" style="16" customWidth="1"/>
    <col min="10" max="10" width="31.28515625" style="16" customWidth="1"/>
    <col min="11" max="11" width="41" style="16" customWidth="1"/>
    <col min="12" max="12" width="36.42578125" style="16" customWidth="1"/>
    <col min="13" max="13" width="34.42578125" style="16" customWidth="1"/>
    <col min="14" max="14" width="107.28515625" style="16" customWidth="1"/>
    <col min="15" max="15" width="44.7109375" style="16" customWidth="1"/>
    <col min="16" max="16" width="56.140625" style="16" customWidth="1"/>
    <col min="17" max="17" width="32.7109375" style="16" customWidth="1"/>
    <col min="18" max="18" width="38.5703125" style="16" customWidth="1"/>
    <col min="19" max="19" width="35.85546875" style="16" customWidth="1"/>
    <col min="20" max="20" width="34.42578125" style="7" customWidth="1"/>
    <col min="21" max="21" width="40.140625" style="202" customWidth="1"/>
    <col min="22" max="22" width="31.5703125" style="16" customWidth="1"/>
    <col min="23" max="23" width="42.7109375" style="16" customWidth="1"/>
    <col min="24" max="24" width="255.7109375" style="4" bestFit="1" customWidth="1"/>
    <col min="25" max="25" width="40.85546875" style="100" customWidth="1"/>
    <col min="26" max="26" width="72" style="30" customWidth="1"/>
    <col min="27" max="27" width="35.28515625" style="8" bestFit="1" customWidth="1"/>
    <col min="28" max="28" width="23.140625" style="10" bestFit="1" customWidth="1"/>
    <col min="29" max="29" width="21.5703125" style="10" bestFit="1" customWidth="1"/>
    <col min="30" max="30" width="17.85546875" style="21" bestFit="1" customWidth="1"/>
    <col min="31" max="31" width="22.7109375" style="21" bestFit="1" customWidth="1"/>
    <col min="32" max="32" width="17.5703125" style="21" bestFit="1" customWidth="1"/>
    <col min="33" max="33" width="16.5703125" style="45" bestFit="1" customWidth="1"/>
    <col min="34" max="34" width="45.7109375" style="16" bestFit="1" customWidth="1"/>
    <col min="35" max="35" width="42.42578125" style="9" customWidth="1"/>
    <col min="36" max="36" width="16" style="9" bestFit="1" customWidth="1"/>
    <col min="37" max="16384" width="9.140625" style="9"/>
  </cols>
  <sheetData>
    <row r="1" spans="1:34" s="108" customFormat="1" ht="122.25" customHeight="1">
      <c r="B1" s="108" t="s">
        <v>0</v>
      </c>
      <c r="C1" s="108" t="s">
        <v>17</v>
      </c>
      <c r="D1" s="108" t="s">
        <v>793</v>
      </c>
      <c r="E1" s="108" t="s">
        <v>794</v>
      </c>
      <c r="F1" s="108" t="s">
        <v>3</v>
      </c>
      <c r="G1" s="108" t="s">
        <v>82</v>
      </c>
      <c r="H1" s="109" t="s">
        <v>16</v>
      </c>
      <c r="I1" s="109" t="s">
        <v>789</v>
      </c>
      <c r="J1" s="109" t="s">
        <v>788</v>
      </c>
      <c r="K1" s="109" t="s">
        <v>790</v>
      </c>
      <c r="L1" s="109" t="s">
        <v>791</v>
      </c>
      <c r="M1" s="109" t="s">
        <v>792</v>
      </c>
      <c r="N1" s="109" t="s">
        <v>835</v>
      </c>
      <c r="O1" s="109" t="s">
        <v>834</v>
      </c>
      <c r="P1" s="109" t="s">
        <v>1184</v>
      </c>
      <c r="Q1" s="109" t="s">
        <v>836</v>
      </c>
      <c r="R1" s="109" t="s">
        <v>1185</v>
      </c>
      <c r="S1" s="109" t="s">
        <v>1186</v>
      </c>
      <c r="T1" s="108" t="s">
        <v>12</v>
      </c>
      <c r="U1" s="343" t="s">
        <v>787</v>
      </c>
      <c r="V1" s="109" t="s">
        <v>13</v>
      </c>
      <c r="W1" s="109" t="s">
        <v>14</v>
      </c>
      <c r="X1" s="109" t="s">
        <v>81</v>
      </c>
      <c r="Y1" s="108" t="s">
        <v>795</v>
      </c>
      <c r="Z1" s="108" t="s">
        <v>241</v>
      </c>
      <c r="AA1" s="109" t="s">
        <v>6</v>
      </c>
      <c r="AB1" s="110" t="s">
        <v>7</v>
      </c>
      <c r="AC1" s="110" t="s">
        <v>8</v>
      </c>
      <c r="AD1" s="110" t="s">
        <v>9</v>
      </c>
      <c r="AE1" s="110" t="s">
        <v>10</v>
      </c>
      <c r="AF1" s="110" t="s">
        <v>53</v>
      </c>
      <c r="AG1" s="111" t="s">
        <v>48</v>
      </c>
      <c r="AH1" s="109" t="s">
        <v>798</v>
      </c>
    </row>
    <row r="2" spans="1:34" ht="186" hidden="1" customHeight="1">
      <c r="A2" s="9">
        <f ca="1">TODAY()-H2+1</f>
        <v>140</v>
      </c>
      <c r="B2" s="31">
        <v>45862</v>
      </c>
      <c r="C2" s="11" t="s">
        <v>694</v>
      </c>
      <c r="D2" s="2" t="s">
        <v>2451</v>
      </c>
      <c r="E2" s="11" t="s">
        <v>2452</v>
      </c>
      <c r="F2" s="30" t="s">
        <v>105</v>
      </c>
      <c r="G2" s="30" t="s">
        <v>5090</v>
      </c>
      <c r="H2" s="16">
        <v>46054</v>
      </c>
      <c r="I2" s="115">
        <v>45862</v>
      </c>
      <c r="J2" s="115">
        <v>45862</v>
      </c>
      <c r="K2" s="115">
        <v>45863</v>
      </c>
      <c r="L2" s="16" t="s">
        <v>1150</v>
      </c>
      <c r="M2" s="383"/>
      <c r="T2" s="7" t="s">
        <v>22</v>
      </c>
      <c r="U2" s="16"/>
      <c r="X2" s="4" t="s">
        <v>5058</v>
      </c>
      <c r="Z2" s="30" t="s">
        <v>29</v>
      </c>
      <c r="AA2" s="8">
        <v>46235</v>
      </c>
      <c r="AB2" s="23">
        <v>94161.91</v>
      </c>
      <c r="AE2" s="10"/>
      <c r="AH2" s="116">
        <v>94161.91</v>
      </c>
    </row>
    <row r="3" spans="1:34" ht="122.25" hidden="1" customHeight="1" thickBot="1">
      <c r="A3" s="9">
        <f ca="1">TODAY()-H3+1</f>
        <v>112</v>
      </c>
      <c r="B3" s="31">
        <v>45939</v>
      </c>
      <c r="C3" s="11" t="s">
        <v>27</v>
      </c>
      <c r="D3" s="2" t="s">
        <v>3353</v>
      </c>
      <c r="E3" s="11" t="s">
        <v>3354</v>
      </c>
      <c r="F3" s="30" t="s">
        <v>1933</v>
      </c>
      <c r="G3" s="30" t="s">
        <v>3357</v>
      </c>
      <c r="H3" s="16">
        <v>46082</v>
      </c>
      <c r="I3" s="115"/>
      <c r="J3" s="115">
        <v>45945</v>
      </c>
      <c r="K3" s="115"/>
      <c r="L3" s="115" t="s">
        <v>4471</v>
      </c>
      <c r="M3" s="115"/>
      <c r="N3" s="115"/>
      <c r="O3" s="115"/>
      <c r="P3" s="115">
        <v>46099</v>
      </c>
      <c r="Q3" s="115" t="s">
        <v>1449</v>
      </c>
      <c r="R3" s="115" t="s">
        <v>4919</v>
      </c>
      <c r="T3" s="7" t="s">
        <v>22</v>
      </c>
      <c r="U3" s="16" t="s">
        <v>4622</v>
      </c>
      <c r="V3" s="16">
        <v>46090</v>
      </c>
      <c r="W3" s="16">
        <v>46101</v>
      </c>
      <c r="X3" s="4" t="s">
        <v>4945</v>
      </c>
      <c r="Z3" s="30" t="s">
        <v>3352</v>
      </c>
      <c r="AA3" s="8">
        <v>46145</v>
      </c>
      <c r="AE3" s="178">
        <v>1243651.8999999999</v>
      </c>
      <c r="AH3" s="116">
        <v>1243651.8999999999</v>
      </c>
    </row>
    <row r="4" spans="1:34" ht="120.75" hidden="1" customHeight="1">
      <c r="B4" s="31">
        <v>45939</v>
      </c>
      <c r="C4" s="11" t="s">
        <v>27</v>
      </c>
      <c r="D4" s="2" t="s">
        <v>3349</v>
      </c>
      <c r="F4" s="30" t="s">
        <v>74</v>
      </c>
      <c r="G4" s="360" t="s">
        <v>5249</v>
      </c>
      <c r="H4" s="16" t="s">
        <v>4211</v>
      </c>
      <c r="I4" s="115"/>
      <c r="J4" s="115"/>
      <c r="K4" s="115"/>
      <c r="L4" s="115"/>
      <c r="M4" s="115"/>
      <c r="N4" s="115"/>
      <c r="P4" s="6"/>
      <c r="R4" s="6"/>
      <c r="T4" s="7" t="s">
        <v>22</v>
      </c>
      <c r="U4" s="388" t="s">
        <v>5250</v>
      </c>
      <c r="V4" s="16">
        <v>46182</v>
      </c>
      <c r="W4" s="16">
        <v>46187</v>
      </c>
      <c r="X4" s="4" t="s">
        <v>4333</v>
      </c>
      <c r="Z4" s="30" t="s">
        <v>3352</v>
      </c>
      <c r="AA4" s="8">
        <v>46174</v>
      </c>
      <c r="AE4" s="21">
        <v>26615600</v>
      </c>
    </row>
    <row r="5" spans="1:34" ht="37.5" hidden="1">
      <c r="A5" s="9">
        <f t="shared" ref="A5:A32" ca="1" si="0">TODAY()-H5+1</f>
        <v>112</v>
      </c>
      <c r="B5" s="31">
        <v>46010</v>
      </c>
      <c r="C5" s="11" t="s">
        <v>27</v>
      </c>
      <c r="D5" s="2" t="s">
        <v>4027</v>
      </c>
      <c r="E5" s="11" t="s">
        <v>4028</v>
      </c>
      <c r="F5" s="30" t="s">
        <v>1933</v>
      </c>
      <c r="G5" s="338" t="s">
        <v>5031</v>
      </c>
      <c r="H5" s="16">
        <v>46082</v>
      </c>
      <c r="I5" s="115">
        <v>46013</v>
      </c>
      <c r="J5" s="115">
        <v>46014</v>
      </c>
      <c r="K5" s="115"/>
      <c r="L5" s="115"/>
      <c r="M5" s="115"/>
      <c r="N5" s="115" t="s">
        <v>878</v>
      </c>
      <c r="O5" s="380"/>
      <c r="P5" s="115">
        <v>46132</v>
      </c>
      <c r="Q5" s="115" t="s">
        <v>1840</v>
      </c>
      <c r="R5" s="115"/>
      <c r="S5" s="115"/>
      <c r="T5" s="7" t="s">
        <v>22</v>
      </c>
      <c r="U5" s="16" t="s">
        <v>4822</v>
      </c>
      <c r="V5" s="16">
        <v>46120</v>
      </c>
      <c r="W5" s="16">
        <v>46129</v>
      </c>
      <c r="X5" t="s">
        <v>5265</v>
      </c>
      <c r="Z5" s="30" t="s">
        <v>54</v>
      </c>
      <c r="AA5" s="8">
        <v>46178</v>
      </c>
      <c r="AE5" s="178">
        <f>4895729.18/3</f>
        <v>1631909.7266666666</v>
      </c>
      <c r="AH5" s="116">
        <f>4895729.18/3</f>
        <v>1631909.7266666666</v>
      </c>
    </row>
    <row r="6" spans="1:34" ht="112.5" hidden="1" customHeight="1">
      <c r="A6" s="9">
        <f t="shared" ca="1" si="0"/>
        <v>81</v>
      </c>
      <c r="B6" s="31">
        <v>46010</v>
      </c>
      <c r="C6" s="11" t="s">
        <v>27</v>
      </c>
      <c r="D6" s="2" t="s">
        <v>4027</v>
      </c>
      <c r="E6" s="11" t="s">
        <v>4028</v>
      </c>
      <c r="F6" s="30" t="s">
        <v>1933</v>
      </c>
      <c r="G6" s="360" t="s">
        <v>5241</v>
      </c>
      <c r="H6" s="16">
        <v>46113</v>
      </c>
      <c r="I6" s="115">
        <v>46013</v>
      </c>
      <c r="J6" s="115">
        <v>46014</v>
      </c>
      <c r="K6" s="115"/>
      <c r="L6" s="115"/>
      <c r="M6" s="115"/>
      <c r="N6" s="115" t="s">
        <v>878</v>
      </c>
      <c r="O6" s="115"/>
      <c r="P6" s="115">
        <v>46132</v>
      </c>
      <c r="Q6" s="115" t="s">
        <v>1840</v>
      </c>
      <c r="R6" s="115"/>
      <c r="S6" s="115"/>
      <c r="T6" s="7" t="s">
        <v>22</v>
      </c>
      <c r="U6" s="373" t="s">
        <v>4822</v>
      </c>
      <c r="V6" s="16">
        <v>46120</v>
      </c>
      <c r="W6" s="16">
        <v>46129</v>
      </c>
      <c r="X6" t="s">
        <v>5265</v>
      </c>
      <c r="Z6" s="30" t="s">
        <v>54</v>
      </c>
      <c r="AA6" s="8">
        <v>46178</v>
      </c>
      <c r="AE6" s="178">
        <f>4895729.18/3</f>
        <v>1631909.7266666666</v>
      </c>
      <c r="AH6" s="116">
        <f>4895729.18/3</f>
        <v>1631909.7266666666</v>
      </c>
    </row>
    <row r="7" spans="1:34" ht="56.25" hidden="1">
      <c r="A7" s="9">
        <f t="shared" ca="1" si="0"/>
        <v>51</v>
      </c>
      <c r="B7" s="31">
        <v>46010</v>
      </c>
      <c r="C7" s="11" t="s">
        <v>27</v>
      </c>
      <c r="D7" s="2" t="s">
        <v>4027</v>
      </c>
      <c r="E7" s="11" t="s">
        <v>4028</v>
      </c>
      <c r="F7" s="30" t="s">
        <v>1933</v>
      </c>
      <c r="G7" s="338" t="s">
        <v>5033</v>
      </c>
      <c r="H7" s="16">
        <v>46143</v>
      </c>
      <c r="I7" s="115">
        <v>46013</v>
      </c>
      <c r="J7" s="115">
        <v>46014</v>
      </c>
      <c r="K7" s="115"/>
      <c r="L7" s="115"/>
      <c r="M7" s="115"/>
      <c r="N7" s="115" t="s">
        <v>878</v>
      </c>
      <c r="O7" s="115"/>
      <c r="P7" s="115">
        <v>46132</v>
      </c>
      <c r="Q7" s="115" t="s">
        <v>1840</v>
      </c>
      <c r="R7" s="115"/>
      <c r="S7" s="115"/>
      <c r="T7" s="7" t="s">
        <v>22</v>
      </c>
      <c r="U7" s="373" t="s">
        <v>4822</v>
      </c>
      <c r="V7" s="16">
        <v>46120</v>
      </c>
      <c r="W7" s="16">
        <v>46129</v>
      </c>
      <c r="X7" t="s">
        <v>5265</v>
      </c>
      <c r="Z7" s="30" t="s">
        <v>54</v>
      </c>
      <c r="AA7" s="8">
        <v>46178</v>
      </c>
      <c r="AE7" s="178">
        <f>4895729.18/3</f>
        <v>1631909.7266666666</v>
      </c>
      <c r="AH7" s="116">
        <f>4895729.18/3</f>
        <v>1631909.7266666666</v>
      </c>
    </row>
    <row r="8" spans="1:34" ht="56.25" hidden="1">
      <c r="A8" s="9">
        <f t="shared" ca="1" si="0"/>
        <v>51</v>
      </c>
      <c r="B8" s="31">
        <v>46010</v>
      </c>
      <c r="C8" s="11" t="s">
        <v>27</v>
      </c>
      <c r="D8" s="2" t="s">
        <v>4027</v>
      </c>
      <c r="E8" s="11" t="s">
        <v>4028</v>
      </c>
      <c r="F8" s="30" t="s">
        <v>1933</v>
      </c>
      <c r="G8" s="338" t="s">
        <v>5242</v>
      </c>
      <c r="H8" s="16">
        <v>46143</v>
      </c>
      <c r="I8" s="115">
        <v>46013</v>
      </c>
      <c r="J8" s="115">
        <v>46014</v>
      </c>
      <c r="K8" s="115"/>
      <c r="L8" s="115"/>
      <c r="M8" s="115"/>
      <c r="N8" s="115" t="s">
        <v>878</v>
      </c>
      <c r="O8" s="16" t="s">
        <v>5266</v>
      </c>
      <c r="P8" s="6" t="s">
        <v>5267</v>
      </c>
      <c r="T8" s="7" t="s">
        <v>22</v>
      </c>
      <c r="U8" s="381" t="s">
        <v>5032</v>
      </c>
      <c r="V8" s="16">
        <v>46138</v>
      </c>
      <c r="W8" s="16">
        <v>46149</v>
      </c>
      <c r="X8" s="4" t="s">
        <v>5268</v>
      </c>
      <c r="Z8" s="30" t="s">
        <v>54</v>
      </c>
      <c r="AA8" s="8">
        <v>46174</v>
      </c>
      <c r="AE8" s="21">
        <v>20760168</v>
      </c>
    </row>
    <row r="9" spans="1:34" ht="56.25" hidden="1">
      <c r="A9" s="9">
        <f t="shared" ca="1" si="0"/>
        <v>51</v>
      </c>
      <c r="B9" s="31">
        <v>46010</v>
      </c>
      <c r="C9" s="11" t="s">
        <v>27</v>
      </c>
      <c r="D9" s="2" t="s">
        <v>4027</v>
      </c>
      <c r="E9" s="11" t="s">
        <v>4028</v>
      </c>
      <c r="F9" s="30" t="s">
        <v>1933</v>
      </c>
      <c r="G9" s="338" t="s">
        <v>5243</v>
      </c>
      <c r="H9" s="16">
        <v>46143</v>
      </c>
      <c r="I9" s="115">
        <v>46013</v>
      </c>
      <c r="J9" s="115">
        <v>46014</v>
      </c>
      <c r="K9" s="115"/>
      <c r="L9" s="6"/>
      <c r="M9" s="6"/>
      <c r="N9" s="6"/>
      <c r="P9" s="6"/>
      <c r="T9" s="7" t="s">
        <v>22</v>
      </c>
      <c r="U9" s="381"/>
      <c r="Z9" s="30" t="s">
        <v>54</v>
      </c>
      <c r="AE9" s="21">
        <v>20760168</v>
      </c>
    </row>
    <row r="10" spans="1:34" ht="104.25" hidden="1" customHeight="1">
      <c r="A10" s="9">
        <f t="shared" ca="1" si="0"/>
        <v>20</v>
      </c>
      <c r="B10" s="31">
        <v>46010</v>
      </c>
      <c r="C10" s="11" t="s">
        <v>27</v>
      </c>
      <c r="D10" s="2" t="s">
        <v>4027</v>
      </c>
      <c r="E10" s="11" t="s">
        <v>4028</v>
      </c>
      <c r="F10" s="30" t="s">
        <v>1933</v>
      </c>
      <c r="G10" s="338" t="s">
        <v>5244</v>
      </c>
      <c r="H10" s="16">
        <v>46174</v>
      </c>
      <c r="I10" s="115">
        <v>46013</v>
      </c>
      <c r="J10" s="115">
        <v>46014</v>
      </c>
      <c r="K10" s="115"/>
      <c r="P10" s="6"/>
      <c r="T10" s="7" t="s">
        <v>22</v>
      </c>
      <c r="U10" s="375"/>
      <c r="Z10" s="30" t="s">
        <v>54</v>
      </c>
      <c r="AA10" s="8">
        <v>46204</v>
      </c>
      <c r="AE10" s="21">
        <v>20760168</v>
      </c>
    </row>
    <row r="11" spans="1:34" ht="161.25" hidden="1" customHeight="1">
      <c r="A11" s="9">
        <f t="shared" ca="1" si="0"/>
        <v>51</v>
      </c>
      <c r="B11" s="31">
        <v>46010</v>
      </c>
      <c r="C11" s="11" t="s">
        <v>27</v>
      </c>
      <c r="D11" s="2" t="s">
        <v>4029</v>
      </c>
      <c r="E11" s="11" t="s">
        <v>4030</v>
      </c>
      <c r="F11" s="30" t="s">
        <v>1933</v>
      </c>
      <c r="G11" s="30" t="s">
        <v>3357</v>
      </c>
      <c r="H11" s="16">
        <v>46143</v>
      </c>
      <c r="I11" s="115">
        <v>46013</v>
      </c>
      <c r="J11" s="115">
        <v>46014</v>
      </c>
      <c r="K11" s="115"/>
      <c r="L11" s="115"/>
      <c r="M11" s="115"/>
      <c r="N11" s="115"/>
      <c r="O11" s="16" t="s">
        <v>5272</v>
      </c>
      <c r="P11" s="115">
        <v>46154</v>
      </c>
      <c r="R11" s="6"/>
      <c r="T11" s="7" t="s">
        <v>22</v>
      </c>
      <c r="U11" s="202" t="s">
        <v>5032</v>
      </c>
      <c r="V11" s="16">
        <v>46138</v>
      </c>
      <c r="W11" s="16">
        <v>46149</v>
      </c>
      <c r="X11" s="4" t="s">
        <v>5268</v>
      </c>
      <c r="Z11" s="30" t="s">
        <v>54</v>
      </c>
      <c r="AA11" s="8">
        <v>46174</v>
      </c>
      <c r="AE11" s="21">
        <v>3978979.2</v>
      </c>
    </row>
    <row r="12" spans="1:34" ht="37.5" hidden="1">
      <c r="A12" s="9">
        <f t="shared" ca="1" si="0"/>
        <v>20</v>
      </c>
      <c r="B12" s="31">
        <v>46010</v>
      </c>
      <c r="C12" s="11" t="s">
        <v>27</v>
      </c>
      <c r="D12" s="2" t="s">
        <v>4029</v>
      </c>
      <c r="E12" s="11" t="s">
        <v>4030</v>
      </c>
      <c r="F12" s="30" t="s">
        <v>1933</v>
      </c>
      <c r="G12" s="30" t="s">
        <v>4054</v>
      </c>
      <c r="H12" s="16">
        <v>46174</v>
      </c>
      <c r="I12" s="115">
        <v>46013</v>
      </c>
      <c r="J12" s="115">
        <v>46014</v>
      </c>
      <c r="K12" s="115"/>
      <c r="P12" s="6"/>
      <c r="R12" s="6"/>
      <c r="T12" s="7" t="s">
        <v>22</v>
      </c>
      <c r="Z12" s="30" t="s">
        <v>54</v>
      </c>
      <c r="AA12" s="8">
        <v>46204</v>
      </c>
      <c r="AE12" s="21">
        <v>3978979.2</v>
      </c>
    </row>
    <row r="13" spans="1:34" ht="122.25" hidden="1" customHeight="1">
      <c r="A13" s="9" t="e">
        <f t="shared" ca="1" si="0"/>
        <v>#VALUE!</v>
      </c>
      <c r="B13" s="31">
        <v>46010</v>
      </c>
      <c r="C13" s="11" t="s">
        <v>27</v>
      </c>
      <c r="D13" s="2" t="s">
        <v>4056</v>
      </c>
      <c r="E13" s="11" t="s">
        <v>4057</v>
      </c>
      <c r="F13" s="30" t="s">
        <v>74</v>
      </c>
      <c r="G13" s="30" t="s">
        <v>5251</v>
      </c>
      <c r="H13" s="16" t="s">
        <v>4770</v>
      </c>
      <c r="I13" s="115">
        <v>46013</v>
      </c>
      <c r="J13" s="115">
        <v>46014</v>
      </c>
      <c r="K13" s="115"/>
      <c r="L13" s="115"/>
      <c r="M13" s="115"/>
      <c r="N13" s="389"/>
      <c r="P13" s="6"/>
      <c r="R13" s="6"/>
      <c r="T13" s="7" t="s">
        <v>22</v>
      </c>
      <c r="U13" s="388" t="s">
        <v>5250</v>
      </c>
      <c r="V13" s="16">
        <v>46182</v>
      </c>
      <c r="W13" s="16">
        <v>46187</v>
      </c>
      <c r="Z13" s="30" t="s">
        <v>54</v>
      </c>
      <c r="AA13" s="8">
        <v>46174</v>
      </c>
      <c r="AE13" s="21">
        <v>4839102.5199999996</v>
      </c>
    </row>
    <row r="14" spans="1:34" ht="56.25" hidden="1">
      <c r="A14" s="9">
        <f t="shared" ca="1" si="0"/>
        <v>90</v>
      </c>
      <c r="B14" s="31">
        <v>46010</v>
      </c>
      <c r="C14" s="11" t="s">
        <v>27</v>
      </c>
      <c r="D14" s="2" t="s">
        <v>4072</v>
      </c>
      <c r="E14" s="11" t="s">
        <v>4073</v>
      </c>
      <c r="F14" s="30" t="s">
        <v>4074</v>
      </c>
      <c r="G14" s="30" t="s">
        <v>4075</v>
      </c>
      <c r="H14" s="16">
        <v>46104</v>
      </c>
      <c r="I14" s="115">
        <v>46013</v>
      </c>
      <c r="J14" s="115">
        <v>46014</v>
      </c>
      <c r="K14" s="115"/>
      <c r="L14" s="115"/>
      <c r="M14" s="115">
        <v>46063</v>
      </c>
      <c r="N14" s="115"/>
      <c r="O14" s="115"/>
      <c r="P14" s="115"/>
      <c r="Q14" s="115"/>
      <c r="R14" s="115" t="s">
        <v>5423</v>
      </c>
      <c r="T14" s="7" t="s">
        <v>22</v>
      </c>
      <c r="U14" s="16" t="s">
        <v>5029</v>
      </c>
      <c r="V14" s="16">
        <v>46109</v>
      </c>
      <c r="W14" s="16" t="s">
        <v>5422</v>
      </c>
      <c r="X14" s="4" t="s">
        <v>4915</v>
      </c>
      <c r="Z14" s="30" t="s">
        <v>4076</v>
      </c>
      <c r="AA14" s="8">
        <v>46198</v>
      </c>
      <c r="AB14" s="26">
        <v>16111.5</v>
      </c>
      <c r="AH14" s="116">
        <v>16111.5</v>
      </c>
    </row>
    <row r="15" spans="1:34" ht="122.25" hidden="1" customHeight="1">
      <c r="A15" s="9" t="e">
        <f t="shared" ca="1" si="0"/>
        <v>#VALUE!</v>
      </c>
      <c r="B15" s="31">
        <v>46010</v>
      </c>
      <c r="C15" s="11" t="s">
        <v>27</v>
      </c>
      <c r="D15" s="2" t="s">
        <v>4056</v>
      </c>
      <c r="E15" s="11" t="s">
        <v>4057</v>
      </c>
      <c r="F15" s="30" t="s">
        <v>74</v>
      </c>
      <c r="G15" s="30" t="s">
        <v>5047</v>
      </c>
      <c r="H15" s="182" t="s">
        <v>5046</v>
      </c>
      <c r="I15" s="115">
        <v>46013</v>
      </c>
      <c r="J15" s="115">
        <v>46014</v>
      </c>
      <c r="K15" s="115"/>
      <c r="P15" s="6"/>
      <c r="T15" s="7" t="s">
        <v>22</v>
      </c>
      <c r="U15" s="388"/>
      <c r="Z15" s="30" t="s">
        <v>54</v>
      </c>
      <c r="AA15" s="8">
        <v>46204</v>
      </c>
      <c r="AE15" s="21">
        <v>4839102.5199999996</v>
      </c>
    </row>
    <row r="16" spans="1:34" ht="229.5" hidden="1" customHeight="1" thickBot="1">
      <c r="A16" s="9">
        <f t="shared" ca="1" si="0"/>
        <v>81</v>
      </c>
      <c r="B16" s="31">
        <v>46078</v>
      </c>
      <c r="C16" s="11" t="s">
        <v>27</v>
      </c>
      <c r="D16" s="2" t="s">
        <v>4550</v>
      </c>
      <c r="E16" s="11" t="s">
        <v>4551</v>
      </c>
      <c r="F16" s="30" t="s">
        <v>1933</v>
      </c>
      <c r="G16" s="30" t="s">
        <v>5245</v>
      </c>
      <c r="H16" s="16">
        <v>46113</v>
      </c>
      <c r="I16" s="115">
        <v>46079</v>
      </c>
      <c r="J16" s="115">
        <v>46079</v>
      </c>
      <c r="K16" s="115"/>
      <c r="L16" s="115"/>
      <c r="M16" s="115"/>
      <c r="N16" s="115"/>
      <c r="O16" s="115"/>
      <c r="P16" s="115">
        <v>46132</v>
      </c>
      <c r="Q16" s="115"/>
      <c r="R16" s="115"/>
      <c r="S16" s="115"/>
      <c r="T16" s="7" t="s">
        <v>22</v>
      </c>
      <c r="U16" s="376" t="s">
        <v>4822</v>
      </c>
      <c r="V16" s="16">
        <v>46120</v>
      </c>
      <c r="W16" s="16">
        <v>46129</v>
      </c>
      <c r="X16" s="4" t="s">
        <v>5265</v>
      </c>
      <c r="Z16" s="30" t="s">
        <v>54</v>
      </c>
      <c r="AA16" s="8">
        <v>46178</v>
      </c>
      <c r="AD16" s="10"/>
      <c r="AE16" s="26">
        <v>1147098.92</v>
      </c>
      <c r="AF16" s="10"/>
      <c r="AG16" s="10"/>
      <c r="AH16" s="10">
        <v>1147098.92</v>
      </c>
    </row>
    <row r="17" spans="1:34" ht="185.25" hidden="1" customHeight="1">
      <c r="A17" s="9">
        <f t="shared" ca="1" si="0"/>
        <v>51</v>
      </c>
      <c r="B17" s="31">
        <v>46078</v>
      </c>
      <c r="C17" s="11" t="s">
        <v>27</v>
      </c>
      <c r="D17" s="2" t="s">
        <v>4550</v>
      </c>
      <c r="E17" s="11" t="s">
        <v>4551</v>
      </c>
      <c r="F17" s="30" t="s">
        <v>1933</v>
      </c>
      <c r="G17" s="30" t="s">
        <v>4552</v>
      </c>
      <c r="H17" s="16">
        <v>46143</v>
      </c>
      <c r="I17" s="115">
        <v>46079</v>
      </c>
      <c r="J17" s="115">
        <v>46079</v>
      </c>
      <c r="K17" s="115"/>
      <c r="L17" s="115"/>
      <c r="M17" s="115"/>
      <c r="N17" s="115"/>
      <c r="O17" s="16" t="s">
        <v>5269</v>
      </c>
      <c r="P17" s="6" t="s">
        <v>5270</v>
      </c>
      <c r="T17" s="7" t="s">
        <v>22</v>
      </c>
      <c r="U17" s="381" t="s">
        <v>5032</v>
      </c>
      <c r="V17" s="16">
        <v>46138</v>
      </c>
      <c r="W17" s="16">
        <v>46149</v>
      </c>
      <c r="X17" s="4" t="s">
        <v>5271</v>
      </c>
      <c r="Z17" s="30" t="s">
        <v>54</v>
      </c>
      <c r="AA17" s="8">
        <v>46174</v>
      </c>
      <c r="AD17" s="10"/>
      <c r="AE17" s="10">
        <v>1064624</v>
      </c>
      <c r="AF17" s="10"/>
      <c r="AG17" s="10"/>
      <c r="AH17" s="10"/>
    </row>
    <row r="18" spans="1:34" ht="122.25" hidden="1" customHeight="1" thickBot="1">
      <c r="A18" s="9">
        <f t="shared" ca="1" si="0"/>
        <v>20</v>
      </c>
      <c r="B18" s="31">
        <v>46078</v>
      </c>
      <c r="C18" s="11" t="s">
        <v>27</v>
      </c>
      <c r="D18" s="2" t="s">
        <v>4550</v>
      </c>
      <c r="E18" s="11" t="s">
        <v>4551</v>
      </c>
      <c r="F18" s="30" t="s">
        <v>1933</v>
      </c>
      <c r="G18" s="30" t="s">
        <v>4553</v>
      </c>
      <c r="H18" s="16">
        <v>46174</v>
      </c>
      <c r="I18" s="115">
        <v>46079</v>
      </c>
      <c r="J18" s="115">
        <v>46079</v>
      </c>
      <c r="K18" s="115"/>
      <c r="P18" s="6"/>
      <c r="T18" s="7" t="s">
        <v>22</v>
      </c>
      <c r="U18" s="28"/>
      <c r="Z18" s="30" t="s">
        <v>54</v>
      </c>
      <c r="AA18" s="8">
        <v>46204</v>
      </c>
      <c r="AD18" s="10"/>
      <c r="AE18" s="10">
        <v>1596936</v>
      </c>
      <c r="AF18" s="10"/>
      <c r="AG18" s="10"/>
      <c r="AH18" s="10"/>
    </row>
    <row r="19" spans="1:34" ht="122.25" hidden="1" customHeight="1" thickBot="1">
      <c r="A19" s="9">
        <f t="shared" ca="1" si="0"/>
        <v>58</v>
      </c>
      <c r="B19" s="31">
        <v>46078</v>
      </c>
      <c r="C19" s="11" t="s">
        <v>27</v>
      </c>
      <c r="D19" s="2" t="s">
        <v>4554</v>
      </c>
      <c r="E19" s="11" t="s">
        <v>4555</v>
      </c>
      <c r="F19" s="30" t="s">
        <v>1933</v>
      </c>
      <c r="G19" s="30" t="s">
        <v>5273</v>
      </c>
      <c r="H19" s="16">
        <v>46136</v>
      </c>
      <c r="I19" s="115">
        <v>46079</v>
      </c>
      <c r="J19" s="115">
        <v>46079</v>
      </c>
      <c r="K19" s="115"/>
      <c r="L19" s="115"/>
      <c r="M19" s="115"/>
      <c r="N19" s="115"/>
      <c r="P19" s="6"/>
      <c r="T19" s="7" t="s">
        <v>22</v>
      </c>
      <c r="U19" s="374" t="s">
        <v>5202</v>
      </c>
      <c r="V19" s="16">
        <v>46157</v>
      </c>
      <c r="W19" s="16">
        <v>46171</v>
      </c>
      <c r="Z19" s="30" t="s">
        <v>54</v>
      </c>
      <c r="AA19" s="8">
        <v>46166</v>
      </c>
      <c r="AD19" s="10"/>
      <c r="AE19" s="10">
        <v>532312</v>
      </c>
      <c r="AF19" s="10"/>
      <c r="AG19" s="10"/>
      <c r="AH19" s="10"/>
    </row>
    <row r="20" spans="1:34" ht="122.25" hidden="1" customHeight="1" thickBot="1">
      <c r="A20" s="9">
        <f t="shared" ca="1" si="0"/>
        <v>112</v>
      </c>
      <c r="B20" s="31">
        <v>45938</v>
      </c>
      <c r="C20" s="11" t="s">
        <v>27</v>
      </c>
      <c r="D20" s="2" t="s">
        <v>3358</v>
      </c>
      <c r="E20" s="11" t="s">
        <v>3354</v>
      </c>
      <c r="F20" s="30" t="s">
        <v>1933</v>
      </c>
      <c r="G20" s="30" t="s">
        <v>4625</v>
      </c>
      <c r="H20" s="16">
        <v>46082</v>
      </c>
      <c r="I20" s="115"/>
      <c r="J20" s="115"/>
      <c r="K20" s="115"/>
      <c r="L20" s="115"/>
      <c r="M20" s="115"/>
      <c r="N20" s="115" t="s">
        <v>878</v>
      </c>
      <c r="O20" s="115"/>
      <c r="P20" s="115">
        <v>46099</v>
      </c>
      <c r="Q20" s="115" t="s">
        <v>4824</v>
      </c>
      <c r="R20" s="115" t="s">
        <v>4919</v>
      </c>
      <c r="T20" s="7" t="s">
        <v>22</v>
      </c>
      <c r="U20" s="374" t="s">
        <v>4622</v>
      </c>
      <c r="V20" s="16">
        <v>46090</v>
      </c>
      <c r="W20" s="16">
        <v>46101</v>
      </c>
      <c r="X20" s="4" t="s">
        <v>4947</v>
      </c>
      <c r="Z20" s="30" t="s">
        <v>3352</v>
      </c>
      <c r="AA20" s="8">
        <v>46153</v>
      </c>
      <c r="AE20" s="178">
        <v>5267712.83</v>
      </c>
      <c r="AH20" s="116">
        <v>5267712.83</v>
      </c>
    </row>
    <row r="21" spans="1:34" ht="122.25" hidden="1" customHeight="1">
      <c r="A21" s="62">
        <f t="shared" ca="1" si="0"/>
        <v>22</v>
      </c>
      <c r="B21" s="31">
        <v>46085</v>
      </c>
      <c r="C21" s="11" t="s">
        <v>27</v>
      </c>
      <c r="D21" s="2" t="s">
        <v>4675</v>
      </c>
      <c r="E21" s="11" t="s">
        <v>4676</v>
      </c>
      <c r="F21" s="30" t="s">
        <v>4677</v>
      </c>
      <c r="G21" s="30" t="s">
        <v>4678</v>
      </c>
      <c r="H21" s="16">
        <v>46172</v>
      </c>
      <c r="I21" s="115">
        <v>46097</v>
      </c>
      <c r="J21" s="115">
        <v>46097</v>
      </c>
      <c r="K21" s="115">
        <v>46101</v>
      </c>
      <c r="L21" s="384"/>
      <c r="M21" s="115"/>
      <c r="N21" s="115" t="s">
        <v>5346</v>
      </c>
      <c r="O21" s="115"/>
      <c r="P21" s="115"/>
      <c r="Q21" s="16" t="s">
        <v>860</v>
      </c>
      <c r="R21" s="16" t="s">
        <v>5424</v>
      </c>
      <c r="T21" s="7" t="s">
        <v>20</v>
      </c>
      <c r="U21" s="16" t="s">
        <v>5347</v>
      </c>
      <c r="V21" s="16">
        <v>46170</v>
      </c>
      <c r="W21" s="16">
        <v>46182</v>
      </c>
      <c r="X21" s="84" t="s">
        <v>5348</v>
      </c>
      <c r="Z21" s="30" t="s">
        <v>4337</v>
      </c>
      <c r="AA21" s="8">
        <v>46228</v>
      </c>
      <c r="AC21" s="10">
        <v>1354.5</v>
      </c>
      <c r="AD21" s="10"/>
      <c r="AE21" s="10"/>
      <c r="AF21" s="10"/>
      <c r="AG21" s="10"/>
      <c r="AH21" s="10"/>
    </row>
    <row r="22" spans="1:34" ht="72.75" hidden="1" customHeight="1">
      <c r="A22" s="9">
        <f t="shared" ca="1" si="0"/>
        <v>22</v>
      </c>
      <c r="B22" s="31">
        <v>46097</v>
      </c>
      <c r="C22" s="11" t="s">
        <v>27</v>
      </c>
      <c r="D22" s="2" t="s">
        <v>4697</v>
      </c>
      <c r="E22" s="11" t="s">
        <v>4698</v>
      </c>
      <c r="F22" s="30" t="s">
        <v>4699</v>
      </c>
      <c r="G22" s="30" t="s">
        <v>4700</v>
      </c>
      <c r="H22" s="16">
        <v>46172</v>
      </c>
      <c r="I22" s="115">
        <v>46098</v>
      </c>
      <c r="J22" s="115">
        <v>46098</v>
      </c>
      <c r="K22" s="115">
        <v>46094</v>
      </c>
      <c r="L22" s="115"/>
      <c r="M22" s="115" t="s">
        <v>5112</v>
      </c>
      <c r="N22" s="115"/>
      <c r="O22" s="16" t="s">
        <v>5349</v>
      </c>
      <c r="Q22" s="16" t="s">
        <v>860</v>
      </c>
      <c r="T22" s="7" t="s">
        <v>20</v>
      </c>
      <c r="U22" s="397" t="s">
        <v>5426</v>
      </c>
      <c r="V22" s="16">
        <v>46170</v>
      </c>
      <c r="W22" s="16">
        <v>46207</v>
      </c>
      <c r="X22" s="4" t="s">
        <v>5425</v>
      </c>
      <c r="Z22" s="30" t="s">
        <v>5119</v>
      </c>
      <c r="AC22" s="10">
        <v>3240</v>
      </c>
      <c r="AH22" s="116">
        <v>1620</v>
      </c>
    </row>
    <row r="23" spans="1:34" ht="122.25" hidden="1" customHeight="1">
      <c r="A23" s="150" t="e">
        <f t="shared" ca="1" si="0"/>
        <v>#VALUE!</v>
      </c>
      <c r="B23" s="147">
        <v>46105</v>
      </c>
      <c r="C23" s="148" t="s">
        <v>27</v>
      </c>
      <c r="D23" s="34" t="s">
        <v>4845</v>
      </c>
      <c r="E23" s="148" t="s">
        <v>4846</v>
      </c>
      <c r="F23" s="125" t="s">
        <v>74</v>
      </c>
      <c r="G23" s="125" t="s">
        <v>5049</v>
      </c>
      <c r="H23" s="16" t="s">
        <v>5048</v>
      </c>
      <c r="I23" s="115">
        <v>46108</v>
      </c>
      <c r="J23" s="115">
        <v>46111</v>
      </c>
      <c r="K23" s="115">
        <v>46111</v>
      </c>
      <c r="L23" s="6"/>
      <c r="T23" s="7" t="s">
        <v>22</v>
      </c>
      <c r="Z23" s="30" t="s">
        <v>54</v>
      </c>
      <c r="AA23" s="8">
        <v>46258</v>
      </c>
      <c r="AD23" s="10"/>
      <c r="AE23" s="10">
        <f>390460+29163.7</f>
        <v>419623.7</v>
      </c>
      <c r="AF23" s="10"/>
      <c r="AG23" s="10"/>
      <c r="AH23" s="10"/>
    </row>
    <row r="24" spans="1:34" ht="122.25" hidden="1" customHeight="1">
      <c r="A24" s="382" t="e">
        <f t="shared" ca="1" si="0"/>
        <v>#VALUE!</v>
      </c>
      <c r="B24" s="147">
        <v>46105</v>
      </c>
      <c r="C24" s="148" t="s">
        <v>27</v>
      </c>
      <c r="D24" s="34" t="s">
        <v>4845</v>
      </c>
      <c r="E24" s="148" t="s">
        <v>4846</v>
      </c>
      <c r="F24" s="125" t="s">
        <v>74</v>
      </c>
      <c r="G24" s="125" t="s">
        <v>5254</v>
      </c>
      <c r="H24" s="16" t="s">
        <v>5050</v>
      </c>
      <c r="I24" s="115">
        <v>46108</v>
      </c>
      <c r="J24" s="115">
        <v>46111</v>
      </c>
      <c r="K24" s="115">
        <v>46111</v>
      </c>
      <c r="L24" s="6"/>
      <c r="T24" s="7" t="s">
        <v>22</v>
      </c>
      <c r="Z24" s="30" t="s">
        <v>54</v>
      </c>
      <c r="AA24" s="8">
        <v>46289</v>
      </c>
      <c r="AD24" s="10"/>
      <c r="AE24" s="10">
        <v>4290484.32</v>
      </c>
      <c r="AF24" s="10"/>
      <c r="AG24" s="10"/>
      <c r="AH24" s="10"/>
    </row>
    <row r="25" spans="1:34" ht="56.25" hidden="1">
      <c r="A25" s="62" t="e">
        <f t="shared" ca="1" si="0"/>
        <v>#VALUE!</v>
      </c>
      <c r="B25" s="31">
        <v>46105</v>
      </c>
      <c r="C25" s="11" t="s">
        <v>27</v>
      </c>
      <c r="D25" s="2" t="s">
        <v>4847</v>
      </c>
      <c r="E25" s="11" t="s">
        <v>4848</v>
      </c>
      <c r="F25" s="30" t="s">
        <v>1933</v>
      </c>
      <c r="G25" s="30" t="s">
        <v>5246</v>
      </c>
      <c r="H25" s="182" t="s">
        <v>5034</v>
      </c>
      <c r="I25" s="115">
        <v>46108</v>
      </c>
      <c r="J25" s="115">
        <v>46111</v>
      </c>
      <c r="K25" s="115">
        <v>46111</v>
      </c>
      <c r="L25" s="6"/>
      <c r="T25" s="7" t="s">
        <v>22</v>
      </c>
      <c r="X25" s="227"/>
      <c r="Z25" s="30" t="s">
        <v>54</v>
      </c>
      <c r="AA25" s="8">
        <v>46235</v>
      </c>
      <c r="AD25" s="10"/>
      <c r="AE25" s="10">
        <v>39391088</v>
      </c>
      <c r="AF25" s="10"/>
      <c r="AG25" s="10"/>
      <c r="AH25" s="10"/>
    </row>
    <row r="26" spans="1:34" ht="131.25" hidden="1">
      <c r="A26" s="62">
        <f t="shared" ca="1" si="0"/>
        <v>-10</v>
      </c>
      <c r="B26" s="31">
        <v>46105</v>
      </c>
      <c r="C26" s="11" t="s">
        <v>27</v>
      </c>
      <c r="D26" s="2" t="s">
        <v>4847</v>
      </c>
      <c r="E26" s="11" t="s">
        <v>4848</v>
      </c>
      <c r="F26" s="30" t="s">
        <v>1933</v>
      </c>
      <c r="G26" s="30" t="s">
        <v>5247</v>
      </c>
      <c r="H26" s="16">
        <v>46204</v>
      </c>
      <c r="I26" s="115">
        <v>46108</v>
      </c>
      <c r="J26" s="115">
        <v>46111</v>
      </c>
      <c r="K26" s="115">
        <v>46111</v>
      </c>
      <c r="L26" s="6"/>
      <c r="T26" s="7" t="s">
        <v>22</v>
      </c>
      <c r="X26" s="227"/>
      <c r="Z26" s="30" t="s">
        <v>54</v>
      </c>
      <c r="AA26" s="8">
        <v>46235</v>
      </c>
      <c r="AD26" s="10"/>
      <c r="AE26" s="10">
        <v>39391088</v>
      </c>
      <c r="AF26" s="10"/>
      <c r="AG26" s="10"/>
      <c r="AH26" s="10"/>
    </row>
    <row r="27" spans="1:34" ht="112.5" hidden="1">
      <c r="A27" s="62">
        <f t="shared" ca="1" si="0"/>
        <v>-41</v>
      </c>
      <c r="B27" s="31">
        <v>46105</v>
      </c>
      <c r="C27" s="11" t="s">
        <v>27</v>
      </c>
      <c r="D27" s="2" t="s">
        <v>4847</v>
      </c>
      <c r="E27" s="11" t="s">
        <v>4848</v>
      </c>
      <c r="F27" s="30" t="s">
        <v>1933</v>
      </c>
      <c r="G27" s="30" t="s">
        <v>5035</v>
      </c>
      <c r="H27" s="16">
        <v>46235</v>
      </c>
      <c r="I27" s="115">
        <v>46108</v>
      </c>
      <c r="J27" s="115">
        <v>46111</v>
      </c>
      <c r="K27" s="115">
        <v>46111</v>
      </c>
      <c r="L27" s="6"/>
      <c r="T27" s="7" t="s">
        <v>22</v>
      </c>
      <c r="Z27" s="30" t="s">
        <v>54</v>
      </c>
      <c r="AA27" s="8">
        <v>46266</v>
      </c>
      <c r="AD27" s="10"/>
      <c r="AE27" s="10">
        <v>39391088</v>
      </c>
      <c r="AF27" s="10"/>
      <c r="AG27" s="10"/>
      <c r="AH27" s="10"/>
    </row>
    <row r="28" spans="1:34" ht="189.75" hidden="1" customHeight="1">
      <c r="A28" s="62">
        <f t="shared" ca="1" si="0"/>
        <v>-72</v>
      </c>
      <c r="B28" s="31">
        <v>46105</v>
      </c>
      <c r="C28" s="11" t="s">
        <v>27</v>
      </c>
      <c r="D28" s="2" t="s">
        <v>4847</v>
      </c>
      <c r="E28" s="11" t="s">
        <v>4848</v>
      </c>
      <c r="F28" s="30" t="s">
        <v>1933</v>
      </c>
      <c r="G28" s="30" t="s">
        <v>5248</v>
      </c>
      <c r="H28" s="16">
        <v>46266</v>
      </c>
      <c r="I28" s="115">
        <v>46108</v>
      </c>
      <c r="J28" s="115">
        <v>46111</v>
      </c>
      <c r="K28" s="115">
        <v>46111</v>
      </c>
      <c r="L28" s="6"/>
      <c r="T28" s="7" t="s">
        <v>22</v>
      </c>
      <c r="Z28" s="30" t="s">
        <v>54</v>
      </c>
      <c r="AA28" s="8">
        <v>46296</v>
      </c>
      <c r="AD28" s="10"/>
      <c r="AE28" s="10">
        <v>39391088</v>
      </c>
      <c r="AF28" s="10"/>
      <c r="AG28" s="10"/>
      <c r="AH28" s="10"/>
    </row>
    <row r="29" spans="1:34" ht="122.25" hidden="1" customHeight="1">
      <c r="A29" s="62">
        <f t="shared" ca="1" si="0"/>
        <v>-10</v>
      </c>
      <c r="B29" s="31">
        <v>46098</v>
      </c>
      <c r="C29" s="11" t="s">
        <v>27</v>
      </c>
      <c r="D29" s="2" t="s">
        <v>4849</v>
      </c>
      <c r="E29" s="11" t="s">
        <v>4850</v>
      </c>
      <c r="F29" s="30" t="s">
        <v>1933</v>
      </c>
      <c r="G29" s="30" t="s">
        <v>4851</v>
      </c>
      <c r="H29" s="16">
        <v>46204</v>
      </c>
      <c r="I29" s="115">
        <v>46108</v>
      </c>
      <c r="J29" s="115">
        <v>46111</v>
      </c>
      <c r="K29" s="115">
        <v>46111</v>
      </c>
      <c r="L29" s="6"/>
      <c r="T29" s="7" t="s">
        <v>22</v>
      </c>
      <c r="Z29" s="30" t="s">
        <v>54</v>
      </c>
      <c r="AA29" s="8">
        <v>46235</v>
      </c>
      <c r="AD29" s="10"/>
      <c r="AE29" s="10">
        <v>6319555.2000000002</v>
      </c>
      <c r="AF29" s="10"/>
      <c r="AG29" s="10"/>
      <c r="AH29" s="10"/>
    </row>
    <row r="30" spans="1:34" ht="122.25" hidden="1" customHeight="1">
      <c r="A30" s="62">
        <f t="shared" ca="1" si="0"/>
        <v>-41</v>
      </c>
      <c r="B30" s="31">
        <v>46098</v>
      </c>
      <c r="C30" s="11" t="s">
        <v>27</v>
      </c>
      <c r="D30" s="2" t="s">
        <v>4849</v>
      </c>
      <c r="E30" s="11" t="s">
        <v>4850</v>
      </c>
      <c r="F30" s="30" t="s">
        <v>1933</v>
      </c>
      <c r="G30" s="30" t="s">
        <v>3356</v>
      </c>
      <c r="H30" s="16">
        <v>46235</v>
      </c>
      <c r="I30" s="115">
        <v>46108</v>
      </c>
      <c r="J30" s="115">
        <v>46111</v>
      </c>
      <c r="K30" s="115">
        <v>46111</v>
      </c>
      <c r="L30" s="6"/>
      <c r="T30" s="7" t="s">
        <v>22</v>
      </c>
      <c r="Z30" s="30" t="s">
        <v>54</v>
      </c>
      <c r="AA30" s="8">
        <v>46266</v>
      </c>
      <c r="AD30" s="10"/>
      <c r="AE30" s="10">
        <v>6319555.2000000002</v>
      </c>
      <c r="AF30" s="10"/>
      <c r="AG30" s="10"/>
      <c r="AH30" s="10"/>
    </row>
    <row r="31" spans="1:34" ht="122.25" hidden="1" customHeight="1">
      <c r="A31" s="62">
        <f t="shared" ca="1" si="0"/>
        <v>-72</v>
      </c>
      <c r="B31" s="31">
        <v>46098</v>
      </c>
      <c r="C31" s="11" t="s">
        <v>27</v>
      </c>
      <c r="D31" s="2" t="s">
        <v>4849</v>
      </c>
      <c r="E31" s="11" t="s">
        <v>4850</v>
      </c>
      <c r="F31" s="30" t="s">
        <v>1933</v>
      </c>
      <c r="G31" s="30" t="s">
        <v>4852</v>
      </c>
      <c r="H31" s="16">
        <v>46266</v>
      </c>
      <c r="I31" s="115">
        <v>46108</v>
      </c>
      <c r="J31" s="115">
        <v>46111</v>
      </c>
      <c r="K31" s="115">
        <v>46111</v>
      </c>
      <c r="L31" s="6"/>
      <c r="T31" s="7" t="s">
        <v>22</v>
      </c>
      <c r="Z31" s="30" t="s">
        <v>54</v>
      </c>
      <c r="AA31" s="8">
        <v>46296</v>
      </c>
      <c r="AD31" s="10"/>
      <c r="AE31" s="10">
        <v>6319555.2000000002</v>
      </c>
      <c r="AF31" s="10"/>
      <c r="AG31" s="10"/>
      <c r="AH31" s="10"/>
    </row>
    <row r="32" spans="1:34" ht="122.25" hidden="1" customHeight="1">
      <c r="A32" s="62">
        <f t="shared" ca="1" si="0"/>
        <v>11</v>
      </c>
      <c r="B32" s="31">
        <v>46108</v>
      </c>
      <c r="C32" s="11" t="s">
        <v>27</v>
      </c>
      <c r="D32" s="2" t="s">
        <v>4853</v>
      </c>
      <c r="E32" s="11" t="s">
        <v>4854</v>
      </c>
      <c r="F32" s="125" t="s">
        <v>4855</v>
      </c>
      <c r="G32" s="30" t="s">
        <v>4856</v>
      </c>
      <c r="H32" s="16">
        <v>46183</v>
      </c>
      <c r="I32" s="115">
        <v>46108</v>
      </c>
      <c r="J32" s="115">
        <v>46111</v>
      </c>
      <c r="K32" s="115"/>
      <c r="L32" s="115"/>
      <c r="M32" s="115"/>
      <c r="N32" s="115" t="s">
        <v>5350</v>
      </c>
      <c r="O32" s="16" t="s">
        <v>5428</v>
      </c>
      <c r="P32" s="115"/>
      <c r="T32" s="7" t="s">
        <v>20</v>
      </c>
      <c r="U32" s="398" t="s">
        <v>5427</v>
      </c>
      <c r="V32" s="16">
        <v>46178</v>
      </c>
      <c r="W32" s="16">
        <v>46215</v>
      </c>
      <c r="Z32" s="30" t="s">
        <v>54</v>
      </c>
      <c r="AA32" s="8">
        <v>46220</v>
      </c>
      <c r="AC32" s="26">
        <v>4920</v>
      </c>
      <c r="AD32" s="10"/>
      <c r="AE32" s="10"/>
      <c r="AF32" s="10"/>
      <c r="AG32" s="10"/>
      <c r="AH32" s="10"/>
    </row>
    <row r="33" spans="1:35" ht="18.75" hidden="1">
      <c r="A33" s="394"/>
      <c r="B33" s="31">
        <v>46108</v>
      </c>
      <c r="C33" s="11" t="s">
        <v>27</v>
      </c>
      <c r="D33" s="2" t="s">
        <v>4857</v>
      </c>
      <c r="E33" s="11" t="s">
        <v>4858</v>
      </c>
      <c r="F33" s="30" t="s">
        <v>4859</v>
      </c>
      <c r="G33" s="30" t="s">
        <v>4860</v>
      </c>
      <c r="H33" s="16">
        <v>46183</v>
      </c>
      <c r="I33" s="115">
        <v>46108</v>
      </c>
      <c r="J33" s="115">
        <v>46111</v>
      </c>
      <c r="K33" s="115">
        <v>46111</v>
      </c>
      <c r="L33" s="115"/>
      <c r="M33" s="115" t="s">
        <v>5052</v>
      </c>
      <c r="N33" s="115"/>
      <c r="O33" s="115"/>
      <c r="P33" s="115">
        <v>46148</v>
      </c>
      <c r="Q33" s="115" t="s">
        <v>851</v>
      </c>
      <c r="R33" s="16" t="s">
        <v>5429</v>
      </c>
      <c r="T33" s="7" t="s">
        <v>20</v>
      </c>
      <c r="U33" s="16" t="s">
        <v>5193</v>
      </c>
      <c r="V33" s="16">
        <v>46161</v>
      </c>
      <c r="W33" s="16">
        <v>46185</v>
      </c>
      <c r="Z33" s="30" t="s">
        <v>55</v>
      </c>
      <c r="AA33" s="8">
        <v>46167</v>
      </c>
      <c r="AC33" s="26">
        <v>2445</v>
      </c>
      <c r="AD33" s="10"/>
      <c r="AE33" s="10"/>
      <c r="AF33" s="10"/>
      <c r="AG33" s="10"/>
      <c r="AH33" s="10">
        <v>2445</v>
      </c>
    </row>
    <row r="34" spans="1:35" ht="93.75" hidden="1">
      <c r="A34" s="62"/>
      <c r="B34" s="31">
        <v>46108</v>
      </c>
      <c r="C34" s="11" t="s">
        <v>27</v>
      </c>
      <c r="D34" s="2" t="s">
        <v>5436</v>
      </c>
      <c r="E34" s="11" t="s">
        <v>4861</v>
      </c>
      <c r="F34" s="30" t="s">
        <v>5053</v>
      </c>
      <c r="G34" s="30" t="s">
        <v>5295</v>
      </c>
      <c r="H34" s="16">
        <v>46183</v>
      </c>
      <c r="I34" s="115">
        <v>46108</v>
      </c>
      <c r="J34" s="115">
        <v>46111</v>
      </c>
      <c r="K34" s="115"/>
      <c r="L34" s="115"/>
      <c r="M34" s="115"/>
      <c r="N34" s="391"/>
      <c r="O34" s="16" t="s">
        <v>4962</v>
      </c>
      <c r="P34" s="115">
        <v>46155</v>
      </c>
      <c r="Q34" s="16" t="s">
        <v>860</v>
      </c>
      <c r="R34" s="16" t="s">
        <v>5429</v>
      </c>
      <c r="S34" s="390"/>
      <c r="T34" s="7" t="s">
        <v>20</v>
      </c>
      <c r="U34" s="16" t="s">
        <v>5193</v>
      </c>
      <c r="V34" s="16">
        <v>46161</v>
      </c>
      <c r="W34" s="16">
        <v>46185</v>
      </c>
      <c r="X34" s="4" t="s">
        <v>5430</v>
      </c>
      <c r="Z34" s="30" t="s">
        <v>103</v>
      </c>
      <c r="AA34" s="8">
        <v>46244</v>
      </c>
      <c r="AC34" s="10">
        <v>12162</v>
      </c>
      <c r="AD34" s="10"/>
      <c r="AE34" s="10"/>
      <c r="AF34" s="10"/>
      <c r="AG34" s="10"/>
      <c r="AH34" s="10"/>
    </row>
    <row r="35" spans="1:35" ht="122.25" hidden="1" customHeight="1">
      <c r="A35" s="9">
        <f t="shared" ref="A35:A41" ca="1" si="1">TODAY()-H35+1</f>
        <v>934</v>
      </c>
      <c r="B35" s="31">
        <v>44671</v>
      </c>
      <c r="C35" s="11" t="s">
        <v>694</v>
      </c>
      <c r="D35" s="11" t="s">
        <v>66</v>
      </c>
      <c r="E35" s="11" t="s">
        <v>67</v>
      </c>
      <c r="F35" s="32" t="s">
        <v>80</v>
      </c>
      <c r="G35" s="32" t="s">
        <v>3985</v>
      </c>
      <c r="H35" s="16">
        <v>45260</v>
      </c>
      <c r="I35" s="166"/>
      <c r="J35" s="167"/>
      <c r="K35" s="166"/>
      <c r="L35" s="166"/>
      <c r="M35" s="166"/>
      <c r="N35" s="166"/>
      <c r="O35" s="166"/>
      <c r="P35" s="168" t="s">
        <v>878</v>
      </c>
      <c r="Q35" s="168" t="s">
        <v>878</v>
      </c>
      <c r="R35" s="168" t="s">
        <v>878</v>
      </c>
      <c r="S35" s="168" t="s">
        <v>878</v>
      </c>
      <c r="T35" s="7" t="s">
        <v>28</v>
      </c>
      <c r="U35" s="2" t="s">
        <v>77</v>
      </c>
      <c r="X35" s="4" t="s">
        <v>319</v>
      </c>
      <c r="Y35" s="124"/>
      <c r="Z35" s="30" t="s">
        <v>68</v>
      </c>
      <c r="AA35" s="12"/>
      <c r="AB35" s="10">
        <v>140069</v>
      </c>
      <c r="AC35" s="44"/>
      <c r="AD35" s="10"/>
      <c r="AE35" s="10"/>
      <c r="AF35" s="10"/>
      <c r="AG35" s="36"/>
      <c r="AI35" s="124"/>
    </row>
    <row r="36" spans="1:35" ht="122.25" hidden="1" customHeight="1">
      <c r="A36" s="9" t="e">
        <f t="shared" ca="1" si="1"/>
        <v>#VALUE!</v>
      </c>
      <c r="B36" s="31">
        <v>45468</v>
      </c>
      <c r="C36" s="11" t="s">
        <v>694</v>
      </c>
      <c r="D36" s="2" t="s">
        <v>202</v>
      </c>
      <c r="E36" s="11" t="s">
        <v>203</v>
      </c>
      <c r="F36" s="30" t="s">
        <v>1461</v>
      </c>
      <c r="G36" s="85" t="s">
        <v>3069</v>
      </c>
      <c r="H36" s="16" t="s">
        <v>3719</v>
      </c>
      <c r="I36" s="115"/>
      <c r="J36" s="115"/>
      <c r="K36" s="115"/>
      <c r="L36" s="115"/>
      <c r="M36" s="115"/>
      <c r="N36" s="115" t="s">
        <v>3496</v>
      </c>
      <c r="O36" s="16" t="s">
        <v>4436</v>
      </c>
      <c r="T36" s="7" t="s">
        <v>22</v>
      </c>
      <c r="U36" s="2"/>
      <c r="V36" s="16" t="s">
        <v>19</v>
      </c>
      <c r="W36" s="16" t="s">
        <v>19</v>
      </c>
      <c r="X36" s="4" t="s">
        <v>3022</v>
      </c>
      <c r="Z36" s="30" t="s">
        <v>33</v>
      </c>
      <c r="AA36" s="8">
        <v>46204</v>
      </c>
      <c r="AB36" s="10">
        <f>377951.31-'CLOSE FOREIGN ORDER'!AB333</f>
        <v>275037.41000000003</v>
      </c>
    </row>
    <row r="37" spans="1:35" ht="122.25" hidden="1" customHeight="1">
      <c r="A37" s="9">
        <f t="shared" ca="1" si="1"/>
        <v>371</v>
      </c>
      <c r="B37" s="31">
        <v>45754</v>
      </c>
      <c r="C37" s="2" t="s">
        <v>694</v>
      </c>
      <c r="D37" s="2" t="s">
        <v>1466</v>
      </c>
      <c r="E37" s="11" t="s">
        <v>1467</v>
      </c>
      <c r="F37" s="30" t="s">
        <v>1468</v>
      </c>
      <c r="G37" s="30" t="s">
        <v>4437</v>
      </c>
      <c r="H37" s="16">
        <v>45823</v>
      </c>
      <c r="I37" s="115"/>
      <c r="J37" s="115"/>
      <c r="K37" s="115"/>
      <c r="L37" s="115"/>
      <c r="M37" s="115"/>
      <c r="N37" s="16" t="s">
        <v>5074</v>
      </c>
      <c r="T37" s="7" t="s">
        <v>22</v>
      </c>
      <c r="U37" s="31"/>
      <c r="V37" s="31"/>
      <c r="X37" s="4" t="s">
        <v>5075</v>
      </c>
      <c r="Z37" s="30" t="s">
        <v>1469</v>
      </c>
      <c r="AA37" s="8" t="s">
        <v>4535</v>
      </c>
      <c r="AB37" s="10">
        <v>36098.92</v>
      </c>
      <c r="AH37" s="23"/>
    </row>
    <row r="38" spans="1:35" ht="122.25" hidden="1" customHeight="1">
      <c r="A38" s="9">
        <f t="shared" ca="1" si="1"/>
        <v>57</v>
      </c>
      <c r="B38" s="31">
        <v>45947</v>
      </c>
      <c r="C38" s="11" t="s">
        <v>694</v>
      </c>
      <c r="D38" s="2" t="s">
        <v>3393</v>
      </c>
      <c r="E38" s="11" t="s">
        <v>3394</v>
      </c>
      <c r="F38" s="30" t="s">
        <v>44</v>
      </c>
      <c r="G38" s="30" t="s">
        <v>4745</v>
      </c>
      <c r="H38" s="16">
        <v>46137</v>
      </c>
      <c r="I38" s="115">
        <v>45951</v>
      </c>
      <c r="J38" s="115">
        <v>45951</v>
      </c>
      <c r="K38" s="115">
        <v>45952</v>
      </c>
      <c r="L38" s="115"/>
      <c r="M38" s="115">
        <v>46108</v>
      </c>
      <c r="N38" s="115" t="s">
        <v>4921</v>
      </c>
      <c r="O38" s="115"/>
      <c r="P38" s="115">
        <v>46126</v>
      </c>
      <c r="Q38" s="115">
        <v>46126</v>
      </c>
      <c r="R38" s="6" t="s">
        <v>5343</v>
      </c>
      <c r="T38" s="7" t="s">
        <v>22</v>
      </c>
      <c r="U38" s="16" t="s">
        <v>4909</v>
      </c>
      <c r="V38" s="16">
        <v>46112</v>
      </c>
      <c r="W38" s="16">
        <v>46145</v>
      </c>
      <c r="X38" s="334" t="s">
        <v>5229</v>
      </c>
      <c r="Z38" s="30" t="s">
        <v>54</v>
      </c>
      <c r="AA38" s="8">
        <v>46166</v>
      </c>
      <c r="AC38" s="26">
        <v>34737.120000000003</v>
      </c>
      <c r="AH38" s="116">
        <v>34737.120000000003</v>
      </c>
    </row>
    <row r="39" spans="1:35" ht="122.25" hidden="1" customHeight="1">
      <c r="A39" s="9">
        <f t="shared" ca="1" si="1"/>
        <v>57</v>
      </c>
      <c r="B39" s="31">
        <v>45947</v>
      </c>
      <c r="C39" s="11" t="s">
        <v>694</v>
      </c>
      <c r="D39" s="2" t="s">
        <v>3393</v>
      </c>
      <c r="E39" s="11" t="s">
        <v>3394</v>
      </c>
      <c r="F39" s="30" t="s">
        <v>44</v>
      </c>
      <c r="G39" s="30" t="s">
        <v>4744</v>
      </c>
      <c r="H39" s="16">
        <v>46137</v>
      </c>
      <c r="I39" s="115">
        <v>45951</v>
      </c>
      <c r="J39" s="115">
        <v>45951</v>
      </c>
      <c r="K39" s="115">
        <v>45952</v>
      </c>
      <c r="L39" s="115"/>
      <c r="M39" s="115"/>
      <c r="N39" s="115"/>
      <c r="O39" s="115"/>
      <c r="Q39" s="115">
        <v>46154</v>
      </c>
      <c r="R39" s="6"/>
      <c r="T39" s="7" t="s">
        <v>22</v>
      </c>
      <c r="U39" s="16" t="s">
        <v>5068</v>
      </c>
      <c r="V39" s="16">
        <v>46145</v>
      </c>
      <c r="W39" s="16">
        <v>46180</v>
      </c>
      <c r="X39" s="4" t="s">
        <v>5070</v>
      </c>
      <c r="Z39" s="30" t="s">
        <v>54</v>
      </c>
      <c r="AA39" s="8">
        <v>46188</v>
      </c>
      <c r="AC39" s="10">
        <v>29345.54</v>
      </c>
    </row>
    <row r="40" spans="1:35" ht="122.25" hidden="1" customHeight="1">
      <c r="A40" s="9">
        <f t="shared" ca="1" si="1"/>
        <v>140</v>
      </c>
      <c r="B40" s="31">
        <v>45947</v>
      </c>
      <c r="C40" s="11" t="s">
        <v>694</v>
      </c>
      <c r="D40" s="2" t="s">
        <v>3391</v>
      </c>
      <c r="E40" s="11" t="s">
        <v>3392</v>
      </c>
      <c r="F40" s="30" t="s">
        <v>105</v>
      </c>
      <c r="G40" s="30" t="s">
        <v>4599</v>
      </c>
      <c r="H40" s="16">
        <v>46054</v>
      </c>
      <c r="I40" s="115">
        <v>45951</v>
      </c>
      <c r="J40" s="115">
        <v>45951</v>
      </c>
      <c r="K40" s="115">
        <v>45952</v>
      </c>
      <c r="L40" s="115" t="s">
        <v>878</v>
      </c>
      <c r="M40" s="115"/>
      <c r="N40" s="115">
        <v>46120</v>
      </c>
      <c r="O40" s="115"/>
      <c r="P40" s="115">
        <v>46141</v>
      </c>
      <c r="Q40" s="115" t="s">
        <v>5091</v>
      </c>
      <c r="T40" s="7" t="s">
        <v>22</v>
      </c>
      <c r="U40" s="16" t="s">
        <v>4982</v>
      </c>
      <c r="V40" s="16">
        <v>46131</v>
      </c>
      <c r="W40" s="16">
        <v>46149</v>
      </c>
      <c r="Z40" s="30" t="s">
        <v>89</v>
      </c>
      <c r="AA40" s="8">
        <v>46180</v>
      </c>
      <c r="AB40" s="10">
        <v>28412.5</v>
      </c>
    </row>
    <row r="41" spans="1:35" ht="122.25" hidden="1" customHeight="1">
      <c r="A41" s="9">
        <f t="shared" ca="1" si="1"/>
        <v>140</v>
      </c>
      <c r="B41" s="31">
        <v>45947</v>
      </c>
      <c r="C41" s="11" t="s">
        <v>694</v>
      </c>
      <c r="D41" s="2" t="s">
        <v>3395</v>
      </c>
      <c r="E41" s="11" t="s">
        <v>3396</v>
      </c>
      <c r="F41" s="30" t="s">
        <v>5102</v>
      </c>
      <c r="G41" s="30" t="s">
        <v>5361</v>
      </c>
      <c r="H41" s="16">
        <v>46054</v>
      </c>
      <c r="I41" s="115">
        <v>45951</v>
      </c>
      <c r="J41" s="115">
        <v>45951</v>
      </c>
      <c r="K41" s="115">
        <v>45954</v>
      </c>
      <c r="L41" s="115"/>
      <c r="M41" s="115"/>
      <c r="N41" s="115" t="s">
        <v>5103</v>
      </c>
      <c r="O41" s="115"/>
      <c r="P41" s="115"/>
      <c r="T41" s="7" t="s">
        <v>22</v>
      </c>
      <c r="U41" s="16" t="s">
        <v>5292</v>
      </c>
      <c r="V41" s="16">
        <v>46151</v>
      </c>
      <c r="W41" s="16">
        <v>46179</v>
      </c>
      <c r="X41" s="4" t="s">
        <v>5137</v>
      </c>
      <c r="Z41" s="30" t="s">
        <v>46</v>
      </c>
      <c r="AA41" s="8">
        <v>46174</v>
      </c>
      <c r="AB41" s="26">
        <v>33440</v>
      </c>
      <c r="AH41" s="116">
        <v>33440</v>
      </c>
    </row>
    <row r="42" spans="1:35" ht="203.25" hidden="1" customHeight="1">
      <c r="B42" s="31">
        <v>45947</v>
      </c>
      <c r="C42" s="11" t="s">
        <v>694</v>
      </c>
      <c r="D42" s="2" t="s">
        <v>3402</v>
      </c>
      <c r="E42" s="11" t="s">
        <v>3403</v>
      </c>
      <c r="F42" s="30" t="s">
        <v>31</v>
      </c>
      <c r="G42" s="30" t="s">
        <v>3404</v>
      </c>
      <c r="H42" s="16">
        <v>46054</v>
      </c>
      <c r="I42" s="115">
        <v>45951</v>
      </c>
      <c r="J42" s="115">
        <v>45951</v>
      </c>
      <c r="K42" s="115">
        <v>45952</v>
      </c>
      <c r="L42" s="115"/>
      <c r="M42" s="115"/>
      <c r="N42" s="395" t="s">
        <v>5362</v>
      </c>
      <c r="O42" s="115"/>
      <c r="T42" s="16" t="s">
        <v>22</v>
      </c>
      <c r="U42" s="16"/>
      <c r="X42" s="4" t="s">
        <v>4954</v>
      </c>
      <c r="Z42" s="30" t="s">
        <v>61</v>
      </c>
      <c r="AA42" s="8">
        <v>46013</v>
      </c>
      <c r="AB42" s="22">
        <v>75169.919999999998</v>
      </c>
      <c r="AH42" s="116">
        <v>75169.919999999998</v>
      </c>
    </row>
    <row r="43" spans="1:35" ht="122.25" hidden="1" customHeight="1">
      <c r="A43" s="150">
        <f t="shared" ref="A43:A71" ca="1" si="2">TODAY()-H43+1</f>
        <v>157</v>
      </c>
      <c r="B43" s="31">
        <v>45974</v>
      </c>
      <c r="C43" s="11" t="s">
        <v>694</v>
      </c>
      <c r="D43" s="2" t="s">
        <v>3767</v>
      </c>
      <c r="E43" s="11" t="s">
        <v>3768</v>
      </c>
      <c r="F43" s="30" t="s">
        <v>4080</v>
      </c>
      <c r="G43" s="30" t="s">
        <v>4209</v>
      </c>
      <c r="H43" s="16">
        <v>46037</v>
      </c>
      <c r="I43" s="115">
        <v>45975</v>
      </c>
      <c r="J43" s="115">
        <v>45975</v>
      </c>
      <c r="K43" s="115">
        <v>45977</v>
      </c>
      <c r="L43" s="115" t="s">
        <v>3952</v>
      </c>
      <c r="M43" s="115" t="s">
        <v>4451</v>
      </c>
      <c r="N43" s="16" t="s">
        <v>5069</v>
      </c>
      <c r="T43" s="7" t="s">
        <v>22</v>
      </c>
      <c r="X43" s="4" t="s">
        <v>5342</v>
      </c>
      <c r="Z43" s="30" t="s">
        <v>61</v>
      </c>
      <c r="AA43" s="8">
        <v>45981</v>
      </c>
      <c r="AB43" s="22">
        <v>6000</v>
      </c>
      <c r="AH43" s="116">
        <v>6000</v>
      </c>
    </row>
    <row r="44" spans="1:35" ht="122.25" hidden="1" customHeight="1">
      <c r="A44" s="9">
        <f t="shared" ca="1" si="2"/>
        <v>112</v>
      </c>
      <c r="B44" s="31">
        <v>45996</v>
      </c>
      <c r="C44" s="11" t="s">
        <v>694</v>
      </c>
      <c r="D44" s="2" t="s">
        <v>3925</v>
      </c>
      <c r="E44" s="11" t="s">
        <v>3926</v>
      </c>
      <c r="F44" s="30" t="s">
        <v>105</v>
      </c>
      <c r="G44" s="30" t="s">
        <v>4980</v>
      </c>
      <c r="H44" s="16">
        <v>46082</v>
      </c>
      <c r="I44" s="115">
        <v>46000</v>
      </c>
      <c r="J44" s="115">
        <v>46000</v>
      </c>
      <c r="K44" s="115">
        <v>46001</v>
      </c>
      <c r="L44" s="115" t="s">
        <v>925</v>
      </c>
      <c r="M44" s="115"/>
      <c r="N44" s="115">
        <v>46120</v>
      </c>
      <c r="O44" s="115"/>
      <c r="P44" s="115">
        <v>46141</v>
      </c>
      <c r="Q44" s="115" t="s">
        <v>5091</v>
      </c>
      <c r="T44" s="7" t="s">
        <v>22</v>
      </c>
      <c r="U44" s="16" t="s">
        <v>4982</v>
      </c>
      <c r="V44" s="16">
        <v>46131</v>
      </c>
      <c r="W44" s="16">
        <v>46149</v>
      </c>
      <c r="Z44" s="30" t="s">
        <v>89</v>
      </c>
      <c r="AA44" s="8">
        <v>46180</v>
      </c>
      <c r="AB44" s="23">
        <v>54821.46</v>
      </c>
      <c r="AH44" s="116">
        <v>54821.46</v>
      </c>
    </row>
    <row r="45" spans="1:35" ht="168.75" hidden="1" customHeight="1">
      <c r="A45" s="9">
        <f t="shared" ca="1" si="2"/>
        <v>81</v>
      </c>
      <c r="B45" s="31">
        <v>46028</v>
      </c>
      <c r="C45" s="11" t="s">
        <v>694</v>
      </c>
      <c r="D45" s="2" t="s">
        <v>4118</v>
      </c>
      <c r="E45" s="11" t="s">
        <v>4119</v>
      </c>
      <c r="F45" s="30" t="s">
        <v>105</v>
      </c>
      <c r="G45" s="30" t="s">
        <v>5065</v>
      </c>
      <c r="H45" s="16">
        <v>46113</v>
      </c>
      <c r="I45" s="115">
        <v>46029</v>
      </c>
      <c r="J45" s="115">
        <v>46029</v>
      </c>
      <c r="K45" s="115">
        <v>46029</v>
      </c>
      <c r="L45" s="115" t="s">
        <v>2385</v>
      </c>
      <c r="M45" s="115"/>
      <c r="N45" s="115"/>
      <c r="O45" s="115"/>
      <c r="P45" s="115">
        <v>46154</v>
      </c>
      <c r="T45" s="7" t="s">
        <v>22</v>
      </c>
      <c r="U45" s="2" t="s">
        <v>5064</v>
      </c>
      <c r="V45" s="16">
        <v>46134</v>
      </c>
      <c r="W45" s="16">
        <v>46152</v>
      </c>
      <c r="Z45" s="30" t="s">
        <v>717</v>
      </c>
      <c r="AA45" s="8">
        <v>46190</v>
      </c>
      <c r="AB45" s="26">
        <v>221844.93</v>
      </c>
      <c r="AH45" s="116">
        <v>221844.93</v>
      </c>
    </row>
    <row r="46" spans="1:35" ht="151.5" hidden="1" customHeight="1">
      <c r="A46" s="9">
        <f t="shared" ca="1" si="2"/>
        <v>81</v>
      </c>
      <c r="B46" s="31">
        <v>46028</v>
      </c>
      <c r="C46" s="11" t="s">
        <v>694</v>
      </c>
      <c r="D46" s="2" t="s">
        <v>4118</v>
      </c>
      <c r="E46" s="11" t="s">
        <v>4119</v>
      </c>
      <c r="F46" s="30" t="s">
        <v>105</v>
      </c>
      <c r="G46" s="30" t="s">
        <v>5089</v>
      </c>
      <c r="H46" s="16">
        <v>46113</v>
      </c>
      <c r="I46" s="115">
        <v>46029</v>
      </c>
      <c r="J46" s="115">
        <v>46029</v>
      </c>
      <c r="K46" s="115">
        <v>46029</v>
      </c>
      <c r="L46" s="16" t="s">
        <v>2385</v>
      </c>
      <c r="T46" s="7" t="s">
        <v>22</v>
      </c>
      <c r="Z46" s="30" t="s">
        <v>717</v>
      </c>
      <c r="AA46" s="8">
        <v>46188</v>
      </c>
      <c r="AB46" s="10">
        <v>307728.09000000003</v>
      </c>
    </row>
    <row r="47" spans="1:35" ht="122.25" hidden="1" customHeight="1">
      <c r="A47" s="9">
        <f t="shared" ca="1" si="2"/>
        <v>51</v>
      </c>
      <c r="B47" s="31">
        <v>46041</v>
      </c>
      <c r="C47" s="11" t="s">
        <v>694</v>
      </c>
      <c r="D47" s="2" t="s">
        <v>4229</v>
      </c>
      <c r="E47" s="11" t="s">
        <v>4230</v>
      </c>
      <c r="F47" s="30" t="s">
        <v>44</v>
      </c>
      <c r="G47" s="30" t="s">
        <v>4231</v>
      </c>
      <c r="H47" s="16">
        <v>46143</v>
      </c>
      <c r="I47" s="115">
        <v>46041</v>
      </c>
      <c r="J47" s="115">
        <v>46041</v>
      </c>
      <c r="K47" s="115">
        <v>46042</v>
      </c>
      <c r="L47" s="115" t="s">
        <v>878</v>
      </c>
      <c r="M47" s="115"/>
      <c r="N47" s="115" t="s">
        <v>4746</v>
      </c>
      <c r="O47" s="115"/>
      <c r="P47" s="115">
        <v>46120</v>
      </c>
      <c r="Q47" s="115">
        <v>46119</v>
      </c>
      <c r="R47" s="6" t="s">
        <v>5343</v>
      </c>
      <c r="T47" s="7" t="s">
        <v>22</v>
      </c>
      <c r="U47" s="2" t="s">
        <v>4909</v>
      </c>
      <c r="V47" s="16">
        <v>46112</v>
      </c>
      <c r="W47" s="16">
        <v>46145</v>
      </c>
      <c r="X47" s="351" t="s">
        <v>5228</v>
      </c>
      <c r="Z47" s="30" t="s">
        <v>3352</v>
      </c>
      <c r="AA47" s="342">
        <v>46166</v>
      </c>
      <c r="AC47" s="26">
        <v>88311.039999999994</v>
      </c>
      <c r="AH47" s="116">
        <v>88311.039999999994</v>
      </c>
    </row>
    <row r="48" spans="1:35" ht="122.25" hidden="1" customHeight="1">
      <c r="A48" s="9">
        <f t="shared" ca="1" si="2"/>
        <v>81</v>
      </c>
      <c r="B48" s="31">
        <v>46038</v>
      </c>
      <c r="C48" s="11" t="s">
        <v>694</v>
      </c>
      <c r="D48" s="2" t="s">
        <v>4232</v>
      </c>
      <c r="E48" s="11" t="s">
        <v>4233</v>
      </c>
      <c r="F48" s="30" t="s">
        <v>44</v>
      </c>
      <c r="G48" s="30" t="s">
        <v>4234</v>
      </c>
      <c r="H48" s="16">
        <v>46113</v>
      </c>
      <c r="I48" s="115">
        <v>46041</v>
      </c>
      <c r="J48" s="115">
        <v>46041</v>
      </c>
      <c r="K48" s="115">
        <v>46042</v>
      </c>
      <c r="L48" s="115"/>
      <c r="M48" s="115">
        <v>46086</v>
      </c>
      <c r="N48" s="115"/>
      <c r="O48" s="115"/>
      <c r="P48" s="115">
        <v>46105</v>
      </c>
      <c r="Q48" s="115">
        <v>46104</v>
      </c>
      <c r="R48" s="115">
        <v>46155</v>
      </c>
      <c r="S48" s="16" t="s">
        <v>925</v>
      </c>
      <c r="T48" s="7" t="s">
        <v>22</v>
      </c>
      <c r="U48" s="16" t="s">
        <v>4747</v>
      </c>
      <c r="V48" s="16">
        <v>46102</v>
      </c>
      <c r="W48" s="16">
        <v>46151</v>
      </c>
      <c r="X48" s="351" t="s">
        <v>4748</v>
      </c>
      <c r="Z48" s="30" t="s">
        <v>3352</v>
      </c>
      <c r="AA48" s="8">
        <v>46147</v>
      </c>
      <c r="AC48" s="22">
        <v>61264.5</v>
      </c>
      <c r="AH48" s="116">
        <v>61264.5</v>
      </c>
    </row>
    <row r="49" spans="1:34" ht="122.25" hidden="1" customHeight="1">
      <c r="A49" s="9">
        <f t="shared" ca="1" si="2"/>
        <v>81</v>
      </c>
      <c r="B49" s="31">
        <v>46057</v>
      </c>
      <c r="C49" s="11" t="s">
        <v>694</v>
      </c>
      <c r="D49" s="2" t="s">
        <v>4338</v>
      </c>
      <c r="E49" s="11" t="s">
        <v>4339</v>
      </c>
      <c r="F49" s="30" t="s">
        <v>4340</v>
      </c>
      <c r="G49" s="30" t="s">
        <v>4341</v>
      </c>
      <c r="H49" s="16">
        <v>46113</v>
      </c>
      <c r="I49" s="115">
        <v>46057</v>
      </c>
      <c r="J49" s="115">
        <v>46058</v>
      </c>
      <c r="K49" s="115">
        <v>46057</v>
      </c>
      <c r="L49" s="115"/>
      <c r="M49" s="115" t="s">
        <v>4465</v>
      </c>
      <c r="N49" s="115"/>
      <c r="O49" s="115"/>
      <c r="P49" s="115">
        <v>46080</v>
      </c>
      <c r="Q49" s="115">
        <v>46080</v>
      </c>
      <c r="R49" s="16" t="s">
        <v>878</v>
      </c>
      <c r="T49" s="7" t="s">
        <v>28</v>
      </c>
      <c r="U49" s="203" t="s">
        <v>4513</v>
      </c>
      <c r="V49" s="16">
        <v>46088</v>
      </c>
      <c r="W49" s="16">
        <v>46148</v>
      </c>
      <c r="X49" s="334" t="s">
        <v>5334</v>
      </c>
      <c r="Z49" s="30" t="s">
        <v>5022</v>
      </c>
      <c r="AA49" s="8">
        <v>46122</v>
      </c>
      <c r="AB49" s="22">
        <v>56965.31</v>
      </c>
      <c r="AD49" s="10"/>
      <c r="AE49" s="10"/>
      <c r="AF49" s="10"/>
      <c r="AG49" s="10"/>
      <c r="AH49" s="10">
        <v>56965.31</v>
      </c>
    </row>
    <row r="50" spans="1:34" ht="122.25" hidden="1" customHeight="1">
      <c r="A50" s="9">
        <f t="shared" ca="1" si="2"/>
        <v>81</v>
      </c>
      <c r="B50" s="31">
        <v>46059</v>
      </c>
      <c r="C50" s="11" t="s">
        <v>694</v>
      </c>
      <c r="D50" s="2" t="s">
        <v>4400</v>
      </c>
      <c r="E50" s="11" t="s">
        <v>4401</v>
      </c>
      <c r="F50" s="30" t="s">
        <v>87</v>
      </c>
      <c r="G50" s="30" t="s">
        <v>4402</v>
      </c>
      <c r="H50" s="16">
        <v>46113</v>
      </c>
      <c r="I50" s="115">
        <v>46062</v>
      </c>
      <c r="J50" s="115">
        <v>46063</v>
      </c>
      <c r="K50" s="115">
        <v>46062</v>
      </c>
      <c r="L50" s="115"/>
      <c r="M50" s="115">
        <v>46090</v>
      </c>
      <c r="N50" s="115" t="s">
        <v>4736</v>
      </c>
      <c r="O50" s="115"/>
      <c r="P50" s="115">
        <v>46107</v>
      </c>
      <c r="Q50" s="115">
        <v>46107</v>
      </c>
      <c r="R50" s="115">
        <v>46155</v>
      </c>
      <c r="S50" s="16" t="s">
        <v>878</v>
      </c>
      <c r="T50" s="7" t="s">
        <v>20</v>
      </c>
      <c r="U50" s="2" t="s">
        <v>4818</v>
      </c>
      <c r="V50" s="16">
        <v>46112</v>
      </c>
      <c r="W50" s="16">
        <v>46150</v>
      </c>
      <c r="X50" s="4" t="s">
        <v>4819</v>
      </c>
      <c r="Z50" s="30" t="s">
        <v>54</v>
      </c>
      <c r="AA50" s="31">
        <v>46162</v>
      </c>
      <c r="AC50" s="26">
        <v>38761.480000000003</v>
      </c>
      <c r="AD50" s="10"/>
      <c r="AE50" s="10"/>
      <c r="AF50" s="10"/>
      <c r="AG50" s="10"/>
      <c r="AH50" s="10">
        <v>38761.480000000003</v>
      </c>
    </row>
    <row r="51" spans="1:34" ht="122.25" hidden="1" customHeight="1">
      <c r="A51" s="9">
        <f t="shared" ca="1" si="2"/>
        <v>51</v>
      </c>
      <c r="B51" s="31">
        <v>46059</v>
      </c>
      <c r="C51" s="11" t="s">
        <v>694</v>
      </c>
      <c r="D51" s="2" t="s">
        <v>4403</v>
      </c>
      <c r="E51" s="11" t="s">
        <v>4404</v>
      </c>
      <c r="F51" s="30" t="s">
        <v>105</v>
      </c>
      <c r="G51" s="30" t="s">
        <v>4951</v>
      </c>
      <c r="H51" s="16">
        <v>46143</v>
      </c>
      <c r="I51" s="115">
        <v>46062</v>
      </c>
      <c r="J51" s="115">
        <v>46063</v>
      </c>
      <c r="K51" s="115">
        <v>46063</v>
      </c>
      <c r="L51" s="115" t="s">
        <v>2385</v>
      </c>
      <c r="M51" s="115"/>
      <c r="N51" s="115">
        <v>46120</v>
      </c>
      <c r="O51" s="115"/>
      <c r="P51" s="115">
        <v>46141</v>
      </c>
      <c r="Q51" s="115" t="s">
        <v>5091</v>
      </c>
      <c r="T51" s="7" t="s">
        <v>22</v>
      </c>
      <c r="U51" s="16" t="s">
        <v>4982</v>
      </c>
      <c r="V51" s="16">
        <v>46131</v>
      </c>
      <c r="W51" s="16">
        <v>46149</v>
      </c>
      <c r="Z51" s="30" t="s">
        <v>89</v>
      </c>
      <c r="AA51" s="8">
        <v>46180</v>
      </c>
      <c r="AB51" s="10">
        <v>245489.85</v>
      </c>
      <c r="AD51" s="10"/>
      <c r="AE51" s="10"/>
      <c r="AF51" s="10"/>
      <c r="AG51" s="10"/>
      <c r="AH51" s="10"/>
    </row>
    <row r="52" spans="1:34" ht="122.25" hidden="1" customHeight="1">
      <c r="A52" s="9">
        <f t="shared" ca="1" si="2"/>
        <v>51</v>
      </c>
      <c r="B52" s="31">
        <v>46059</v>
      </c>
      <c r="C52" s="11" t="s">
        <v>694</v>
      </c>
      <c r="D52" s="2" t="s">
        <v>4403</v>
      </c>
      <c r="E52" s="11" t="s">
        <v>4404</v>
      </c>
      <c r="F52" s="30" t="s">
        <v>105</v>
      </c>
      <c r="G52" s="30" t="s">
        <v>5063</v>
      </c>
      <c r="H52" s="16">
        <v>46143</v>
      </c>
      <c r="I52" s="115">
        <v>46062</v>
      </c>
      <c r="J52" s="115">
        <v>46063</v>
      </c>
      <c r="K52" s="115">
        <v>46063</v>
      </c>
      <c r="L52" s="115" t="s">
        <v>2385</v>
      </c>
      <c r="M52" s="115"/>
      <c r="N52" s="115"/>
      <c r="O52" s="115"/>
      <c r="P52" s="115">
        <v>46154</v>
      </c>
      <c r="T52" s="7" t="s">
        <v>22</v>
      </c>
      <c r="U52" s="16" t="s">
        <v>5064</v>
      </c>
      <c r="V52" s="16">
        <v>46134</v>
      </c>
      <c r="W52" s="16">
        <v>46152</v>
      </c>
      <c r="Z52" s="30" t="s">
        <v>29</v>
      </c>
      <c r="AA52" s="31">
        <v>46190</v>
      </c>
      <c r="AB52" s="26">
        <v>13213.32</v>
      </c>
      <c r="AD52" s="10"/>
      <c r="AE52" s="10"/>
      <c r="AF52" s="10"/>
      <c r="AG52" s="10"/>
      <c r="AH52" s="10">
        <v>13213.32</v>
      </c>
    </row>
    <row r="53" spans="1:34" ht="122.25" hidden="1" customHeight="1">
      <c r="A53" s="9">
        <f t="shared" ca="1" si="2"/>
        <v>51</v>
      </c>
      <c r="B53" s="31">
        <v>46059</v>
      </c>
      <c r="C53" s="11" t="s">
        <v>694</v>
      </c>
      <c r="D53" s="2" t="s">
        <v>4403</v>
      </c>
      <c r="E53" s="11" t="s">
        <v>4404</v>
      </c>
      <c r="F53" s="30" t="s">
        <v>105</v>
      </c>
      <c r="G53" s="30" t="s">
        <v>5085</v>
      </c>
      <c r="H53" s="16">
        <v>46143</v>
      </c>
      <c r="I53" s="115">
        <v>46062</v>
      </c>
      <c r="J53" s="115">
        <v>46063</v>
      </c>
      <c r="K53" s="115">
        <v>46063</v>
      </c>
      <c r="L53" s="16" t="s">
        <v>2385</v>
      </c>
      <c r="T53" s="7" t="s">
        <v>22</v>
      </c>
      <c r="U53" s="16" t="s">
        <v>5064</v>
      </c>
      <c r="V53" s="16">
        <v>46134</v>
      </c>
      <c r="W53" s="16">
        <v>46152</v>
      </c>
      <c r="Z53" s="30" t="s">
        <v>29</v>
      </c>
      <c r="AA53" s="31">
        <v>46188</v>
      </c>
      <c r="AB53" s="10">
        <v>245489.85</v>
      </c>
      <c r="AD53" s="10"/>
      <c r="AE53" s="10"/>
      <c r="AF53" s="10"/>
      <c r="AG53" s="10"/>
      <c r="AH53" s="10"/>
    </row>
    <row r="54" spans="1:34" ht="122.25" hidden="1" customHeight="1">
      <c r="A54" s="9">
        <f t="shared" ca="1" si="2"/>
        <v>51</v>
      </c>
      <c r="B54" s="31">
        <v>46059</v>
      </c>
      <c r="C54" s="11" t="s">
        <v>694</v>
      </c>
      <c r="D54" s="2" t="s">
        <v>4405</v>
      </c>
      <c r="E54" s="11" t="s">
        <v>4406</v>
      </c>
      <c r="F54" s="30" t="s">
        <v>87</v>
      </c>
      <c r="G54" s="30" t="s">
        <v>4407</v>
      </c>
      <c r="H54" s="16">
        <v>46143</v>
      </c>
      <c r="I54" s="115">
        <v>46062</v>
      </c>
      <c r="J54" s="115">
        <v>46063</v>
      </c>
      <c r="K54" s="115">
        <v>46062</v>
      </c>
      <c r="L54" s="115" t="s">
        <v>878</v>
      </c>
      <c r="M54" s="115">
        <v>46097</v>
      </c>
      <c r="N54" s="115" t="s">
        <v>4737</v>
      </c>
      <c r="O54" s="115"/>
      <c r="P54" s="115">
        <v>46107</v>
      </c>
      <c r="Q54" s="115">
        <v>46107</v>
      </c>
      <c r="R54" s="115">
        <v>46155</v>
      </c>
      <c r="S54" s="16" t="s">
        <v>878</v>
      </c>
      <c r="T54" s="7" t="s">
        <v>20</v>
      </c>
      <c r="U54" s="2" t="s">
        <v>4818</v>
      </c>
      <c r="V54" s="16">
        <v>46111</v>
      </c>
      <c r="W54" s="16">
        <v>46150</v>
      </c>
      <c r="X54" s="4" t="s">
        <v>4817</v>
      </c>
      <c r="Z54" s="30" t="s">
        <v>54</v>
      </c>
      <c r="AA54" s="31">
        <v>46162</v>
      </c>
      <c r="AC54" s="26">
        <v>37932.54</v>
      </c>
      <c r="AD54" s="10"/>
      <c r="AE54" s="10"/>
      <c r="AF54" s="10"/>
      <c r="AG54" s="10"/>
      <c r="AH54" s="10">
        <v>37932.54</v>
      </c>
    </row>
    <row r="55" spans="1:34" ht="248.25" hidden="1" customHeight="1">
      <c r="A55" s="9">
        <f t="shared" ca="1" si="2"/>
        <v>20</v>
      </c>
      <c r="B55" s="31">
        <v>46059</v>
      </c>
      <c r="C55" s="11" t="s">
        <v>694</v>
      </c>
      <c r="D55" s="2" t="s">
        <v>4408</v>
      </c>
      <c r="E55" s="11" t="s">
        <v>4409</v>
      </c>
      <c r="F55" s="30" t="s">
        <v>2078</v>
      </c>
      <c r="G55" s="30" t="s">
        <v>4410</v>
      </c>
      <c r="H55" s="16">
        <v>46174</v>
      </c>
      <c r="I55" s="115">
        <v>46062</v>
      </c>
      <c r="J55" s="115">
        <v>46063</v>
      </c>
      <c r="K55" s="115">
        <v>46062</v>
      </c>
      <c r="L55" s="115" t="s">
        <v>878</v>
      </c>
      <c r="M55" s="115">
        <v>46135</v>
      </c>
      <c r="N55" s="115">
        <v>46136</v>
      </c>
      <c r="O55" s="115" t="s">
        <v>4962</v>
      </c>
      <c r="P55" s="115">
        <v>46154</v>
      </c>
      <c r="Q55" s="115">
        <v>46156</v>
      </c>
      <c r="T55" s="7" t="s">
        <v>20</v>
      </c>
      <c r="U55" s="16" t="s">
        <v>5203</v>
      </c>
      <c r="V55" s="16">
        <v>46161</v>
      </c>
      <c r="W55" s="16">
        <v>46183</v>
      </c>
      <c r="X55" s="4" t="s">
        <v>5341</v>
      </c>
      <c r="Z55" s="30" t="s">
        <v>3352</v>
      </c>
      <c r="AA55" s="31">
        <v>46198</v>
      </c>
      <c r="AC55" s="10">
        <v>37237.5</v>
      </c>
      <c r="AD55" s="10"/>
      <c r="AE55" s="10"/>
      <c r="AF55" s="10"/>
      <c r="AG55" s="10"/>
      <c r="AH55" s="10"/>
    </row>
    <row r="56" spans="1:34" ht="122.25" hidden="1" customHeight="1">
      <c r="A56" s="9">
        <f t="shared" ca="1" si="2"/>
        <v>81</v>
      </c>
      <c r="B56" s="31">
        <v>46059</v>
      </c>
      <c r="C56" s="11" t="s">
        <v>694</v>
      </c>
      <c r="D56" s="2" t="s">
        <v>4421</v>
      </c>
      <c r="E56" s="11" t="s">
        <v>4422</v>
      </c>
      <c r="F56" s="30" t="s">
        <v>4423</v>
      </c>
      <c r="G56" s="30" t="s">
        <v>4424</v>
      </c>
      <c r="H56" s="16">
        <v>46113</v>
      </c>
      <c r="I56" s="115">
        <v>46062</v>
      </c>
      <c r="J56" s="115">
        <v>46063</v>
      </c>
      <c r="K56" s="115">
        <v>46064</v>
      </c>
      <c r="L56" s="115" t="s">
        <v>4665</v>
      </c>
      <c r="M56" s="115" t="s">
        <v>4629</v>
      </c>
      <c r="N56" s="115"/>
      <c r="O56" s="115"/>
      <c r="P56" s="115">
        <v>46105</v>
      </c>
      <c r="Q56" s="115">
        <v>46104</v>
      </c>
      <c r="R56" s="115">
        <v>46154</v>
      </c>
      <c r="S56" s="16" t="s">
        <v>878</v>
      </c>
      <c r="T56" s="7" t="s">
        <v>28</v>
      </c>
      <c r="U56" s="378" t="s">
        <v>4740</v>
      </c>
      <c r="V56" s="16">
        <v>46120</v>
      </c>
      <c r="W56" s="16">
        <v>46147</v>
      </c>
      <c r="X56" s="4" t="s">
        <v>4820</v>
      </c>
      <c r="Z56" s="30" t="s">
        <v>5023</v>
      </c>
      <c r="AB56" s="22">
        <f>37964.24+37964.21</f>
        <v>75928.45</v>
      </c>
      <c r="AD56" s="10"/>
      <c r="AE56" s="10"/>
      <c r="AF56" s="10"/>
      <c r="AG56" s="10"/>
      <c r="AH56" s="10">
        <f>37964.24+37964.21</f>
        <v>75928.45</v>
      </c>
    </row>
    <row r="57" spans="1:34" ht="122.25" hidden="1" customHeight="1" thickBot="1">
      <c r="A57" s="9">
        <f t="shared" ca="1" si="2"/>
        <v>81</v>
      </c>
      <c r="B57" s="31">
        <v>46065</v>
      </c>
      <c r="C57" s="11" t="s">
        <v>694</v>
      </c>
      <c r="D57" s="2" t="s">
        <v>4474</v>
      </c>
      <c r="E57" s="11" t="s">
        <v>4475</v>
      </c>
      <c r="F57" s="30" t="s">
        <v>2078</v>
      </c>
      <c r="G57" s="30" t="s">
        <v>4964</v>
      </c>
      <c r="H57" s="16">
        <v>46113</v>
      </c>
      <c r="I57" s="115">
        <v>46065</v>
      </c>
      <c r="J57" s="115">
        <v>46069</v>
      </c>
      <c r="K57" s="115">
        <v>46066</v>
      </c>
      <c r="L57" s="115" t="s">
        <v>878</v>
      </c>
      <c r="M57" s="115">
        <v>46101</v>
      </c>
      <c r="N57" s="115" t="s">
        <v>4766</v>
      </c>
      <c r="O57" s="115"/>
      <c r="P57" s="115">
        <v>46120</v>
      </c>
      <c r="Q57" s="115">
        <v>46122</v>
      </c>
      <c r="R57" s="115">
        <v>46156</v>
      </c>
      <c r="S57" s="16" t="s">
        <v>925</v>
      </c>
      <c r="T57" s="7" t="s">
        <v>20</v>
      </c>
      <c r="U57" s="16" t="s">
        <v>4902</v>
      </c>
      <c r="V57" s="16">
        <v>46121</v>
      </c>
      <c r="W57" s="16">
        <v>46159</v>
      </c>
      <c r="X57" s="334" t="s">
        <v>5071</v>
      </c>
      <c r="Z57" s="30" t="s">
        <v>54</v>
      </c>
      <c r="AA57" s="8">
        <v>46143</v>
      </c>
      <c r="AC57" s="22">
        <v>24980.86</v>
      </c>
      <c r="AD57" s="10"/>
      <c r="AE57" s="10"/>
      <c r="AF57" s="10"/>
      <c r="AG57" s="10"/>
      <c r="AH57" s="10">
        <v>24980.86</v>
      </c>
    </row>
    <row r="58" spans="1:34" ht="122.25" hidden="1" customHeight="1" thickBot="1">
      <c r="A58" s="9">
        <f t="shared" ca="1" si="2"/>
        <v>51</v>
      </c>
      <c r="B58" s="31">
        <v>46065</v>
      </c>
      <c r="C58" s="11" t="s">
        <v>694</v>
      </c>
      <c r="D58" s="2" t="s">
        <v>4476</v>
      </c>
      <c r="E58" s="11" t="s">
        <v>4477</v>
      </c>
      <c r="F58" s="30" t="s">
        <v>2078</v>
      </c>
      <c r="G58" s="30" t="s">
        <v>4965</v>
      </c>
      <c r="H58" s="16">
        <v>46143</v>
      </c>
      <c r="I58" s="115">
        <v>46065</v>
      </c>
      <c r="J58" s="115">
        <v>46069</v>
      </c>
      <c r="K58" s="115">
        <v>46066</v>
      </c>
      <c r="L58" s="115" t="s">
        <v>878</v>
      </c>
      <c r="M58" s="115">
        <v>46101</v>
      </c>
      <c r="N58" s="115" t="s">
        <v>4766</v>
      </c>
      <c r="O58" s="115"/>
      <c r="P58" s="115">
        <v>46120</v>
      </c>
      <c r="Q58" s="115">
        <v>46122</v>
      </c>
      <c r="R58" s="115">
        <v>46156</v>
      </c>
      <c r="S58" s="16" t="s">
        <v>925</v>
      </c>
      <c r="T58" s="7" t="s">
        <v>20</v>
      </c>
      <c r="U58" s="374" t="s">
        <v>4902</v>
      </c>
      <c r="V58" s="16">
        <v>46121</v>
      </c>
      <c r="W58" s="16">
        <v>46159</v>
      </c>
      <c r="X58" s="334" t="s">
        <v>5072</v>
      </c>
      <c r="Z58" s="30" t="s">
        <v>54</v>
      </c>
      <c r="AA58" s="8">
        <v>46143</v>
      </c>
      <c r="AC58" s="22">
        <v>24181.23</v>
      </c>
      <c r="AD58" s="10"/>
      <c r="AE58" s="10"/>
      <c r="AF58" s="10"/>
      <c r="AG58" s="10"/>
      <c r="AH58" s="10">
        <v>24181.23</v>
      </c>
    </row>
    <row r="59" spans="1:34" ht="122.25" hidden="1" customHeight="1">
      <c r="A59" s="9">
        <f t="shared" ca="1" si="2"/>
        <v>51</v>
      </c>
      <c r="B59" s="31">
        <v>46091</v>
      </c>
      <c r="C59" s="11" t="s">
        <v>694</v>
      </c>
      <c r="D59" s="2" t="s">
        <v>4640</v>
      </c>
      <c r="E59" s="11" t="s">
        <v>4641</v>
      </c>
      <c r="F59" s="30" t="s">
        <v>105</v>
      </c>
      <c r="G59" s="30" t="s">
        <v>5086</v>
      </c>
      <c r="H59" s="16">
        <v>46143</v>
      </c>
      <c r="I59" s="115">
        <v>46091</v>
      </c>
      <c r="J59" s="115">
        <v>46092</v>
      </c>
      <c r="K59" s="115"/>
      <c r="L59" s="16" t="s">
        <v>4961</v>
      </c>
      <c r="T59" s="7" t="s">
        <v>22</v>
      </c>
      <c r="U59" s="16"/>
      <c r="Z59" s="30" t="s">
        <v>717</v>
      </c>
      <c r="AA59" s="31">
        <v>46188</v>
      </c>
      <c r="AB59" s="10">
        <v>191103.97</v>
      </c>
      <c r="AD59" s="10"/>
      <c r="AE59" s="10"/>
      <c r="AF59" s="10"/>
      <c r="AG59" s="10"/>
      <c r="AH59" s="10"/>
    </row>
    <row r="60" spans="1:34" ht="122.25" hidden="1" customHeight="1">
      <c r="A60" s="9">
        <f t="shared" ca="1" si="2"/>
        <v>67</v>
      </c>
      <c r="B60" s="31">
        <v>46080</v>
      </c>
      <c r="C60" s="11" t="s">
        <v>694</v>
      </c>
      <c r="D60" s="2" t="s">
        <v>4561</v>
      </c>
      <c r="E60" s="11" t="s">
        <v>4562</v>
      </c>
      <c r="F60" s="30" t="s">
        <v>1468</v>
      </c>
      <c r="G60" s="30" t="s">
        <v>4695</v>
      </c>
      <c r="H60" s="16">
        <v>46127</v>
      </c>
      <c r="I60" s="115">
        <v>46080</v>
      </c>
      <c r="J60" s="115">
        <v>46080</v>
      </c>
      <c r="K60" s="115">
        <v>46083</v>
      </c>
      <c r="L60" s="115" t="s">
        <v>4743</v>
      </c>
      <c r="M60" s="115" t="s">
        <v>4940</v>
      </c>
      <c r="N60" s="115" t="s">
        <v>5100</v>
      </c>
      <c r="O60" s="115"/>
      <c r="P60" s="115">
        <v>46150</v>
      </c>
      <c r="Q60" s="115">
        <v>46150</v>
      </c>
      <c r="R60" s="115">
        <v>46154</v>
      </c>
      <c r="S60" s="16" t="s">
        <v>878</v>
      </c>
      <c r="T60" s="7" t="s">
        <v>22</v>
      </c>
      <c r="U60" s="4" t="s">
        <v>5032</v>
      </c>
      <c r="V60" s="16">
        <v>46141</v>
      </c>
      <c r="W60" s="16">
        <v>46149</v>
      </c>
      <c r="X60" s="334" t="s">
        <v>5099</v>
      </c>
      <c r="Z60" s="30" t="s">
        <v>1469</v>
      </c>
      <c r="AA60" s="8">
        <v>46167</v>
      </c>
      <c r="AB60" s="26">
        <v>85260.75</v>
      </c>
      <c r="AD60" s="10"/>
      <c r="AE60" s="10"/>
      <c r="AF60" s="10"/>
      <c r="AG60" s="10"/>
      <c r="AH60" s="10">
        <v>85260.75</v>
      </c>
    </row>
    <row r="61" spans="1:34" ht="122.25" hidden="1" customHeight="1">
      <c r="A61" s="9">
        <f t="shared" ca="1" si="2"/>
        <v>20</v>
      </c>
      <c r="B61" s="31">
        <v>46091</v>
      </c>
      <c r="C61" s="11" t="s">
        <v>694</v>
      </c>
      <c r="D61" s="2" t="s">
        <v>4686</v>
      </c>
      <c r="E61" s="11" t="s">
        <v>4687</v>
      </c>
      <c r="F61" s="30" t="s">
        <v>4264</v>
      </c>
      <c r="G61" s="30" t="s">
        <v>3255</v>
      </c>
      <c r="H61" s="16">
        <v>46174</v>
      </c>
      <c r="I61" s="115">
        <v>46094</v>
      </c>
      <c r="J61" s="115">
        <v>46097</v>
      </c>
      <c r="K61" s="115">
        <v>46100</v>
      </c>
      <c r="L61" s="115"/>
      <c r="M61" s="115">
        <v>46121</v>
      </c>
      <c r="N61" s="115"/>
      <c r="O61" s="115"/>
      <c r="P61" s="115">
        <v>46156</v>
      </c>
      <c r="Q61" s="115">
        <v>46156</v>
      </c>
      <c r="T61" s="7" t="s">
        <v>22</v>
      </c>
      <c r="U61" s="16" t="s">
        <v>5337</v>
      </c>
      <c r="V61" s="16">
        <v>46152</v>
      </c>
      <c r="W61" s="16">
        <v>46179</v>
      </c>
      <c r="X61" s="4" t="s">
        <v>5336</v>
      </c>
      <c r="Z61" s="30" t="s">
        <v>4266</v>
      </c>
      <c r="AA61" s="8">
        <v>46171</v>
      </c>
      <c r="AB61" s="26">
        <v>10058.4</v>
      </c>
      <c r="AD61" s="10"/>
      <c r="AE61" s="10"/>
      <c r="AF61" s="10"/>
      <c r="AG61" s="10"/>
      <c r="AH61" s="10">
        <v>10058.4</v>
      </c>
    </row>
    <row r="62" spans="1:34" ht="122.25" hidden="1" customHeight="1">
      <c r="A62" s="9">
        <f t="shared" ca="1" si="2"/>
        <v>37</v>
      </c>
      <c r="B62" s="31">
        <v>46091</v>
      </c>
      <c r="C62" s="11" t="s">
        <v>694</v>
      </c>
      <c r="D62" s="31" t="s">
        <v>4642</v>
      </c>
      <c r="E62" s="11" t="s">
        <v>4643</v>
      </c>
      <c r="F62" s="30" t="s">
        <v>44</v>
      </c>
      <c r="G62" s="30" t="s">
        <v>5062</v>
      </c>
      <c r="H62" s="16">
        <v>46157</v>
      </c>
      <c r="I62" s="115">
        <v>46091</v>
      </c>
      <c r="J62" s="115">
        <v>46092</v>
      </c>
      <c r="K62" s="115">
        <v>46093</v>
      </c>
      <c r="L62" s="115"/>
      <c r="M62" s="115"/>
      <c r="N62" s="115"/>
      <c r="O62" s="16" t="s">
        <v>5344</v>
      </c>
      <c r="Q62" s="115">
        <v>46154</v>
      </c>
      <c r="T62" s="7" t="s">
        <v>22</v>
      </c>
      <c r="U62" s="16" t="s">
        <v>5068</v>
      </c>
      <c r="V62" s="16">
        <v>46140</v>
      </c>
      <c r="W62" s="16">
        <v>46176</v>
      </c>
      <c r="X62" s="24" t="s">
        <v>5061</v>
      </c>
      <c r="Z62" s="30" t="s">
        <v>4122</v>
      </c>
      <c r="AA62" s="8">
        <v>46183</v>
      </c>
      <c r="AC62" s="10">
        <v>211068.79</v>
      </c>
      <c r="AD62" s="10"/>
      <c r="AE62" s="10"/>
      <c r="AF62" s="10"/>
      <c r="AG62" s="10"/>
      <c r="AH62" s="10"/>
    </row>
    <row r="63" spans="1:34" ht="122.25" hidden="1" customHeight="1">
      <c r="A63" s="9">
        <f t="shared" ca="1" si="2"/>
        <v>-10</v>
      </c>
      <c r="B63" s="31">
        <v>46091</v>
      </c>
      <c r="C63" s="11" t="s">
        <v>694</v>
      </c>
      <c r="D63" s="31" t="s">
        <v>4644</v>
      </c>
      <c r="E63" s="11" t="s">
        <v>4645</v>
      </c>
      <c r="F63" s="30" t="s">
        <v>38</v>
      </c>
      <c r="G63" s="30" t="s">
        <v>4300</v>
      </c>
      <c r="H63" s="16">
        <v>46204</v>
      </c>
      <c r="I63" s="115">
        <v>46091</v>
      </c>
      <c r="J63" s="115">
        <v>46092</v>
      </c>
      <c r="K63" s="115">
        <v>46097</v>
      </c>
      <c r="L63" s="115" t="s">
        <v>1150</v>
      </c>
      <c r="M63" s="115" t="s">
        <v>4955</v>
      </c>
      <c r="N63" s="16" t="s">
        <v>5293</v>
      </c>
      <c r="T63" s="7" t="s">
        <v>22</v>
      </c>
      <c r="U63" s="16"/>
      <c r="Z63" s="30" t="s">
        <v>5364</v>
      </c>
      <c r="AB63" s="10">
        <v>36086.400000000001</v>
      </c>
      <c r="AD63" s="10"/>
      <c r="AE63" s="10"/>
      <c r="AF63" s="10"/>
      <c r="AG63" s="10"/>
      <c r="AH63" s="10">
        <v>18043.2</v>
      </c>
    </row>
    <row r="64" spans="1:34" ht="112.5" hidden="1">
      <c r="A64" s="9">
        <f t="shared" ca="1" si="2"/>
        <v>20</v>
      </c>
      <c r="B64" s="31">
        <v>46091</v>
      </c>
      <c r="C64" s="11" t="s">
        <v>694</v>
      </c>
      <c r="D64" s="31" t="s">
        <v>4646</v>
      </c>
      <c r="E64" s="11" t="s">
        <v>4647</v>
      </c>
      <c r="F64" s="30" t="s">
        <v>87</v>
      </c>
      <c r="G64" s="30" t="s">
        <v>5257</v>
      </c>
      <c r="H64" s="16">
        <v>46174</v>
      </c>
      <c r="I64" s="115">
        <v>46091</v>
      </c>
      <c r="J64" s="115">
        <v>46092</v>
      </c>
      <c r="K64" s="115">
        <v>46097</v>
      </c>
      <c r="L64" s="115" t="s">
        <v>878</v>
      </c>
      <c r="M64" s="115">
        <v>46132</v>
      </c>
      <c r="N64" s="115" t="s">
        <v>5067</v>
      </c>
      <c r="O64" s="6" t="s">
        <v>4962</v>
      </c>
      <c r="P64" s="115">
        <v>46147</v>
      </c>
      <c r="Q64" s="115">
        <v>46147</v>
      </c>
      <c r="T64" s="7" t="s">
        <v>20</v>
      </c>
      <c r="U64" s="16" t="s">
        <v>909</v>
      </c>
      <c r="V64" s="16">
        <v>46144</v>
      </c>
      <c r="W64" s="16">
        <v>46182</v>
      </c>
      <c r="X64" s="4" t="s">
        <v>5133</v>
      </c>
      <c r="Z64" s="30" t="s">
        <v>54</v>
      </c>
      <c r="AA64" s="8">
        <v>46193</v>
      </c>
      <c r="AC64" s="26">
        <v>36282.51</v>
      </c>
      <c r="AD64" s="10"/>
      <c r="AE64" s="10"/>
      <c r="AF64" s="10"/>
      <c r="AG64" s="10"/>
      <c r="AH64" s="10">
        <v>36282.51</v>
      </c>
    </row>
    <row r="65" spans="1:34" ht="122.25" hidden="1" customHeight="1">
      <c r="A65" s="9">
        <f t="shared" ca="1" si="2"/>
        <v>20</v>
      </c>
      <c r="B65" s="31">
        <v>46091</v>
      </c>
      <c r="C65" s="11" t="s">
        <v>694</v>
      </c>
      <c r="D65" s="31" t="s">
        <v>4648</v>
      </c>
      <c r="E65" s="11" t="s">
        <v>4649</v>
      </c>
      <c r="F65" s="30" t="s">
        <v>105</v>
      </c>
      <c r="G65" s="30" t="s">
        <v>4949</v>
      </c>
      <c r="H65" s="16">
        <v>46174</v>
      </c>
      <c r="I65" s="115">
        <v>46091</v>
      </c>
      <c r="J65" s="115">
        <v>46092</v>
      </c>
      <c r="K65" s="115"/>
      <c r="L65" s="115" t="s">
        <v>2385</v>
      </c>
      <c r="M65" s="115"/>
      <c r="N65" s="115">
        <v>46120</v>
      </c>
      <c r="O65" s="115"/>
      <c r="P65" s="115">
        <v>46141</v>
      </c>
      <c r="Q65" s="115" t="s">
        <v>5091</v>
      </c>
      <c r="T65" s="7" t="s">
        <v>22</v>
      </c>
      <c r="U65" s="16" t="s">
        <v>4982</v>
      </c>
      <c r="V65" s="16">
        <v>46131</v>
      </c>
      <c r="W65" s="16">
        <v>46149</v>
      </c>
      <c r="Z65" s="30" t="s">
        <v>89</v>
      </c>
      <c r="AA65" s="8">
        <v>46180</v>
      </c>
      <c r="AB65" s="10">
        <v>318139.5</v>
      </c>
      <c r="AD65" s="10"/>
      <c r="AE65" s="10"/>
      <c r="AF65" s="10"/>
      <c r="AG65" s="10"/>
      <c r="AH65" s="10"/>
    </row>
    <row r="66" spans="1:34" ht="122.25" hidden="1" customHeight="1">
      <c r="A66" s="9">
        <f t="shared" ca="1" si="2"/>
        <v>20</v>
      </c>
      <c r="B66" s="31">
        <v>46091</v>
      </c>
      <c r="C66" s="11" t="s">
        <v>694</v>
      </c>
      <c r="D66" s="31" t="s">
        <v>4648</v>
      </c>
      <c r="E66" s="11" t="s">
        <v>4649</v>
      </c>
      <c r="F66" s="30" t="s">
        <v>105</v>
      </c>
      <c r="G66" s="30" t="s">
        <v>5087</v>
      </c>
      <c r="H66" s="16">
        <v>46174</v>
      </c>
      <c r="I66" s="115">
        <v>46091</v>
      </c>
      <c r="J66" s="115">
        <v>46092</v>
      </c>
      <c r="K66" s="115"/>
      <c r="L66" s="16" t="s">
        <v>2385</v>
      </c>
      <c r="T66" s="7" t="s">
        <v>22</v>
      </c>
      <c r="U66" s="16"/>
      <c r="Z66" s="30" t="s">
        <v>717</v>
      </c>
      <c r="AA66" s="8">
        <v>46198</v>
      </c>
      <c r="AB66" s="10">
        <v>318139.5</v>
      </c>
      <c r="AD66" s="10"/>
      <c r="AE66" s="10"/>
      <c r="AF66" s="10"/>
      <c r="AG66" s="10"/>
      <c r="AH66" s="10"/>
    </row>
    <row r="67" spans="1:34" ht="122.25" hidden="1" customHeight="1">
      <c r="A67" s="9">
        <f t="shared" ca="1" si="2"/>
        <v>20</v>
      </c>
      <c r="B67" s="31">
        <v>46091</v>
      </c>
      <c r="C67" s="11" t="s">
        <v>694</v>
      </c>
      <c r="D67" s="31" t="s">
        <v>4648</v>
      </c>
      <c r="E67" s="11" t="s">
        <v>4649</v>
      </c>
      <c r="F67" s="30" t="s">
        <v>105</v>
      </c>
      <c r="G67" s="30" t="s">
        <v>5088</v>
      </c>
      <c r="H67" s="16">
        <v>46174</v>
      </c>
      <c r="I67" s="115">
        <v>46091</v>
      </c>
      <c r="J67" s="115">
        <v>46092</v>
      </c>
      <c r="K67" s="115"/>
      <c r="L67" s="16" t="s">
        <v>2385</v>
      </c>
      <c r="T67" s="7" t="s">
        <v>22</v>
      </c>
      <c r="U67" s="16"/>
      <c r="Z67" s="30" t="s">
        <v>717</v>
      </c>
      <c r="AA67" s="8">
        <v>46198</v>
      </c>
      <c r="AB67" s="10">
        <v>318139.5</v>
      </c>
      <c r="AD67" s="10"/>
      <c r="AE67" s="10"/>
      <c r="AF67" s="10"/>
      <c r="AG67" s="10"/>
      <c r="AH67" s="10"/>
    </row>
    <row r="68" spans="1:34" ht="196.15" hidden="1" customHeight="1">
      <c r="A68" s="9">
        <f t="shared" ca="1" si="2"/>
        <v>-10</v>
      </c>
      <c r="B68" s="31">
        <v>46091</v>
      </c>
      <c r="C68" s="11" t="s">
        <v>694</v>
      </c>
      <c r="D68" s="31" t="s">
        <v>4650</v>
      </c>
      <c r="E68" s="11" t="s">
        <v>4651</v>
      </c>
      <c r="F68" s="30" t="s">
        <v>105</v>
      </c>
      <c r="G68" s="30" t="s">
        <v>5083</v>
      </c>
      <c r="H68" s="16">
        <v>46204</v>
      </c>
      <c r="I68" s="115">
        <v>46091</v>
      </c>
      <c r="J68" s="115">
        <v>46092</v>
      </c>
      <c r="K68" s="115"/>
      <c r="L68" s="16" t="s">
        <v>2385</v>
      </c>
      <c r="T68" s="7" t="s">
        <v>22</v>
      </c>
      <c r="U68" s="16"/>
      <c r="Z68" s="30" t="s">
        <v>717</v>
      </c>
      <c r="AA68" s="8">
        <v>46227</v>
      </c>
      <c r="AB68" s="10">
        <v>385199.61</v>
      </c>
      <c r="AD68" s="10"/>
      <c r="AE68" s="10"/>
      <c r="AF68" s="10"/>
      <c r="AG68" s="10"/>
      <c r="AH68" s="10"/>
    </row>
    <row r="69" spans="1:34" ht="122.25" hidden="1" customHeight="1">
      <c r="A69" s="62">
        <f t="shared" ca="1" si="2"/>
        <v>-10</v>
      </c>
      <c r="B69" s="31">
        <v>46098</v>
      </c>
      <c r="C69" s="11" t="s">
        <v>694</v>
      </c>
      <c r="D69" s="2" t="s">
        <v>4720</v>
      </c>
      <c r="E69" s="11" t="s">
        <v>4721</v>
      </c>
      <c r="F69" s="30" t="s">
        <v>2078</v>
      </c>
      <c r="G69" s="30" t="s">
        <v>4722</v>
      </c>
      <c r="H69" s="16">
        <v>46204</v>
      </c>
      <c r="I69" s="115">
        <v>46099</v>
      </c>
      <c r="J69" s="115">
        <v>46101</v>
      </c>
      <c r="K69" s="115">
        <v>46101</v>
      </c>
      <c r="L69" s="6" t="s">
        <v>878</v>
      </c>
      <c r="M69" s="16" t="s">
        <v>5060</v>
      </c>
      <c r="T69" s="7" t="s">
        <v>20</v>
      </c>
      <c r="U69" s="16"/>
      <c r="X69" s="4" t="s">
        <v>4963</v>
      </c>
      <c r="Z69" s="30" t="s">
        <v>3352</v>
      </c>
      <c r="AA69" s="8">
        <v>46227</v>
      </c>
      <c r="AC69" s="10">
        <v>46600</v>
      </c>
      <c r="AD69" s="10"/>
      <c r="AE69" s="10"/>
      <c r="AF69" s="10"/>
      <c r="AG69" s="10"/>
      <c r="AH69" s="10"/>
    </row>
    <row r="70" spans="1:34" ht="122.25" hidden="1" customHeight="1">
      <c r="A70" s="62">
        <f t="shared" ca="1" si="2"/>
        <v>-10</v>
      </c>
      <c r="B70" s="31">
        <v>46098</v>
      </c>
      <c r="C70" s="11" t="s">
        <v>694</v>
      </c>
      <c r="D70" s="2" t="s">
        <v>4723</v>
      </c>
      <c r="E70" s="11" t="s">
        <v>4724</v>
      </c>
      <c r="F70" s="30" t="s">
        <v>4264</v>
      </c>
      <c r="G70" s="30" t="s">
        <v>3269</v>
      </c>
      <c r="H70" s="16">
        <v>46204</v>
      </c>
      <c r="I70" s="115">
        <v>46099</v>
      </c>
      <c r="J70" s="115">
        <v>46101</v>
      </c>
      <c r="K70" s="115">
        <v>46105</v>
      </c>
      <c r="L70" s="16" t="s">
        <v>4956</v>
      </c>
      <c r="M70" s="16" t="s">
        <v>5059</v>
      </c>
      <c r="T70" s="7" t="s">
        <v>22</v>
      </c>
      <c r="Z70" s="30" t="s">
        <v>4725</v>
      </c>
      <c r="AA70" s="8">
        <v>46187</v>
      </c>
      <c r="AB70" s="10">
        <v>22860</v>
      </c>
      <c r="AD70" s="10"/>
      <c r="AE70" s="10"/>
      <c r="AF70" s="10"/>
      <c r="AG70" s="10"/>
      <c r="AH70" s="10"/>
    </row>
    <row r="71" spans="1:34" ht="122.25" hidden="1" customHeight="1">
      <c r="A71" s="62">
        <f t="shared" ca="1" si="2"/>
        <v>-10</v>
      </c>
      <c r="B71" s="31">
        <v>46098</v>
      </c>
      <c r="C71" s="11" t="s">
        <v>694</v>
      </c>
      <c r="D71" s="2" t="s">
        <v>4726</v>
      </c>
      <c r="E71" s="11" t="s">
        <v>4727</v>
      </c>
      <c r="F71" s="30" t="s">
        <v>44</v>
      </c>
      <c r="G71" s="30" t="s">
        <v>4728</v>
      </c>
      <c r="H71" s="16">
        <v>46204</v>
      </c>
      <c r="I71" s="115">
        <v>46099</v>
      </c>
      <c r="J71" s="115">
        <v>46101</v>
      </c>
      <c r="K71" s="115" t="s">
        <v>4765</v>
      </c>
      <c r="L71" s="6" t="s">
        <v>5002</v>
      </c>
      <c r="N71" s="16" t="s">
        <v>5001</v>
      </c>
      <c r="T71" s="7" t="s">
        <v>22</v>
      </c>
      <c r="V71" s="16">
        <v>46168</v>
      </c>
      <c r="Z71" s="30" t="s">
        <v>54</v>
      </c>
      <c r="AA71" s="8">
        <v>46227</v>
      </c>
      <c r="AC71" s="10">
        <v>146986.14000000001</v>
      </c>
      <c r="AD71" s="10"/>
      <c r="AE71" s="10"/>
      <c r="AF71" s="10"/>
      <c r="AG71" s="10"/>
      <c r="AH71" s="10"/>
    </row>
    <row r="72" spans="1:34" ht="122.25" hidden="1" customHeight="1">
      <c r="A72" s="62"/>
      <c r="B72" s="31">
        <v>46108</v>
      </c>
      <c r="C72" s="11" t="s">
        <v>694</v>
      </c>
      <c r="D72" s="2" t="s">
        <v>4825</v>
      </c>
      <c r="E72" s="11" t="s">
        <v>4826</v>
      </c>
      <c r="F72" s="30" t="s">
        <v>2078</v>
      </c>
      <c r="G72" s="30" t="s">
        <v>4827</v>
      </c>
      <c r="H72" s="16">
        <v>46204</v>
      </c>
      <c r="I72" s="115">
        <v>46108</v>
      </c>
      <c r="J72" s="115">
        <v>46111</v>
      </c>
      <c r="K72" s="115">
        <v>46108</v>
      </c>
      <c r="L72" s="6" t="s">
        <v>878</v>
      </c>
      <c r="M72" s="16">
        <v>46166</v>
      </c>
      <c r="P72" s="6"/>
      <c r="T72" s="7" t="s">
        <v>20</v>
      </c>
      <c r="Z72" s="30" t="s">
        <v>50</v>
      </c>
      <c r="AA72" s="8">
        <v>46198</v>
      </c>
      <c r="AC72" s="10">
        <v>23300</v>
      </c>
      <c r="AD72" s="10"/>
      <c r="AE72" s="10"/>
      <c r="AF72" s="10"/>
      <c r="AG72" s="10"/>
      <c r="AH72" s="10"/>
    </row>
    <row r="73" spans="1:34" ht="122.25" hidden="1" customHeight="1">
      <c r="A73" s="62"/>
      <c r="B73" s="31">
        <v>46108</v>
      </c>
      <c r="C73" s="11" t="s">
        <v>694</v>
      </c>
      <c r="D73" s="2" t="s">
        <v>4879</v>
      </c>
      <c r="E73" s="11" t="s">
        <v>4880</v>
      </c>
      <c r="F73" s="30" t="s">
        <v>4881</v>
      </c>
      <c r="G73" s="30" t="s">
        <v>3266</v>
      </c>
      <c r="H73" s="16">
        <v>46204</v>
      </c>
      <c r="I73" s="115">
        <v>46111</v>
      </c>
      <c r="J73" s="115">
        <v>46112</v>
      </c>
      <c r="K73" s="115"/>
      <c r="L73" s="115">
        <v>46153</v>
      </c>
      <c r="M73" s="115"/>
      <c r="N73" s="16" t="s">
        <v>1150</v>
      </c>
      <c r="O73" s="16" t="s">
        <v>4962</v>
      </c>
      <c r="P73" s="6"/>
      <c r="Q73" s="115">
        <v>46154</v>
      </c>
      <c r="T73" s="7" t="s">
        <v>28</v>
      </c>
      <c r="Z73" s="30" t="s">
        <v>54</v>
      </c>
      <c r="AA73" s="8">
        <v>46228</v>
      </c>
      <c r="AC73" s="10">
        <v>4745.66</v>
      </c>
      <c r="AD73" s="10"/>
      <c r="AE73" s="10"/>
      <c r="AF73" s="10"/>
      <c r="AG73" s="10"/>
      <c r="AH73" s="10"/>
    </row>
    <row r="74" spans="1:34" ht="122.25" hidden="1" customHeight="1">
      <c r="A74" s="62"/>
      <c r="B74" s="31">
        <v>46108</v>
      </c>
      <c r="C74" s="11" t="s">
        <v>694</v>
      </c>
      <c r="D74" s="2" t="s">
        <v>4828</v>
      </c>
      <c r="E74" s="11" t="s">
        <v>4829</v>
      </c>
      <c r="F74" s="30" t="s">
        <v>2078</v>
      </c>
      <c r="G74" s="30" t="s">
        <v>4830</v>
      </c>
      <c r="H74" s="16">
        <v>46204</v>
      </c>
      <c r="I74" s="115">
        <v>46108</v>
      </c>
      <c r="J74" s="115">
        <v>46111</v>
      </c>
      <c r="K74" s="115">
        <v>46108</v>
      </c>
      <c r="L74" s="6" t="s">
        <v>878</v>
      </c>
      <c r="M74" s="16">
        <v>46166</v>
      </c>
      <c r="P74" s="6"/>
      <c r="T74" s="7" t="s">
        <v>20</v>
      </c>
      <c r="Z74" s="30" t="s">
        <v>50</v>
      </c>
      <c r="AA74" s="8">
        <v>46198</v>
      </c>
      <c r="AC74" s="10">
        <v>37237.5</v>
      </c>
      <c r="AD74" s="10"/>
      <c r="AE74" s="10"/>
      <c r="AF74" s="10"/>
      <c r="AG74" s="10"/>
      <c r="AH74" s="10"/>
    </row>
    <row r="75" spans="1:34" ht="122.25" hidden="1" customHeight="1">
      <c r="A75" s="62"/>
      <c r="B75" s="31">
        <v>46104</v>
      </c>
      <c r="C75" s="11" t="s">
        <v>694</v>
      </c>
      <c r="D75" s="2" t="s">
        <v>4882</v>
      </c>
      <c r="E75" s="11" t="s">
        <v>4883</v>
      </c>
      <c r="F75" s="30" t="s">
        <v>4884</v>
      </c>
      <c r="G75" s="30" t="s">
        <v>2842</v>
      </c>
      <c r="H75" s="16">
        <v>46174</v>
      </c>
      <c r="I75" s="115">
        <v>46111</v>
      </c>
      <c r="J75" s="115">
        <v>46112</v>
      </c>
      <c r="K75" s="115" t="s">
        <v>4920</v>
      </c>
      <c r="L75" s="115" t="s">
        <v>1150</v>
      </c>
      <c r="M75" s="115">
        <v>46136</v>
      </c>
      <c r="N75" s="115"/>
      <c r="O75" s="16" t="s">
        <v>5331</v>
      </c>
      <c r="P75" s="6"/>
      <c r="T75" s="7" t="s">
        <v>22</v>
      </c>
      <c r="U75" s="387" t="s">
        <v>5227</v>
      </c>
      <c r="V75" s="387">
        <v>46161</v>
      </c>
      <c r="X75" s="4" t="s">
        <v>5226</v>
      </c>
      <c r="Z75" s="30" t="s">
        <v>717</v>
      </c>
      <c r="AA75" s="8">
        <v>46198</v>
      </c>
      <c r="AB75" s="10">
        <v>46401.63</v>
      </c>
      <c r="AD75" s="10"/>
      <c r="AE75" s="10"/>
      <c r="AF75" s="10"/>
      <c r="AG75" s="10"/>
      <c r="AH75" s="10"/>
    </row>
    <row r="76" spans="1:34" ht="101.45" hidden="1" customHeight="1">
      <c r="A76" s="62"/>
      <c r="B76" s="31">
        <v>46108</v>
      </c>
      <c r="C76" s="11" t="s">
        <v>694</v>
      </c>
      <c r="D76" s="2" t="s">
        <v>4885</v>
      </c>
      <c r="E76" s="11" t="s">
        <v>4886</v>
      </c>
      <c r="F76" s="30" t="s">
        <v>4887</v>
      </c>
      <c r="G76" s="30" t="s">
        <v>4888</v>
      </c>
      <c r="H76" s="16">
        <v>46204</v>
      </c>
      <c r="I76" s="115">
        <v>46111</v>
      </c>
      <c r="J76" s="115">
        <v>46112</v>
      </c>
      <c r="K76" s="115">
        <v>46112</v>
      </c>
      <c r="L76" s="16" t="s">
        <v>878</v>
      </c>
      <c r="M76" s="16" t="s">
        <v>4979</v>
      </c>
      <c r="P76" s="6"/>
      <c r="T76" s="7" t="s">
        <v>22</v>
      </c>
      <c r="U76" s="7"/>
      <c r="Z76" s="30" t="s">
        <v>55</v>
      </c>
      <c r="AA76" s="8">
        <v>46198</v>
      </c>
      <c r="AC76" s="10">
        <v>143541.06</v>
      </c>
      <c r="AD76" s="10"/>
      <c r="AE76" s="10"/>
      <c r="AF76" s="10"/>
      <c r="AG76" s="10"/>
      <c r="AH76" s="10"/>
    </row>
    <row r="77" spans="1:34" ht="122.25" hidden="1" customHeight="1">
      <c r="A77" s="62"/>
      <c r="B77" s="31">
        <v>46108</v>
      </c>
      <c r="C77" s="11" t="s">
        <v>694</v>
      </c>
      <c r="D77" s="2" t="s">
        <v>4889</v>
      </c>
      <c r="E77" s="11" t="s">
        <v>4890</v>
      </c>
      <c r="F77" s="30" t="s">
        <v>105</v>
      </c>
      <c r="G77" s="30" t="s">
        <v>5084</v>
      </c>
      <c r="H77" s="16">
        <v>46235</v>
      </c>
      <c r="I77" s="115">
        <v>46111</v>
      </c>
      <c r="J77" s="115">
        <v>46112</v>
      </c>
      <c r="K77" s="115"/>
      <c r="L77" s="16" t="s">
        <v>4961</v>
      </c>
      <c r="P77" s="6"/>
      <c r="T77" s="7" t="s">
        <v>22</v>
      </c>
      <c r="Z77" s="30" t="s">
        <v>717</v>
      </c>
      <c r="AA77" s="8">
        <v>46259</v>
      </c>
      <c r="AB77" s="10">
        <v>117151.86</v>
      </c>
      <c r="AD77" s="10"/>
      <c r="AE77" s="10"/>
      <c r="AF77" s="10"/>
      <c r="AG77" s="10"/>
      <c r="AH77" s="10"/>
    </row>
    <row r="78" spans="1:34" ht="122.25" hidden="1" customHeight="1">
      <c r="A78" s="9">
        <f t="shared" ref="A78:A107" ca="1" si="3">TODAY()-H78+1</f>
        <v>51</v>
      </c>
      <c r="B78" s="31">
        <v>46043</v>
      </c>
      <c r="C78" s="11" t="s">
        <v>4346</v>
      </c>
      <c r="D78" s="2" t="s">
        <v>4262</v>
      </c>
      <c r="E78" s="11" t="s">
        <v>4263</v>
      </c>
      <c r="F78" s="30" t="s">
        <v>4264</v>
      </c>
      <c r="G78" s="30" t="s">
        <v>4265</v>
      </c>
      <c r="H78" s="16">
        <v>46143</v>
      </c>
      <c r="I78" s="115">
        <v>46043</v>
      </c>
      <c r="J78" s="115">
        <v>46044</v>
      </c>
      <c r="K78" s="115" t="s">
        <v>4464</v>
      </c>
      <c r="L78" s="115" t="s">
        <v>878</v>
      </c>
      <c r="M78" s="115" t="s">
        <v>4738</v>
      </c>
      <c r="N78" s="115" t="s">
        <v>4628</v>
      </c>
      <c r="O78" s="115"/>
      <c r="P78" s="115">
        <v>46111</v>
      </c>
      <c r="Q78" s="115">
        <v>46111</v>
      </c>
      <c r="T78" s="7" t="s">
        <v>22</v>
      </c>
      <c r="U78" s="16" t="s">
        <v>4871</v>
      </c>
      <c r="V78" s="16">
        <v>46107</v>
      </c>
      <c r="W78" s="16">
        <v>46154</v>
      </c>
      <c r="X78" s="334" t="s">
        <v>4914</v>
      </c>
      <c r="Z78" s="30" t="s">
        <v>4266</v>
      </c>
      <c r="AA78" s="8">
        <v>46129</v>
      </c>
      <c r="AB78" s="22">
        <v>9424.7999999999993</v>
      </c>
      <c r="AH78" s="116">
        <v>9424.7999999999993</v>
      </c>
    </row>
    <row r="79" spans="1:34" ht="122.25" hidden="1" customHeight="1">
      <c r="A79" s="9">
        <f t="shared" ca="1" si="3"/>
        <v>188</v>
      </c>
      <c r="B79" s="31">
        <v>45989</v>
      </c>
      <c r="C79" s="11" t="s">
        <v>24</v>
      </c>
      <c r="D79" s="2" t="s">
        <v>3875</v>
      </c>
      <c r="E79" s="11" t="s">
        <v>3876</v>
      </c>
      <c r="F79" s="30" t="s">
        <v>3877</v>
      </c>
      <c r="G79" s="30" t="s">
        <v>3878</v>
      </c>
      <c r="H79" s="16">
        <v>46006</v>
      </c>
      <c r="I79" s="115">
        <v>45989</v>
      </c>
      <c r="J79" s="115">
        <v>45989</v>
      </c>
      <c r="K79" s="115">
        <v>45994</v>
      </c>
      <c r="T79" s="7" t="s">
        <v>25</v>
      </c>
      <c r="X79" s="4" t="s">
        <v>4985</v>
      </c>
      <c r="Z79" s="30" t="s">
        <v>3879</v>
      </c>
      <c r="AA79" s="8">
        <v>46172</v>
      </c>
      <c r="AE79" s="21">
        <v>116150</v>
      </c>
    </row>
    <row r="80" spans="1:34" ht="122.25" hidden="1" customHeight="1">
      <c r="A80" s="9">
        <f t="shared" ca="1" si="3"/>
        <v>81</v>
      </c>
      <c r="B80" s="31">
        <v>46009</v>
      </c>
      <c r="C80" s="11" t="s">
        <v>24</v>
      </c>
      <c r="D80" s="2" t="s">
        <v>4017</v>
      </c>
      <c r="E80" s="11" t="s">
        <v>4016</v>
      </c>
      <c r="F80" s="30" t="s">
        <v>36</v>
      </c>
      <c r="G80" s="30" t="s">
        <v>4990</v>
      </c>
      <c r="H80" s="16">
        <v>46113</v>
      </c>
      <c r="I80" s="115">
        <v>46010</v>
      </c>
      <c r="J80" s="115">
        <v>46010</v>
      </c>
      <c r="K80" s="115">
        <v>46010</v>
      </c>
      <c r="L80" s="115"/>
      <c r="M80" s="115"/>
      <c r="N80" s="115"/>
      <c r="O80" s="115"/>
      <c r="P80" s="115">
        <v>46127</v>
      </c>
      <c r="Q80" s="115">
        <v>46125</v>
      </c>
      <c r="R80" s="115"/>
      <c r="S80" s="16" t="s">
        <v>2687</v>
      </c>
      <c r="T80" s="7" t="s">
        <v>30</v>
      </c>
      <c r="U80" s="16" t="s">
        <v>4989</v>
      </c>
      <c r="V80" s="16">
        <v>46130</v>
      </c>
      <c r="W80" s="16">
        <v>46136</v>
      </c>
      <c r="X80" s="4" t="s">
        <v>5028</v>
      </c>
      <c r="Z80" s="30" t="s">
        <v>113</v>
      </c>
      <c r="AA80" s="8">
        <v>46164</v>
      </c>
      <c r="AB80" s="26">
        <v>98833.2</v>
      </c>
      <c r="AC80" s="23"/>
      <c r="AH80" s="116">
        <v>98833.2</v>
      </c>
    </row>
    <row r="81" spans="1:34" ht="259.5" hidden="1" customHeight="1">
      <c r="A81" s="9">
        <f t="shared" ca="1" si="3"/>
        <v>51</v>
      </c>
      <c r="B81" s="31">
        <v>46041</v>
      </c>
      <c r="C81" s="11" t="s">
        <v>24</v>
      </c>
      <c r="D81" s="2" t="s">
        <v>4252</v>
      </c>
      <c r="E81" s="11" t="s">
        <v>4253</v>
      </c>
      <c r="F81" s="30" t="s">
        <v>36</v>
      </c>
      <c r="G81" s="30" t="s">
        <v>5095</v>
      </c>
      <c r="H81" s="16">
        <v>46143</v>
      </c>
      <c r="I81" s="115">
        <v>46041</v>
      </c>
      <c r="J81" s="115">
        <v>46041</v>
      </c>
      <c r="K81" s="115">
        <v>46041</v>
      </c>
      <c r="L81" s="115"/>
      <c r="M81" s="115"/>
      <c r="N81" s="115"/>
      <c r="O81" s="115"/>
      <c r="P81" s="115">
        <v>46127</v>
      </c>
      <c r="Q81" s="115">
        <v>46125</v>
      </c>
      <c r="R81" s="115"/>
      <c r="S81" s="16" t="s">
        <v>2687</v>
      </c>
      <c r="T81" s="7" t="s">
        <v>30</v>
      </c>
      <c r="U81" s="16" t="s">
        <v>4989</v>
      </c>
      <c r="V81" s="16">
        <v>46130</v>
      </c>
      <c r="W81" s="16">
        <v>46136</v>
      </c>
      <c r="X81" s="4" t="s">
        <v>5028</v>
      </c>
      <c r="Z81" s="30" t="s">
        <v>4254</v>
      </c>
      <c r="AA81" s="8">
        <v>46164</v>
      </c>
      <c r="AB81" s="26">
        <f>681702.34</f>
        <v>681702.34</v>
      </c>
      <c r="AH81" s="116">
        <f>681702.34</f>
        <v>681702.34</v>
      </c>
    </row>
    <row r="82" spans="1:34" ht="259.5" hidden="1" customHeight="1">
      <c r="A82" s="9">
        <f t="shared" ca="1" si="3"/>
        <v>51</v>
      </c>
      <c r="B82" s="31">
        <v>46041</v>
      </c>
      <c r="C82" s="11" t="s">
        <v>24</v>
      </c>
      <c r="D82" s="2" t="s">
        <v>4252</v>
      </c>
      <c r="E82" s="11" t="s">
        <v>4253</v>
      </c>
      <c r="F82" s="30" t="s">
        <v>36</v>
      </c>
      <c r="G82" s="30" t="s">
        <v>5094</v>
      </c>
      <c r="H82" s="16">
        <v>46143</v>
      </c>
      <c r="I82" s="115">
        <v>46041</v>
      </c>
      <c r="J82" s="115">
        <v>46041</v>
      </c>
      <c r="K82" s="115">
        <v>46041</v>
      </c>
      <c r="L82" s="115"/>
      <c r="M82" s="203"/>
      <c r="T82" s="7" t="s">
        <v>30</v>
      </c>
      <c r="U82" s="9"/>
      <c r="V82" s="9"/>
      <c r="W82" s="9"/>
      <c r="Z82" s="30" t="s">
        <v>4254</v>
      </c>
      <c r="AA82" s="8">
        <v>46203</v>
      </c>
      <c r="AB82" s="10">
        <v>1800</v>
      </c>
    </row>
    <row r="83" spans="1:34" ht="254.25" hidden="1" customHeight="1">
      <c r="A83" s="9">
        <f t="shared" ca="1" si="3"/>
        <v>20</v>
      </c>
      <c r="B83" s="31">
        <v>46078</v>
      </c>
      <c r="C83" s="11" t="s">
        <v>24</v>
      </c>
      <c r="D83" s="2" t="s">
        <v>4537</v>
      </c>
      <c r="E83" s="11" t="s">
        <v>4538</v>
      </c>
      <c r="F83" s="30" t="s">
        <v>36</v>
      </c>
      <c r="G83" s="30" t="s">
        <v>5097</v>
      </c>
      <c r="H83" s="16">
        <v>46174</v>
      </c>
      <c r="I83" s="115">
        <v>46078</v>
      </c>
      <c r="J83" s="115">
        <v>46079</v>
      </c>
      <c r="K83" s="115">
        <v>46078</v>
      </c>
      <c r="L83" s="115"/>
      <c r="M83" s="115"/>
      <c r="N83" s="115"/>
      <c r="O83" s="115"/>
      <c r="P83" s="115">
        <v>46127</v>
      </c>
      <c r="Q83" s="115">
        <v>46125</v>
      </c>
      <c r="R83" s="115"/>
      <c r="S83" s="16" t="s">
        <v>2687</v>
      </c>
      <c r="T83" s="7" t="s">
        <v>30</v>
      </c>
      <c r="U83" s="16" t="s">
        <v>4989</v>
      </c>
      <c r="V83" s="16">
        <v>46130</v>
      </c>
      <c r="W83" s="16">
        <v>46136</v>
      </c>
      <c r="X83" s="4" t="s">
        <v>5028</v>
      </c>
      <c r="Z83" s="30" t="s">
        <v>119</v>
      </c>
      <c r="AA83" s="8">
        <v>46164</v>
      </c>
      <c r="AB83" s="26">
        <f>9098.99</f>
        <v>9098.99</v>
      </c>
      <c r="AD83" s="10"/>
      <c r="AE83" s="10"/>
      <c r="AF83" s="10"/>
      <c r="AG83" s="10"/>
      <c r="AH83" s="10">
        <f>9098.99</f>
        <v>9098.99</v>
      </c>
    </row>
    <row r="84" spans="1:34" ht="240.75" hidden="1" customHeight="1">
      <c r="A84" s="9">
        <f t="shared" ca="1" si="3"/>
        <v>20</v>
      </c>
      <c r="B84" s="31">
        <v>46078</v>
      </c>
      <c r="C84" s="11" t="s">
        <v>24</v>
      </c>
      <c r="D84" s="2" t="s">
        <v>4537</v>
      </c>
      <c r="E84" s="11" t="s">
        <v>4538</v>
      </c>
      <c r="F84" s="30" t="s">
        <v>36</v>
      </c>
      <c r="G84" s="30" t="s">
        <v>5096</v>
      </c>
      <c r="H84" s="16">
        <v>46174</v>
      </c>
      <c r="I84" s="115">
        <v>46078</v>
      </c>
      <c r="J84" s="115">
        <v>46079</v>
      </c>
      <c r="K84" s="115">
        <v>46078</v>
      </c>
      <c r="T84" s="7" t="s">
        <v>30</v>
      </c>
      <c r="U84" s="16"/>
      <c r="Z84" s="30" t="s">
        <v>119</v>
      </c>
      <c r="AA84" s="8">
        <v>46162</v>
      </c>
      <c r="AB84" s="10">
        <v>1111488</v>
      </c>
      <c r="AD84" s="10"/>
      <c r="AE84" s="10"/>
      <c r="AF84" s="10"/>
      <c r="AG84" s="10"/>
      <c r="AH84" s="10"/>
    </row>
    <row r="85" spans="1:34" ht="122.25" hidden="1" customHeight="1">
      <c r="A85" s="9">
        <f t="shared" ca="1" si="3"/>
        <v>20</v>
      </c>
      <c r="B85" s="31">
        <v>46076</v>
      </c>
      <c r="C85" s="11" t="s">
        <v>24</v>
      </c>
      <c r="D85" s="2" t="s">
        <v>4539</v>
      </c>
      <c r="E85" s="11" t="s">
        <v>4540</v>
      </c>
      <c r="F85" s="30" t="s">
        <v>4541</v>
      </c>
      <c r="G85" s="30" t="s">
        <v>4542</v>
      </c>
      <c r="H85" s="16">
        <v>46174</v>
      </c>
      <c r="I85" s="115">
        <v>46076</v>
      </c>
      <c r="J85" s="115">
        <v>46079</v>
      </c>
      <c r="K85" s="115">
        <v>46076</v>
      </c>
      <c r="L85" s="115"/>
      <c r="M85" s="16">
        <v>46159</v>
      </c>
      <c r="T85" s="7" t="s">
        <v>1414</v>
      </c>
      <c r="U85" s="2" t="s">
        <v>2863</v>
      </c>
      <c r="V85" s="16">
        <v>46162</v>
      </c>
      <c r="W85" s="16">
        <v>46185</v>
      </c>
      <c r="Z85" s="30" t="s">
        <v>4543</v>
      </c>
      <c r="AA85" s="8">
        <v>46203</v>
      </c>
      <c r="AB85" s="10">
        <v>16128</v>
      </c>
      <c r="AD85" s="10"/>
      <c r="AE85" s="10"/>
      <c r="AF85" s="10"/>
      <c r="AG85" s="10"/>
      <c r="AH85" s="10"/>
    </row>
    <row r="86" spans="1:34" ht="122.25" hidden="1" customHeight="1">
      <c r="A86" s="9">
        <f t="shared" ca="1" si="3"/>
        <v>51</v>
      </c>
      <c r="B86" s="31">
        <v>46076</v>
      </c>
      <c r="C86" s="11" t="s">
        <v>24</v>
      </c>
      <c r="D86" s="2" t="s">
        <v>4544</v>
      </c>
      <c r="E86" s="11" t="s">
        <v>4545</v>
      </c>
      <c r="F86" s="30" t="s">
        <v>4546</v>
      </c>
      <c r="G86" s="30" t="s">
        <v>4547</v>
      </c>
      <c r="H86" s="16">
        <v>46143</v>
      </c>
      <c r="I86" s="115">
        <v>46076</v>
      </c>
      <c r="J86" s="115">
        <v>46079</v>
      </c>
      <c r="K86" s="115">
        <v>46079</v>
      </c>
      <c r="L86" s="115"/>
      <c r="M86" s="115">
        <v>46136</v>
      </c>
      <c r="N86" s="115" t="s">
        <v>4939</v>
      </c>
      <c r="O86" s="115"/>
      <c r="P86" s="115">
        <v>46146</v>
      </c>
      <c r="Q86" s="16" t="s">
        <v>5325</v>
      </c>
      <c r="T86" s="7" t="s">
        <v>20</v>
      </c>
      <c r="U86" s="68" t="s">
        <v>5158</v>
      </c>
      <c r="V86" s="16">
        <v>46143</v>
      </c>
      <c r="W86" s="16">
        <v>46176</v>
      </c>
      <c r="X86" s="4" t="s">
        <v>5324</v>
      </c>
      <c r="Z86" s="30" t="s">
        <v>1206</v>
      </c>
      <c r="AA86" s="8">
        <v>46197</v>
      </c>
      <c r="AC86" s="10">
        <v>116219.74</v>
      </c>
      <c r="AD86" s="10"/>
      <c r="AE86" s="10"/>
      <c r="AF86" s="10"/>
      <c r="AG86" s="10"/>
      <c r="AH86" s="10"/>
    </row>
    <row r="87" spans="1:34" ht="131.25" hidden="1">
      <c r="A87" s="9">
        <f t="shared" ca="1" si="3"/>
        <v>22</v>
      </c>
      <c r="B87" s="31">
        <v>46080</v>
      </c>
      <c r="C87" s="11" t="s">
        <v>24</v>
      </c>
      <c r="D87" s="2" t="s">
        <v>4563</v>
      </c>
      <c r="E87" s="11" t="s">
        <v>4564</v>
      </c>
      <c r="F87" s="30" t="s">
        <v>4594</v>
      </c>
      <c r="G87" s="30" t="s">
        <v>4565</v>
      </c>
      <c r="H87" s="16">
        <v>46172</v>
      </c>
      <c r="I87" s="115">
        <v>46080</v>
      </c>
      <c r="J87" s="115">
        <v>46083</v>
      </c>
      <c r="K87" s="115">
        <v>46083</v>
      </c>
      <c r="L87" s="115"/>
      <c r="M87" s="115">
        <v>46137</v>
      </c>
      <c r="N87" s="115" t="s">
        <v>5351</v>
      </c>
      <c r="T87" s="7" t="s">
        <v>25</v>
      </c>
      <c r="U87" s="16" t="s">
        <v>5321</v>
      </c>
      <c r="V87" s="16">
        <v>46164</v>
      </c>
      <c r="W87" s="16">
        <v>46208</v>
      </c>
      <c r="X87" s="4" t="s">
        <v>1478</v>
      </c>
      <c r="Z87" s="30" t="s">
        <v>103</v>
      </c>
      <c r="AA87" s="8">
        <v>46227</v>
      </c>
      <c r="AC87" s="10">
        <v>254050</v>
      </c>
      <c r="AD87" s="10"/>
      <c r="AE87" s="10"/>
      <c r="AF87" s="10"/>
      <c r="AG87" s="10"/>
      <c r="AH87" s="10"/>
    </row>
    <row r="88" spans="1:34" ht="122.25" hidden="1" customHeight="1">
      <c r="A88" s="9">
        <f t="shared" ca="1" si="3"/>
        <v>51</v>
      </c>
      <c r="B88" s="31">
        <v>46080</v>
      </c>
      <c r="C88" s="11" t="s">
        <v>24</v>
      </c>
      <c r="D88" s="2" t="s">
        <v>4566</v>
      </c>
      <c r="E88" s="11" t="s">
        <v>4567</v>
      </c>
      <c r="F88" s="30" t="s">
        <v>2169</v>
      </c>
      <c r="G88" s="30" t="s">
        <v>4568</v>
      </c>
      <c r="H88" s="16">
        <v>46143</v>
      </c>
      <c r="I88" s="115">
        <v>46080</v>
      </c>
      <c r="J88" s="115">
        <v>46083</v>
      </c>
      <c r="K88" s="115">
        <v>46087</v>
      </c>
      <c r="L88" s="115"/>
      <c r="M88" s="115">
        <v>46127</v>
      </c>
      <c r="N88" s="115" t="s">
        <v>4994</v>
      </c>
      <c r="O88" s="115"/>
      <c r="P88" s="115"/>
      <c r="Q88" s="115"/>
      <c r="R88" s="115"/>
      <c r="T88" s="7" t="s">
        <v>20</v>
      </c>
      <c r="U88" s="16" t="s">
        <v>70</v>
      </c>
      <c r="V88" s="16">
        <v>46138</v>
      </c>
      <c r="W88" s="16">
        <v>46143</v>
      </c>
      <c r="Z88" s="30" t="s">
        <v>103</v>
      </c>
      <c r="AA88" s="8">
        <v>46197</v>
      </c>
      <c r="AC88" s="10">
        <v>2550.89</v>
      </c>
      <c r="AD88" s="10"/>
      <c r="AE88" s="10"/>
      <c r="AF88" s="10"/>
      <c r="AG88" s="10"/>
      <c r="AH88" s="10"/>
    </row>
    <row r="89" spans="1:34" ht="122.25" hidden="1" customHeight="1">
      <c r="A89" s="9">
        <f t="shared" ca="1" si="3"/>
        <v>51</v>
      </c>
      <c r="B89" s="31">
        <v>46077</v>
      </c>
      <c r="C89" s="11" t="s">
        <v>24</v>
      </c>
      <c r="D89" s="2" t="s">
        <v>4569</v>
      </c>
      <c r="E89" s="11" t="s">
        <v>4570</v>
      </c>
      <c r="F89" s="30" t="s">
        <v>4454</v>
      </c>
      <c r="G89" s="30" t="s">
        <v>4571</v>
      </c>
      <c r="H89" s="16">
        <v>46143</v>
      </c>
      <c r="I89" s="115">
        <v>46080</v>
      </c>
      <c r="J89" s="115">
        <v>46083</v>
      </c>
      <c r="K89" s="115">
        <v>46085</v>
      </c>
      <c r="L89" s="115"/>
      <c r="M89" s="115" t="s">
        <v>4993</v>
      </c>
      <c r="N89" s="115"/>
      <c r="O89" s="115"/>
      <c r="P89" s="115">
        <v>46146</v>
      </c>
      <c r="Q89" s="115">
        <v>46146</v>
      </c>
      <c r="T89" s="7" t="s">
        <v>22</v>
      </c>
      <c r="U89" s="16" t="s">
        <v>5233</v>
      </c>
      <c r="V89" s="16">
        <v>46150</v>
      </c>
      <c r="W89" s="16">
        <v>46185</v>
      </c>
      <c r="X89" s="4" t="s">
        <v>5232</v>
      </c>
      <c r="Z89" s="30" t="s">
        <v>2422</v>
      </c>
      <c r="AA89" s="8">
        <v>46203</v>
      </c>
      <c r="AC89" s="10">
        <v>25560</v>
      </c>
      <c r="AD89" s="10"/>
      <c r="AE89" s="10"/>
      <c r="AF89" s="10"/>
      <c r="AG89" s="10"/>
      <c r="AH89" s="10"/>
    </row>
    <row r="90" spans="1:34" ht="122.25" hidden="1" customHeight="1">
      <c r="A90" s="9">
        <f t="shared" ca="1" si="3"/>
        <v>20</v>
      </c>
      <c r="B90" s="31">
        <v>46080</v>
      </c>
      <c r="C90" s="11" t="s">
        <v>24</v>
      </c>
      <c r="D90" s="2" t="s">
        <v>4572</v>
      </c>
      <c r="E90" s="11" t="s">
        <v>4573</v>
      </c>
      <c r="F90" s="30" t="s">
        <v>4454</v>
      </c>
      <c r="G90" s="30" t="s">
        <v>4574</v>
      </c>
      <c r="H90" s="16">
        <v>46174</v>
      </c>
      <c r="I90" s="115">
        <v>46080</v>
      </c>
      <c r="J90" s="115">
        <v>46083</v>
      </c>
      <c r="K90" s="115">
        <v>46085</v>
      </c>
      <c r="L90" s="115"/>
      <c r="M90" s="115">
        <v>46148</v>
      </c>
      <c r="N90" s="115"/>
      <c r="O90" s="115"/>
      <c r="P90" s="115">
        <v>46149</v>
      </c>
      <c r="Q90" s="115">
        <v>46149</v>
      </c>
      <c r="T90" s="7" t="s">
        <v>22</v>
      </c>
      <c r="U90" s="16" t="s">
        <v>5262</v>
      </c>
      <c r="V90" s="16" t="s">
        <v>5263</v>
      </c>
      <c r="W90" s="16" t="s">
        <v>5264</v>
      </c>
      <c r="X90" s="4" t="s">
        <v>5353</v>
      </c>
      <c r="Z90" s="30" t="s">
        <v>2422</v>
      </c>
      <c r="AA90" s="8">
        <v>46188</v>
      </c>
      <c r="AC90" s="10">
        <v>23040</v>
      </c>
      <c r="AD90" s="10"/>
      <c r="AE90" s="10"/>
      <c r="AF90" s="10"/>
      <c r="AG90" s="10"/>
      <c r="AH90" s="10"/>
    </row>
    <row r="91" spans="1:34" ht="122.25" hidden="1" customHeight="1">
      <c r="A91" s="9">
        <f t="shared" ca="1" si="3"/>
        <v>51</v>
      </c>
      <c r="B91" s="31">
        <v>46080</v>
      </c>
      <c r="C91" s="11" t="s">
        <v>24</v>
      </c>
      <c r="D91" s="2" t="s">
        <v>4575</v>
      </c>
      <c r="E91" s="11" t="s">
        <v>4576</v>
      </c>
      <c r="F91" s="30" t="s">
        <v>4719</v>
      </c>
      <c r="G91" s="30" t="s">
        <v>4577</v>
      </c>
      <c r="H91" s="16">
        <v>46143</v>
      </c>
      <c r="I91" s="115">
        <v>46080</v>
      </c>
      <c r="J91" s="115">
        <v>46083</v>
      </c>
      <c r="K91" s="115">
        <v>46080</v>
      </c>
      <c r="L91" s="115"/>
      <c r="M91" s="115" t="s">
        <v>4600</v>
      </c>
      <c r="N91" s="115"/>
      <c r="O91" s="115"/>
      <c r="P91" s="115">
        <v>46128</v>
      </c>
      <c r="Q91" s="115">
        <v>46128</v>
      </c>
      <c r="T91" s="7" t="s">
        <v>28</v>
      </c>
      <c r="U91" s="2" t="s">
        <v>4943</v>
      </c>
      <c r="V91" s="16">
        <v>46123</v>
      </c>
      <c r="W91" s="16">
        <v>46158</v>
      </c>
      <c r="X91" s="4" t="s">
        <v>4942</v>
      </c>
      <c r="Z91" s="30" t="s">
        <v>103</v>
      </c>
      <c r="AA91" s="8">
        <v>46211</v>
      </c>
      <c r="AD91" s="26">
        <v>93307.49</v>
      </c>
      <c r="AE91" s="10"/>
      <c r="AF91" s="10"/>
      <c r="AG91" s="10"/>
      <c r="AH91" s="10"/>
    </row>
    <row r="92" spans="1:34" ht="122.25" hidden="1" customHeight="1">
      <c r="A92" s="9">
        <f t="shared" ca="1" si="3"/>
        <v>20</v>
      </c>
      <c r="B92" s="31">
        <v>46080</v>
      </c>
      <c r="C92" s="11" t="s">
        <v>24</v>
      </c>
      <c r="D92" s="2" t="s">
        <v>4578</v>
      </c>
      <c r="E92" s="11" t="s">
        <v>4579</v>
      </c>
      <c r="F92" s="30" t="s">
        <v>104</v>
      </c>
      <c r="G92" s="30" t="s">
        <v>4580</v>
      </c>
      <c r="H92" s="16">
        <v>46174</v>
      </c>
      <c r="I92" s="115">
        <v>46080</v>
      </c>
      <c r="J92" s="115">
        <v>46083</v>
      </c>
      <c r="K92" s="115">
        <v>46080</v>
      </c>
      <c r="L92" s="115"/>
      <c r="M92" s="115">
        <v>46127</v>
      </c>
      <c r="N92" s="115"/>
      <c r="O92" s="115"/>
      <c r="P92" s="115">
        <v>46127</v>
      </c>
      <c r="Q92" s="115">
        <v>46127</v>
      </c>
      <c r="T92" s="7" t="s">
        <v>20</v>
      </c>
      <c r="U92" s="2" t="s">
        <v>4988</v>
      </c>
      <c r="V92" s="16">
        <v>46123</v>
      </c>
      <c r="W92" s="16">
        <v>46162</v>
      </c>
      <c r="X92" s="4" t="s">
        <v>5326</v>
      </c>
      <c r="Z92" s="30" t="s">
        <v>54</v>
      </c>
      <c r="AA92" s="8">
        <v>46180</v>
      </c>
      <c r="AC92" s="26">
        <v>3065</v>
      </c>
      <c r="AD92" s="10"/>
      <c r="AE92" s="10"/>
      <c r="AF92" s="10"/>
      <c r="AG92" s="10"/>
      <c r="AH92" s="10"/>
    </row>
    <row r="93" spans="1:34" ht="18.75" hidden="1">
      <c r="A93" s="9">
        <f t="shared" ca="1" si="3"/>
        <v>20</v>
      </c>
      <c r="B93" s="31">
        <v>46080</v>
      </c>
      <c r="C93" s="11" t="s">
        <v>24</v>
      </c>
      <c r="D93" s="2" t="s">
        <v>4581</v>
      </c>
      <c r="E93" s="11" t="s">
        <v>4582</v>
      </c>
      <c r="F93" s="30" t="s">
        <v>4583</v>
      </c>
      <c r="G93" s="30" t="s">
        <v>4584</v>
      </c>
      <c r="H93" s="16">
        <v>46174</v>
      </c>
      <c r="I93" s="115">
        <v>46080</v>
      </c>
      <c r="J93" s="115">
        <v>46083</v>
      </c>
      <c r="K93" s="115">
        <v>46086</v>
      </c>
      <c r="L93" s="115"/>
      <c r="M93" s="115">
        <v>46142</v>
      </c>
      <c r="N93" s="115"/>
      <c r="O93" s="115"/>
      <c r="P93" s="115">
        <v>46135</v>
      </c>
      <c r="Q93" s="115">
        <v>46135</v>
      </c>
      <c r="T93" s="7" t="s">
        <v>28</v>
      </c>
      <c r="U93" s="2" t="s">
        <v>5026</v>
      </c>
      <c r="V93" s="16">
        <v>46145</v>
      </c>
      <c r="W93" s="16">
        <v>46172</v>
      </c>
      <c r="X93" s="4" t="s">
        <v>5234</v>
      </c>
      <c r="Z93" s="30" t="s">
        <v>341</v>
      </c>
      <c r="AA93" s="8">
        <v>46223</v>
      </c>
      <c r="AC93" s="26">
        <v>14088</v>
      </c>
      <c r="AD93" s="10"/>
      <c r="AE93" s="10"/>
      <c r="AF93" s="10"/>
      <c r="AG93" s="10"/>
      <c r="AH93" s="10"/>
    </row>
    <row r="94" spans="1:34" ht="18.75" hidden="1">
      <c r="A94" s="9">
        <f t="shared" ca="1" si="3"/>
        <v>20</v>
      </c>
      <c r="B94" s="31">
        <v>46080</v>
      </c>
      <c r="C94" s="11" t="s">
        <v>24</v>
      </c>
      <c r="D94" s="31" t="s">
        <v>4585</v>
      </c>
      <c r="E94" s="11" t="s">
        <v>4586</v>
      </c>
      <c r="F94" s="30" t="s">
        <v>4587</v>
      </c>
      <c r="G94" s="30" t="s">
        <v>4588</v>
      </c>
      <c r="H94" s="16">
        <v>46174</v>
      </c>
      <c r="I94" s="115">
        <v>46080</v>
      </c>
      <c r="J94" s="115">
        <v>46083</v>
      </c>
      <c r="K94" s="115">
        <v>46080</v>
      </c>
      <c r="L94" s="115"/>
      <c r="M94" s="115">
        <v>46136</v>
      </c>
      <c r="N94" s="16" t="s">
        <v>4630</v>
      </c>
      <c r="O94" s="115"/>
      <c r="P94" s="115">
        <v>46153</v>
      </c>
      <c r="Q94" s="115">
        <v>46153</v>
      </c>
      <c r="T94" s="7" t="s">
        <v>25</v>
      </c>
      <c r="U94" s="16"/>
      <c r="Z94" s="30" t="s">
        <v>4589</v>
      </c>
      <c r="AA94" s="8">
        <v>46256</v>
      </c>
      <c r="AB94" s="10">
        <v>6990</v>
      </c>
      <c r="AD94" s="10"/>
      <c r="AE94" s="10"/>
      <c r="AF94" s="10"/>
      <c r="AG94" s="10"/>
      <c r="AH94" s="10"/>
    </row>
    <row r="95" spans="1:34" ht="56.25" hidden="1">
      <c r="A95" s="9">
        <f t="shared" ca="1" si="3"/>
        <v>51</v>
      </c>
      <c r="B95" s="31">
        <v>46104</v>
      </c>
      <c r="C95" s="11" t="s">
        <v>24</v>
      </c>
      <c r="D95" s="11" t="s">
        <v>4782</v>
      </c>
      <c r="E95" s="11" t="s">
        <v>4783</v>
      </c>
      <c r="F95" s="30" t="s">
        <v>3090</v>
      </c>
      <c r="G95" s="30" t="s">
        <v>4953</v>
      </c>
      <c r="H95" s="16">
        <v>46143</v>
      </c>
      <c r="I95" s="115">
        <v>46105</v>
      </c>
      <c r="J95" s="115">
        <v>46106</v>
      </c>
      <c r="K95" s="115">
        <v>46106</v>
      </c>
      <c r="L95" s="115"/>
      <c r="M95" s="115" t="s">
        <v>4944</v>
      </c>
      <c r="N95" s="115" t="s">
        <v>2687</v>
      </c>
      <c r="T95" s="7" t="s">
        <v>28</v>
      </c>
      <c r="U95" s="2" t="s">
        <v>5327</v>
      </c>
      <c r="V95" s="16">
        <v>46165</v>
      </c>
      <c r="W95" s="16">
        <v>46188</v>
      </c>
      <c r="X95" s="4" t="s">
        <v>5113</v>
      </c>
      <c r="Z95" s="30" t="s">
        <v>4784</v>
      </c>
      <c r="AA95" s="8">
        <v>46157</v>
      </c>
      <c r="AB95" s="10">
        <v>753287.04</v>
      </c>
      <c r="AD95" s="10"/>
      <c r="AE95" s="10"/>
      <c r="AF95" s="10"/>
      <c r="AG95" s="10"/>
      <c r="AH95" s="10"/>
    </row>
    <row r="96" spans="1:34" ht="37.5" hidden="1">
      <c r="A96" s="9">
        <f t="shared" ca="1" si="3"/>
        <v>20</v>
      </c>
      <c r="B96" s="31">
        <v>46104</v>
      </c>
      <c r="C96" s="11" t="s">
        <v>24</v>
      </c>
      <c r="D96" s="11" t="s">
        <v>4782</v>
      </c>
      <c r="E96" s="11" t="s">
        <v>4783</v>
      </c>
      <c r="F96" s="30" t="s">
        <v>3090</v>
      </c>
      <c r="G96" s="30" t="s">
        <v>4908</v>
      </c>
      <c r="H96" s="16">
        <v>46174</v>
      </c>
      <c r="I96" s="115">
        <v>46105</v>
      </c>
      <c r="J96" s="115">
        <v>46106</v>
      </c>
      <c r="K96" s="115">
        <v>46106</v>
      </c>
      <c r="L96" s="115"/>
      <c r="M96" s="16">
        <v>46193</v>
      </c>
      <c r="T96" s="7" t="s">
        <v>28</v>
      </c>
      <c r="U96" s="16"/>
      <c r="Z96" s="30" t="s">
        <v>4784</v>
      </c>
      <c r="AA96" s="8">
        <v>46188</v>
      </c>
      <c r="AB96" s="10">
        <v>753287.04</v>
      </c>
      <c r="AD96" s="10"/>
      <c r="AE96" s="10"/>
      <c r="AF96" s="10"/>
      <c r="AG96" s="10"/>
      <c r="AH96" s="10"/>
    </row>
    <row r="97" spans="1:34" ht="56.25" hidden="1">
      <c r="A97" s="9">
        <f t="shared" ca="1" si="3"/>
        <v>-10</v>
      </c>
      <c r="B97" s="31">
        <v>46104</v>
      </c>
      <c r="C97" s="11" t="s">
        <v>24</v>
      </c>
      <c r="D97" s="11" t="s">
        <v>4782</v>
      </c>
      <c r="E97" s="11" t="s">
        <v>4783</v>
      </c>
      <c r="F97" s="30" t="s">
        <v>3090</v>
      </c>
      <c r="G97" s="30" t="s">
        <v>4952</v>
      </c>
      <c r="H97" s="16">
        <v>46204</v>
      </c>
      <c r="I97" s="115">
        <v>46105</v>
      </c>
      <c r="J97" s="115">
        <v>46106</v>
      </c>
      <c r="K97" s="115">
        <v>46106</v>
      </c>
      <c r="L97" s="115"/>
      <c r="T97" s="7" t="s">
        <v>28</v>
      </c>
      <c r="U97" s="16"/>
      <c r="Z97" s="30" t="s">
        <v>4784</v>
      </c>
      <c r="AA97" s="8">
        <v>46218</v>
      </c>
      <c r="AB97" s="10">
        <v>753287.04</v>
      </c>
      <c r="AD97" s="10"/>
      <c r="AE97" s="10"/>
      <c r="AF97" s="10"/>
      <c r="AG97" s="10"/>
      <c r="AH97" s="10"/>
    </row>
    <row r="98" spans="1:34" ht="39.75" hidden="1" customHeight="1">
      <c r="A98" s="9">
        <f t="shared" ca="1" si="3"/>
        <v>20</v>
      </c>
      <c r="B98" s="31">
        <v>46099</v>
      </c>
      <c r="C98" s="11" t="s">
        <v>24</v>
      </c>
      <c r="D98" s="2" t="s">
        <v>4733</v>
      </c>
      <c r="E98" s="11" t="s">
        <v>4734</v>
      </c>
      <c r="F98" s="30" t="s">
        <v>36</v>
      </c>
      <c r="G98" s="30" t="s">
        <v>4992</v>
      </c>
      <c r="H98" s="16">
        <v>46174</v>
      </c>
      <c r="I98" s="115">
        <v>46099</v>
      </c>
      <c r="J98" s="115">
        <v>46101</v>
      </c>
      <c r="K98" s="115"/>
      <c r="T98" s="7" t="s">
        <v>30</v>
      </c>
      <c r="Z98" s="30" t="s">
        <v>4735</v>
      </c>
      <c r="AA98" s="8">
        <v>46182</v>
      </c>
      <c r="AB98" s="10">
        <v>199440</v>
      </c>
      <c r="AD98" s="10"/>
      <c r="AE98" s="10"/>
      <c r="AF98" s="10"/>
      <c r="AG98" s="10"/>
      <c r="AH98" s="10"/>
    </row>
    <row r="99" spans="1:34" ht="18.75" hidden="1">
      <c r="A99" s="9">
        <f t="shared" ca="1" si="3"/>
        <v>42</v>
      </c>
      <c r="B99" s="31">
        <v>46104</v>
      </c>
      <c r="C99" s="11" t="s">
        <v>24</v>
      </c>
      <c r="D99" s="2" t="s">
        <v>4807</v>
      </c>
      <c r="E99" s="11" t="s">
        <v>4808</v>
      </c>
      <c r="F99" s="30" t="s">
        <v>4004</v>
      </c>
      <c r="G99" s="30" t="s">
        <v>4809</v>
      </c>
      <c r="H99" s="16">
        <v>46152</v>
      </c>
      <c r="I99" s="115">
        <v>46105</v>
      </c>
      <c r="J99" s="115">
        <v>46106</v>
      </c>
      <c r="K99" s="115">
        <v>46105</v>
      </c>
      <c r="L99" s="115"/>
      <c r="M99" s="115">
        <v>46125</v>
      </c>
      <c r="N99" s="115"/>
      <c r="O99" s="115"/>
      <c r="P99" s="115">
        <v>46130</v>
      </c>
      <c r="Q99" s="115">
        <v>46130</v>
      </c>
      <c r="T99" s="7" t="s">
        <v>22</v>
      </c>
      <c r="U99" s="2" t="s">
        <v>4912</v>
      </c>
      <c r="V99" s="16">
        <v>46130</v>
      </c>
      <c r="W99" s="16">
        <v>46158</v>
      </c>
      <c r="X99" s="4" t="s">
        <v>4904</v>
      </c>
      <c r="Z99" s="30" t="s">
        <v>4806</v>
      </c>
      <c r="AA99" s="8">
        <v>46183</v>
      </c>
      <c r="AC99" s="10">
        <v>123480</v>
      </c>
      <c r="AD99" s="10"/>
      <c r="AE99" s="10"/>
      <c r="AF99" s="10"/>
      <c r="AG99" s="10"/>
      <c r="AH99" s="10"/>
    </row>
    <row r="100" spans="1:34" ht="37.5" hidden="1">
      <c r="A100" s="9">
        <f t="shared" ca="1" si="3"/>
        <v>11</v>
      </c>
      <c r="B100" s="31">
        <v>46104</v>
      </c>
      <c r="C100" s="11" t="s">
        <v>24</v>
      </c>
      <c r="D100" s="2" t="s">
        <v>4803</v>
      </c>
      <c r="E100" s="11" t="s">
        <v>4804</v>
      </c>
      <c r="F100" s="30" t="s">
        <v>4004</v>
      </c>
      <c r="G100" s="30" t="s">
        <v>4805</v>
      </c>
      <c r="H100" s="16">
        <v>46183</v>
      </c>
      <c r="I100" s="115">
        <v>46105</v>
      </c>
      <c r="J100" s="115">
        <v>46106</v>
      </c>
      <c r="K100" s="115">
        <v>46105</v>
      </c>
      <c r="L100" s="115"/>
      <c r="M100" s="115">
        <v>46149</v>
      </c>
      <c r="N100" s="115"/>
      <c r="T100" s="7" t="s">
        <v>22</v>
      </c>
      <c r="U100" s="2" t="s">
        <v>5255</v>
      </c>
      <c r="V100" s="16">
        <v>46157</v>
      </c>
      <c r="W100" s="16">
        <v>46184</v>
      </c>
      <c r="X100" s="4" t="s">
        <v>5256</v>
      </c>
      <c r="Z100" s="30" t="s">
        <v>4806</v>
      </c>
      <c r="AA100" s="8">
        <v>46213</v>
      </c>
      <c r="AC100" s="10">
        <v>105840</v>
      </c>
      <c r="AD100" s="10"/>
      <c r="AE100" s="10"/>
      <c r="AF100" s="10"/>
      <c r="AG100" s="10"/>
      <c r="AH100" s="10"/>
    </row>
    <row r="101" spans="1:34" ht="37.5" hidden="1">
      <c r="A101" s="9">
        <f t="shared" ca="1" si="3"/>
        <v>42</v>
      </c>
      <c r="B101" s="31">
        <v>46104</v>
      </c>
      <c r="C101" s="11" t="s">
        <v>24</v>
      </c>
      <c r="D101" s="2" t="s">
        <v>4800</v>
      </c>
      <c r="E101" s="11" t="s">
        <v>4801</v>
      </c>
      <c r="F101" s="30" t="s">
        <v>3998</v>
      </c>
      <c r="G101" s="30" t="s">
        <v>4802</v>
      </c>
      <c r="H101" s="16">
        <v>46152</v>
      </c>
      <c r="I101" s="115">
        <v>46105</v>
      </c>
      <c r="J101" s="115">
        <v>46106</v>
      </c>
      <c r="K101" s="115">
        <v>46105</v>
      </c>
      <c r="L101" s="115"/>
      <c r="M101" s="115">
        <v>46133</v>
      </c>
      <c r="N101" s="115"/>
      <c r="T101" s="7" t="s">
        <v>22</v>
      </c>
      <c r="U101" s="2" t="s">
        <v>5156</v>
      </c>
      <c r="V101" s="16">
        <v>46137</v>
      </c>
      <c r="W101" s="16">
        <v>46165</v>
      </c>
      <c r="X101" s="4" t="s">
        <v>4984</v>
      </c>
      <c r="Z101" s="30" t="s">
        <v>2027</v>
      </c>
      <c r="AA101" s="8">
        <v>46183</v>
      </c>
      <c r="AC101" s="10">
        <v>28188</v>
      </c>
      <c r="AD101" s="10"/>
      <c r="AE101" s="10"/>
      <c r="AF101" s="10"/>
      <c r="AG101" s="10"/>
      <c r="AH101" s="10"/>
    </row>
    <row r="102" spans="1:34" ht="18.75" hidden="1">
      <c r="A102" s="9">
        <f t="shared" ca="1" si="3"/>
        <v>11</v>
      </c>
      <c r="B102" s="31">
        <v>46104</v>
      </c>
      <c r="C102" s="11" t="s">
        <v>24</v>
      </c>
      <c r="D102" s="2" t="s">
        <v>4797</v>
      </c>
      <c r="E102" s="11" t="s">
        <v>4798</v>
      </c>
      <c r="F102" s="30" t="s">
        <v>3998</v>
      </c>
      <c r="G102" s="30" t="s">
        <v>4799</v>
      </c>
      <c r="H102" s="16">
        <v>46183</v>
      </c>
      <c r="I102" s="115">
        <v>46105</v>
      </c>
      <c r="J102" s="115">
        <v>46106</v>
      </c>
      <c r="K102" s="115">
        <v>46107</v>
      </c>
      <c r="L102" s="115"/>
      <c r="M102" s="115">
        <v>46156</v>
      </c>
      <c r="N102" s="115"/>
      <c r="T102" s="7" t="s">
        <v>22</v>
      </c>
      <c r="U102" s="161" t="s">
        <v>4097</v>
      </c>
      <c r="V102" s="16">
        <v>46160</v>
      </c>
      <c r="W102" s="16">
        <v>46184</v>
      </c>
      <c r="X102" s="4" t="s">
        <v>4938</v>
      </c>
      <c r="Z102" s="30" t="s">
        <v>2027</v>
      </c>
      <c r="AA102" s="8">
        <v>46213</v>
      </c>
      <c r="AC102" s="10">
        <v>28188</v>
      </c>
      <c r="AD102" s="10"/>
      <c r="AE102" s="10"/>
      <c r="AF102" s="10"/>
      <c r="AG102" s="10"/>
      <c r="AH102" s="10"/>
    </row>
    <row r="103" spans="1:34" ht="122.25" hidden="1" customHeight="1">
      <c r="A103" s="9">
        <f t="shared" ca="1" si="3"/>
        <v>42</v>
      </c>
      <c r="B103" s="31">
        <v>46104</v>
      </c>
      <c r="C103" s="11" t="s">
        <v>24</v>
      </c>
      <c r="D103" s="2" t="s">
        <v>4794</v>
      </c>
      <c r="E103" s="11" t="s">
        <v>4795</v>
      </c>
      <c r="F103" s="30" t="s">
        <v>295</v>
      </c>
      <c r="G103" s="30" t="s">
        <v>4796</v>
      </c>
      <c r="H103" s="16">
        <v>46152</v>
      </c>
      <c r="I103" s="115">
        <v>46105</v>
      </c>
      <c r="J103" s="115">
        <v>46106</v>
      </c>
      <c r="K103" s="115">
        <v>46107</v>
      </c>
      <c r="L103" s="115"/>
      <c r="M103" s="115"/>
      <c r="N103" s="115"/>
      <c r="O103" s="115"/>
      <c r="P103" s="115">
        <v>46128</v>
      </c>
      <c r="Q103" s="115">
        <v>46128</v>
      </c>
      <c r="T103" s="7" t="s">
        <v>22</v>
      </c>
      <c r="U103" s="11" t="s">
        <v>4903</v>
      </c>
      <c r="V103" s="16">
        <v>46125</v>
      </c>
      <c r="W103" s="16">
        <v>46158</v>
      </c>
      <c r="X103" s="4" t="s">
        <v>4905</v>
      </c>
      <c r="Z103" s="30" t="s">
        <v>29</v>
      </c>
      <c r="AA103" s="8">
        <v>46183</v>
      </c>
      <c r="AC103" s="10">
        <v>114264</v>
      </c>
      <c r="AD103" s="10"/>
      <c r="AE103" s="10"/>
      <c r="AF103" s="10"/>
      <c r="AG103" s="10"/>
      <c r="AH103" s="10"/>
    </row>
    <row r="104" spans="1:34" ht="122.25" hidden="1" customHeight="1">
      <c r="A104" s="9">
        <f t="shared" ca="1" si="3"/>
        <v>11</v>
      </c>
      <c r="B104" s="31">
        <v>46104</v>
      </c>
      <c r="C104" s="11" t="s">
        <v>24</v>
      </c>
      <c r="D104" s="2" t="s">
        <v>4791</v>
      </c>
      <c r="E104" s="11" t="s">
        <v>4792</v>
      </c>
      <c r="F104" s="30" t="s">
        <v>295</v>
      </c>
      <c r="G104" s="30" t="s">
        <v>4793</v>
      </c>
      <c r="H104" s="16">
        <v>46183</v>
      </c>
      <c r="I104" s="115">
        <v>46105</v>
      </c>
      <c r="J104" s="115">
        <v>46106</v>
      </c>
      <c r="K104" s="115">
        <v>46113</v>
      </c>
      <c r="L104" s="115"/>
      <c r="M104" s="115">
        <v>46153</v>
      </c>
      <c r="N104" s="115"/>
      <c r="T104" s="7" t="s">
        <v>22</v>
      </c>
      <c r="U104" s="2" t="s">
        <v>5322</v>
      </c>
      <c r="V104" s="16">
        <v>46159</v>
      </c>
      <c r="W104" s="16">
        <v>46184</v>
      </c>
      <c r="X104" s="4" t="s">
        <v>4938</v>
      </c>
      <c r="Z104" s="30" t="s">
        <v>29</v>
      </c>
      <c r="AA104" s="8">
        <v>46213</v>
      </c>
      <c r="AC104" s="10">
        <v>114264</v>
      </c>
      <c r="AD104" s="10"/>
      <c r="AE104" s="10"/>
      <c r="AF104" s="10"/>
      <c r="AG104" s="10"/>
      <c r="AH104" s="10"/>
    </row>
    <row r="105" spans="1:34" ht="122.25" hidden="1" customHeight="1">
      <c r="A105" s="9">
        <f t="shared" ca="1" si="3"/>
        <v>42</v>
      </c>
      <c r="B105" s="31">
        <v>46104</v>
      </c>
      <c r="C105" s="11" t="s">
        <v>24</v>
      </c>
      <c r="D105" s="2" t="s">
        <v>4788</v>
      </c>
      <c r="E105" s="11" t="s">
        <v>4789</v>
      </c>
      <c r="F105" s="30" t="s">
        <v>98</v>
      </c>
      <c r="G105" s="30" t="s">
        <v>4790</v>
      </c>
      <c r="H105" s="16">
        <v>46152</v>
      </c>
      <c r="I105" s="115">
        <v>46105</v>
      </c>
      <c r="J105" s="115">
        <v>46106</v>
      </c>
      <c r="K105" s="115">
        <v>46107</v>
      </c>
      <c r="L105" s="115"/>
      <c r="M105" s="115">
        <v>46123</v>
      </c>
      <c r="N105" s="115"/>
      <c r="O105" s="115"/>
      <c r="P105" s="115">
        <v>46128</v>
      </c>
      <c r="Q105" s="115">
        <v>46128</v>
      </c>
      <c r="T105" s="7" t="s">
        <v>22</v>
      </c>
      <c r="U105" s="2" t="s">
        <v>5231</v>
      </c>
      <c r="V105" s="16">
        <v>46127</v>
      </c>
      <c r="W105" s="16" t="s">
        <v>5230</v>
      </c>
      <c r="X105" s="4" t="s">
        <v>4937</v>
      </c>
      <c r="Z105" s="30" t="s">
        <v>50</v>
      </c>
      <c r="AA105" s="8">
        <v>46183</v>
      </c>
      <c r="AB105" s="10">
        <v>54401.55</v>
      </c>
      <c r="AD105" s="10"/>
      <c r="AE105" s="10"/>
      <c r="AF105" s="10"/>
      <c r="AG105" s="10"/>
      <c r="AH105" s="10"/>
    </row>
    <row r="106" spans="1:34" ht="122.25" hidden="1" customHeight="1">
      <c r="A106" s="9">
        <f t="shared" ca="1" si="3"/>
        <v>11</v>
      </c>
      <c r="B106" s="31">
        <v>46104</v>
      </c>
      <c r="C106" s="11" t="s">
        <v>24</v>
      </c>
      <c r="D106" s="2" t="s">
        <v>4785</v>
      </c>
      <c r="E106" s="11" t="s">
        <v>4786</v>
      </c>
      <c r="F106" s="30" t="s">
        <v>98</v>
      </c>
      <c r="G106" s="30" t="s">
        <v>4787</v>
      </c>
      <c r="H106" s="16">
        <v>46183</v>
      </c>
      <c r="I106" s="115">
        <v>46105</v>
      </c>
      <c r="J106" s="115">
        <v>46106</v>
      </c>
      <c r="K106" s="115">
        <v>46107</v>
      </c>
      <c r="L106" s="115"/>
      <c r="M106" s="115">
        <v>46150</v>
      </c>
      <c r="N106" s="115"/>
      <c r="T106" s="7" t="s">
        <v>22</v>
      </c>
      <c r="U106" s="11" t="s">
        <v>4911</v>
      </c>
      <c r="V106" s="16">
        <v>46161</v>
      </c>
      <c r="W106" s="16">
        <v>46195</v>
      </c>
      <c r="X106" s="4" t="s">
        <v>4938</v>
      </c>
      <c r="Z106" s="30" t="s">
        <v>50</v>
      </c>
      <c r="AA106" s="8">
        <v>46213</v>
      </c>
      <c r="AB106" s="10">
        <v>54401.55</v>
      </c>
      <c r="AD106" s="10"/>
      <c r="AE106" s="10"/>
      <c r="AF106" s="10"/>
      <c r="AG106" s="10"/>
      <c r="AH106" s="10"/>
    </row>
    <row r="107" spans="1:34" ht="122.25" hidden="1" customHeight="1">
      <c r="A107" s="9">
        <f t="shared" ca="1" si="3"/>
        <v>11</v>
      </c>
      <c r="B107" s="31">
        <v>46108</v>
      </c>
      <c r="C107" s="11" t="s">
        <v>27</v>
      </c>
      <c r="D107" s="2" t="s">
        <v>5239</v>
      </c>
      <c r="E107" s="11" t="s">
        <v>4861</v>
      </c>
      <c r="F107" s="30" t="s">
        <v>4677</v>
      </c>
      <c r="G107" s="30" t="s">
        <v>5240</v>
      </c>
      <c r="H107" s="16">
        <v>46183</v>
      </c>
      <c r="I107" s="115"/>
      <c r="J107" s="115"/>
      <c r="K107" s="115"/>
      <c r="L107" s="115"/>
      <c r="M107" s="115">
        <v>45791</v>
      </c>
      <c r="N107" s="115" t="s">
        <v>5354</v>
      </c>
      <c r="O107" s="16" t="s">
        <v>5434</v>
      </c>
      <c r="P107" s="115"/>
      <c r="T107" s="7" t="s">
        <v>20</v>
      </c>
      <c r="U107" s="398" t="s">
        <v>5431</v>
      </c>
      <c r="V107" s="16">
        <v>46187</v>
      </c>
      <c r="W107" s="16">
        <v>46198</v>
      </c>
      <c r="X107" s="399" t="s">
        <v>5433</v>
      </c>
      <c r="Z107" s="30" t="s">
        <v>103</v>
      </c>
      <c r="AA107" s="8">
        <v>46183</v>
      </c>
      <c r="AC107" s="10">
        <v>1854</v>
      </c>
      <c r="AD107" s="10"/>
      <c r="AE107" s="10"/>
      <c r="AF107" s="10"/>
      <c r="AG107" s="10"/>
      <c r="AH107" s="10"/>
    </row>
    <row r="108" spans="1:34" ht="318.60000000000002" hidden="1" customHeight="1">
      <c r="A108" s="62"/>
      <c r="B108" s="31">
        <v>46108</v>
      </c>
      <c r="C108" s="11" t="s">
        <v>24</v>
      </c>
      <c r="D108" s="2" t="s">
        <v>4872</v>
      </c>
      <c r="E108" s="11" t="s">
        <v>4873</v>
      </c>
      <c r="F108" s="30" t="s">
        <v>36</v>
      </c>
      <c r="G108" s="30" t="s">
        <v>4874</v>
      </c>
      <c r="H108" s="16">
        <v>46204</v>
      </c>
      <c r="I108" s="115"/>
      <c r="J108" s="115">
        <v>46112</v>
      </c>
      <c r="K108" s="115"/>
      <c r="T108" s="7" t="s">
        <v>30</v>
      </c>
      <c r="X108" s="399" t="s">
        <v>5432</v>
      </c>
      <c r="Z108" s="30" t="s">
        <v>113</v>
      </c>
      <c r="AA108" s="8">
        <v>46242</v>
      </c>
      <c r="AB108" s="10">
        <v>1652370</v>
      </c>
      <c r="AD108" s="10"/>
      <c r="AE108" s="10"/>
      <c r="AF108" s="10"/>
      <c r="AG108" s="10"/>
      <c r="AH108" s="10"/>
    </row>
    <row r="109" spans="1:34" ht="122.25" hidden="1" customHeight="1">
      <c r="A109" s="9">
        <f t="shared" ref="A109:A123" ca="1" si="4">TODAY()-H109+1</f>
        <v>42</v>
      </c>
      <c r="B109" s="31">
        <v>46106</v>
      </c>
      <c r="C109" s="11" t="s">
        <v>24</v>
      </c>
      <c r="D109" s="2" t="s">
        <v>4875</v>
      </c>
      <c r="E109" s="11" t="s">
        <v>4876</v>
      </c>
      <c r="F109" s="30" t="s">
        <v>4877</v>
      </c>
      <c r="G109" s="30" t="s">
        <v>4878</v>
      </c>
      <c r="H109" s="16">
        <v>46152</v>
      </c>
      <c r="I109" s="115"/>
      <c r="J109" s="115">
        <v>46112</v>
      </c>
      <c r="K109" s="115"/>
      <c r="L109" s="115"/>
      <c r="M109" s="115">
        <v>46128</v>
      </c>
      <c r="N109" s="115"/>
      <c r="O109" s="115"/>
      <c r="P109" s="115"/>
      <c r="Q109" s="115"/>
      <c r="T109" s="7" t="s">
        <v>28</v>
      </c>
      <c r="U109" s="377" t="s">
        <v>2688</v>
      </c>
      <c r="V109" s="16">
        <v>46130</v>
      </c>
      <c r="W109" s="16">
        <v>46168</v>
      </c>
      <c r="X109" s="4" t="s">
        <v>5157</v>
      </c>
      <c r="Z109" s="30" t="s">
        <v>1469</v>
      </c>
      <c r="AA109" s="8">
        <v>46157</v>
      </c>
      <c r="AC109" s="26">
        <v>49850.03</v>
      </c>
      <c r="AD109" s="10"/>
      <c r="AE109" s="10"/>
      <c r="AF109" s="10"/>
      <c r="AG109" s="10"/>
      <c r="AH109" s="10"/>
    </row>
    <row r="110" spans="1:34" ht="122.25" hidden="1" customHeight="1">
      <c r="A110" s="9">
        <f t="shared" ca="1" si="4"/>
        <v>74</v>
      </c>
      <c r="B110" s="31">
        <v>46108</v>
      </c>
      <c r="C110" s="11" t="s">
        <v>24</v>
      </c>
      <c r="D110" s="2" t="s">
        <v>4891</v>
      </c>
      <c r="E110" s="11" t="s">
        <v>4892</v>
      </c>
      <c r="F110" s="30" t="s">
        <v>104</v>
      </c>
      <c r="G110" s="30" t="s">
        <v>4893</v>
      </c>
      <c r="H110" s="16">
        <v>46120</v>
      </c>
      <c r="I110" s="115">
        <v>46111</v>
      </c>
      <c r="J110" s="115">
        <v>46112</v>
      </c>
      <c r="K110" s="115">
        <v>46112</v>
      </c>
      <c r="L110" s="115"/>
      <c r="M110" s="115">
        <v>46134</v>
      </c>
      <c r="N110" s="115" t="s">
        <v>5093</v>
      </c>
      <c r="O110" s="115"/>
      <c r="P110" s="115">
        <v>46146</v>
      </c>
      <c r="Q110" s="115">
        <v>46146</v>
      </c>
      <c r="R110" s="115" t="s">
        <v>5329</v>
      </c>
      <c r="T110" s="7" t="s">
        <v>20</v>
      </c>
      <c r="U110" s="2" t="s">
        <v>5235</v>
      </c>
      <c r="V110" s="16">
        <v>46155</v>
      </c>
      <c r="W110" s="16">
        <v>46157</v>
      </c>
      <c r="X110" s="4" t="s">
        <v>5328</v>
      </c>
      <c r="Z110" s="30" t="s">
        <v>54</v>
      </c>
      <c r="AA110" s="8">
        <v>46172</v>
      </c>
      <c r="AC110" s="26">
        <v>4063.1</v>
      </c>
      <c r="AD110" s="10"/>
      <c r="AE110" s="10"/>
      <c r="AF110" s="10"/>
      <c r="AG110" s="10"/>
      <c r="AH110" s="10"/>
    </row>
    <row r="111" spans="1:34" ht="122.25" hidden="1" customHeight="1">
      <c r="A111" s="9">
        <f t="shared" ca="1" si="4"/>
        <v>-10</v>
      </c>
      <c r="B111" s="31">
        <v>46115</v>
      </c>
      <c r="C111" s="11" t="s">
        <v>24</v>
      </c>
      <c r="D111" s="2" t="s">
        <v>4932</v>
      </c>
      <c r="E111" s="11" t="s">
        <v>4933</v>
      </c>
      <c r="F111" s="30" t="s">
        <v>4546</v>
      </c>
      <c r="G111" s="30" t="s">
        <v>5082</v>
      </c>
      <c r="H111" s="16">
        <v>46204</v>
      </c>
      <c r="I111" s="115">
        <v>46119</v>
      </c>
      <c r="J111" s="115">
        <v>46119</v>
      </c>
      <c r="K111" s="115">
        <v>46121</v>
      </c>
      <c r="L111" s="115"/>
      <c r="M111" s="16">
        <v>46171</v>
      </c>
      <c r="P111" s="6"/>
      <c r="T111" s="7" t="s">
        <v>20</v>
      </c>
      <c r="Z111" s="30" t="s">
        <v>54</v>
      </c>
      <c r="AA111" s="8">
        <v>46227</v>
      </c>
      <c r="AC111" s="10">
        <v>115840.74</v>
      </c>
      <c r="AD111" s="10"/>
      <c r="AE111" s="10"/>
      <c r="AF111" s="10"/>
      <c r="AG111" s="10"/>
      <c r="AH111" s="10"/>
    </row>
    <row r="112" spans="1:34" ht="122.25" hidden="1" customHeight="1">
      <c r="A112" s="9">
        <f t="shared" ca="1" si="4"/>
        <v>69</v>
      </c>
      <c r="B112" s="31">
        <v>46115</v>
      </c>
      <c r="C112" s="11" t="s">
        <v>24</v>
      </c>
      <c r="D112" s="2" t="s">
        <v>4934</v>
      </c>
      <c r="E112" s="11" t="s">
        <v>4935</v>
      </c>
      <c r="F112" s="30" t="s">
        <v>3877</v>
      </c>
      <c r="G112" s="30" t="s">
        <v>4936</v>
      </c>
      <c r="H112" s="16">
        <v>46125</v>
      </c>
      <c r="I112" s="115">
        <v>46115</v>
      </c>
      <c r="J112" s="115">
        <v>46120</v>
      </c>
      <c r="K112" s="115">
        <v>46120</v>
      </c>
      <c r="L112" s="115"/>
      <c r="M112" s="115">
        <v>46150</v>
      </c>
      <c r="N112" s="115"/>
      <c r="O112" s="115">
        <v>46156</v>
      </c>
      <c r="P112" s="115">
        <v>46156</v>
      </c>
      <c r="Q112" s="115">
        <v>46156</v>
      </c>
      <c r="R112" s="16" t="s">
        <v>5352</v>
      </c>
      <c r="T112" s="7" t="s">
        <v>25</v>
      </c>
      <c r="U112" s="2" t="s">
        <v>1042</v>
      </c>
      <c r="V112" s="16">
        <v>46155</v>
      </c>
      <c r="W112" s="16">
        <v>46155</v>
      </c>
      <c r="Z112" s="30" t="s">
        <v>119</v>
      </c>
      <c r="AA112" s="8">
        <v>46203</v>
      </c>
      <c r="AC112" s="10">
        <v>600</v>
      </c>
      <c r="AD112" s="10"/>
      <c r="AE112" s="10"/>
      <c r="AF112" s="10"/>
      <c r="AG112" s="10"/>
      <c r="AH112" s="10"/>
    </row>
    <row r="113" spans="1:34" ht="122.25" hidden="1" customHeight="1">
      <c r="A113" s="9">
        <f t="shared" ca="1" si="4"/>
        <v>-33</v>
      </c>
      <c r="B113" s="31">
        <v>46126</v>
      </c>
      <c r="C113" s="11" t="s">
        <v>24</v>
      </c>
      <c r="D113" s="2" t="s">
        <v>5003</v>
      </c>
      <c r="E113" s="11" t="s">
        <v>5004</v>
      </c>
      <c r="F113" s="30" t="s">
        <v>4454</v>
      </c>
      <c r="G113" s="30" t="s">
        <v>5005</v>
      </c>
      <c r="H113" s="16">
        <v>46227</v>
      </c>
      <c r="I113" s="115">
        <v>46127</v>
      </c>
      <c r="J113" s="115">
        <v>46128</v>
      </c>
      <c r="K113" s="115">
        <v>46127</v>
      </c>
      <c r="L113" s="115">
        <v>46135</v>
      </c>
      <c r="M113" s="16">
        <v>46204</v>
      </c>
      <c r="P113" s="6"/>
      <c r="T113" s="7" t="s">
        <v>22</v>
      </c>
      <c r="Z113" s="30" t="s">
        <v>265</v>
      </c>
      <c r="AA113" s="8">
        <v>46249</v>
      </c>
      <c r="AC113" s="10">
        <v>25560</v>
      </c>
      <c r="AD113" s="10"/>
      <c r="AE113" s="10"/>
      <c r="AF113" s="10"/>
      <c r="AG113" s="10"/>
      <c r="AH113" s="10"/>
    </row>
    <row r="114" spans="1:34" ht="122.25" hidden="1" customHeight="1">
      <c r="A114" s="9">
        <f t="shared" ca="1" si="4"/>
        <v>-33</v>
      </c>
      <c r="B114" s="31">
        <v>46126</v>
      </c>
      <c r="C114" s="11" t="s">
        <v>24</v>
      </c>
      <c r="D114" s="2" t="s">
        <v>5006</v>
      </c>
      <c r="E114" s="11" t="s">
        <v>5007</v>
      </c>
      <c r="F114" s="30" t="s">
        <v>5008</v>
      </c>
      <c r="G114" s="30" t="s">
        <v>5081</v>
      </c>
      <c r="H114" s="16">
        <v>46227</v>
      </c>
      <c r="I114" s="115">
        <v>46127</v>
      </c>
      <c r="J114" s="115">
        <v>46128</v>
      </c>
      <c r="K114" s="115">
        <v>46129</v>
      </c>
      <c r="L114" s="115"/>
      <c r="M114" s="16" t="s">
        <v>5080</v>
      </c>
      <c r="T114" s="7" t="s">
        <v>18</v>
      </c>
      <c r="Z114" s="30" t="s">
        <v>29</v>
      </c>
      <c r="AA114" s="8">
        <v>46264</v>
      </c>
      <c r="AD114" s="10">
        <v>4865</v>
      </c>
      <c r="AE114" s="10"/>
      <c r="AF114" s="10"/>
      <c r="AG114" s="10"/>
      <c r="AH114" s="10"/>
    </row>
    <row r="115" spans="1:34" ht="122.25" hidden="1" customHeight="1">
      <c r="A115" s="9">
        <f t="shared" ca="1" si="4"/>
        <v>-33</v>
      </c>
      <c r="B115" s="31">
        <v>46126</v>
      </c>
      <c r="C115" s="11" t="s">
        <v>24</v>
      </c>
      <c r="D115" s="2" t="s">
        <v>5009</v>
      </c>
      <c r="E115" s="11" t="s">
        <v>5010</v>
      </c>
      <c r="F115" s="30" t="s">
        <v>2169</v>
      </c>
      <c r="G115" s="30" t="s">
        <v>5011</v>
      </c>
      <c r="H115" s="16">
        <v>46227</v>
      </c>
      <c r="I115" s="115">
        <v>46127</v>
      </c>
      <c r="J115" s="115">
        <v>46128</v>
      </c>
      <c r="K115" s="115">
        <v>46131</v>
      </c>
      <c r="L115" s="115"/>
      <c r="M115" s="16">
        <v>46188</v>
      </c>
      <c r="T115" s="7" t="s">
        <v>20</v>
      </c>
      <c r="Z115" s="30" t="s">
        <v>103</v>
      </c>
      <c r="AA115" s="8">
        <v>46295</v>
      </c>
      <c r="AC115" s="10">
        <v>19400</v>
      </c>
      <c r="AD115" s="10"/>
      <c r="AE115" s="10"/>
      <c r="AF115" s="10"/>
      <c r="AG115" s="10"/>
      <c r="AH115" s="10"/>
    </row>
    <row r="116" spans="1:34" ht="122.25" hidden="1" customHeight="1">
      <c r="A116" s="9">
        <f t="shared" ca="1" si="4"/>
        <v>-33</v>
      </c>
      <c r="B116" s="31">
        <v>46126</v>
      </c>
      <c r="C116" s="11" t="s">
        <v>24</v>
      </c>
      <c r="D116" s="2" t="s">
        <v>5012</v>
      </c>
      <c r="E116" s="11" t="s">
        <v>5013</v>
      </c>
      <c r="F116" s="30" t="s">
        <v>4587</v>
      </c>
      <c r="G116" s="30" t="s">
        <v>5014</v>
      </c>
      <c r="H116" s="16">
        <v>46227</v>
      </c>
      <c r="I116" s="115">
        <v>46127</v>
      </c>
      <c r="J116" s="115">
        <v>46128</v>
      </c>
      <c r="K116" s="115">
        <v>46135</v>
      </c>
      <c r="L116" s="115"/>
      <c r="M116" s="16">
        <v>46219</v>
      </c>
      <c r="T116" s="7" t="s">
        <v>25</v>
      </c>
      <c r="Z116" s="30" t="s">
        <v>4589</v>
      </c>
      <c r="AA116" s="8">
        <v>46325</v>
      </c>
      <c r="AB116" s="10">
        <v>6990</v>
      </c>
      <c r="AD116" s="10"/>
      <c r="AE116" s="10"/>
      <c r="AF116" s="10"/>
      <c r="AG116" s="10"/>
      <c r="AH116" s="10"/>
    </row>
    <row r="117" spans="1:34" ht="122.25" hidden="1" customHeight="1">
      <c r="A117" s="9">
        <f t="shared" ca="1" si="4"/>
        <v>-33</v>
      </c>
      <c r="B117" s="31">
        <v>46126</v>
      </c>
      <c r="C117" s="11" t="s">
        <v>24</v>
      </c>
      <c r="D117" s="2" t="s">
        <v>5015</v>
      </c>
      <c r="E117" s="11" t="s">
        <v>5016</v>
      </c>
      <c r="F117" s="30" t="s">
        <v>5017</v>
      </c>
      <c r="G117" s="30" t="s">
        <v>5018</v>
      </c>
      <c r="H117" s="16">
        <v>46227</v>
      </c>
      <c r="I117" s="115">
        <v>46127</v>
      </c>
      <c r="J117" s="115">
        <v>46128</v>
      </c>
      <c r="K117" s="115">
        <v>46127</v>
      </c>
      <c r="L117" s="115"/>
      <c r="T117" s="7" t="s">
        <v>25</v>
      </c>
      <c r="X117" s="4" t="s">
        <v>5330</v>
      </c>
      <c r="Z117" s="30" t="s">
        <v>4304</v>
      </c>
      <c r="AA117" s="8">
        <v>46160</v>
      </c>
      <c r="AB117" s="10">
        <v>190</v>
      </c>
      <c r="AD117" s="10"/>
      <c r="AE117" s="10"/>
      <c r="AF117" s="10"/>
      <c r="AG117" s="10"/>
      <c r="AH117" s="10"/>
    </row>
    <row r="118" spans="1:34" ht="122.25" hidden="1" customHeight="1">
      <c r="A118" s="9">
        <f t="shared" ca="1" si="4"/>
        <v>-33</v>
      </c>
      <c r="B118" s="31">
        <v>46126</v>
      </c>
      <c r="C118" s="11" t="s">
        <v>24</v>
      </c>
      <c r="D118" s="2" t="s">
        <v>5019</v>
      </c>
      <c r="E118" s="11" t="s">
        <v>5020</v>
      </c>
      <c r="F118" s="30" t="s">
        <v>4719</v>
      </c>
      <c r="G118" s="30" t="s">
        <v>5021</v>
      </c>
      <c r="H118" s="16">
        <v>46227</v>
      </c>
      <c r="I118" s="115">
        <v>46127</v>
      </c>
      <c r="J118" s="115">
        <v>46128</v>
      </c>
      <c r="K118" s="115">
        <v>46127</v>
      </c>
      <c r="L118" s="115"/>
      <c r="M118" s="16" t="s">
        <v>5261</v>
      </c>
      <c r="T118" s="7" t="s">
        <v>28</v>
      </c>
      <c r="Z118" s="30" t="s">
        <v>103</v>
      </c>
      <c r="AA118" s="8">
        <v>46295</v>
      </c>
      <c r="AC118" s="10">
        <v>56522</v>
      </c>
      <c r="AD118" s="10"/>
      <c r="AE118" s="10"/>
      <c r="AF118" s="10"/>
      <c r="AG118" s="10"/>
      <c r="AH118" s="10"/>
    </row>
    <row r="119" spans="1:34" ht="122.25" hidden="1" customHeight="1">
      <c r="A119" s="62">
        <f t="shared" ca="1" si="4"/>
        <v>-41</v>
      </c>
      <c r="B119" s="31">
        <v>46128</v>
      </c>
      <c r="C119" s="11" t="s">
        <v>27</v>
      </c>
      <c r="D119" s="2" t="s">
        <v>5036</v>
      </c>
      <c r="E119" s="11" t="s">
        <v>5037</v>
      </c>
      <c r="F119" s="30" t="s">
        <v>1933</v>
      </c>
      <c r="G119" s="30" t="s">
        <v>5038</v>
      </c>
      <c r="H119" s="16">
        <v>46235</v>
      </c>
      <c r="I119" s="115"/>
      <c r="T119" s="7" t="s">
        <v>5040</v>
      </c>
      <c r="Z119" s="30" t="s">
        <v>1206</v>
      </c>
      <c r="AD119" s="10"/>
      <c r="AE119" s="10">
        <v>1596936</v>
      </c>
      <c r="AF119" s="10"/>
      <c r="AG119" s="10"/>
      <c r="AH119" s="10"/>
    </row>
    <row r="120" spans="1:34" ht="122.25" hidden="1" customHeight="1">
      <c r="A120" s="62">
        <f t="shared" ca="1" si="4"/>
        <v>-41</v>
      </c>
      <c r="B120" s="31">
        <v>46128</v>
      </c>
      <c r="C120" s="11" t="s">
        <v>5041</v>
      </c>
      <c r="D120" s="34" t="s">
        <v>5042</v>
      </c>
      <c r="E120" s="11" t="s">
        <v>5043</v>
      </c>
      <c r="F120" s="30" t="s">
        <v>4374</v>
      </c>
      <c r="G120" s="30" t="s">
        <v>5044</v>
      </c>
      <c r="H120" s="16">
        <v>46235</v>
      </c>
      <c r="I120" s="115"/>
      <c r="J120" s="115"/>
      <c r="K120" s="115"/>
      <c r="L120" s="16" t="s">
        <v>878</v>
      </c>
      <c r="M120" s="16" t="s">
        <v>5194</v>
      </c>
      <c r="T120" s="7" t="s">
        <v>5045</v>
      </c>
      <c r="X120" s="4" t="s">
        <v>5405</v>
      </c>
      <c r="Z120" s="30" t="s">
        <v>4304</v>
      </c>
      <c r="AC120" s="10">
        <v>1208</v>
      </c>
      <c r="AD120" s="10"/>
      <c r="AE120" s="10"/>
      <c r="AF120" s="10"/>
      <c r="AG120" s="10"/>
      <c r="AH120" s="10"/>
    </row>
    <row r="121" spans="1:34" ht="81" hidden="1" customHeight="1">
      <c r="A121" s="62">
        <f t="shared" ca="1" si="4"/>
        <v>-72</v>
      </c>
      <c r="B121" s="31">
        <v>46128</v>
      </c>
      <c r="C121" s="11" t="s">
        <v>27</v>
      </c>
      <c r="D121" s="2" t="s">
        <v>5036</v>
      </c>
      <c r="E121" s="11" t="s">
        <v>5037</v>
      </c>
      <c r="F121" s="30" t="s">
        <v>1933</v>
      </c>
      <c r="G121" s="30" t="s">
        <v>5039</v>
      </c>
      <c r="H121" s="16">
        <v>46266</v>
      </c>
      <c r="I121" s="115"/>
      <c r="T121" s="7" t="s">
        <v>5040</v>
      </c>
      <c r="Z121" s="30" t="s">
        <v>1206</v>
      </c>
      <c r="AD121" s="10"/>
      <c r="AE121" s="10">
        <v>532312</v>
      </c>
      <c r="AF121" s="10"/>
      <c r="AG121" s="10"/>
      <c r="AH121" s="10"/>
    </row>
    <row r="122" spans="1:34" ht="122.25" hidden="1" customHeight="1">
      <c r="A122" s="62">
        <f t="shared" ca="1" si="4"/>
        <v>-3</v>
      </c>
      <c r="B122" s="31">
        <v>46135</v>
      </c>
      <c r="C122" s="11" t="s">
        <v>694</v>
      </c>
      <c r="D122" s="2" t="s">
        <v>5106</v>
      </c>
      <c r="E122" s="11" t="s">
        <v>5107</v>
      </c>
      <c r="F122" s="30" t="s">
        <v>5108</v>
      </c>
      <c r="G122" s="30" t="s">
        <v>5109</v>
      </c>
      <c r="H122" s="16">
        <v>46197</v>
      </c>
      <c r="I122" s="115">
        <v>46134</v>
      </c>
      <c r="J122" s="115">
        <v>46135</v>
      </c>
      <c r="K122" s="115">
        <v>46134</v>
      </c>
      <c r="N122" s="6"/>
      <c r="T122" s="7" t="s">
        <v>22</v>
      </c>
      <c r="X122" s="16"/>
      <c r="Z122" s="30" t="s">
        <v>55</v>
      </c>
      <c r="AA122" s="8">
        <v>46197</v>
      </c>
      <c r="AC122" s="10">
        <v>27394.01</v>
      </c>
      <c r="AD122" s="10"/>
      <c r="AE122" s="10"/>
      <c r="AF122" s="10"/>
      <c r="AG122" s="10"/>
      <c r="AH122" s="10"/>
    </row>
    <row r="123" spans="1:34" ht="122.25" hidden="1" customHeight="1">
      <c r="A123" s="62">
        <f t="shared" ca="1" si="4"/>
        <v>-41</v>
      </c>
      <c r="B123" s="31">
        <v>46139</v>
      </c>
      <c r="C123" s="11" t="s">
        <v>24</v>
      </c>
      <c r="D123" s="2" t="s">
        <v>5124</v>
      </c>
      <c r="E123" s="11" t="s">
        <v>5125</v>
      </c>
      <c r="F123" s="30" t="s">
        <v>36</v>
      </c>
      <c r="G123" s="30" t="s">
        <v>5126</v>
      </c>
      <c r="H123" s="16">
        <v>46235</v>
      </c>
      <c r="I123" s="115">
        <v>46136</v>
      </c>
      <c r="J123" s="115">
        <v>46139</v>
      </c>
      <c r="K123" s="115">
        <v>46136</v>
      </c>
      <c r="T123" s="7" t="s">
        <v>30</v>
      </c>
      <c r="Z123" s="30" t="s">
        <v>113</v>
      </c>
      <c r="AA123" s="8">
        <v>46280</v>
      </c>
      <c r="AB123" s="10">
        <v>412820.96</v>
      </c>
      <c r="AD123" s="10"/>
      <c r="AE123" s="10"/>
      <c r="AF123" s="10"/>
      <c r="AG123" s="10"/>
      <c r="AH123" s="10"/>
    </row>
    <row r="124" spans="1:34" ht="122.25" hidden="1" customHeight="1">
      <c r="A124" s="62"/>
      <c r="B124" s="31">
        <v>46135</v>
      </c>
      <c r="C124" s="11" t="s">
        <v>694</v>
      </c>
      <c r="D124" s="2" t="s">
        <v>5127</v>
      </c>
      <c r="E124" s="11" t="s">
        <v>5128</v>
      </c>
      <c r="F124" s="30" t="s">
        <v>5108</v>
      </c>
      <c r="G124" s="30" t="s">
        <v>5129</v>
      </c>
      <c r="H124" s="16">
        <v>46228</v>
      </c>
      <c r="I124" s="115">
        <v>46136</v>
      </c>
      <c r="J124" s="115">
        <v>46139</v>
      </c>
      <c r="T124" s="7" t="s">
        <v>22</v>
      </c>
      <c r="Z124" s="30" t="s">
        <v>55</v>
      </c>
      <c r="AA124" s="8">
        <v>46228</v>
      </c>
      <c r="AC124" s="10">
        <v>13701.09</v>
      </c>
      <c r="AD124" s="10"/>
      <c r="AE124" s="10"/>
      <c r="AF124" s="10"/>
      <c r="AG124" s="10"/>
      <c r="AH124" s="10"/>
    </row>
    <row r="125" spans="1:34" ht="122.25" hidden="1" customHeight="1">
      <c r="A125" s="62"/>
      <c r="B125" s="31">
        <v>46135</v>
      </c>
      <c r="C125" s="11" t="s">
        <v>694</v>
      </c>
      <c r="D125" s="2" t="s">
        <v>5130</v>
      </c>
      <c r="E125" s="11" t="s">
        <v>5131</v>
      </c>
      <c r="F125" s="30" t="s">
        <v>44</v>
      </c>
      <c r="G125" s="30" t="s">
        <v>5132</v>
      </c>
      <c r="H125" s="16">
        <v>46259</v>
      </c>
      <c r="I125" s="115">
        <v>46136</v>
      </c>
      <c r="J125" s="115">
        <v>46139</v>
      </c>
      <c r="K125" s="115">
        <v>46140</v>
      </c>
      <c r="L125" s="16" t="s">
        <v>925</v>
      </c>
      <c r="N125" s="16" t="s">
        <v>5345</v>
      </c>
      <c r="T125" s="7" t="s">
        <v>22</v>
      </c>
      <c r="V125" s="16">
        <v>46189</v>
      </c>
      <c r="Z125" s="30" t="s">
        <v>54</v>
      </c>
      <c r="AA125" s="8">
        <v>46259</v>
      </c>
      <c r="AC125" s="10">
        <v>239463.07</v>
      </c>
      <c r="AD125" s="10"/>
      <c r="AE125" s="10"/>
      <c r="AF125" s="10"/>
      <c r="AG125" s="10"/>
      <c r="AH125" s="10"/>
    </row>
    <row r="126" spans="1:34" ht="122.25" hidden="1" customHeight="1">
      <c r="A126" s="62"/>
      <c r="B126" s="31">
        <v>46139</v>
      </c>
      <c r="C126" s="11" t="s">
        <v>27</v>
      </c>
      <c r="D126" s="2" t="s">
        <v>5138</v>
      </c>
      <c r="E126" s="11" t="s">
        <v>5139</v>
      </c>
      <c r="F126" s="30" t="s">
        <v>5140</v>
      </c>
      <c r="G126" s="30" t="s">
        <v>5357</v>
      </c>
      <c r="H126" s="16">
        <v>46235</v>
      </c>
      <c r="I126" s="115">
        <v>46140</v>
      </c>
      <c r="J126" s="115">
        <v>46141</v>
      </c>
      <c r="K126" s="115"/>
      <c r="L126" s="115"/>
      <c r="M126" s="115"/>
      <c r="N126" s="115"/>
      <c r="O126" s="16" t="s">
        <v>5435</v>
      </c>
      <c r="T126" s="7" t="s">
        <v>25</v>
      </c>
      <c r="U126" s="398" t="s">
        <v>5427</v>
      </c>
      <c r="V126" s="16">
        <v>46179</v>
      </c>
      <c r="W126" s="16">
        <v>46214</v>
      </c>
      <c r="Z126" s="30" t="s">
        <v>54</v>
      </c>
      <c r="AA126" s="8">
        <v>46259</v>
      </c>
      <c r="AC126" s="10">
        <v>52134</v>
      </c>
      <c r="AD126" s="10"/>
      <c r="AE126" s="10"/>
      <c r="AF126" s="10"/>
      <c r="AG126" s="10"/>
      <c r="AH126" s="10"/>
    </row>
    <row r="127" spans="1:34" ht="122.25" customHeight="1">
      <c r="A127" s="62"/>
      <c r="B127" s="31">
        <v>46139</v>
      </c>
      <c r="C127" s="11" t="s">
        <v>27</v>
      </c>
      <c r="D127" s="2" t="s">
        <v>5141</v>
      </c>
      <c r="E127" s="11" t="s">
        <v>5142</v>
      </c>
      <c r="F127" s="30" t="s">
        <v>5143</v>
      </c>
      <c r="G127" s="30" t="s">
        <v>5144</v>
      </c>
      <c r="H127" s="16">
        <v>46235</v>
      </c>
      <c r="I127" s="115">
        <v>46140</v>
      </c>
      <c r="J127" s="115">
        <v>46141</v>
      </c>
      <c r="K127" s="115">
        <v>46140</v>
      </c>
      <c r="N127" s="16" t="s">
        <v>5355</v>
      </c>
      <c r="T127" s="7" t="s">
        <v>25</v>
      </c>
      <c r="X127" s="4" t="s">
        <v>5356</v>
      </c>
      <c r="Z127" s="30" t="s">
        <v>103</v>
      </c>
      <c r="AA127" s="8">
        <v>46290</v>
      </c>
      <c r="AD127" s="10"/>
      <c r="AE127" s="10"/>
      <c r="AF127" s="10">
        <v>3044.99</v>
      </c>
      <c r="AG127" s="10"/>
      <c r="AH127" s="10"/>
    </row>
    <row r="128" spans="1:34" ht="122.25" hidden="1" customHeight="1">
      <c r="A128" s="62"/>
      <c r="B128" s="31">
        <v>46139</v>
      </c>
      <c r="C128" s="11" t="s">
        <v>27</v>
      </c>
      <c r="D128" s="2" t="s">
        <v>5145</v>
      </c>
      <c r="E128" s="11" t="s">
        <v>5146</v>
      </c>
      <c r="F128" s="30" t="s">
        <v>5147</v>
      </c>
      <c r="G128" s="30" t="s">
        <v>5148</v>
      </c>
      <c r="H128" s="16">
        <v>46235</v>
      </c>
      <c r="I128" s="115">
        <v>46140</v>
      </c>
      <c r="J128" s="115">
        <v>46141</v>
      </c>
      <c r="K128" s="115">
        <v>46140</v>
      </c>
      <c r="T128" s="7" t="s">
        <v>20</v>
      </c>
      <c r="X128" s="4" t="s">
        <v>5358</v>
      </c>
      <c r="Z128" s="30" t="s">
        <v>3879</v>
      </c>
      <c r="AA128" s="8">
        <v>46155</v>
      </c>
      <c r="AC128" s="26">
        <v>2340</v>
      </c>
      <c r="AD128" s="10"/>
      <c r="AE128" s="10"/>
      <c r="AF128" s="10"/>
      <c r="AG128" s="10"/>
      <c r="AH128" s="10">
        <v>2340</v>
      </c>
    </row>
    <row r="129" spans="1:34" ht="122.25" hidden="1" customHeight="1">
      <c r="A129" s="62"/>
      <c r="B129" s="31">
        <v>46136</v>
      </c>
      <c r="C129" s="11" t="s">
        <v>27</v>
      </c>
      <c r="D129" s="2" t="s">
        <v>5149</v>
      </c>
      <c r="E129" s="11" t="s">
        <v>5150</v>
      </c>
      <c r="F129" s="30" t="s">
        <v>5151</v>
      </c>
      <c r="G129" s="30" t="s">
        <v>5359</v>
      </c>
      <c r="H129" s="16">
        <v>46235</v>
      </c>
      <c r="I129" s="115">
        <v>46140</v>
      </c>
      <c r="J129" s="115">
        <v>46141</v>
      </c>
      <c r="K129" s="115">
        <v>46140</v>
      </c>
      <c r="T129" s="7" t="s">
        <v>20</v>
      </c>
      <c r="X129" s="4" t="s">
        <v>5358</v>
      </c>
      <c r="Z129" s="30" t="s">
        <v>37</v>
      </c>
      <c r="AA129" s="8">
        <v>46156</v>
      </c>
      <c r="AC129" s="26">
        <v>1980</v>
      </c>
      <c r="AD129" s="10"/>
      <c r="AE129" s="10"/>
      <c r="AF129" s="10"/>
      <c r="AG129" s="10"/>
      <c r="AH129" s="10">
        <v>1980</v>
      </c>
    </row>
    <row r="130" spans="1:34" ht="122.25" hidden="1" customHeight="1">
      <c r="A130" s="62"/>
      <c r="B130" s="31">
        <v>46139</v>
      </c>
      <c r="C130" s="11" t="s">
        <v>694</v>
      </c>
      <c r="D130" s="2" t="s">
        <v>5159</v>
      </c>
      <c r="E130" s="11" t="s">
        <v>5160</v>
      </c>
      <c r="F130" s="30" t="s">
        <v>87</v>
      </c>
      <c r="G130" s="30" t="s">
        <v>5161</v>
      </c>
      <c r="H130" s="16">
        <v>46228</v>
      </c>
      <c r="I130" s="115">
        <v>46142</v>
      </c>
      <c r="J130" s="115">
        <v>46146</v>
      </c>
      <c r="K130" s="115">
        <v>46147</v>
      </c>
      <c r="L130" s="16" t="s">
        <v>878</v>
      </c>
      <c r="M130" s="16">
        <v>46195</v>
      </c>
      <c r="T130" s="7" t="s">
        <v>20</v>
      </c>
      <c r="Z130" s="30" t="s">
        <v>3352</v>
      </c>
      <c r="AA130" s="8">
        <v>46259</v>
      </c>
      <c r="AC130" s="10">
        <v>44204.160000000003</v>
      </c>
      <c r="AD130" s="10"/>
      <c r="AE130" s="10"/>
      <c r="AF130" s="10"/>
      <c r="AG130" s="10"/>
      <c r="AH130" s="10"/>
    </row>
    <row r="131" spans="1:34" ht="122.25" hidden="1" customHeight="1">
      <c r="A131" s="62"/>
      <c r="B131" s="31">
        <v>46141</v>
      </c>
      <c r="C131" s="11" t="s">
        <v>694</v>
      </c>
      <c r="D131" s="2" t="s">
        <v>5162</v>
      </c>
      <c r="E131" s="11" t="s">
        <v>5163</v>
      </c>
      <c r="F131" s="30" t="s">
        <v>5164</v>
      </c>
      <c r="G131" s="30" t="s">
        <v>3255</v>
      </c>
      <c r="H131" s="16">
        <v>46228</v>
      </c>
      <c r="I131" s="115">
        <v>46142</v>
      </c>
      <c r="J131" s="115">
        <v>46146</v>
      </c>
      <c r="K131" s="115">
        <v>46148</v>
      </c>
      <c r="L131" s="16" t="s">
        <v>925</v>
      </c>
      <c r="T131" s="7" t="s">
        <v>22</v>
      </c>
      <c r="Z131" s="30" t="s">
        <v>5165</v>
      </c>
      <c r="AA131" s="8">
        <v>46188</v>
      </c>
      <c r="AB131" s="10">
        <v>10058.4</v>
      </c>
      <c r="AD131" s="10"/>
      <c r="AE131" s="10"/>
      <c r="AF131" s="10"/>
      <c r="AG131" s="10"/>
      <c r="AH131" s="10"/>
    </row>
    <row r="132" spans="1:34" ht="122.25" hidden="1" customHeight="1">
      <c r="A132" s="62"/>
      <c r="B132" s="31">
        <v>46141</v>
      </c>
      <c r="C132" s="11" t="s">
        <v>694</v>
      </c>
      <c r="D132" s="2" t="s">
        <v>5166</v>
      </c>
      <c r="E132" s="11" t="s">
        <v>5167</v>
      </c>
      <c r="F132" s="30" t="s">
        <v>5168</v>
      </c>
      <c r="G132" s="30" t="s">
        <v>5169</v>
      </c>
      <c r="H132" s="16">
        <v>46198</v>
      </c>
      <c r="I132" s="115">
        <v>46142</v>
      </c>
      <c r="J132" s="115">
        <v>46146</v>
      </c>
      <c r="K132" s="115">
        <v>46150</v>
      </c>
      <c r="L132" s="115">
        <v>46151</v>
      </c>
      <c r="M132" s="115">
        <v>46152</v>
      </c>
      <c r="N132" s="16" t="s">
        <v>5339</v>
      </c>
      <c r="T132" s="7" t="s">
        <v>22</v>
      </c>
      <c r="U132" s="7" t="s">
        <v>5338</v>
      </c>
      <c r="V132" s="286">
        <v>46162</v>
      </c>
      <c r="W132" s="286">
        <v>46209</v>
      </c>
      <c r="Z132" s="30" t="s">
        <v>5170</v>
      </c>
      <c r="AA132" s="8">
        <v>46198</v>
      </c>
      <c r="AB132" s="10">
        <v>19726.599999999999</v>
      </c>
      <c r="AD132" s="10"/>
      <c r="AE132" s="10"/>
      <c r="AF132" s="10"/>
      <c r="AG132" s="10"/>
      <c r="AH132" s="10"/>
    </row>
    <row r="133" spans="1:34" ht="122.25" hidden="1" customHeight="1">
      <c r="A133" s="62"/>
      <c r="B133" s="31">
        <v>46141</v>
      </c>
      <c r="C133" s="11" t="s">
        <v>694</v>
      </c>
      <c r="D133" s="2" t="s">
        <v>5171</v>
      </c>
      <c r="E133" s="11" t="s">
        <v>5172</v>
      </c>
      <c r="F133" s="30" t="s">
        <v>4340</v>
      </c>
      <c r="G133" s="30" t="s">
        <v>2845</v>
      </c>
      <c r="H133" s="16">
        <v>46198</v>
      </c>
      <c r="I133" s="115">
        <v>46142</v>
      </c>
      <c r="J133" s="115">
        <v>46146</v>
      </c>
      <c r="K133" s="115">
        <v>46154</v>
      </c>
      <c r="L133" s="16" t="s">
        <v>878</v>
      </c>
      <c r="M133" s="16" t="s">
        <v>5335</v>
      </c>
      <c r="T133" s="7" t="s">
        <v>28</v>
      </c>
      <c r="Z133" s="30" t="s">
        <v>5294</v>
      </c>
      <c r="AA133" s="8">
        <v>46157</v>
      </c>
      <c r="AB133" s="10">
        <f>29630.41*2</f>
        <v>59260.82</v>
      </c>
      <c r="AD133" s="10"/>
      <c r="AE133" s="10"/>
      <c r="AF133" s="10"/>
      <c r="AG133" s="10"/>
      <c r="AH133" s="10">
        <v>29630.41</v>
      </c>
    </row>
    <row r="134" spans="1:34" ht="189.75" hidden="1" customHeight="1">
      <c r="A134" s="62"/>
      <c r="B134" s="31">
        <v>46141</v>
      </c>
      <c r="C134" s="11" t="s">
        <v>694</v>
      </c>
      <c r="D134" s="2" t="s">
        <v>5173</v>
      </c>
      <c r="E134" s="11" t="s">
        <v>5174</v>
      </c>
      <c r="F134" s="30" t="s">
        <v>5102</v>
      </c>
      <c r="G134" s="30" t="s">
        <v>5175</v>
      </c>
      <c r="H134" s="16">
        <v>46198</v>
      </c>
      <c r="I134" s="115">
        <v>46142</v>
      </c>
      <c r="J134" s="115">
        <v>46146</v>
      </c>
      <c r="K134" s="115">
        <v>46147</v>
      </c>
      <c r="L134" s="16" t="s">
        <v>2385</v>
      </c>
      <c r="M134" s="16">
        <v>46160</v>
      </c>
      <c r="T134" s="7" t="s">
        <v>22</v>
      </c>
      <c r="Z134" s="30" t="s">
        <v>46</v>
      </c>
      <c r="AA134" s="8">
        <v>46188</v>
      </c>
      <c r="AB134" s="10">
        <v>13750</v>
      </c>
      <c r="AD134" s="10"/>
      <c r="AE134" s="10"/>
      <c r="AF134" s="10"/>
      <c r="AG134" s="10"/>
      <c r="AH134" s="10"/>
    </row>
    <row r="135" spans="1:34" ht="122.25" hidden="1" customHeight="1">
      <c r="A135" s="62"/>
      <c r="B135" s="31">
        <v>46141</v>
      </c>
      <c r="C135" s="11" t="s">
        <v>694</v>
      </c>
      <c r="D135" s="2" t="s">
        <v>5176</v>
      </c>
      <c r="E135" s="11" t="s">
        <v>5177</v>
      </c>
      <c r="F135" s="30" t="s">
        <v>740</v>
      </c>
      <c r="G135" s="30" t="s">
        <v>5178</v>
      </c>
      <c r="H135" s="16">
        <v>46198</v>
      </c>
      <c r="I135" s="115">
        <v>46142</v>
      </c>
      <c r="J135" s="115">
        <v>46146</v>
      </c>
      <c r="K135" s="115">
        <v>46147</v>
      </c>
      <c r="L135" s="115">
        <v>46148</v>
      </c>
      <c r="M135" s="115">
        <v>46149</v>
      </c>
      <c r="N135" s="16" t="s">
        <v>5363</v>
      </c>
      <c r="T135" s="7" t="s">
        <v>22</v>
      </c>
      <c r="V135" s="16" t="s">
        <v>5225</v>
      </c>
      <c r="Z135" s="30" t="s">
        <v>742</v>
      </c>
      <c r="AA135" s="8">
        <v>46193</v>
      </c>
      <c r="AB135" s="10">
        <v>28177.88</v>
      </c>
      <c r="AD135" s="10"/>
      <c r="AE135" s="10"/>
      <c r="AF135" s="10"/>
      <c r="AG135" s="10"/>
      <c r="AH135" s="10"/>
    </row>
    <row r="136" spans="1:34" ht="122.25" hidden="1" customHeight="1">
      <c r="A136" s="62"/>
      <c r="B136" s="31">
        <v>46142</v>
      </c>
      <c r="C136" s="11" t="s">
        <v>27</v>
      </c>
      <c r="D136" s="2" t="s">
        <v>5195</v>
      </c>
      <c r="E136" s="11" t="s">
        <v>5196</v>
      </c>
      <c r="F136" s="30" t="s">
        <v>5197</v>
      </c>
      <c r="G136" s="30" t="s">
        <v>5198</v>
      </c>
      <c r="H136" s="16">
        <v>46181</v>
      </c>
      <c r="I136" s="115"/>
      <c r="J136" s="115"/>
      <c r="K136" s="115"/>
      <c r="T136" s="7" t="s">
        <v>22</v>
      </c>
      <c r="Z136" s="30" t="s">
        <v>5199</v>
      </c>
      <c r="AA136" s="8">
        <v>46223</v>
      </c>
      <c r="AD136" s="10"/>
      <c r="AE136" s="10">
        <v>298350</v>
      </c>
      <c r="AF136" s="10"/>
      <c r="AG136" s="10"/>
      <c r="AH136" s="10"/>
    </row>
    <row r="137" spans="1:34" ht="122.25" hidden="1" customHeight="1">
      <c r="A137" s="62"/>
      <c r="B137" s="31">
        <v>46142</v>
      </c>
      <c r="C137" s="11" t="s">
        <v>27</v>
      </c>
      <c r="D137" s="2" t="s">
        <v>5195</v>
      </c>
      <c r="E137" s="11" t="s">
        <v>5196</v>
      </c>
      <c r="F137" s="30" t="s">
        <v>5197</v>
      </c>
      <c r="G137" s="30" t="s">
        <v>5200</v>
      </c>
      <c r="H137" s="16">
        <v>46162</v>
      </c>
      <c r="I137" s="115"/>
      <c r="J137" s="115"/>
      <c r="K137" s="115"/>
      <c r="T137" s="7" t="s">
        <v>22</v>
      </c>
      <c r="Z137" s="30" t="s">
        <v>5199</v>
      </c>
      <c r="AA137" s="8">
        <v>46223</v>
      </c>
      <c r="AD137" s="10"/>
      <c r="AE137" s="10">
        <v>301860</v>
      </c>
      <c r="AF137" s="10"/>
      <c r="AG137" s="10"/>
      <c r="AH137" s="10"/>
    </row>
    <row r="138" spans="1:34" ht="122.25" hidden="1" customHeight="1">
      <c r="A138" s="62"/>
      <c r="B138" s="31">
        <v>46142</v>
      </c>
      <c r="C138" s="11" t="s">
        <v>27</v>
      </c>
      <c r="D138" s="2" t="s">
        <v>5195</v>
      </c>
      <c r="E138" s="11" t="s">
        <v>5196</v>
      </c>
      <c r="F138" s="30" t="s">
        <v>5197</v>
      </c>
      <c r="G138" s="30" t="s">
        <v>5201</v>
      </c>
      <c r="H138" s="16">
        <v>46162</v>
      </c>
      <c r="I138" s="115"/>
      <c r="J138" s="115"/>
      <c r="K138" s="115"/>
      <c r="T138" s="7" t="s">
        <v>22</v>
      </c>
      <c r="Z138" s="30" t="s">
        <v>5199</v>
      </c>
      <c r="AA138" s="8">
        <v>46223</v>
      </c>
      <c r="AD138" s="10"/>
      <c r="AE138" s="10">
        <v>296010</v>
      </c>
      <c r="AF138" s="10"/>
      <c r="AG138" s="10"/>
      <c r="AH138" s="10"/>
    </row>
    <row r="139" spans="1:34" ht="225" hidden="1">
      <c r="A139" s="62"/>
      <c r="B139" s="31">
        <v>46142</v>
      </c>
      <c r="C139" s="11" t="s">
        <v>27</v>
      </c>
      <c r="D139" s="2" t="s">
        <v>5236</v>
      </c>
      <c r="E139" s="11" t="s">
        <v>5237</v>
      </c>
      <c r="F139" s="30" t="s">
        <v>453</v>
      </c>
      <c r="G139" s="30" t="s">
        <v>5238</v>
      </c>
      <c r="H139" s="16">
        <v>46235</v>
      </c>
      <c r="I139" s="115"/>
      <c r="J139" s="115">
        <v>46149</v>
      </c>
      <c r="K139" s="16" t="s">
        <v>5360</v>
      </c>
      <c r="P139" s="16" t="s">
        <v>5258</v>
      </c>
      <c r="T139" s="7" t="s">
        <v>20</v>
      </c>
      <c r="Z139" s="30" t="s">
        <v>1592</v>
      </c>
      <c r="AA139" s="8">
        <v>46154</v>
      </c>
      <c r="AC139" s="26">
        <v>10258.14</v>
      </c>
      <c r="AD139" s="10"/>
      <c r="AE139" s="10"/>
      <c r="AF139" s="10"/>
      <c r="AG139" s="10"/>
      <c r="AH139" s="10">
        <v>10258.14</v>
      </c>
    </row>
    <row r="140" spans="1:34" ht="122.25" hidden="1" customHeight="1">
      <c r="A140" s="9">
        <f ca="1">TODAY()-H140+1</f>
        <v>-10</v>
      </c>
      <c r="B140" s="31">
        <v>46142</v>
      </c>
      <c r="C140" s="11" t="s">
        <v>24</v>
      </c>
      <c r="D140" s="2" t="s">
        <v>5179</v>
      </c>
      <c r="E140" s="11" t="s">
        <v>5180</v>
      </c>
      <c r="F140" s="30" t="s">
        <v>2169</v>
      </c>
      <c r="G140" s="385" t="s">
        <v>5181</v>
      </c>
      <c r="H140" s="16">
        <v>46204</v>
      </c>
      <c r="I140" s="115">
        <v>46146</v>
      </c>
      <c r="J140" s="115">
        <v>46146</v>
      </c>
      <c r="K140" s="115">
        <v>46146</v>
      </c>
      <c r="L140" s="115"/>
      <c r="M140" s="16">
        <v>46198</v>
      </c>
      <c r="T140" s="7" t="s">
        <v>20</v>
      </c>
      <c r="Z140" s="30" t="s">
        <v>103</v>
      </c>
      <c r="AA140" s="8">
        <v>46259</v>
      </c>
      <c r="AC140" s="10">
        <v>1967.65</v>
      </c>
      <c r="AD140" s="10"/>
      <c r="AE140" s="10"/>
      <c r="AF140" s="10"/>
      <c r="AG140" s="10"/>
      <c r="AH140" s="10"/>
    </row>
    <row r="141" spans="1:34" ht="122.25" hidden="1" customHeight="1">
      <c r="A141" s="9">
        <f ca="1">TODAY()-H141+1</f>
        <v>20</v>
      </c>
      <c r="B141" s="31">
        <v>46142</v>
      </c>
      <c r="C141" s="11" t="s">
        <v>24</v>
      </c>
      <c r="D141" s="2" t="s">
        <v>5182</v>
      </c>
      <c r="E141" s="11" t="s">
        <v>5183</v>
      </c>
      <c r="F141" s="30" t="s">
        <v>5184</v>
      </c>
      <c r="G141" s="30" t="s">
        <v>5185</v>
      </c>
      <c r="H141" s="16">
        <v>46174</v>
      </c>
      <c r="I141" s="115">
        <v>46146</v>
      </c>
      <c r="J141" s="115">
        <v>46146</v>
      </c>
      <c r="K141" s="115">
        <v>46146</v>
      </c>
      <c r="L141" s="16" t="s">
        <v>925</v>
      </c>
      <c r="M141" s="16">
        <v>46160</v>
      </c>
      <c r="O141" s="115">
        <v>46156</v>
      </c>
      <c r="T141" s="7" t="s">
        <v>20</v>
      </c>
      <c r="Z141" s="30" t="s">
        <v>55</v>
      </c>
      <c r="AA141" s="8">
        <v>46183</v>
      </c>
      <c r="AC141" s="10">
        <v>3360</v>
      </c>
      <c r="AD141" s="10"/>
      <c r="AE141" s="10"/>
      <c r="AF141" s="10"/>
      <c r="AG141" s="10"/>
      <c r="AH141" s="10"/>
    </row>
    <row r="142" spans="1:34" ht="122.25" hidden="1" customHeight="1">
      <c r="A142" s="9">
        <f ca="1">TODAY()-H142+1</f>
        <v>-41</v>
      </c>
      <c r="B142" s="31">
        <v>46142</v>
      </c>
      <c r="C142" s="11" t="s">
        <v>24</v>
      </c>
      <c r="D142" s="2" t="s">
        <v>5186</v>
      </c>
      <c r="E142" s="11" t="s">
        <v>5187</v>
      </c>
      <c r="F142" s="30" t="s">
        <v>97</v>
      </c>
      <c r="G142" s="30" t="s">
        <v>5188</v>
      </c>
      <c r="H142" s="16">
        <v>46235</v>
      </c>
      <c r="I142" s="115">
        <v>46146</v>
      </c>
      <c r="J142" s="115">
        <v>46146</v>
      </c>
      <c r="K142" s="115">
        <v>46146</v>
      </c>
      <c r="T142" s="7" t="s">
        <v>25</v>
      </c>
      <c r="Z142" s="30" t="s">
        <v>55</v>
      </c>
      <c r="AA142" s="8">
        <v>46228</v>
      </c>
      <c r="AC142" s="10">
        <v>8390</v>
      </c>
      <c r="AD142" s="10"/>
      <c r="AE142" s="10"/>
      <c r="AF142" s="10"/>
      <c r="AG142" s="10"/>
      <c r="AH142" s="10"/>
    </row>
    <row r="143" spans="1:34" ht="122.25" hidden="1" customHeight="1">
      <c r="A143" s="62"/>
      <c r="B143" s="31">
        <v>46146</v>
      </c>
      <c r="C143" s="11" t="s">
        <v>694</v>
      </c>
      <c r="D143" s="2" t="s">
        <v>5189</v>
      </c>
      <c r="E143" s="11" t="s">
        <v>5190</v>
      </c>
      <c r="F143" s="30" t="s">
        <v>5191</v>
      </c>
      <c r="G143" s="30" t="s">
        <v>5224</v>
      </c>
      <c r="H143" s="16">
        <v>46174</v>
      </c>
      <c r="I143" s="115">
        <v>46146</v>
      </c>
      <c r="J143" s="115"/>
      <c r="K143" s="115">
        <v>46147</v>
      </c>
      <c r="L143" s="16" t="s">
        <v>5333</v>
      </c>
      <c r="T143" s="7" t="s">
        <v>22</v>
      </c>
      <c r="Z143" s="30" t="s">
        <v>19</v>
      </c>
      <c r="AA143" s="30" t="s">
        <v>19</v>
      </c>
      <c r="AB143" s="10">
        <v>33231.599999999999</v>
      </c>
      <c r="AD143" s="10"/>
      <c r="AE143" s="10"/>
      <c r="AF143" s="10"/>
      <c r="AG143" s="10"/>
      <c r="AH143" s="10"/>
    </row>
    <row r="144" spans="1:34" ht="122.25" hidden="1" customHeight="1">
      <c r="A144" s="62"/>
      <c r="B144" s="147">
        <v>46105</v>
      </c>
      <c r="C144" s="148" t="s">
        <v>27</v>
      </c>
      <c r="D144" s="34" t="s">
        <v>4845</v>
      </c>
      <c r="E144" s="148" t="s">
        <v>4846</v>
      </c>
      <c r="F144" s="125" t="s">
        <v>74</v>
      </c>
      <c r="G144" s="30" t="s">
        <v>5252</v>
      </c>
      <c r="H144" s="16">
        <v>46266</v>
      </c>
      <c r="I144" s="115"/>
      <c r="J144" s="115"/>
      <c r="K144" s="115"/>
      <c r="T144" s="7" t="s">
        <v>22</v>
      </c>
      <c r="Z144" s="30" t="s">
        <v>54</v>
      </c>
      <c r="AA144" s="8">
        <v>46289</v>
      </c>
      <c r="AD144" s="10"/>
      <c r="AE144" s="10">
        <v>4290484.32</v>
      </c>
      <c r="AF144" s="10"/>
      <c r="AG144" s="10"/>
      <c r="AH144" s="10"/>
    </row>
    <row r="145" spans="1:34" ht="122.25" hidden="1" customHeight="1">
      <c r="A145" s="62"/>
      <c r="B145" s="147">
        <v>46105</v>
      </c>
      <c r="C145" s="148" t="s">
        <v>27</v>
      </c>
      <c r="D145" s="34" t="s">
        <v>4845</v>
      </c>
      <c r="E145" s="148" t="s">
        <v>4846</v>
      </c>
      <c r="F145" s="125" t="s">
        <v>74</v>
      </c>
      <c r="G145" s="30" t="s">
        <v>5253</v>
      </c>
      <c r="H145" s="16">
        <v>46296</v>
      </c>
      <c r="I145" s="115"/>
      <c r="J145" s="115"/>
      <c r="K145" s="115"/>
      <c r="T145" s="7" t="s">
        <v>22</v>
      </c>
      <c r="Z145" s="30" t="s">
        <v>54</v>
      </c>
      <c r="AA145" s="8">
        <v>46289</v>
      </c>
      <c r="AD145" s="10"/>
      <c r="AE145" s="10">
        <v>4290484.32</v>
      </c>
      <c r="AF145" s="10"/>
      <c r="AG145" s="10"/>
      <c r="AH145" s="10"/>
    </row>
    <row r="146" spans="1:34" ht="122.25" hidden="1" customHeight="1">
      <c r="A146" s="62"/>
      <c r="B146" s="31">
        <v>46149</v>
      </c>
      <c r="C146" s="11" t="s">
        <v>694</v>
      </c>
      <c r="D146" s="2" t="s">
        <v>5274</v>
      </c>
      <c r="E146" s="11" t="s">
        <v>5275</v>
      </c>
      <c r="F146" s="30" t="s">
        <v>4884</v>
      </c>
      <c r="G146" s="30" t="s">
        <v>5276</v>
      </c>
      <c r="H146" s="16">
        <v>46218</v>
      </c>
      <c r="I146" s="115">
        <v>46150</v>
      </c>
      <c r="J146" s="115">
        <v>46153</v>
      </c>
      <c r="K146" s="115"/>
      <c r="L146" s="393" t="s">
        <v>5332</v>
      </c>
      <c r="T146" s="7" t="s">
        <v>22</v>
      </c>
      <c r="Z146" s="30" t="s">
        <v>717</v>
      </c>
      <c r="AA146" s="8">
        <v>46244</v>
      </c>
      <c r="AB146" s="10">
        <v>378788.83</v>
      </c>
      <c r="AD146" s="10"/>
      <c r="AE146" s="10"/>
      <c r="AF146" s="10"/>
      <c r="AG146" s="10"/>
      <c r="AH146" s="10"/>
    </row>
    <row r="147" spans="1:34" ht="169.5" hidden="1" customHeight="1">
      <c r="A147" s="62"/>
      <c r="B147" s="31">
        <v>46149</v>
      </c>
      <c r="C147" s="11" t="s">
        <v>694</v>
      </c>
      <c r="D147" s="2" t="s">
        <v>5277</v>
      </c>
      <c r="E147" s="11" t="s">
        <v>5278</v>
      </c>
      <c r="F147" s="30" t="s">
        <v>105</v>
      </c>
      <c r="G147" s="30" t="s">
        <v>5279</v>
      </c>
      <c r="H147" s="16">
        <v>46235</v>
      </c>
      <c r="I147" s="115">
        <v>46150</v>
      </c>
      <c r="J147" s="115">
        <v>46153</v>
      </c>
      <c r="K147" s="115">
        <v>46151</v>
      </c>
      <c r="T147" s="7" t="s">
        <v>22</v>
      </c>
      <c r="Z147" s="30" t="s">
        <v>717</v>
      </c>
      <c r="AA147" s="8">
        <v>46259</v>
      </c>
      <c r="AB147" s="10">
        <v>271580.49</v>
      </c>
      <c r="AD147" s="10"/>
      <c r="AE147" s="10"/>
      <c r="AF147" s="10"/>
      <c r="AG147" s="10"/>
      <c r="AH147" s="10"/>
    </row>
    <row r="148" spans="1:34" ht="122.25" hidden="1" customHeight="1">
      <c r="A148" s="62"/>
      <c r="B148" s="31">
        <v>46154</v>
      </c>
      <c r="C148" s="11" t="s">
        <v>694</v>
      </c>
      <c r="D148" s="2" t="s">
        <v>5296</v>
      </c>
      <c r="E148" s="11" t="s">
        <v>5297</v>
      </c>
      <c r="F148" s="30" t="s">
        <v>2078</v>
      </c>
      <c r="G148" s="30" t="s">
        <v>5298</v>
      </c>
      <c r="H148" s="16">
        <v>46266</v>
      </c>
      <c r="I148" s="115">
        <v>46154</v>
      </c>
      <c r="J148" s="115">
        <v>46155</v>
      </c>
      <c r="T148" s="7" t="s">
        <v>20</v>
      </c>
      <c r="Z148" s="30" t="s">
        <v>3352</v>
      </c>
      <c r="AA148" s="8">
        <v>46290</v>
      </c>
      <c r="AC148" s="10">
        <v>27300</v>
      </c>
      <c r="AD148" s="10"/>
      <c r="AE148" s="10"/>
      <c r="AF148" s="10"/>
      <c r="AG148" s="10"/>
      <c r="AH148" s="10"/>
    </row>
    <row r="149" spans="1:34" ht="122.25" hidden="1" customHeight="1">
      <c r="A149" s="62"/>
      <c r="B149" s="31">
        <v>46154</v>
      </c>
      <c r="C149" s="11" t="s">
        <v>694</v>
      </c>
      <c r="D149" s="2" t="s">
        <v>5299</v>
      </c>
      <c r="E149" s="11" t="s">
        <v>5300</v>
      </c>
      <c r="F149" s="30" t="s">
        <v>2078</v>
      </c>
      <c r="G149" s="30" t="s">
        <v>5298</v>
      </c>
      <c r="H149" s="16">
        <v>46235</v>
      </c>
      <c r="I149" s="115">
        <v>46154</v>
      </c>
      <c r="J149" s="115">
        <v>46155</v>
      </c>
      <c r="T149" s="7" t="s">
        <v>20</v>
      </c>
      <c r="Z149" s="30" t="s">
        <v>3352</v>
      </c>
      <c r="AA149" s="8">
        <v>46259</v>
      </c>
      <c r="AC149" s="10">
        <v>27300</v>
      </c>
      <c r="AD149" s="10"/>
      <c r="AE149" s="10"/>
      <c r="AF149" s="10"/>
      <c r="AG149" s="10"/>
      <c r="AH149" s="10"/>
    </row>
    <row r="150" spans="1:34" ht="122.25" hidden="1" customHeight="1">
      <c r="A150" s="62"/>
      <c r="B150" s="31">
        <v>46154</v>
      </c>
      <c r="C150" s="11" t="s">
        <v>694</v>
      </c>
      <c r="D150" s="2" t="s">
        <v>5301</v>
      </c>
      <c r="E150" s="11" t="s">
        <v>5302</v>
      </c>
      <c r="F150" s="30" t="s">
        <v>5164</v>
      </c>
      <c r="G150" s="30" t="s">
        <v>5303</v>
      </c>
      <c r="H150" s="16">
        <v>46266</v>
      </c>
      <c r="I150" s="115">
        <v>46154</v>
      </c>
      <c r="J150" s="115">
        <v>46155</v>
      </c>
      <c r="K150" s="115">
        <v>46154</v>
      </c>
      <c r="T150" s="7" t="s">
        <v>22</v>
      </c>
      <c r="Z150" s="30" t="s">
        <v>5165</v>
      </c>
      <c r="AA150" s="8">
        <v>46249</v>
      </c>
      <c r="AB150" s="10">
        <v>22860</v>
      </c>
      <c r="AD150" s="10"/>
      <c r="AE150" s="10"/>
      <c r="AF150" s="10"/>
      <c r="AG150" s="10"/>
      <c r="AH150" s="10"/>
    </row>
    <row r="151" spans="1:34" ht="122.25" hidden="1" customHeight="1">
      <c r="A151" s="62"/>
      <c r="B151" s="31">
        <v>46154</v>
      </c>
      <c r="C151" s="11" t="s">
        <v>694</v>
      </c>
      <c r="D151" s="2" t="s">
        <v>5304</v>
      </c>
      <c r="E151" s="11" t="s">
        <v>5305</v>
      </c>
      <c r="F151" s="30" t="s">
        <v>38</v>
      </c>
      <c r="G151" s="30" t="s">
        <v>4300</v>
      </c>
      <c r="H151" s="16">
        <v>46266</v>
      </c>
      <c r="I151" s="115">
        <v>46154</v>
      </c>
      <c r="J151" s="115">
        <v>46155</v>
      </c>
      <c r="K151" s="115">
        <v>46155</v>
      </c>
      <c r="L151" s="16" t="s">
        <v>878</v>
      </c>
      <c r="M151" s="16" t="s">
        <v>5340</v>
      </c>
      <c r="T151" s="7" t="s">
        <v>22</v>
      </c>
      <c r="Z151" s="30" t="s">
        <v>5306</v>
      </c>
      <c r="AA151" s="8">
        <v>46172</v>
      </c>
      <c r="AB151" s="10">
        <v>36086.400000000001</v>
      </c>
      <c r="AD151" s="10"/>
      <c r="AE151" s="10"/>
      <c r="AF151" s="10"/>
      <c r="AG151" s="10"/>
      <c r="AH151" s="10"/>
    </row>
    <row r="152" spans="1:34" ht="318.75" hidden="1">
      <c r="A152" s="62"/>
      <c r="B152" s="31">
        <v>46157</v>
      </c>
      <c r="C152" s="11" t="s">
        <v>24</v>
      </c>
      <c r="D152" s="2" t="s">
        <v>5418</v>
      </c>
      <c r="E152" s="11" t="s">
        <v>5419</v>
      </c>
      <c r="F152" s="30" t="s">
        <v>36</v>
      </c>
      <c r="G152" s="30" t="s">
        <v>5420</v>
      </c>
      <c r="H152" s="16">
        <v>46266</v>
      </c>
      <c r="I152" s="115">
        <v>46160</v>
      </c>
      <c r="J152" s="115">
        <v>46161</v>
      </c>
      <c r="K152" s="115">
        <v>46160</v>
      </c>
      <c r="T152" s="7" t="s">
        <v>30</v>
      </c>
      <c r="Z152" s="30" t="s">
        <v>5421</v>
      </c>
      <c r="AA152" s="8">
        <v>46272</v>
      </c>
      <c r="AB152" s="10">
        <v>2249796</v>
      </c>
      <c r="AD152" s="10"/>
      <c r="AE152" s="10"/>
      <c r="AF152" s="10"/>
      <c r="AG152" s="10"/>
      <c r="AH152" s="10"/>
    </row>
    <row r="153" spans="1:34" ht="122.25" hidden="1" customHeight="1">
      <c r="A153" s="62"/>
      <c r="B153" s="31">
        <v>46156</v>
      </c>
      <c r="C153" s="11" t="s">
        <v>694</v>
      </c>
      <c r="D153" s="2" t="s">
        <v>5365</v>
      </c>
      <c r="E153" s="11" t="s">
        <v>5366</v>
      </c>
      <c r="F153" s="30" t="s">
        <v>105</v>
      </c>
      <c r="G153" s="30" t="s">
        <v>5367</v>
      </c>
      <c r="H153" s="16" t="s">
        <v>860</v>
      </c>
      <c r="I153" s="16" t="s">
        <v>860</v>
      </c>
      <c r="J153" s="115">
        <v>46160</v>
      </c>
      <c r="K153" s="16" t="s">
        <v>860</v>
      </c>
      <c r="L153" s="16" t="s">
        <v>860</v>
      </c>
      <c r="M153" s="16" t="s">
        <v>860</v>
      </c>
      <c r="N153" s="16" t="s">
        <v>860</v>
      </c>
      <c r="O153" s="16" t="s">
        <v>860</v>
      </c>
      <c r="P153" s="16" t="s">
        <v>860</v>
      </c>
      <c r="Q153" s="16" t="s">
        <v>860</v>
      </c>
      <c r="R153" s="16" t="s">
        <v>860</v>
      </c>
      <c r="S153" s="16" t="s">
        <v>860</v>
      </c>
      <c r="T153" s="16" t="s">
        <v>860</v>
      </c>
      <c r="U153" s="16" t="s">
        <v>860</v>
      </c>
      <c r="V153" s="16" t="s">
        <v>860</v>
      </c>
      <c r="W153" s="16" t="s">
        <v>860</v>
      </c>
      <c r="X153" s="16" t="s">
        <v>860</v>
      </c>
      <c r="Y153" s="16" t="s">
        <v>860</v>
      </c>
      <c r="Z153" s="30" t="s">
        <v>5368</v>
      </c>
      <c r="AA153" s="8">
        <v>46161</v>
      </c>
      <c r="AB153" s="26">
        <v>12095.95</v>
      </c>
      <c r="AD153" s="10"/>
      <c r="AE153" s="10"/>
      <c r="AF153" s="10"/>
      <c r="AG153" s="10"/>
      <c r="AH153" s="10">
        <v>12095.95</v>
      </c>
    </row>
    <row r="154" spans="1:34" ht="122.25" hidden="1" customHeight="1">
      <c r="A154" s="62"/>
      <c r="B154" s="31">
        <v>46157</v>
      </c>
      <c r="C154" s="11" t="s">
        <v>694</v>
      </c>
      <c r="D154" s="2" t="s">
        <v>5369</v>
      </c>
      <c r="E154" s="11" t="s">
        <v>5370</v>
      </c>
      <c r="F154" s="30" t="s">
        <v>4884</v>
      </c>
      <c r="G154" s="30" t="s">
        <v>5371</v>
      </c>
      <c r="H154" s="16">
        <v>46235</v>
      </c>
      <c r="I154" s="115">
        <v>46157</v>
      </c>
      <c r="J154" s="115">
        <v>46160</v>
      </c>
      <c r="T154" s="7" t="s">
        <v>22</v>
      </c>
      <c r="Z154" s="30" t="s">
        <v>717</v>
      </c>
      <c r="AA154" s="8">
        <v>46259</v>
      </c>
      <c r="AB154" s="10">
        <v>287171.21000000002</v>
      </c>
      <c r="AD154" s="10"/>
      <c r="AE154" s="10"/>
      <c r="AF154" s="10"/>
      <c r="AG154" s="10"/>
      <c r="AH154" s="10"/>
    </row>
    <row r="155" spans="1:34" ht="122.25" hidden="1" customHeight="1">
      <c r="A155" s="62"/>
      <c r="B155" s="31">
        <v>46157</v>
      </c>
      <c r="C155" s="11" t="s">
        <v>694</v>
      </c>
      <c r="D155" s="2" t="s">
        <v>5372</v>
      </c>
      <c r="E155" s="11" t="s">
        <v>5373</v>
      </c>
      <c r="F155" s="30" t="s">
        <v>105</v>
      </c>
      <c r="G155" s="30" t="s">
        <v>5374</v>
      </c>
      <c r="H155" s="16">
        <v>46266</v>
      </c>
      <c r="I155" s="115">
        <v>46157</v>
      </c>
      <c r="J155" s="115">
        <v>46160</v>
      </c>
      <c r="K155" s="115">
        <v>46158</v>
      </c>
      <c r="T155" s="7" t="s">
        <v>22</v>
      </c>
      <c r="Z155" s="30" t="s">
        <v>717</v>
      </c>
      <c r="AA155" s="8">
        <v>46280</v>
      </c>
      <c r="AB155" s="10">
        <v>57315.58</v>
      </c>
      <c r="AD155" s="10"/>
      <c r="AE155" s="10"/>
      <c r="AF155" s="10"/>
      <c r="AG155" s="10"/>
      <c r="AH155" s="10"/>
    </row>
    <row r="156" spans="1:34" ht="122.25" hidden="1" customHeight="1">
      <c r="A156" s="62"/>
      <c r="B156" s="31">
        <v>46157</v>
      </c>
      <c r="C156" s="11" t="s">
        <v>694</v>
      </c>
      <c r="D156" s="2" t="s">
        <v>5375</v>
      </c>
      <c r="E156" s="11" t="s">
        <v>5376</v>
      </c>
      <c r="F156" s="30" t="s">
        <v>2078</v>
      </c>
      <c r="G156" s="30" t="s">
        <v>5377</v>
      </c>
      <c r="H156" s="16">
        <v>46235</v>
      </c>
      <c r="J156" s="115">
        <v>46160</v>
      </c>
      <c r="T156" s="7" t="s">
        <v>20</v>
      </c>
      <c r="Z156" s="30" t="s">
        <v>54</v>
      </c>
      <c r="AA156" s="8">
        <v>46259</v>
      </c>
      <c r="AC156" s="10">
        <v>128075</v>
      </c>
      <c r="AD156" s="10"/>
      <c r="AE156" s="10"/>
      <c r="AF156" s="10"/>
      <c r="AG156" s="10"/>
      <c r="AH156" s="10"/>
    </row>
    <row r="157" spans="1:34" ht="122.25" hidden="1" customHeight="1">
      <c r="A157" s="62"/>
      <c r="B157" s="31">
        <v>46157</v>
      </c>
      <c r="C157" s="11" t="s">
        <v>694</v>
      </c>
      <c r="D157" s="2" t="s">
        <v>5378</v>
      </c>
      <c r="E157" s="11" t="s">
        <v>5379</v>
      </c>
      <c r="F157" s="30" t="s">
        <v>4340</v>
      </c>
      <c r="G157" s="30" t="s">
        <v>2845</v>
      </c>
      <c r="H157" s="16">
        <v>46266</v>
      </c>
      <c r="J157" s="115">
        <v>46160</v>
      </c>
      <c r="T157" s="7" t="s">
        <v>28</v>
      </c>
      <c r="Z157" s="30" t="s">
        <v>5380</v>
      </c>
      <c r="AB157" s="10">
        <v>59260.81</v>
      </c>
      <c r="AD157" s="10"/>
      <c r="AE157" s="10"/>
      <c r="AF157" s="10"/>
      <c r="AG157" s="10"/>
      <c r="AH157" s="10"/>
    </row>
    <row r="158" spans="1:34" ht="122.25" hidden="1" customHeight="1">
      <c r="A158" s="62"/>
      <c r="B158" s="31">
        <v>46157</v>
      </c>
      <c r="C158" s="11" t="s">
        <v>694</v>
      </c>
      <c r="D158" s="2" t="s">
        <v>5381</v>
      </c>
      <c r="E158" s="11" t="s">
        <v>5382</v>
      </c>
      <c r="F158" s="30" t="s">
        <v>44</v>
      </c>
      <c r="G158" s="30" t="s">
        <v>4728</v>
      </c>
      <c r="H158" s="16">
        <v>46266</v>
      </c>
      <c r="J158" s="115">
        <v>46160</v>
      </c>
      <c r="T158" s="7" t="s">
        <v>22</v>
      </c>
      <c r="Z158" s="30" t="s">
        <v>1206</v>
      </c>
      <c r="AA158" s="8">
        <v>46290</v>
      </c>
      <c r="AC158" s="10">
        <v>211237.71</v>
      </c>
      <c r="AD158" s="10"/>
      <c r="AE158" s="10"/>
      <c r="AF158" s="10"/>
      <c r="AG158" s="10"/>
      <c r="AH158" s="10"/>
    </row>
    <row r="159" spans="1:34" ht="122.25" hidden="1" customHeight="1">
      <c r="A159" s="62"/>
      <c r="B159" s="31">
        <v>46157</v>
      </c>
      <c r="C159" s="11" t="s">
        <v>24</v>
      </c>
      <c r="D159" s="2" t="s">
        <v>5415</v>
      </c>
      <c r="E159" s="11" t="s">
        <v>5416</v>
      </c>
      <c r="F159" s="30" t="s">
        <v>5184</v>
      </c>
      <c r="G159" s="30" t="s">
        <v>5417</v>
      </c>
      <c r="H159" s="16">
        <v>46235</v>
      </c>
      <c r="I159" s="115">
        <v>46160</v>
      </c>
      <c r="J159" s="115">
        <v>46161</v>
      </c>
      <c r="K159" s="115">
        <v>46160</v>
      </c>
      <c r="T159" s="7" t="s">
        <v>25</v>
      </c>
      <c r="Z159" s="30" t="s">
        <v>55</v>
      </c>
      <c r="AA159" s="8">
        <v>46227</v>
      </c>
      <c r="AC159" s="10">
        <v>7600</v>
      </c>
      <c r="AD159" s="10"/>
      <c r="AE159" s="10"/>
      <c r="AF159" s="10"/>
      <c r="AG159" s="10"/>
      <c r="AH159" s="10"/>
    </row>
    <row r="160" spans="1:34" ht="122.25" hidden="1" customHeight="1">
      <c r="A160" s="62"/>
      <c r="B160" s="31">
        <v>46157</v>
      </c>
      <c r="C160" s="11" t="s">
        <v>694</v>
      </c>
      <c r="D160" s="2" t="s">
        <v>5383</v>
      </c>
      <c r="E160" s="11" t="s">
        <v>5384</v>
      </c>
      <c r="F160" s="30" t="s">
        <v>87</v>
      </c>
      <c r="G160" s="30" t="s">
        <v>5385</v>
      </c>
      <c r="H160" s="16">
        <v>46266</v>
      </c>
      <c r="J160" s="115">
        <v>46160</v>
      </c>
      <c r="T160" s="7" t="s">
        <v>20</v>
      </c>
      <c r="Z160" s="30" t="s">
        <v>1206</v>
      </c>
      <c r="AA160" s="8">
        <v>46290</v>
      </c>
      <c r="AC160" s="10">
        <v>42509.279999999999</v>
      </c>
      <c r="AD160" s="10"/>
      <c r="AE160" s="10"/>
      <c r="AF160" s="10"/>
      <c r="AG160" s="10"/>
      <c r="AH160" s="10"/>
    </row>
    <row r="161" spans="1:34" ht="122.25" hidden="1" customHeight="1">
      <c r="A161" s="62"/>
      <c r="B161" s="31">
        <v>46157</v>
      </c>
      <c r="C161" s="11" t="s">
        <v>24</v>
      </c>
      <c r="D161" s="2" t="s">
        <v>5409</v>
      </c>
      <c r="E161" s="11" t="s">
        <v>5410</v>
      </c>
      <c r="F161" s="30" t="s">
        <v>2169</v>
      </c>
      <c r="G161" s="30" t="s">
        <v>5411</v>
      </c>
      <c r="H161" s="16">
        <v>46266</v>
      </c>
      <c r="I161" s="115">
        <v>46160</v>
      </c>
      <c r="J161" s="115">
        <v>46161</v>
      </c>
      <c r="T161" s="7" t="s">
        <v>20</v>
      </c>
      <c r="Z161" s="30" t="s">
        <v>103</v>
      </c>
      <c r="AA161" s="8">
        <v>46319</v>
      </c>
      <c r="AC161" s="10">
        <v>4038.63</v>
      </c>
      <c r="AD161" s="10"/>
      <c r="AE161" s="10"/>
      <c r="AF161" s="10"/>
      <c r="AG161" s="10"/>
      <c r="AH161" s="10"/>
    </row>
    <row r="162" spans="1:34" ht="122.25" hidden="1" customHeight="1">
      <c r="A162" s="62"/>
      <c r="B162" s="31">
        <v>46157</v>
      </c>
      <c r="C162" s="11" t="s">
        <v>24</v>
      </c>
      <c r="D162" s="2" t="s">
        <v>5407</v>
      </c>
      <c r="E162" s="11" t="s">
        <v>5406</v>
      </c>
      <c r="F162" s="30" t="s">
        <v>2169</v>
      </c>
      <c r="G162" s="30" t="s">
        <v>5408</v>
      </c>
      <c r="H162" s="16">
        <v>46266</v>
      </c>
      <c r="I162" s="115">
        <v>46160</v>
      </c>
      <c r="J162" s="115">
        <v>46161</v>
      </c>
      <c r="T162" s="7" t="s">
        <v>20</v>
      </c>
      <c r="Z162" s="30" t="s">
        <v>103</v>
      </c>
      <c r="AA162" s="8">
        <v>46319</v>
      </c>
      <c r="AC162" s="10">
        <v>19400</v>
      </c>
      <c r="AD162" s="10"/>
      <c r="AE162" s="10"/>
      <c r="AF162" s="10"/>
      <c r="AG162" s="10"/>
      <c r="AH162" s="10"/>
    </row>
    <row r="163" spans="1:34" ht="122.25" hidden="1" customHeight="1">
      <c r="A163" s="62"/>
      <c r="B163" s="31">
        <v>46157</v>
      </c>
      <c r="C163" s="11" t="s">
        <v>24</v>
      </c>
      <c r="D163" s="2" t="s">
        <v>5412</v>
      </c>
      <c r="E163" s="11" t="s">
        <v>5413</v>
      </c>
      <c r="F163" s="30" t="s">
        <v>104</v>
      </c>
      <c r="G163" s="30" t="s">
        <v>5414</v>
      </c>
      <c r="H163" s="16">
        <v>46235</v>
      </c>
      <c r="I163" s="115">
        <v>46160</v>
      </c>
      <c r="J163" s="115">
        <v>46161</v>
      </c>
      <c r="K163" s="115">
        <v>46160</v>
      </c>
      <c r="T163" s="7" t="s">
        <v>20</v>
      </c>
      <c r="Z163" s="30" t="s">
        <v>1206</v>
      </c>
      <c r="AA163" s="8">
        <v>46258</v>
      </c>
      <c r="AC163" s="10">
        <v>2275</v>
      </c>
      <c r="AD163" s="10"/>
      <c r="AE163" s="10"/>
      <c r="AF163" s="10"/>
      <c r="AG163" s="10"/>
      <c r="AH163" s="10"/>
    </row>
    <row r="164" spans="1:34" ht="159" hidden="1" customHeight="1">
      <c r="A164" s="62"/>
      <c r="B164" s="31">
        <v>46157</v>
      </c>
      <c r="C164" s="11" t="s">
        <v>694</v>
      </c>
      <c r="D164" s="2" t="s">
        <v>5386</v>
      </c>
      <c r="E164" s="11" t="s">
        <v>5387</v>
      </c>
      <c r="F164" s="30" t="s">
        <v>105</v>
      </c>
      <c r="G164" s="30" t="s">
        <v>5388</v>
      </c>
      <c r="H164" s="16">
        <v>46266</v>
      </c>
      <c r="I164" s="115">
        <v>46157</v>
      </c>
      <c r="J164" s="115">
        <v>46160</v>
      </c>
      <c r="K164" s="115">
        <v>46158</v>
      </c>
      <c r="T164" s="7" t="s">
        <v>22</v>
      </c>
      <c r="Z164" s="30" t="s">
        <v>717</v>
      </c>
      <c r="AA164" s="8">
        <v>46280</v>
      </c>
      <c r="AB164" s="10">
        <v>588872.26</v>
      </c>
      <c r="AD164" s="10"/>
      <c r="AE164" s="10"/>
      <c r="AF164" s="10"/>
      <c r="AG164" s="10"/>
      <c r="AH164" s="10"/>
    </row>
    <row r="165" spans="1:34" ht="122.25" customHeight="1">
      <c r="A165" s="62"/>
      <c r="B165" s="31"/>
      <c r="AD165" s="10"/>
      <c r="AE165" s="10"/>
      <c r="AF165" s="10"/>
      <c r="AG165" s="10"/>
      <c r="AH165" s="10"/>
    </row>
    <row r="166" spans="1:34" ht="122.25" customHeight="1">
      <c r="A166" s="62"/>
      <c r="B166" s="31"/>
      <c r="AD166" s="10"/>
      <c r="AE166" s="10"/>
      <c r="AF166" s="10"/>
      <c r="AG166" s="10"/>
      <c r="AH166" s="10"/>
    </row>
    <row r="167" spans="1:34" ht="122.25" customHeight="1">
      <c r="A167" s="62"/>
      <c r="B167" s="31"/>
      <c r="AD167" s="10"/>
      <c r="AE167" s="10"/>
      <c r="AF167" s="10"/>
      <c r="AG167" s="10"/>
      <c r="AH167" s="10"/>
    </row>
    <row r="168" spans="1:34" ht="122.25" customHeight="1">
      <c r="A168" s="62"/>
      <c r="B168" s="31"/>
      <c r="AD168" s="10"/>
      <c r="AE168" s="10"/>
      <c r="AF168" s="10"/>
      <c r="AG168" s="10"/>
      <c r="AH168" s="10"/>
    </row>
    <row r="169" spans="1:34" ht="122.25" customHeight="1">
      <c r="A169" s="62"/>
      <c r="B169" s="31"/>
      <c r="AD169" s="10"/>
      <c r="AE169" s="10"/>
      <c r="AF169" s="10"/>
      <c r="AG169" s="10"/>
      <c r="AH169" s="10"/>
    </row>
    <row r="170" spans="1:34" ht="122.25" customHeight="1">
      <c r="A170" s="62"/>
      <c r="B170" s="31"/>
      <c r="AD170" s="10"/>
      <c r="AE170" s="10"/>
      <c r="AF170" s="10"/>
      <c r="AG170" s="10"/>
      <c r="AH170" s="10"/>
    </row>
    <row r="171" spans="1:34" ht="122.25" customHeight="1">
      <c r="A171" s="62"/>
      <c r="B171" s="31"/>
      <c r="AD171" s="10"/>
      <c r="AE171" s="10"/>
      <c r="AF171" s="10"/>
      <c r="AG171" s="10"/>
      <c r="AH171" s="10"/>
    </row>
    <row r="172" spans="1:34" ht="122.25" customHeight="1">
      <c r="A172" s="62"/>
      <c r="B172" s="31"/>
      <c r="AD172" s="10"/>
      <c r="AE172" s="10"/>
      <c r="AF172" s="10"/>
      <c r="AG172" s="10"/>
      <c r="AH172" s="10"/>
    </row>
    <row r="173" spans="1:34" ht="122.25" customHeight="1">
      <c r="A173" s="62"/>
      <c r="B173" s="31"/>
      <c r="AD173" s="10"/>
      <c r="AE173" s="10"/>
      <c r="AF173" s="10"/>
      <c r="AG173" s="10"/>
      <c r="AH173" s="10"/>
    </row>
    <row r="174" spans="1:34" ht="122.25" customHeight="1">
      <c r="A174" s="62"/>
      <c r="B174" s="31"/>
      <c r="AD174" s="10"/>
      <c r="AE174" s="10"/>
      <c r="AF174" s="10"/>
      <c r="AG174" s="10"/>
      <c r="AH174" s="10"/>
    </row>
    <row r="175" spans="1:34" ht="122.25" customHeight="1">
      <c r="A175" s="62"/>
      <c r="B175" s="31"/>
      <c r="AD175" s="10"/>
      <c r="AE175" s="10"/>
      <c r="AF175" s="10"/>
      <c r="AG175" s="10"/>
      <c r="AH175" s="10"/>
    </row>
    <row r="176" spans="1:34" ht="122.25" customHeight="1">
      <c r="A176" s="62"/>
      <c r="B176" s="31"/>
      <c r="AD176" s="10"/>
      <c r="AE176" s="10"/>
      <c r="AF176" s="10"/>
      <c r="AG176" s="10"/>
      <c r="AH176" s="10"/>
    </row>
    <row r="177" spans="1:34" ht="122.25" customHeight="1">
      <c r="A177" s="62"/>
      <c r="B177" s="31"/>
      <c r="AD177" s="10"/>
      <c r="AE177" s="10"/>
      <c r="AF177" s="10"/>
      <c r="AG177" s="10"/>
      <c r="AH177" s="10"/>
    </row>
    <row r="178" spans="1:34" ht="122.25" customHeight="1">
      <c r="A178" s="62"/>
      <c r="B178" s="31"/>
      <c r="AD178" s="10"/>
      <c r="AE178" s="10"/>
      <c r="AF178" s="10"/>
      <c r="AG178" s="10"/>
      <c r="AH178" s="10"/>
    </row>
    <row r="179" spans="1:34" ht="122.25" customHeight="1">
      <c r="A179" s="62"/>
      <c r="B179" s="31"/>
      <c r="AD179" s="10"/>
      <c r="AE179" s="10"/>
      <c r="AF179" s="10"/>
      <c r="AG179" s="10"/>
      <c r="AH179" s="10"/>
    </row>
    <row r="180" spans="1:34" ht="122.25" customHeight="1">
      <c r="A180" s="62"/>
      <c r="B180" s="31"/>
      <c r="AD180" s="10"/>
      <c r="AE180" s="10"/>
      <c r="AF180" s="10"/>
      <c r="AG180" s="10"/>
      <c r="AH180" s="10"/>
    </row>
    <row r="181" spans="1:34" ht="122.25" customHeight="1">
      <c r="A181" s="62"/>
      <c r="B181" s="31"/>
      <c r="AD181" s="10"/>
      <c r="AE181" s="10"/>
      <c r="AF181" s="10"/>
      <c r="AG181" s="10"/>
      <c r="AH181" s="10"/>
    </row>
    <row r="182" spans="1:34" ht="122.25" customHeight="1">
      <c r="A182" s="62"/>
      <c r="B182" s="31"/>
      <c r="AD182" s="10"/>
      <c r="AE182" s="10"/>
      <c r="AF182" s="10"/>
      <c r="AG182" s="10"/>
      <c r="AH182" s="10"/>
    </row>
    <row r="183" spans="1:34" ht="122.25" customHeight="1">
      <c r="A183" s="62"/>
      <c r="B183" s="31"/>
      <c r="AD183" s="10"/>
      <c r="AE183" s="10"/>
      <c r="AF183" s="10"/>
      <c r="AG183" s="10"/>
      <c r="AH183" s="10"/>
    </row>
    <row r="184" spans="1:34" ht="122.25" customHeight="1">
      <c r="AD184" s="10"/>
      <c r="AE184" s="10"/>
      <c r="AF184" s="10"/>
      <c r="AG184" s="10"/>
      <c r="AH184" s="10"/>
    </row>
    <row r="185" spans="1:34" ht="122.25" customHeight="1">
      <c r="AD185" s="10"/>
      <c r="AE185" s="10"/>
      <c r="AF185" s="10"/>
      <c r="AG185" s="10"/>
      <c r="AH185" s="10"/>
    </row>
    <row r="186" spans="1:34" ht="122.25" customHeight="1">
      <c r="AD186" s="10"/>
      <c r="AE186" s="10"/>
      <c r="AF186" s="10"/>
      <c r="AG186" s="10"/>
      <c r="AH186" s="10"/>
    </row>
    <row r="187" spans="1:34" ht="122.25" customHeight="1">
      <c r="AD187" s="10"/>
      <c r="AE187" s="10"/>
      <c r="AF187" s="10"/>
      <c r="AG187" s="10"/>
      <c r="AH187" s="10"/>
    </row>
    <row r="188" spans="1:34" ht="122.25" customHeight="1">
      <c r="AD188" s="10"/>
      <c r="AE188" s="10"/>
      <c r="AF188" s="10"/>
      <c r="AG188" s="10"/>
      <c r="AH188" s="10"/>
    </row>
    <row r="189" spans="1:34" ht="122.25" customHeight="1">
      <c r="AD189" s="10"/>
      <c r="AE189" s="10"/>
      <c r="AF189" s="10"/>
      <c r="AG189" s="10"/>
      <c r="AH189" s="10"/>
    </row>
    <row r="190" spans="1:34" ht="122.25" customHeight="1">
      <c r="AD190" s="10"/>
      <c r="AE190" s="10"/>
      <c r="AF190" s="10"/>
      <c r="AG190" s="10"/>
      <c r="AH190" s="10"/>
    </row>
    <row r="191" spans="1:34" ht="122.25" customHeight="1">
      <c r="AD191" s="10"/>
      <c r="AE191" s="10"/>
      <c r="AF191" s="10"/>
      <c r="AG191" s="10"/>
      <c r="AH191" s="10"/>
    </row>
    <row r="192" spans="1:34" ht="122.25" customHeight="1">
      <c r="AD192" s="10"/>
      <c r="AE192" s="10"/>
      <c r="AF192" s="10"/>
      <c r="AG192" s="10"/>
      <c r="AH192" s="10"/>
    </row>
    <row r="193" spans="30:34" ht="122.25" customHeight="1">
      <c r="AD193" s="10"/>
      <c r="AE193" s="10"/>
      <c r="AF193" s="10"/>
      <c r="AG193" s="10"/>
      <c r="AH193" s="10"/>
    </row>
    <row r="194" spans="30:34" ht="122.25" customHeight="1">
      <c r="AD194" s="10"/>
      <c r="AE194" s="10"/>
      <c r="AF194" s="10"/>
      <c r="AG194" s="10"/>
      <c r="AH194" s="10"/>
    </row>
    <row r="195" spans="30:34" ht="122.25" customHeight="1">
      <c r="AD195" s="10"/>
      <c r="AE195" s="10"/>
      <c r="AF195" s="10"/>
      <c r="AG195" s="10"/>
      <c r="AH195" s="10"/>
    </row>
    <row r="196" spans="30:34" ht="122.25" customHeight="1">
      <c r="AD196" s="10"/>
      <c r="AE196" s="10"/>
      <c r="AF196" s="10"/>
      <c r="AG196" s="10"/>
      <c r="AH196" s="10"/>
    </row>
    <row r="197" spans="30:34" ht="122.25" customHeight="1">
      <c r="AD197" s="10"/>
      <c r="AE197" s="10"/>
      <c r="AF197" s="10"/>
      <c r="AG197" s="10"/>
      <c r="AH197" s="10"/>
    </row>
    <row r="198" spans="30:34" ht="122.25" customHeight="1">
      <c r="AD198" s="10"/>
      <c r="AE198" s="10"/>
      <c r="AF198" s="10"/>
      <c r="AG198" s="10"/>
      <c r="AH198" s="10"/>
    </row>
    <row r="199" spans="30:34" ht="122.25" customHeight="1">
      <c r="AD199" s="10"/>
      <c r="AE199" s="10"/>
      <c r="AF199" s="10"/>
      <c r="AG199" s="10"/>
      <c r="AH199" s="10"/>
    </row>
    <row r="200" spans="30:34" ht="122.25" customHeight="1">
      <c r="AD200" s="10"/>
      <c r="AE200" s="10"/>
      <c r="AF200" s="10"/>
      <c r="AG200" s="10"/>
      <c r="AH200" s="10"/>
    </row>
    <row r="201" spans="30:34" ht="122.25" customHeight="1">
      <c r="AD201" s="10"/>
      <c r="AE201" s="10"/>
      <c r="AF201" s="10"/>
      <c r="AG201" s="10"/>
      <c r="AH201" s="10"/>
    </row>
    <row r="202" spans="30:34" ht="122.25" customHeight="1">
      <c r="AD202" s="10"/>
      <c r="AE202" s="10"/>
      <c r="AF202" s="10"/>
      <c r="AG202" s="10"/>
      <c r="AH202" s="10"/>
    </row>
    <row r="203" spans="30:34" ht="122.25" customHeight="1">
      <c r="AD203" s="10"/>
      <c r="AE203" s="10"/>
      <c r="AF203" s="10"/>
      <c r="AG203" s="10"/>
      <c r="AH203" s="10"/>
    </row>
    <row r="204" spans="30:34" ht="122.25" customHeight="1">
      <c r="AD204" s="10"/>
      <c r="AE204" s="10"/>
      <c r="AF204" s="10"/>
      <c r="AG204" s="10"/>
      <c r="AH204" s="10"/>
    </row>
    <row r="205" spans="30:34" ht="122.25" customHeight="1">
      <c r="AD205" s="10"/>
      <c r="AE205" s="10"/>
      <c r="AF205" s="10"/>
      <c r="AG205" s="10"/>
      <c r="AH205" s="10"/>
    </row>
    <row r="206" spans="30:34" ht="122.25" customHeight="1">
      <c r="AD206" s="10"/>
      <c r="AE206" s="10"/>
      <c r="AF206" s="10"/>
      <c r="AG206" s="10"/>
      <c r="AH206" s="10"/>
    </row>
    <row r="207" spans="30:34" ht="122.25" customHeight="1">
      <c r="AD207" s="10"/>
      <c r="AE207" s="10"/>
      <c r="AF207" s="10"/>
      <c r="AG207" s="10"/>
      <c r="AH207" s="10"/>
    </row>
    <row r="208" spans="30:34" ht="122.25" customHeight="1">
      <c r="AD208" s="10"/>
      <c r="AE208" s="10"/>
      <c r="AF208" s="10"/>
      <c r="AG208" s="10"/>
      <c r="AH208" s="10"/>
    </row>
    <row r="209" spans="30:34" ht="122.25" customHeight="1">
      <c r="AD209" s="10"/>
      <c r="AE209" s="10"/>
      <c r="AF209" s="10"/>
      <c r="AG209" s="10"/>
      <c r="AH209" s="10"/>
    </row>
    <row r="210" spans="30:34" ht="122.25" customHeight="1">
      <c r="AD210" s="10"/>
      <c r="AE210" s="10"/>
      <c r="AF210" s="10"/>
      <c r="AG210" s="10"/>
      <c r="AH210" s="10"/>
    </row>
    <row r="211" spans="30:34" ht="122.25" customHeight="1">
      <c r="AD211" s="10"/>
      <c r="AE211" s="10"/>
      <c r="AF211" s="10"/>
      <c r="AG211" s="10"/>
      <c r="AH211" s="10"/>
    </row>
    <row r="212" spans="30:34" ht="122.25" customHeight="1">
      <c r="AD212" s="10"/>
      <c r="AE212" s="10"/>
      <c r="AF212" s="10"/>
      <c r="AG212" s="10"/>
      <c r="AH212" s="10"/>
    </row>
    <row r="213" spans="30:34" ht="122.25" customHeight="1">
      <c r="AD213" s="10"/>
      <c r="AE213" s="10"/>
      <c r="AF213" s="10"/>
      <c r="AG213" s="10"/>
      <c r="AH213" s="10"/>
    </row>
    <row r="214" spans="30:34" ht="122.25" customHeight="1">
      <c r="AD214" s="10"/>
      <c r="AE214" s="10"/>
      <c r="AF214" s="10"/>
      <c r="AG214" s="10"/>
      <c r="AH214" s="10"/>
    </row>
    <row r="215" spans="30:34" ht="122.25" customHeight="1">
      <c r="AD215" s="10"/>
      <c r="AE215" s="10"/>
      <c r="AF215" s="10"/>
      <c r="AG215" s="10"/>
      <c r="AH215" s="10"/>
    </row>
    <row r="216" spans="30:34" ht="122.25" customHeight="1">
      <c r="AD216" s="10"/>
      <c r="AE216" s="10"/>
      <c r="AF216" s="10"/>
      <c r="AG216" s="10"/>
      <c r="AH216" s="10"/>
    </row>
    <row r="217" spans="30:34" ht="122.25" customHeight="1">
      <c r="AD217" s="10"/>
      <c r="AE217" s="10"/>
      <c r="AF217" s="10"/>
      <c r="AG217" s="10"/>
      <c r="AH217" s="10"/>
    </row>
    <row r="218" spans="30:34" ht="122.25" customHeight="1">
      <c r="AD218" s="10"/>
      <c r="AE218" s="10"/>
      <c r="AF218" s="10"/>
      <c r="AG218" s="10"/>
      <c r="AH218" s="10"/>
    </row>
    <row r="219" spans="30:34" ht="122.25" customHeight="1">
      <c r="AD219" s="10"/>
      <c r="AE219" s="10"/>
      <c r="AF219" s="10"/>
      <c r="AG219" s="10"/>
      <c r="AH219" s="10"/>
    </row>
    <row r="220" spans="30:34" ht="122.25" customHeight="1">
      <c r="AD220" s="10"/>
      <c r="AE220" s="10"/>
      <c r="AF220" s="10"/>
      <c r="AG220" s="10"/>
      <c r="AH220" s="10"/>
    </row>
    <row r="221" spans="30:34" ht="122.25" customHeight="1">
      <c r="AD221" s="10"/>
      <c r="AE221" s="10"/>
      <c r="AF221" s="10"/>
      <c r="AG221" s="10"/>
      <c r="AH221" s="10"/>
    </row>
    <row r="222" spans="30:34" ht="122.25" customHeight="1">
      <c r="AD222" s="10"/>
      <c r="AE222" s="10"/>
      <c r="AF222" s="10"/>
      <c r="AG222" s="10"/>
      <c r="AH222" s="10"/>
    </row>
    <row r="223" spans="30:34" ht="122.25" customHeight="1">
      <c r="AD223" s="10"/>
      <c r="AE223" s="10"/>
      <c r="AF223" s="10"/>
      <c r="AG223" s="10"/>
      <c r="AH223" s="10"/>
    </row>
    <row r="224" spans="30:34" ht="122.25" customHeight="1">
      <c r="AD224" s="10"/>
      <c r="AE224" s="10"/>
      <c r="AF224" s="10"/>
      <c r="AG224" s="10"/>
      <c r="AH224" s="10"/>
    </row>
    <row r="225" spans="30:34" ht="122.25" customHeight="1">
      <c r="AD225" s="10"/>
      <c r="AE225" s="10"/>
      <c r="AF225" s="10"/>
      <c r="AG225" s="10"/>
      <c r="AH225" s="10"/>
    </row>
    <row r="226" spans="30:34" ht="122.25" customHeight="1">
      <c r="AD226" s="10"/>
      <c r="AE226" s="10"/>
      <c r="AF226" s="10"/>
      <c r="AG226" s="10"/>
      <c r="AH226" s="10"/>
    </row>
    <row r="227" spans="30:34" ht="122.25" customHeight="1">
      <c r="AD227" s="10"/>
      <c r="AE227" s="10"/>
      <c r="AF227" s="10"/>
      <c r="AG227" s="10"/>
      <c r="AH227" s="10"/>
    </row>
    <row r="228" spans="30:34" ht="122.25" customHeight="1">
      <c r="AD228" s="10"/>
      <c r="AE228" s="10"/>
      <c r="AF228" s="10"/>
      <c r="AG228" s="10"/>
      <c r="AH228" s="10"/>
    </row>
    <row r="229" spans="30:34" ht="122.25" customHeight="1">
      <c r="AD229" s="10"/>
      <c r="AE229" s="10"/>
      <c r="AF229" s="10"/>
      <c r="AG229" s="10"/>
      <c r="AH229" s="10"/>
    </row>
    <row r="230" spans="30:34" ht="122.25" customHeight="1">
      <c r="AD230" s="10"/>
      <c r="AE230" s="10"/>
      <c r="AF230" s="10"/>
      <c r="AG230" s="10"/>
      <c r="AH230" s="10"/>
    </row>
    <row r="231" spans="30:34" ht="122.25" customHeight="1">
      <c r="AD231" s="10"/>
      <c r="AE231" s="10"/>
      <c r="AF231" s="10"/>
      <c r="AG231" s="10"/>
      <c r="AH231" s="10"/>
    </row>
    <row r="232" spans="30:34" ht="122.25" customHeight="1">
      <c r="AD232" s="10"/>
      <c r="AE232" s="10"/>
      <c r="AF232" s="10"/>
      <c r="AG232" s="10"/>
      <c r="AH232" s="10"/>
    </row>
    <row r="233" spans="30:34" ht="122.25" customHeight="1">
      <c r="AD233" s="10"/>
      <c r="AE233" s="10"/>
      <c r="AF233" s="10"/>
      <c r="AG233" s="10"/>
      <c r="AH233" s="10"/>
    </row>
    <row r="234" spans="30:34" ht="122.25" customHeight="1">
      <c r="AD234" s="10"/>
      <c r="AE234" s="10"/>
      <c r="AF234" s="10"/>
      <c r="AG234" s="10"/>
      <c r="AH234" s="10"/>
    </row>
    <row r="235" spans="30:34" ht="122.25" customHeight="1">
      <c r="AD235" s="10"/>
      <c r="AE235" s="10"/>
      <c r="AF235" s="10"/>
      <c r="AG235" s="10"/>
      <c r="AH235" s="10"/>
    </row>
    <row r="236" spans="30:34" ht="122.25" customHeight="1">
      <c r="AD236" s="10"/>
      <c r="AE236" s="10"/>
      <c r="AF236" s="10"/>
      <c r="AG236" s="10"/>
      <c r="AH236" s="10"/>
    </row>
    <row r="237" spans="30:34" ht="122.25" customHeight="1">
      <c r="AD237" s="10"/>
      <c r="AE237" s="10"/>
      <c r="AF237" s="10"/>
      <c r="AG237" s="10"/>
      <c r="AH237" s="10"/>
    </row>
    <row r="238" spans="30:34" ht="122.25" customHeight="1">
      <c r="AD238" s="10"/>
      <c r="AE238" s="10"/>
      <c r="AF238" s="10"/>
      <c r="AG238" s="10"/>
      <c r="AH238" s="10"/>
    </row>
    <row r="239" spans="30:34" ht="122.25" customHeight="1">
      <c r="AD239" s="10"/>
      <c r="AE239" s="10"/>
      <c r="AF239" s="10"/>
      <c r="AG239" s="10"/>
      <c r="AH239" s="10"/>
    </row>
    <row r="240" spans="30:34" ht="122.25" customHeight="1">
      <c r="AD240" s="10"/>
      <c r="AE240" s="10"/>
      <c r="AF240" s="10"/>
      <c r="AG240" s="10"/>
      <c r="AH240" s="10"/>
    </row>
    <row r="241" spans="30:34" ht="122.25" customHeight="1">
      <c r="AD241" s="10"/>
      <c r="AE241" s="10"/>
      <c r="AF241" s="10"/>
      <c r="AG241" s="10"/>
      <c r="AH241" s="10"/>
    </row>
    <row r="242" spans="30:34" ht="122.25" customHeight="1">
      <c r="AD242" s="10"/>
      <c r="AE242" s="10"/>
      <c r="AF242" s="10"/>
      <c r="AG242" s="10"/>
      <c r="AH242" s="10"/>
    </row>
    <row r="243" spans="30:34" ht="122.25" customHeight="1">
      <c r="AD243" s="10"/>
      <c r="AE243" s="10"/>
      <c r="AF243" s="10"/>
      <c r="AG243" s="10"/>
      <c r="AH243" s="10"/>
    </row>
    <row r="244" spans="30:34" ht="122.25" customHeight="1">
      <c r="AD244" s="10"/>
      <c r="AE244" s="10"/>
      <c r="AF244" s="10"/>
      <c r="AG244" s="10"/>
      <c r="AH244" s="10"/>
    </row>
    <row r="245" spans="30:34" ht="122.25" customHeight="1">
      <c r="AD245" s="10"/>
      <c r="AE245" s="10"/>
      <c r="AF245" s="10"/>
      <c r="AG245" s="10"/>
      <c r="AH245" s="10"/>
    </row>
    <row r="246" spans="30:34" ht="122.25" customHeight="1">
      <c r="AD246" s="10"/>
      <c r="AE246" s="10"/>
      <c r="AF246" s="10"/>
      <c r="AG246" s="10"/>
      <c r="AH246" s="10"/>
    </row>
    <row r="247" spans="30:34" ht="122.25" customHeight="1">
      <c r="AD247" s="10"/>
      <c r="AE247" s="10"/>
      <c r="AF247" s="10"/>
      <c r="AG247" s="10"/>
      <c r="AH247" s="10"/>
    </row>
    <row r="248" spans="30:34" ht="122.25" customHeight="1">
      <c r="AD248" s="10"/>
      <c r="AE248" s="10"/>
      <c r="AF248" s="10"/>
      <c r="AG248" s="10"/>
      <c r="AH248" s="10"/>
    </row>
    <row r="249" spans="30:34" ht="122.25" customHeight="1">
      <c r="AD249" s="10"/>
      <c r="AE249" s="10"/>
      <c r="AF249" s="10"/>
      <c r="AG249" s="10"/>
      <c r="AH249" s="10"/>
    </row>
    <row r="250" spans="30:34" ht="122.25" customHeight="1">
      <c r="AD250" s="10"/>
      <c r="AE250" s="10"/>
      <c r="AF250" s="10"/>
      <c r="AG250" s="10"/>
      <c r="AH250" s="10"/>
    </row>
    <row r="251" spans="30:34" ht="122.25" customHeight="1">
      <c r="AD251" s="10"/>
      <c r="AE251" s="10"/>
      <c r="AF251" s="10"/>
      <c r="AG251" s="10"/>
      <c r="AH251" s="10"/>
    </row>
    <row r="252" spans="30:34" ht="122.25" customHeight="1">
      <c r="AD252" s="10"/>
      <c r="AE252" s="10"/>
      <c r="AF252" s="10"/>
      <c r="AG252" s="10"/>
      <c r="AH252" s="10"/>
    </row>
    <row r="253" spans="30:34" ht="122.25" customHeight="1">
      <c r="AD253" s="10"/>
      <c r="AE253" s="10"/>
      <c r="AF253" s="10"/>
      <c r="AG253" s="10"/>
      <c r="AH253" s="10"/>
    </row>
    <row r="254" spans="30:34" ht="122.25" customHeight="1">
      <c r="AD254" s="10"/>
      <c r="AE254" s="10"/>
      <c r="AF254" s="10"/>
      <c r="AG254" s="10"/>
      <c r="AH254" s="10"/>
    </row>
    <row r="255" spans="30:34" ht="122.25" customHeight="1">
      <c r="AD255" s="10"/>
      <c r="AE255" s="10"/>
      <c r="AF255" s="10"/>
      <c r="AG255" s="10"/>
      <c r="AH255" s="10"/>
    </row>
    <row r="256" spans="30:34" ht="122.25" customHeight="1">
      <c r="AD256" s="10"/>
      <c r="AE256" s="10"/>
      <c r="AF256" s="10"/>
      <c r="AG256" s="10"/>
      <c r="AH256" s="10"/>
    </row>
    <row r="257" spans="30:34" ht="122.25" customHeight="1">
      <c r="AD257" s="10"/>
      <c r="AE257" s="10"/>
      <c r="AF257" s="10"/>
      <c r="AG257" s="10"/>
      <c r="AH257" s="10"/>
    </row>
    <row r="258" spans="30:34" ht="122.25" customHeight="1">
      <c r="AD258" s="10"/>
      <c r="AE258" s="10"/>
      <c r="AF258" s="10"/>
      <c r="AG258" s="10"/>
      <c r="AH258" s="10"/>
    </row>
    <row r="259" spans="30:34" ht="122.25" customHeight="1">
      <c r="AD259" s="10"/>
      <c r="AE259" s="10"/>
      <c r="AF259" s="10"/>
      <c r="AG259" s="10"/>
      <c r="AH259" s="10"/>
    </row>
    <row r="260" spans="30:34" ht="122.25" customHeight="1">
      <c r="AD260" s="10"/>
      <c r="AE260" s="10"/>
      <c r="AF260" s="10"/>
      <c r="AG260" s="10"/>
      <c r="AH260" s="10"/>
    </row>
    <row r="261" spans="30:34" ht="122.25" customHeight="1">
      <c r="AD261" s="10"/>
      <c r="AE261" s="10"/>
      <c r="AF261" s="10"/>
      <c r="AG261" s="10"/>
      <c r="AH261" s="10"/>
    </row>
    <row r="262" spans="30:34" ht="122.25" customHeight="1">
      <c r="AD262" s="10"/>
      <c r="AE262" s="10"/>
      <c r="AF262" s="10"/>
      <c r="AG262" s="10"/>
      <c r="AH262" s="10"/>
    </row>
    <row r="263" spans="30:34" ht="122.25" customHeight="1">
      <c r="AD263" s="10"/>
      <c r="AE263" s="10"/>
      <c r="AF263" s="10"/>
      <c r="AG263" s="10"/>
      <c r="AH263" s="10"/>
    </row>
    <row r="264" spans="30:34" ht="122.25" customHeight="1">
      <c r="AD264" s="10"/>
      <c r="AE264" s="10"/>
      <c r="AF264" s="10"/>
      <c r="AG264" s="10"/>
      <c r="AH264" s="10"/>
    </row>
    <row r="265" spans="30:34" ht="122.25" customHeight="1">
      <c r="AD265" s="10"/>
      <c r="AE265" s="10"/>
      <c r="AF265" s="10"/>
      <c r="AG265" s="10"/>
      <c r="AH265" s="10"/>
    </row>
    <row r="266" spans="30:34" ht="122.25" customHeight="1">
      <c r="AD266" s="10"/>
      <c r="AE266" s="10"/>
      <c r="AF266" s="10"/>
      <c r="AG266" s="10"/>
      <c r="AH266" s="10"/>
    </row>
    <row r="267" spans="30:34" ht="122.25" customHeight="1">
      <c r="AD267" s="10"/>
      <c r="AE267" s="10"/>
      <c r="AF267" s="10"/>
      <c r="AG267" s="10"/>
      <c r="AH267" s="10"/>
    </row>
    <row r="268" spans="30:34" ht="122.25" customHeight="1">
      <c r="AD268" s="10"/>
      <c r="AE268" s="10"/>
      <c r="AF268" s="10"/>
      <c r="AG268" s="10"/>
      <c r="AH268" s="10"/>
    </row>
    <row r="269" spans="30:34" ht="122.25" customHeight="1">
      <c r="AD269" s="10"/>
      <c r="AE269" s="10"/>
      <c r="AF269" s="10"/>
      <c r="AG269" s="10"/>
      <c r="AH269" s="10"/>
    </row>
    <row r="270" spans="30:34" ht="122.25" customHeight="1">
      <c r="AD270" s="10"/>
      <c r="AE270" s="10"/>
      <c r="AF270" s="10"/>
      <c r="AG270" s="10"/>
      <c r="AH270" s="10"/>
    </row>
    <row r="271" spans="30:34" ht="122.25" customHeight="1">
      <c r="AD271" s="10"/>
      <c r="AE271" s="10"/>
      <c r="AF271" s="10"/>
      <c r="AG271" s="10"/>
      <c r="AH271" s="10"/>
    </row>
    <row r="272" spans="30:34" ht="122.25" customHeight="1">
      <c r="AD272" s="10"/>
      <c r="AE272" s="10"/>
      <c r="AF272" s="10"/>
      <c r="AG272" s="10"/>
      <c r="AH272" s="10"/>
    </row>
    <row r="273" spans="30:34" ht="122.25" customHeight="1">
      <c r="AD273" s="10"/>
      <c r="AE273" s="10"/>
      <c r="AF273" s="10"/>
      <c r="AG273" s="10"/>
      <c r="AH273" s="10"/>
    </row>
    <row r="274" spans="30:34" ht="122.25" customHeight="1">
      <c r="AD274" s="10"/>
      <c r="AE274" s="10"/>
      <c r="AF274" s="10"/>
      <c r="AG274" s="10"/>
      <c r="AH274" s="10"/>
    </row>
    <row r="275" spans="30:34" ht="122.25" customHeight="1">
      <c r="AD275" s="10"/>
      <c r="AE275" s="10"/>
      <c r="AF275" s="10"/>
      <c r="AG275" s="10"/>
      <c r="AH275" s="10"/>
    </row>
    <row r="276" spans="30:34" ht="122.25" customHeight="1">
      <c r="AD276" s="10"/>
      <c r="AE276" s="10"/>
      <c r="AF276" s="10"/>
      <c r="AG276" s="10"/>
      <c r="AH276" s="10"/>
    </row>
    <row r="277" spans="30:34" ht="122.25" customHeight="1">
      <c r="AD277" s="10"/>
      <c r="AE277" s="10"/>
      <c r="AF277" s="10"/>
      <c r="AG277" s="10"/>
      <c r="AH277" s="10"/>
    </row>
    <row r="278" spans="30:34" ht="122.25" customHeight="1">
      <c r="AD278" s="10"/>
      <c r="AE278" s="10"/>
      <c r="AF278" s="10"/>
      <c r="AG278" s="10"/>
      <c r="AH278" s="10"/>
    </row>
    <row r="279" spans="30:34" ht="122.25" customHeight="1">
      <c r="AD279" s="10"/>
      <c r="AE279" s="10"/>
      <c r="AF279" s="10"/>
      <c r="AG279" s="10"/>
      <c r="AH279" s="10"/>
    </row>
    <row r="280" spans="30:34" ht="122.25" customHeight="1">
      <c r="AD280" s="10"/>
      <c r="AE280" s="10"/>
      <c r="AF280" s="10"/>
      <c r="AG280" s="10"/>
      <c r="AH280" s="10"/>
    </row>
    <row r="281" spans="30:34" ht="122.25" customHeight="1">
      <c r="AD281" s="10"/>
      <c r="AE281" s="10"/>
      <c r="AF281" s="10"/>
      <c r="AG281" s="10"/>
      <c r="AH281" s="10"/>
    </row>
    <row r="282" spans="30:34" ht="122.25" customHeight="1">
      <c r="AD282" s="10"/>
      <c r="AE282" s="10"/>
      <c r="AF282" s="10"/>
      <c r="AG282" s="10"/>
      <c r="AH282" s="10"/>
    </row>
    <row r="283" spans="30:34" ht="122.25" customHeight="1">
      <c r="AD283" s="10"/>
      <c r="AE283" s="10"/>
      <c r="AF283" s="10"/>
      <c r="AG283" s="10"/>
      <c r="AH283" s="10"/>
    </row>
    <row r="284" spans="30:34" ht="122.25" customHeight="1">
      <c r="AD284" s="10"/>
      <c r="AE284" s="10"/>
      <c r="AF284" s="10"/>
      <c r="AG284" s="10"/>
      <c r="AH284" s="10"/>
    </row>
    <row r="285" spans="30:34" ht="122.25" customHeight="1">
      <c r="AD285" s="10"/>
      <c r="AE285" s="10"/>
      <c r="AF285" s="10"/>
      <c r="AG285" s="10"/>
      <c r="AH285" s="10"/>
    </row>
    <row r="286" spans="30:34" ht="122.25" customHeight="1">
      <c r="AD286" s="10"/>
      <c r="AE286" s="10"/>
      <c r="AF286" s="10"/>
      <c r="AG286" s="10"/>
      <c r="AH286" s="10"/>
    </row>
    <row r="287" spans="30:34" ht="122.25" customHeight="1">
      <c r="AD287" s="10"/>
      <c r="AE287" s="10"/>
      <c r="AF287" s="10"/>
      <c r="AG287" s="10"/>
      <c r="AH287" s="10"/>
    </row>
    <row r="288" spans="30:34" ht="122.25" customHeight="1">
      <c r="AD288" s="10"/>
      <c r="AE288" s="10"/>
      <c r="AF288" s="10"/>
      <c r="AG288" s="10"/>
      <c r="AH288" s="10"/>
    </row>
    <row r="289" spans="30:34" ht="122.25" customHeight="1">
      <c r="AD289" s="10"/>
      <c r="AE289" s="10"/>
      <c r="AF289" s="10"/>
      <c r="AG289" s="10"/>
      <c r="AH289" s="10"/>
    </row>
    <row r="290" spans="30:34" ht="122.25" customHeight="1">
      <c r="AD290" s="10"/>
      <c r="AE290" s="10"/>
      <c r="AF290" s="10"/>
      <c r="AG290" s="10"/>
      <c r="AH290" s="10"/>
    </row>
    <row r="291" spans="30:34" ht="122.25" customHeight="1">
      <c r="AD291" s="10"/>
      <c r="AE291" s="10"/>
      <c r="AF291" s="10"/>
      <c r="AG291" s="10"/>
      <c r="AH291" s="10"/>
    </row>
    <row r="292" spans="30:34" ht="122.25" customHeight="1">
      <c r="AD292" s="10"/>
      <c r="AE292" s="10"/>
      <c r="AF292" s="10"/>
      <c r="AG292" s="10"/>
      <c r="AH292" s="10"/>
    </row>
    <row r="293" spans="30:34" ht="122.25" customHeight="1">
      <c r="AD293" s="10"/>
      <c r="AE293" s="10"/>
      <c r="AF293" s="10"/>
      <c r="AG293" s="10"/>
      <c r="AH293" s="10"/>
    </row>
    <row r="294" spans="30:34" ht="122.25" customHeight="1">
      <c r="AD294" s="10"/>
      <c r="AE294" s="10"/>
      <c r="AF294" s="10"/>
      <c r="AG294" s="10"/>
      <c r="AH294" s="10"/>
    </row>
    <row r="295" spans="30:34" ht="122.25" customHeight="1">
      <c r="AD295" s="10"/>
      <c r="AE295" s="10"/>
      <c r="AF295" s="10"/>
      <c r="AG295" s="10"/>
      <c r="AH295" s="10"/>
    </row>
    <row r="296" spans="30:34" ht="122.25" customHeight="1">
      <c r="AD296" s="10"/>
      <c r="AE296" s="10"/>
      <c r="AF296" s="10"/>
      <c r="AG296" s="10"/>
      <c r="AH296" s="10"/>
    </row>
    <row r="297" spans="30:34" ht="122.25" customHeight="1">
      <c r="AD297" s="10"/>
      <c r="AE297" s="10"/>
      <c r="AF297" s="10"/>
      <c r="AG297" s="10"/>
      <c r="AH297" s="10"/>
    </row>
    <row r="298" spans="30:34" ht="122.25" customHeight="1">
      <c r="AD298" s="10"/>
      <c r="AE298" s="10"/>
      <c r="AF298" s="10"/>
      <c r="AG298" s="10"/>
      <c r="AH298" s="10"/>
    </row>
    <row r="299" spans="30:34" ht="122.25" customHeight="1">
      <c r="AD299" s="10"/>
      <c r="AE299" s="10"/>
      <c r="AF299" s="10"/>
      <c r="AG299" s="10"/>
      <c r="AH299" s="10"/>
    </row>
    <row r="300" spans="30:34" ht="122.25" customHeight="1">
      <c r="AD300" s="10"/>
      <c r="AE300" s="10"/>
      <c r="AF300" s="10"/>
      <c r="AG300" s="10"/>
      <c r="AH300" s="10"/>
    </row>
    <row r="301" spans="30:34" ht="122.25" customHeight="1">
      <c r="AD301" s="10"/>
      <c r="AE301" s="10"/>
      <c r="AF301" s="10"/>
      <c r="AG301" s="10"/>
      <c r="AH301" s="10"/>
    </row>
    <row r="302" spans="30:34" ht="122.25" customHeight="1">
      <c r="AD302" s="10"/>
      <c r="AE302" s="10"/>
      <c r="AF302" s="10"/>
      <c r="AG302" s="10"/>
      <c r="AH302" s="10"/>
    </row>
    <row r="303" spans="30:34" ht="122.25" customHeight="1">
      <c r="AD303" s="10"/>
      <c r="AE303" s="10"/>
      <c r="AF303" s="10"/>
      <c r="AG303" s="10"/>
      <c r="AH303" s="10"/>
    </row>
    <row r="304" spans="30:34" ht="122.25" customHeight="1">
      <c r="AD304" s="10"/>
      <c r="AE304" s="10"/>
      <c r="AF304" s="10"/>
      <c r="AG304" s="10"/>
      <c r="AH304" s="10"/>
    </row>
    <row r="305" spans="30:34" ht="122.25" customHeight="1">
      <c r="AD305" s="10"/>
      <c r="AE305" s="10"/>
      <c r="AF305" s="10"/>
      <c r="AG305" s="10"/>
      <c r="AH305" s="10"/>
    </row>
    <row r="306" spans="30:34" ht="122.25" customHeight="1">
      <c r="AD306" s="10"/>
      <c r="AE306" s="10"/>
      <c r="AF306" s="10"/>
      <c r="AG306" s="10"/>
      <c r="AH306" s="10"/>
    </row>
    <row r="307" spans="30:34" ht="122.25" customHeight="1">
      <c r="AD307" s="10"/>
      <c r="AE307" s="10"/>
      <c r="AF307" s="10"/>
      <c r="AG307" s="10"/>
      <c r="AH307" s="10"/>
    </row>
    <row r="308" spans="30:34" ht="122.25" customHeight="1">
      <c r="AD308" s="10"/>
      <c r="AE308" s="10"/>
      <c r="AF308" s="10"/>
      <c r="AG308" s="10"/>
      <c r="AH308" s="10"/>
    </row>
    <row r="309" spans="30:34" ht="122.25" customHeight="1">
      <c r="AD309" s="10"/>
      <c r="AE309" s="10"/>
      <c r="AF309" s="10"/>
      <c r="AG309" s="10"/>
      <c r="AH309" s="10"/>
    </row>
    <row r="310" spans="30:34" ht="122.25" customHeight="1">
      <c r="AD310" s="10"/>
      <c r="AE310" s="10"/>
      <c r="AF310" s="10"/>
      <c r="AG310" s="10"/>
      <c r="AH310" s="10"/>
    </row>
    <row r="311" spans="30:34" ht="122.25" customHeight="1">
      <c r="AD311" s="10"/>
      <c r="AE311" s="10"/>
      <c r="AF311" s="10"/>
      <c r="AG311" s="10"/>
      <c r="AH311" s="10"/>
    </row>
    <row r="312" spans="30:34" ht="122.25" customHeight="1">
      <c r="AD312" s="10"/>
      <c r="AE312" s="10"/>
      <c r="AF312" s="10"/>
      <c r="AG312" s="10"/>
      <c r="AH312" s="10"/>
    </row>
    <row r="313" spans="30:34" ht="122.25" customHeight="1">
      <c r="AD313" s="10"/>
      <c r="AE313" s="10"/>
      <c r="AF313" s="10"/>
      <c r="AG313" s="10"/>
      <c r="AH313" s="10"/>
    </row>
    <row r="314" spans="30:34" ht="122.25" customHeight="1">
      <c r="AD314" s="10"/>
      <c r="AE314" s="10"/>
      <c r="AF314" s="10"/>
      <c r="AG314" s="10"/>
      <c r="AH314" s="10"/>
    </row>
    <row r="315" spans="30:34" ht="122.25" customHeight="1">
      <c r="AD315" s="10"/>
      <c r="AE315" s="10"/>
      <c r="AF315" s="10"/>
      <c r="AG315" s="10"/>
      <c r="AH315" s="10"/>
    </row>
    <row r="316" spans="30:34" ht="122.25" customHeight="1">
      <c r="AD316" s="10"/>
      <c r="AE316" s="10"/>
      <c r="AF316" s="10"/>
      <c r="AG316" s="10"/>
      <c r="AH316" s="10"/>
    </row>
    <row r="317" spans="30:34" ht="122.25" customHeight="1">
      <c r="AD317" s="10"/>
      <c r="AE317" s="10"/>
      <c r="AF317" s="10"/>
      <c r="AG317" s="10"/>
      <c r="AH317" s="10"/>
    </row>
  </sheetData>
  <autoFilter ref="A1:AJ164" xr:uid="{00000000-0001-0000-0200-000000000000}">
    <filterColumn colId="5">
      <filters>
        <filter val="Treasury Wine Estates Vintners Ltd"/>
      </filters>
    </filterColumn>
  </autoFilter>
  <dataConsolidate/>
  <phoneticPr fontId="16" type="noConversion"/>
  <dataValidations count="5">
    <dataValidation type="date" allowBlank="1" showInputMessage="1" showErrorMessage="1" errorTitle="Invalid date format" error="Please click Retry Button_x000a_Correct Date format dd/mm/yyyy" sqref="C189:C1048576 B76 D72 B1:C1 D76:D79 B80:B1048576 B2:B71" xr:uid="{00000000-0002-0000-0200-000000000000}">
      <formula1>41640</formula1>
      <formula2>767376</formula2>
    </dataValidation>
    <dataValidation type="date" showInputMessage="1" showErrorMessage="1" errorTitle="Invalid Date Format" error="Please click Retry Button_x000a_Correct Date format dd/mm/yyyy" sqref="AA3:AB3 AB33 AB35:AB36 AB42 AB4 AB310:AB1048576 AB57 AD310:AG1048576 AB28:AB31 AA25:AB26 AA2 AA132:AA142 AE3:AE4 AD3:AD5 AF3:AG5 AA144:AA1048576 AA8:AA12 AA27:AA37 AA38:AB40 AD25:AG57 AB53:AB54 AB44:AB51 AA42:AA130 AA14:AA24" xr:uid="{00000000-0002-0000-0200-000001000000}">
      <formula1>43466</formula1>
      <formula2>767376</formula2>
    </dataValidation>
    <dataValidation showInputMessage="1" showErrorMessage="1" errorTitle="Invalid Date Format" error="Please click Retry Button_x000a_Correct Date format dd/mm/yyyy" sqref="AB34 AB37 AB43 AA13 AA41:AB41 AF7:AG9 AA6:AG6 AE5 AB27 AB2:AG2 AA4:AA5 AB7:AD9 AE144:AE145 AA7 AB52 AB10:AG26" xr:uid="{21D3DAB8-7F20-415A-82CA-EE521A80EB7F}"/>
    <dataValidation allowBlank="1" showInputMessage="1" showErrorMessage="1" errorTitle="Invalid Date Format" error="Please click Retry Button_x000a_Correct Date format dd/mm/yyyy" sqref="AH310:AH1048576 U28:U29 V49:V74 H76:W76 U35 H49:K49 H1:W4 H6:I6 R34 U48 V5:W6 U89:U92 W22:W23 V34:V35 H5:N5 U46 U56:U59 M65:M78 U64:U68 U40 U42:U43 H80:L82 V77:W78 V122 H50:L78 O83:S83 M80:N80 U83:W83 X122 V23:V32 U94 U96:U101 N35:N37 U13:W13 W25:W35 U16:U20 U23 U54 M49:M63 U86:U87 U76:U78 U71:U74 W49:W75 O80:T82 L83 H7:W9 P5:T5 K6:T6 V10:W12 V14:W14 U15:W15 N49:T78 T83:T117 V84:W121 R27:S33 T27:T37 R35:S37 O27:Q37 U38 L84:S117 V37:W48 U80:W81 H79:T79 M118:M132 H38:T48 N154:W1048576 U103:U106 H83:K1048576 V123:W131 L118:L145 N33 N10:N20 U133:W152 N118:T152 L147:L1048576 M134:M1048576 N153:Y153 V16:W21 AH1:AH57 H10:M37 O10:T26 N22:N31 U109:U125 U127:U131" xr:uid="{00000000-0002-0000-0200-000002000000}"/>
    <dataValidation allowBlank="1" showInputMessage="1" showErrorMessage="1" errorTitle="Invalid date format" error="Please click Retry Button_x000a_Correct Date format dd/mm/yyyy" sqref="C7:C188" xr:uid="{EB44FEE7-AEAB-4DD1-A3B9-0C2BCB44533C}"/>
  </dataValidations>
  <hyperlinks>
    <hyperlink ref="U21" r:id="rId1" display="https://url.za.m.mimecastprotect.com/s/VznRCxG5yri1vVV1C0TVUymQJQ" xr:uid="{0D9C90EA-9D07-4CAA-8D84-90178BD2F4C3}"/>
  </hyperlinks>
  <pageMargins left="0.25" right="0.25" top="0.75" bottom="0.75" header="0.3" footer="0.3"/>
  <pageSetup scale="11" fitToHeight="0" orientation="landscape" r:id="rId2"/>
  <extLst>
    <ext xmlns:x14="http://schemas.microsoft.com/office/spreadsheetml/2009/9/main" uri="{78C0D931-6437-407d-A8EE-F0AAD7539E65}">
      <x14:conditionalFormattings>
        <x14:conditionalFormatting xmlns:xm="http://schemas.microsoft.com/office/excel/2006/main">
          <x14:cfRule type="iconSet" priority="241" id="{A8D9432C-9045-44BB-9BE9-FC3ED0890CE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xm:sqref>
        </x14:conditionalFormatting>
        <x14:conditionalFormatting xmlns:xm="http://schemas.microsoft.com/office/excel/2006/main">
          <x14:cfRule type="iconSet" priority="111" id="{CCC0C3EB-FEEF-4E62-AB9E-E94070272D0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A14</xm:sqref>
        </x14:conditionalFormatting>
        <x14:conditionalFormatting xmlns:xm="http://schemas.microsoft.com/office/excel/2006/main">
          <x14:cfRule type="iconSet" priority="98" id="{3B32DD66-9413-48FB-A226-2667D9BD9CD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A15</xm:sqref>
        </x14:conditionalFormatting>
        <x14:conditionalFormatting xmlns:xm="http://schemas.microsoft.com/office/excel/2006/main">
          <x14:cfRule type="iconSet" priority="553" id="{AF34A170-06D4-4568-87A2-4231977F73E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A140:A1048576 A124:A136 A60:A65 A53:A58 A119:A120 A30:A51 A67:A117</xm:sqref>
        </x14:conditionalFormatting>
        <x14:conditionalFormatting xmlns:xm="http://schemas.microsoft.com/office/excel/2006/main">
          <x14:cfRule type="iconSet" priority="80" id="{7424205C-6198-4F54-9739-A43BFE344F2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A13</xm:sqref>
        </x14:conditionalFormatting>
        <x14:conditionalFormatting xmlns:xm="http://schemas.microsoft.com/office/excel/2006/main">
          <x14:cfRule type="iconSet" priority="77" id="{3AF2C7C7-699A-4DF4-8DC1-CF121A19245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A11</xm:sqref>
        </x14:conditionalFormatting>
        <x14:conditionalFormatting xmlns:xm="http://schemas.microsoft.com/office/excel/2006/main">
          <x14:cfRule type="iconSet" priority="68" id="{C8A8386E-2F3B-4A04-880E-DDA26B7312C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xm:sqref>
        </x14:conditionalFormatting>
        <x14:conditionalFormatting xmlns:xm="http://schemas.microsoft.com/office/excel/2006/main">
          <x14:cfRule type="iconSet" priority="28" id="{9BE5322F-18CD-4B34-945A-E09DB755C88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xm:sqref>
        </x14:conditionalFormatting>
        <x14:conditionalFormatting xmlns:xm="http://schemas.microsoft.com/office/excel/2006/main">
          <x14:cfRule type="iconSet" priority="26" id="{1A0609AB-0252-45AF-ABF1-56F7C65849E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A12</xm:sqref>
        </x14:conditionalFormatting>
        <x14:conditionalFormatting xmlns:xm="http://schemas.microsoft.com/office/excel/2006/main">
          <x14:cfRule type="iconSet" priority="22" id="{477420BE-5964-4C82-97D5-24940571E45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xm:sqref>
        </x14:conditionalFormatting>
        <x14:conditionalFormatting xmlns:xm="http://schemas.microsoft.com/office/excel/2006/main">
          <x14:cfRule type="iconSet" priority="21" id="{FAAEBA88-DFDD-472D-A844-8E2181B0D50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A20</xm:sqref>
        </x14:conditionalFormatting>
        <x14:conditionalFormatting xmlns:xm="http://schemas.microsoft.com/office/excel/2006/main">
          <x14:cfRule type="iconSet" priority="20" id="{6113D300-6A96-4174-93C4-C07211D6E07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xm:sqref>
        </x14:conditionalFormatting>
        <x14:conditionalFormatting xmlns:xm="http://schemas.microsoft.com/office/excel/2006/main">
          <x14:cfRule type="iconSet" priority="598" id="{BEC573A3-C4D4-40E4-9CAA-82C3C4538BA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A26:A29 A23:A24 A19 A17 A21</xm:sqref>
        </x14:conditionalFormatting>
        <x14:conditionalFormatting xmlns:xm="http://schemas.microsoft.com/office/excel/2006/main">
          <x14:cfRule type="iconSet" priority="19" id="{BA974E3F-E723-4D3F-AD07-569E8544111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xm:sqref>
        </x14:conditionalFormatting>
        <x14:conditionalFormatting xmlns:xm="http://schemas.microsoft.com/office/excel/2006/main">
          <x14:cfRule type="iconSet" priority="15" id="{B479B2E5-8902-41CF-AE11-1A03B280219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xm:sqref>
        </x14:conditionalFormatting>
        <x14:conditionalFormatting xmlns:xm="http://schemas.microsoft.com/office/excel/2006/main">
          <x14:cfRule type="iconSet" priority="14" id="{8167FCE5-93BD-45FD-9275-A237897A26C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xm:sqref>
        </x14:conditionalFormatting>
        <x14:conditionalFormatting xmlns:xm="http://schemas.microsoft.com/office/excel/2006/main">
          <x14:cfRule type="iconSet" priority="12" id="{2E36587B-95E1-422B-87F7-028E5439388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A8</xm:sqref>
        </x14:conditionalFormatting>
        <x14:conditionalFormatting xmlns:xm="http://schemas.microsoft.com/office/excel/2006/main">
          <x14:cfRule type="iconSet" priority="615" id="{86177AA6-C56A-410A-8931-AD1DD906CFE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A16</xm:sqref>
        </x14:conditionalFormatting>
        <x14:conditionalFormatting xmlns:xm="http://schemas.microsoft.com/office/excel/2006/main">
          <x14:cfRule type="iconSet" priority="10" id="{ADBE779E-4D04-4D70-8A6D-1B602E3AFC5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xm:sqref>
        </x14:conditionalFormatting>
        <x14:conditionalFormatting xmlns:xm="http://schemas.microsoft.com/office/excel/2006/main">
          <x14:cfRule type="iconSet" priority="8" id="{37F69E5E-93A8-48FB-85F8-F7197CBCFC9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A121:A123</xm:sqref>
        </x14:conditionalFormatting>
        <x14:conditionalFormatting xmlns:xm="http://schemas.microsoft.com/office/excel/2006/main">
          <x14:cfRule type="iconSet" priority="7" id="{85D8DA53-CEF1-456B-90E9-85653D0F591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xm:sqref>
        </x14:conditionalFormatting>
        <x14:conditionalFormatting xmlns:xm="http://schemas.microsoft.com/office/excel/2006/main">
          <x14:cfRule type="iconSet" priority="6" id="{19807619-AF2F-4E7E-B456-68DAB4F67AC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xm:sqref>
        </x14:conditionalFormatting>
        <x14:conditionalFormatting xmlns:xm="http://schemas.microsoft.com/office/excel/2006/main">
          <x14:cfRule type="iconSet" priority="5" id="{DCDF955A-128C-4D6B-8A44-9BAA67C82D9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xm:sqref>
        </x14:conditionalFormatting>
        <x14:conditionalFormatting xmlns:xm="http://schemas.microsoft.com/office/excel/2006/main">
          <x14:cfRule type="iconSet" priority="4" id="{4DCB0490-78E4-4A91-BBDB-AC6F8E59377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A137</xm:sqref>
        </x14:conditionalFormatting>
        <x14:conditionalFormatting xmlns:xm="http://schemas.microsoft.com/office/excel/2006/main">
          <x14:cfRule type="iconSet" priority="3" id="{02173984-C227-410F-9F50-60D1BB4B1DE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A138:A139</xm:sqref>
        </x14:conditionalFormatting>
        <x14:conditionalFormatting xmlns:xm="http://schemas.microsoft.com/office/excel/2006/main">
          <x14:cfRule type="iconSet" priority="621" id="{99684E64-7375-4395-8C58-735CC2D237A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A10</xm:sqref>
        </x14:conditionalFormatting>
        <x14:conditionalFormatting xmlns:xm="http://schemas.microsoft.com/office/excel/2006/main">
          <x14:cfRule type="iconSet" priority="2" id="{F09A2676-DAF3-4D0B-ADED-5F89F8C58F5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A9</xm:sqref>
        </x14:conditionalFormatting>
        <x14:conditionalFormatting xmlns:xm="http://schemas.microsoft.com/office/excel/2006/main">
          <x14:cfRule type="iconSet" priority="1" id="{10BBD31A-E66D-42EA-9167-C8FF01F9B57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A118</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E2107-02E3-4CC6-A581-FE850686C9A2}">
  <dimension ref="A1:XEU754"/>
  <sheetViews>
    <sheetView topLeftCell="A745" zoomScale="50" zoomScaleNormal="50" workbookViewId="0">
      <selection activeCell="G748" sqref="G748"/>
    </sheetView>
  </sheetViews>
  <sheetFormatPr defaultRowHeight="15"/>
  <cols>
    <col min="1" max="1" width="17.7109375" bestFit="1" customWidth="1"/>
    <col min="2" max="2" width="15.7109375" bestFit="1" customWidth="1"/>
    <col min="3" max="3" width="18.140625" customWidth="1"/>
    <col min="4" max="4" width="32.42578125" bestFit="1" customWidth="1"/>
    <col min="5" max="5" width="13.7109375" bestFit="1" customWidth="1"/>
    <col min="6" max="6" width="46.42578125" customWidth="1"/>
    <col min="7" max="7" width="87.140625" customWidth="1"/>
    <col min="8" max="8" width="22.42578125" bestFit="1" customWidth="1"/>
    <col min="9" max="9" width="17.5703125" customWidth="1"/>
    <col min="10" max="10" width="24.28515625" customWidth="1"/>
    <col min="11" max="11" width="22" customWidth="1"/>
    <col min="12" max="12" width="16" bestFit="1" customWidth="1"/>
    <col min="13" max="13" width="16.140625" bestFit="1" customWidth="1"/>
    <col min="14" max="14" width="14.85546875" bestFit="1" customWidth="1"/>
    <col min="15" max="15" width="26.85546875" bestFit="1" customWidth="1"/>
    <col min="16" max="16" width="22.140625" bestFit="1" customWidth="1"/>
    <col min="17" max="17" width="32" bestFit="1" customWidth="1"/>
    <col min="18" max="18" width="32.85546875" customWidth="1"/>
    <col min="19" max="19" width="133.5703125" bestFit="1" customWidth="1"/>
    <col min="20" max="20" width="39.7109375" bestFit="1" customWidth="1"/>
    <col min="21" max="21" width="106" bestFit="1" customWidth="1"/>
    <col min="22" max="22" width="105.85546875" customWidth="1"/>
    <col min="23" max="23" width="29.5703125" bestFit="1" customWidth="1"/>
    <col min="24" max="24" width="37" customWidth="1"/>
    <col min="25" max="25" width="16.140625" bestFit="1" customWidth="1"/>
    <col min="26" max="26" width="71.140625" customWidth="1"/>
    <col min="27" max="27" width="23.140625" customWidth="1"/>
    <col min="28" max="29" width="18.28515625" bestFit="1" customWidth="1"/>
    <col min="30" max="30" width="16.140625" bestFit="1" customWidth="1"/>
    <col min="31" max="31" width="18.28515625" bestFit="1" customWidth="1"/>
    <col min="32" max="32" width="16" bestFit="1" customWidth="1"/>
    <col min="34" max="34" width="18.28515625" bestFit="1" customWidth="1"/>
    <col min="35" max="35" width="18.42578125" bestFit="1" customWidth="1"/>
  </cols>
  <sheetData>
    <row r="1" spans="2:28" s="37" customFormat="1" ht="102.75" customHeight="1">
      <c r="B1" s="37" t="s">
        <v>0</v>
      </c>
      <c r="D1" s="37" t="s">
        <v>1</v>
      </c>
      <c r="E1" s="37" t="s">
        <v>2</v>
      </c>
      <c r="F1" s="37" t="s">
        <v>3</v>
      </c>
      <c r="G1" s="37" t="s">
        <v>82</v>
      </c>
      <c r="H1" s="38" t="s">
        <v>4</v>
      </c>
      <c r="I1" s="37" t="s">
        <v>5</v>
      </c>
      <c r="J1" s="37" t="s">
        <v>241</v>
      </c>
      <c r="K1" s="39" t="s">
        <v>6</v>
      </c>
      <c r="L1" s="40" t="s">
        <v>7</v>
      </c>
      <c r="M1" s="40" t="s">
        <v>8</v>
      </c>
      <c r="N1" s="40" t="s">
        <v>9</v>
      </c>
      <c r="O1" s="40" t="s">
        <v>10</v>
      </c>
      <c r="P1" s="40" t="s">
        <v>53</v>
      </c>
      <c r="Q1" s="41" t="s">
        <v>48</v>
      </c>
      <c r="R1" s="37" t="s">
        <v>243</v>
      </c>
      <c r="S1" s="37" t="s">
        <v>11</v>
      </c>
      <c r="T1" s="37" t="s">
        <v>12</v>
      </c>
      <c r="U1" s="42" t="s">
        <v>13</v>
      </c>
      <c r="V1" s="42" t="s">
        <v>14</v>
      </c>
      <c r="W1" s="16"/>
      <c r="X1" s="37" t="s">
        <v>15</v>
      </c>
      <c r="Y1" s="42" t="s">
        <v>16</v>
      </c>
      <c r="Z1" s="42" t="s">
        <v>81</v>
      </c>
      <c r="AA1" s="37" t="s">
        <v>17</v>
      </c>
    </row>
    <row r="2" spans="2:28" s="9" customFormat="1" ht="216" customHeight="1">
      <c r="B2" s="31">
        <v>45587</v>
      </c>
      <c r="C2" s="2" t="s">
        <v>418</v>
      </c>
      <c r="D2" s="32" t="s">
        <v>227</v>
      </c>
      <c r="E2" s="11" t="s">
        <v>401</v>
      </c>
      <c r="F2" s="30" t="s">
        <v>60</v>
      </c>
      <c r="G2" s="30" t="s">
        <v>402</v>
      </c>
      <c r="H2" s="33"/>
      <c r="I2" s="2"/>
      <c r="J2" s="30" t="s">
        <v>525</v>
      </c>
      <c r="K2" s="8">
        <v>45639</v>
      </c>
      <c r="L2" s="22">
        <v>30910.28</v>
      </c>
      <c r="M2" s="10"/>
      <c r="N2" s="21"/>
      <c r="O2" s="21"/>
      <c r="P2" s="21"/>
      <c r="Q2" s="45"/>
      <c r="R2" s="11" t="s">
        <v>526</v>
      </c>
      <c r="T2" s="7" t="s">
        <v>22</v>
      </c>
      <c r="U2" s="16">
        <v>45625</v>
      </c>
      <c r="V2" s="16">
        <v>45654</v>
      </c>
      <c r="W2" s="102" t="s">
        <v>576</v>
      </c>
      <c r="X2" s="7"/>
      <c r="Y2" s="16">
        <v>45689</v>
      </c>
      <c r="Z2" s="4" t="s">
        <v>713</v>
      </c>
      <c r="AA2" s="11" t="s">
        <v>694</v>
      </c>
    </row>
    <row r="3" spans="2:28" s="9" customFormat="1" ht="158.44999999999999" customHeight="1">
      <c r="B3" s="31">
        <v>45593</v>
      </c>
      <c r="C3" s="2" t="s">
        <v>391</v>
      </c>
      <c r="D3" s="32" t="s">
        <v>227</v>
      </c>
      <c r="E3" s="11" t="s">
        <v>392</v>
      </c>
      <c r="F3" s="30" t="s">
        <v>311</v>
      </c>
      <c r="G3" s="30" t="s">
        <v>318</v>
      </c>
      <c r="H3" s="33" t="s">
        <v>393</v>
      </c>
      <c r="I3" s="2" t="s">
        <v>562</v>
      </c>
      <c r="J3" s="30" t="s">
        <v>46</v>
      </c>
      <c r="K3" s="8">
        <v>45674</v>
      </c>
      <c r="L3" s="22">
        <v>9108</v>
      </c>
      <c r="M3" s="10"/>
      <c r="N3" s="21"/>
      <c r="O3" s="21"/>
      <c r="P3" s="21"/>
      <c r="Q3" s="45"/>
      <c r="R3" s="11" t="s">
        <v>665</v>
      </c>
      <c r="T3" s="7" t="s">
        <v>34</v>
      </c>
      <c r="U3" s="16">
        <v>45653</v>
      </c>
      <c r="V3" s="16">
        <v>45673</v>
      </c>
      <c r="W3" s="16" t="s">
        <v>642</v>
      </c>
      <c r="X3" s="7"/>
      <c r="Y3" s="16">
        <v>45689</v>
      </c>
      <c r="Z3" s="4" t="s">
        <v>714</v>
      </c>
      <c r="AA3" s="11" t="s">
        <v>694</v>
      </c>
    </row>
    <row r="4" spans="2:28" s="9" customFormat="1" ht="162.75" customHeight="1">
      <c r="B4" s="31">
        <v>45419</v>
      </c>
      <c r="C4" s="2" t="s">
        <v>152</v>
      </c>
      <c r="D4" s="32" t="s">
        <v>114</v>
      </c>
      <c r="E4" s="11" t="s">
        <v>153</v>
      </c>
      <c r="F4" s="30" t="s">
        <v>38</v>
      </c>
      <c r="G4" s="30" t="s">
        <v>151</v>
      </c>
      <c r="H4" s="33">
        <v>2016000</v>
      </c>
      <c r="I4" s="2" t="s">
        <v>43</v>
      </c>
      <c r="J4" s="30" t="s">
        <v>32</v>
      </c>
      <c r="K4" s="8">
        <v>45611</v>
      </c>
      <c r="L4" s="22">
        <v>15916.32</v>
      </c>
      <c r="M4" s="10"/>
      <c r="N4" s="21"/>
      <c r="O4" s="21"/>
      <c r="P4" s="21"/>
      <c r="Q4" s="45"/>
      <c r="R4" s="11" t="s">
        <v>417</v>
      </c>
      <c r="T4" s="7" t="s">
        <v>22</v>
      </c>
      <c r="U4" s="16"/>
      <c r="V4" s="16"/>
      <c r="W4" s="2"/>
      <c r="X4" s="7"/>
      <c r="Y4" s="16">
        <v>45660</v>
      </c>
      <c r="Z4" s="4" t="s">
        <v>750</v>
      </c>
      <c r="AA4" s="11" t="s">
        <v>694</v>
      </c>
    </row>
    <row r="5" spans="2:28" s="9" customFormat="1" ht="255.75" customHeight="1">
      <c r="B5" s="31">
        <v>45419</v>
      </c>
      <c r="C5" s="2" t="s">
        <v>152</v>
      </c>
      <c r="D5" s="32" t="s">
        <v>114</v>
      </c>
      <c r="E5" s="11" t="s">
        <v>153</v>
      </c>
      <c r="F5" s="30" t="s">
        <v>38</v>
      </c>
      <c r="G5" s="30" t="s">
        <v>151</v>
      </c>
      <c r="H5" s="33">
        <v>2016000</v>
      </c>
      <c r="I5" s="2" t="s">
        <v>43</v>
      </c>
      <c r="J5" s="30" t="s">
        <v>124</v>
      </c>
      <c r="K5" s="8">
        <v>45642</v>
      </c>
      <c r="L5" s="22">
        <v>15916.32</v>
      </c>
      <c r="M5" s="10"/>
      <c r="N5" s="21"/>
      <c r="O5" s="21"/>
      <c r="P5" s="21"/>
      <c r="Q5" s="45"/>
      <c r="R5" s="11" t="s">
        <v>558</v>
      </c>
      <c r="T5" s="7" t="s">
        <v>22</v>
      </c>
      <c r="U5" s="16">
        <v>45630</v>
      </c>
      <c r="V5" s="16">
        <v>45657</v>
      </c>
      <c r="W5" s="68" t="s">
        <v>550</v>
      </c>
      <c r="X5" s="7"/>
      <c r="Y5" s="16">
        <v>45660</v>
      </c>
      <c r="Z5" s="4" t="s">
        <v>751</v>
      </c>
      <c r="AA5" s="11" t="s">
        <v>694</v>
      </c>
    </row>
    <row r="6" spans="2:28" s="9" customFormat="1" ht="260.45" customHeight="1">
      <c r="B6" s="31">
        <v>45551</v>
      </c>
      <c r="C6" s="2" t="s">
        <v>300</v>
      </c>
      <c r="D6" s="32" t="s">
        <v>187</v>
      </c>
      <c r="E6" s="11" t="s">
        <v>301</v>
      </c>
      <c r="F6" s="30" t="s">
        <v>98</v>
      </c>
      <c r="G6" s="30" t="s">
        <v>312</v>
      </c>
      <c r="H6" s="58">
        <v>157050</v>
      </c>
      <c r="I6" s="2" t="s">
        <v>313</v>
      </c>
      <c r="J6" s="30" t="s">
        <v>50</v>
      </c>
      <c r="K6" s="8">
        <v>45656</v>
      </c>
      <c r="L6" s="22">
        <v>94116</v>
      </c>
      <c r="M6" s="10"/>
      <c r="N6" s="21"/>
      <c r="O6" s="21"/>
      <c r="P6" s="21"/>
      <c r="Q6" s="45"/>
      <c r="R6" s="11"/>
      <c r="T6" s="7" t="s">
        <v>22</v>
      </c>
      <c r="U6" s="16">
        <v>45590</v>
      </c>
      <c r="V6" s="16" t="s">
        <v>572</v>
      </c>
      <c r="W6" s="80" t="s">
        <v>314</v>
      </c>
      <c r="X6" s="7"/>
      <c r="Y6" s="16" t="s">
        <v>522</v>
      </c>
      <c r="Z6" s="4" t="s">
        <v>682</v>
      </c>
      <c r="AA6" s="11" t="s">
        <v>21</v>
      </c>
    </row>
    <row r="7" spans="2:28" s="9" customFormat="1" ht="112.5">
      <c r="B7" s="31">
        <v>45622</v>
      </c>
      <c r="C7" s="2" t="s">
        <v>506</v>
      </c>
      <c r="D7" s="32" t="s">
        <v>187</v>
      </c>
      <c r="E7" s="11" t="s">
        <v>507</v>
      </c>
      <c r="F7" s="30" t="s">
        <v>98</v>
      </c>
      <c r="G7" s="30" t="s">
        <v>224</v>
      </c>
      <c r="H7" s="33">
        <v>208440</v>
      </c>
      <c r="I7" s="2" t="s">
        <v>269</v>
      </c>
      <c r="J7" s="30" t="s">
        <v>54</v>
      </c>
      <c r="K7" s="8">
        <v>45673</v>
      </c>
      <c r="L7" s="22">
        <v>125064</v>
      </c>
      <c r="M7" s="10"/>
      <c r="N7" s="21"/>
      <c r="O7" s="21"/>
      <c r="P7" s="21"/>
      <c r="Q7" s="45"/>
      <c r="R7" s="11"/>
      <c r="T7" s="7" t="s">
        <v>22</v>
      </c>
      <c r="U7" s="16" t="s">
        <v>516</v>
      </c>
      <c r="V7" s="16" t="s">
        <v>595</v>
      </c>
      <c r="W7" s="2" t="s">
        <v>515</v>
      </c>
      <c r="X7" s="7"/>
      <c r="Y7" s="16">
        <v>45644</v>
      </c>
      <c r="Z7" s="4" t="s">
        <v>757</v>
      </c>
      <c r="AA7" s="11" t="s">
        <v>21</v>
      </c>
    </row>
    <row r="8" spans="2:28" s="9" customFormat="1" ht="150">
      <c r="B8" s="31">
        <v>45625</v>
      </c>
      <c r="C8" s="2" t="s">
        <v>512</v>
      </c>
      <c r="D8" s="32" t="s">
        <v>187</v>
      </c>
      <c r="E8" s="11" t="s">
        <v>513</v>
      </c>
      <c r="F8" s="30" t="s">
        <v>295</v>
      </c>
      <c r="G8" s="30" t="s">
        <v>514</v>
      </c>
      <c r="H8" s="33"/>
      <c r="I8" s="2" t="s">
        <v>269</v>
      </c>
      <c r="J8" s="30" t="s">
        <v>29</v>
      </c>
      <c r="K8" s="8">
        <v>45676</v>
      </c>
      <c r="L8" s="10"/>
      <c r="M8" s="22">
        <v>133341.1</v>
      </c>
      <c r="N8" s="21"/>
      <c r="O8" s="21"/>
      <c r="P8" s="21"/>
      <c r="Q8" s="45"/>
      <c r="R8" s="11"/>
      <c r="T8" s="7" t="s">
        <v>22</v>
      </c>
      <c r="U8" s="16" t="s">
        <v>518</v>
      </c>
      <c r="V8" s="16" t="s">
        <v>406</v>
      </c>
      <c r="W8" s="2" t="s">
        <v>517</v>
      </c>
      <c r="X8" s="7"/>
      <c r="Y8" s="16">
        <v>45638</v>
      </c>
      <c r="Z8" s="4" t="s">
        <v>758</v>
      </c>
      <c r="AA8" s="11" t="s">
        <v>21</v>
      </c>
    </row>
    <row r="9" spans="2:28" s="9" customFormat="1" ht="375">
      <c r="B9" s="31">
        <v>45470</v>
      </c>
      <c r="C9" s="2" t="s">
        <v>205</v>
      </c>
      <c r="D9" s="32" t="s">
        <v>187</v>
      </c>
      <c r="E9" s="11" t="s">
        <v>206</v>
      </c>
      <c r="F9" s="30" t="s">
        <v>31</v>
      </c>
      <c r="G9" s="30" t="s">
        <v>204</v>
      </c>
      <c r="H9" s="33">
        <v>5075460</v>
      </c>
      <c r="I9" s="2"/>
      <c r="J9" s="30" t="s">
        <v>37</v>
      </c>
      <c r="K9" s="8">
        <v>45627</v>
      </c>
      <c r="L9" s="86" t="s">
        <v>573</v>
      </c>
      <c r="M9" s="10"/>
      <c r="N9" s="21"/>
      <c r="O9" s="21"/>
      <c r="P9" s="21"/>
      <c r="Q9" s="45"/>
      <c r="R9" s="11"/>
      <c r="T9" s="7" t="s">
        <v>34</v>
      </c>
      <c r="U9" s="90" t="s">
        <v>652</v>
      </c>
      <c r="V9" s="90" t="s">
        <v>637</v>
      </c>
      <c r="W9" s="91" t="s">
        <v>651</v>
      </c>
      <c r="X9" s="7"/>
      <c r="Y9" s="16" t="s">
        <v>624</v>
      </c>
      <c r="Z9" s="4" t="s">
        <v>762</v>
      </c>
      <c r="AA9" s="11" t="s">
        <v>21</v>
      </c>
    </row>
    <row r="10" spans="2:28" s="9" customFormat="1" ht="262.5">
      <c r="B10" s="31">
        <v>45495</v>
      </c>
      <c r="C10" s="2" t="s">
        <v>229</v>
      </c>
      <c r="D10" s="32" t="s">
        <v>227</v>
      </c>
      <c r="E10" s="11" t="s">
        <v>230</v>
      </c>
      <c r="F10" s="30" t="s">
        <v>155</v>
      </c>
      <c r="G10" s="30" t="s">
        <v>228</v>
      </c>
      <c r="H10" s="33"/>
      <c r="I10" s="2"/>
      <c r="J10" s="30" t="s">
        <v>54</v>
      </c>
      <c r="K10" s="8">
        <v>45657</v>
      </c>
      <c r="L10" s="10"/>
      <c r="M10" s="22">
        <v>213425.1</v>
      </c>
      <c r="N10" s="21"/>
      <c r="O10" s="21"/>
      <c r="P10" s="10"/>
      <c r="Q10" s="45"/>
      <c r="R10" s="11"/>
      <c r="S10" s="9" t="s">
        <v>56</v>
      </c>
      <c r="T10" s="7" t="s">
        <v>20</v>
      </c>
      <c r="U10" s="16">
        <v>45604</v>
      </c>
      <c r="V10" s="16" t="s">
        <v>577</v>
      </c>
      <c r="W10" s="2" t="s">
        <v>491</v>
      </c>
      <c r="X10" s="7"/>
      <c r="Y10" s="16">
        <v>45651</v>
      </c>
      <c r="Z10" s="24" t="s">
        <v>764</v>
      </c>
      <c r="AA10" s="11" t="s">
        <v>767</v>
      </c>
    </row>
    <row r="11" spans="2:28" s="9" customFormat="1" ht="262.5">
      <c r="B11" s="31">
        <v>45506</v>
      </c>
      <c r="C11" s="2" t="s">
        <v>235</v>
      </c>
      <c r="D11" s="32" t="s">
        <v>227</v>
      </c>
      <c r="E11" s="11" t="s">
        <v>236</v>
      </c>
      <c r="F11" s="30" t="s">
        <v>45</v>
      </c>
      <c r="G11" s="30" t="s">
        <v>237</v>
      </c>
      <c r="H11" s="33"/>
      <c r="I11" s="2"/>
      <c r="J11" s="30" t="s">
        <v>99</v>
      </c>
      <c r="K11" s="8">
        <v>45648</v>
      </c>
      <c r="L11" s="10"/>
      <c r="M11" s="10"/>
      <c r="N11" s="22">
        <v>2225</v>
      </c>
      <c r="O11" s="21"/>
      <c r="P11" s="21"/>
      <c r="Q11" s="45"/>
      <c r="R11" s="11"/>
      <c r="S11" s="9" t="s">
        <v>69</v>
      </c>
      <c r="T11" s="7" t="s">
        <v>18</v>
      </c>
      <c r="U11" s="16">
        <v>45583</v>
      </c>
      <c r="V11" s="16">
        <v>45615</v>
      </c>
      <c r="W11" s="2" t="s">
        <v>334</v>
      </c>
      <c r="X11" s="7"/>
      <c r="Y11" s="16" t="s">
        <v>409</v>
      </c>
      <c r="Z11" s="4" t="s">
        <v>766</v>
      </c>
      <c r="AA11" s="11" t="s">
        <v>767</v>
      </c>
    </row>
    <row r="12" spans="2:28" s="9" customFormat="1" ht="281.25">
      <c r="B12" s="31">
        <v>45516</v>
      </c>
      <c r="C12" s="2" t="s">
        <v>258</v>
      </c>
      <c r="D12" s="32" t="s">
        <v>183</v>
      </c>
      <c r="E12" s="11" t="s">
        <v>255</v>
      </c>
      <c r="F12" s="30" t="s">
        <v>62</v>
      </c>
      <c r="G12" s="30" t="s">
        <v>256</v>
      </c>
      <c r="H12" s="33" t="s">
        <v>257</v>
      </c>
      <c r="I12" s="2"/>
      <c r="J12" s="30" t="s">
        <v>26</v>
      </c>
      <c r="K12" s="8">
        <v>45673</v>
      </c>
      <c r="L12" s="10"/>
      <c r="M12" s="22">
        <v>1192.72</v>
      </c>
      <c r="N12" s="21"/>
      <c r="O12" s="21"/>
      <c r="P12" s="21"/>
      <c r="Q12" s="45"/>
      <c r="R12" s="11"/>
      <c r="S12" s="9" t="s">
        <v>56</v>
      </c>
      <c r="T12" s="7" t="s">
        <v>20</v>
      </c>
      <c r="U12" s="16">
        <v>45591</v>
      </c>
      <c r="V12" s="16">
        <v>45592</v>
      </c>
      <c r="W12" s="2" t="s">
        <v>410</v>
      </c>
      <c r="X12" s="7"/>
      <c r="Y12" s="16">
        <v>45611</v>
      </c>
      <c r="Z12" s="24" t="s">
        <v>768</v>
      </c>
      <c r="AA12" s="11" t="s">
        <v>767</v>
      </c>
    </row>
    <row r="13" spans="2:28" s="9" customFormat="1" ht="262.5">
      <c r="B13" s="31">
        <v>45506</v>
      </c>
      <c r="C13" s="2" t="s">
        <v>235</v>
      </c>
      <c r="D13" s="32" t="s">
        <v>227</v>
      </c>
      <c r="E13" s="11" t="s">
        <v>236</v>
      </c>
      <c r="F13" s="30" t="s">
        <v>45</v>
      </c>
      <c r="G13" s="30" t="s">
        <v>237</v>
      </c>
      <c r="H13" s="33"/>
      <c r="I13" s="2"/>
      <c r="J13" s="30" t="s">
        <v>99</v>
      </c>
      <c r="K13" s="8">
        <v>45648</v>
      </c>
      <c r="L13" s="10"/>
      <c r="M13" s="10"/>
      <c r="N13" s="22">
        <v>2225</v>
      </c>
      <c r="O13" s="21"/>
      <c r="P13" s="21"/>
      <c r="Q13" s="45"/>
      <c r="R13" s="11"/>
      <c r="S13" s="9" t="s">
        <v>69</v>
      </c>
      <c r="T13" s="7" t="s">
        <v>18</v>
      </c>
      <c r="U13" s="16">
        <v>45583</v>
      </c>
      <c r="V13" s="16">
        <v>45615</v>
      </c>
      <c r="W13" s="2" t="s">
        <v>334</v>
      </c>
      <c r="X13" s="7"/>
      <c r="Y13" s="16" t="s">
        <v>409</v>
      </c>
      <c r="Z13" s="4" t="s">
        <v>766</v>
      </c>
      <c r="AA13" s="11" t="s">
        <v>767</v>
      </c>
    </row>
    <row r="14" spans="2:28" s="9" customFormat="1" ht="200.25" customHeight="1">
      <c r="B14" s="31">
        <v>45310</v>
      </c>
      <c r="C14" s="11" t="s">
        <v>24</v>
      </c>
      <c r="D14" s="2" t="s">
        <v>117</v>
      </c>
      <c r="E14" s="11" t="s">
        <v>118</v>
      </c>
      <c r="F14" s="30" t="s">
        <v>36</v>
      </c>
      <c r="G14" s="47" t="s">
        <v>226</v>
      </c>
      <c r="H14" s="16" t="s">
        <v>225</v>
      </c>
      <c r="I14" s="16"/>
      <c r="J14" s="16"/>
      <c r="K14" s="16"/>
      <c r="L14" s="16"/>
      <c r="M14" s="16"/>
      <c r="N14" s="16"/>
      <c r="O14" s="7" t="s">
        <v>30</v>
      </c>
      <c r="P14" s="2" t="s">
        <v>317</v>
      </c>
      <c r="Q14" s="16">
        <v>45501</v>
      </c>
      <c r="R14" s="16">
        <v>45510</v>
      </c>
      <c r="S14" s="57" t="s">
        <v>316</v>
      </c>
      <c r="T14"/>
      <c r="U14" s="30" t="s">
        <v>119</v>
      </c>
      <c r="V14" s="8">
        <v>45542</v>
      </c>
      <c r="W14" s="22">
        <v>60111.28</v>
      </c>
      <c r="X14" s="10"/>
      <c r="Y14" s="10"/>
      <c r="Z14" s="21"/>
      <c r="AA14" s="21"/>
      <c r="AB14" s="45"/>
    </row>
    <row r="15" spans="2:28" s="9" customFormat="1" ht="131.25">
      <c r="B15" s="31">
        <v>45310</v>
      </c>
      <c r="C15" s="11" t="s">
        <v>24</v>
      </c>
      <c r="D15" s="2" t="s">
        <v>117</v>
      </c>
      <c r="E15" s="11" t="s">
        <v>118</v>
      </c>
      <c r="F15" s="30" t="s">
        <v>36</v>
      </c>
      <c r="G15" s="47" t="s">
        <v>176</v>
      </c>
      <c r="H15" s="16" t="s">
        <v>586</v>
      </c>
      <c r="I15" s="16"/>
      <c r="J15" s="16"/>
      <c r="K15" s="16"/>
      <c r="L15" s="16"/>
      <c r="M15" s="16"/>
      <c r="N15" s="16"/>
      <c r="O15" s="7" t="s">
        <v>30</v>
      </c>
      <c r="P15" s="16">
        <v>45616</v>
      </c>
      <c r="Q15" s="16">
        <v>45644</v>
      </c>
      <c r="R15" s="16" t="s">
        <v>484</v>
      </c>
      <c r="S15" s="57" t="s">
        <v>796</v>
      </c>
      <c r="T15"/>
      <c r="U15" s="30" t="s">
        <v>119</v>
      </c>
      <c r="V15" s="8">
        <v>45687</v>
      </c>
      <c r="W15" s="22">
        <v>2823.38</v>
      </c>
      <c r="X15" s="10"/>
      <c r="Y15" s="10"/>
      <c r="Z15" s="21"/>
      <c r="AA15" s="21"/>
      <c r="AB15" s="45"/>
    </row>
    <row r="16" spans="2:28" s="9" customFormat="1" ht="168.75">
      <c r="B16" s="31">
        <v>45464</v>
      </c>
      <c r="C16" s="11" t="s">
        <v>24</v>
      </c>
      <c r="D16" s="2" t="s">
        <v>184</v>
      </c>
      <c r="E16" s="11" t="s">
        <v>185</v>
      </c>
      <c r="F16" s="30" t="s">
        <v>36</v>
      </c>
      <c r="G16" s="30" t="s">
        <v>279</v>
      </c>
      <c r="H16" s="16">
        <v>45565</v>
      </c>
      <c r="I16" s="16"/>
      <c r="J16" s="16"/>
      <c r="K16" s="16"/>
      <c r="L16" s="16"/>
      <c r="M16" s="16"/>
      <c r="N16" s="16"/>
      <c r="O16" s="7" t="s">
        <v>51</v>
      </c>
      <c r="P16" s="2" t="s">
        <v>281</v>
      </c>
      <c r="Q16" s="28">
        <v>45529</v>
      </c>
      <c r="R16" s="28">
        <v>45546</v>
      </c>
      <c r="S16" s="14" t="s">
        <v>331</v>
      </c>
      <c r="T16"/>
      <c r="U16" s="30" t="s">
        <v>76</v>
      </c>
      <c r="V16" s="8">
        <v>45554</v>
      </c>
      <c r="W16" s="29">
        <f>812573.44+913533.44</f>
        <v>1726106.88</v>
      </c>
      <c r="X16" s="10"/>
      <c r="Y16" s="21"/>
      <c r="Z16" s="21"/>
      <c r="AA16" s="21"/>
      <c r="AB16" s="45"/>
    </row>
    <row r="17" spans="1:16375" s="9" customFormat="1" ht="131.25">
      <c r="B17" s="31">
        <v>45464</v>
      </c>
      <c r="C17" s="11" t="s">
        <v>24</v>
      </c>
      <c r="D17" s="2" t="s">
        <v>184</v>
      </c>
      <c r="E17" s="11" t="s">
        <v>185</v>
      </c>
      <c r="F17" s="30" t="s">
        <v>36</v>
      </c>
      <c r="G17" s="30" t="s">
        <v>302</v>
      </c>
      <c r="H17" s="16">
        <v>45580</v>
      </c>
      <c r="I17" s="16"/>
      <c r="J17" s="16"/>
      <c r="K17" s="16"/>
      <c r="L17" s="16"/>
      <c r="M17" s="16"/>
      <c r="N17" s="16"/>
      <c r="O17" s="7" t="s">
        <v>51</v>
      </c>
      <c r="P17" s="2" t="s">
        <v>280</v>
      </c>
      <c r="Q17" s="28">
        <v>45536</v>
      </c>
      <c r="R17" s="28">
        <v>45556</v>
      </c>
      <c r="S17" s="14" t="s">
        <v>362</v>
      </c>
      <c r="T17"/>
      <c r="U17" s="30" t="s">
        <v>76</v>
      </c>
      <c r="V17" s="8">
        <v>45571</v>
      </c>
      <c r="W17" s="29">
        <v>212764.16</v>
      </c>
      <c r="X17" s="10"/>
      <c r="Y17" s="21"/>
      <c r="Z17" s="21"/>
      <c r="AA17" s="21"/>
      <c r="AB17" s="45"/>
    </row>
    <row r="18" spans="1:16375" s="9" customFormat="1" ht="112.5">
      <c r="B18" s="31">
        <v>45464</v>
      </c>
      <c r="C18" s="11" t="s">
        <v>24</v>
      </c>
      <c r="D18" s="2" t="s">
        <v>184</v>
      </c>
      <c r="E18" s="11" t="s">
        <v>185</v>
      </c>
      <c r="F18" s="30" t="s">
        <v>36</v>
      </c>
      <c r="G18" s="30" t="s">
        <v>332</v>
      </c>
      <c r="H18" s="16">
        <v>45611</v>
      </c>
      <c r="I18" s="16"/>
      <c r="J18" s="16"/>
      <c r="K18" s="16"/>
      <c r="L18" s="16"/>
      <c r="M18" s="16"/>
      <c r="N18" s="16"/>
      <c r="O18" s="7" t="s">
        <v>51</v>
      </c>
      <c r="P18" s="2" t="s">
        <v>330</v>
      </c>
      <c r="Q18" s="16">
        <v>45577</v>
      </c>
      <c r="R18" s="16">
        <v>45581</v>
      </c>
      <c r="S18" s="14" t="s">
        <v>412</v>
      </c>
      <c r="T18"/>
      <c r="U18" s="30" t="s">
        <v>76</v>
      </c>
      <c r="V18" s="8">
        <v>45600</v>
      </c>
      <c r="W18" s="29">
        <v>108092.66</v>
      </c>
      <c r="X18" s="10"/>
      <c r="Y18" s="21"/>
      <c r="Z18" s="21"/>
      <c r="AA18" s="21"/>
      <c r="AB18" s="45"/>
    </row>
    <row r="19" spans="1:16375" s="9" customFormat="1" ht="150">
      <c r="B19" s="31">
        <v>45464</v>
      </c>
      <c r="C19" s="11" t="s">
        <v>24</v>
      </c>
      <c r="D19" s="2" t="s">
        <v>184</v>
      </c>
      <c r="E19" s="11" t="s">
        <v>185</v>
      </c>
      <c r="F19" s="30" t="s">
        <v>36</v>
      </c>
      <c r="G19" s="30" t="s">
        <v>485</v>
      </c>
      <c r="H19" s="16">
        <v>45641</v>
      </c>
      <c r="I19" s="16"/>
      <c r="J19" s="16"/>
      <c r="K19" s="16"/>
      <c r="L19" s="16"/>
      <c r="M19" s="16"/>
      <c r="N19" s="16"/>
      <c r="O19" s="7" t="s">
        <v>51</v>
      </c>
      <c r="P19" s="2" t="s">
        <v>484</v>
      </c>
      <c r="Q19" s="16">
        <v>45616</v>
      </c>
      <c r="R19" s="31">
        <v>45623</v>
      </c>
      <c r="S19" s="14" t="s">
        <v>646</v>
      </c>
      <c r="T19"/>
      <c r="U19" s="30" t="s">
        <v>76</v>
      </c>
      <c r="V19" s="8">
        <v>45655</v>
      </c>
      <c r="W19" s="29">
        <v>14116.9</v>
      </c>
      <c r="X19" s="10"/>
      <c r="Y19" s="21"/>
      <c r="Z19" s="21"/>
      <c r="AA19" s="21"/>
      <c r="AB19" s="45"/>
    </row>
    <row r="20" spans="1:16375" s="9" customFormat="1" ht="93.75">
      <c r="B20" s="31">
        <v>45464</v>
      </c>
      <c r="C20" s="11" t="s">
        <v>24</v>
      </c>
      <c r="D20" s="2" t="s">
        <v>184</v>
      </c>
      <c r="E20" s="11" t="s">
        <v>185</v>
      </c>
      <c r="F20" s="30" t="s">
        <v>36</v>
      </c>
      <c r="G20" s="30" t="s">
        <v>486</v>
      </c>
      <c r="H20" s="16">
        <v>45656</v>
      </c>
      <c r="I20" s="16"/>
      <c r="J20" s="16"/>
      <c r="K20" s="16"/>
      <c r="L20" s="16"/>
      <c r="M20" s="16"/>
      <c r="N20" s="16"/>
      <c r="O20" s="7" t="s">
        <v>51</v>
      </c>
      <c r="P20" s="2" t="s">
        <v>484</v>
      </c>
      <c r="Q20" s="16">
        <v>45616</v>
      </c>
      <c r="R20" s="31">
        <v>45623</v>
      </c>
      <c r="S20" s="14" t="s">
        <v>797</v>
      </c>
      <c r="T20"/>
      <c r="U20" s="30" t="s">
        <v>76</v>
      </c>
      <c r="V20" s="8">
        <v>45687</v>
      </c>
      <c r="W20" s="29">
        <v>19484.189999999999</v>
      </c>
      <c r="X20" s="10"/>
      <c r="Y20" s="21"/>
      <c r="Z20" s="21"/>
      <c r="AA20" s="21"/>
      <c r="AB20" s="45"/>
    </row>
    <row r="21" spans="1:16375" ht="93.75">
      <c r="B21" s="31">
        <v>45433</v>
      </c>
      <c r="C21" s="11" t="s">
        <v>27</v>
      </c>
      <c r="D21" s="2" t="s">
        <v>160</v>
      </c>
      <c r="E21" s="11" t="s">
        <v>161</v>
      </c>
      <c r="F21" s="30" t="s">
        <v>74</v>
      </c>
      <c r="G21" s="30" t="s">
        <v>337</v>
      </c>
      <c r="H21" s="16">
        <v>45626</v>
      </c>
      <c r="I21" s="16">
        <v>45557</v>
      </c>
      <c r="J21" s="16">
        <v>45590</v>
      </c>
      <c r="K21" s="24" t="s">
        <v>800</v>
      </c>
      <c r="L21" s="30" t="s">
        <v>33</v>
      </c>
      <c r="M21" s="8">
        <v>45656</v>
      </c>
      <c r="N21" s="10"/>
      <c r="O21" s="10"/>
      <c r="P21" s="21"/>
      <c r="Q21" s="22">
        <v>1322370.1599999999</v>
      </c>
      <c r="R21" s="21"/>
      <c r="S21" s="45"/>
      <c r="T21" s="16"/>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C21" s="9"/>
      <c r="JD21" s="9"/>
      <c r="JE21" s="9"/>
      <c r="JF21" s="9"/>
      <c r="JG21" s="9"/>
      <c r="JH21" s="9"/>
      <c r="JI21" s="9"/>
      <c r="JJ21" s="9"/>
      <c r="JK21" s="9"/>
      <c r="JL21" s="9"/>
      <c r="JM21" s="9"/>
      <c r="JN21" s="9"/>
      <c r="JO21" s="9"/>
      <c r="JP21" s="9"/>
      <c r="JQ21" s="9"/>
      <c r="JR21" s="9"/>
      <c r="JS21" s="9"/>
      <c r="JT21" s="9"/>
      <c r="JU21" s="9"/>
      <c r="JV21" s="9"/>
      <c r="JW21" s="9"/>
      <c r="JX21" s="9"/>
      <c r="JY21" s="9"/>
      <c r="JZ21" s="9"/>
      <c r="KA21" s="9"/>
      <c r="KB21" s="9"/>
      <c r="KC21" s="9"/>
      <c r="KD21" s="9"/>
      <c r="KE21" s="9"/>
      <c r="KF21" s="9"/>
      <c r="KG21" s="9"/>
      <c r="KH21" s="9"/>
      <c r="KI21" s="9"/>
      <c r="KJ21" s="9"/>
      <c r="KK21" s="9"/>
      <c r="KL21" s="9"/>
      <c r="KM21" s="9"/>
      <c r="KN21" s="9"/>
      <c r="KO21" s="9"/>
      <c r="KP21" s="9"/>
      <c r="KQ21" s="9"/>
      <c r="KR21" s="9"/>
      <c r="KS21" s="9"/>
      <c r="KT21" s="9"/>
      <c r="KU21" s="9"/>
      <c r="KV21" s="9"/>
      <c r="KW21" s="9"/>
      <c r="KX21" s="9"/>
      <c r="KY21" s="9"/>
      <c r="KZ21" s="9"/>
      <c r="LA21" s="9"/>
      <c r="LB21" s="9"/>
      <c r="LC21" s="9"/>
      <c r="LD21" s="9"/>
      <c r="LE21" s="9"/>
      <c r="LF21" s="9"/>
      <c r="LG21" s="9"/>
      <c r="LH21" s="9"/>
      <c r="LI21" s="9"/>
      <c r="LJ21" s="9"/>
      <c r="LK21" s="9"/>
      <c r="LL21" s="9"/>
      <c r="LM21" s="9"/>
      <c r="LN21" s="9"/>
      <c r="LO21" s="9"/>
      <c r="LP21" s="9"/>
      <c r="LQ21" s="9"/>
      <c r="LR21" s="9"/>
      <c r="LS21" s="9"/>
      <c r="LT21" s="9"/>
      <c r="LU21" s="9"/>
      <c r="LV21" s="9"/>
      <c r="LW21" s="9"/>
      <c r="LX21" s="9"/>
      <c r="LY21" s="9"/>
      <c r="LZ21" s="9"/>
      <c r="MA21" s="9"/>
      <c r="MB21" s="9"/>
      <c r="MC21" s="9"/>
      <c r="MD21" s="9"/>
      <c r="ME21" s="9"/>
      <c r="MF21" s="9"/>
      <c r="MG21" s="9"/>
      <c r="MH21" s="9"/>
      <c r="MI21" s="9"/>
      <c r="MJ21" s="9"/>
      <c r="MK21" s="9"/>
      <c r="ML21" s="9"/>
      <c r="MM21" s="9"/>
      <c r="MN21" s="9"/>
      <c r="MO21" s="9"/>
      <c r="MP21" s="9"/>
      <c r="MQ21" s="9"/>
      <c r="MR21" s="9"/>
      <c r="MS21" s="9"/>
      <c r="MT21" s="9"/>
      <c r="MU21" s="9"/>
      <c r="MV21" s="9"/>
      <c r="MW21" s="9"/>
      <c r="MX21" s="9"/>
      <c r="MY21" s="9"/>
      <c r="MZ21" s="9"/>
      <c r="NA21" s="9"/>
      <c r="NB21" s="9"/>
      <c r="NC21" s="9"/>
      <c r="ND21" s="9"/>
      <c r="NE21" s="9"/>
      <c r="NF21" s="9"/>
      <c r="NG21" s="9"/>
      <c r="NH21" s="9"/>
      <c r="NI21" s="9"/>
      <c r="NJ21" s="9"/>
      <c r="NK21" s="9"/>
      <c r="NL21" s="9"/>
      <c r="NM21" s="9"/>
      <c r="NN21" s="9"/>
      <c r="NO21" s="9"/>
      <c r="NP21" s="9"/>
      <c r="NQ21" s="9"/>
      <c r="NR21" s="9"/>
      <c r="NS21" s="9"/>
      <c r="NT21" s="9"/>
      <c r="NU21" s="9"/>
      <c r="NV21" s="9"/>
      <c r="NW21" s="9"/>
      <c r="NX21" s="9"/>
      <c r="NY21" s="9"/>
      <c r="NZ21" s="9"/>
      <c r="OA21" s="9"/>
      <c r="OB21" s="9"/>
      <c r="OC21" s="9"/>
      <c r="OD21" s="9"/>
      <c r="OE21" s="9"/>
      <c r="OF21" s="9"/>
      <c r="OG21" s="9"/>
      <c r="OH21" s="9"/>
      <c r="OI21" s="9"/>
      <c r="OJ21" s="9"/>
      <c r="OK21" s="9"/>
      <c r="OL21" s="9"/>
      <c r="OM21" s="9"/>
      <c r="ON21" s="9"/>
      <c r="OO21" s="9"/>
      <c r="OP21" s="9"/>
      <c r="OQ21" s="9"/>
      <c r="OR21" s="9"/>
      <c r="OS21" s="9"/>
      <c r="OT21" s="9"/>
      <c r="OU21" s="9"/>
      <c r="OV21" s="9"/>
      <c r="OW21" s="9"/>
      <c r="OX21" s="9"/>
      <c r="OY21" s="9"/>
      <c r="OZ21" s="9"/>
      <c r="PA21" s="9"/>
      <c r="PB21" s="9"/>
      <c r="PC21" s="9"/>
      <c r="PD21" s="9"/>
      <c r="PE21" s="9"/>
      <c r="PF21" s="9"/>
      <c r="PG21" s="9"/>
      <c r="PH21" s="9"/>
      <c r="PI21" s="9"/>
      <c r="PJ21" s="9"/>
      <c r="PK21" s="9"/>
      <c r="PL21" s="9"/>
      <c r="PM21" s="9"/>
      <c r="PN21" s="9"/>
      <c r="PO21" s="9"/>
      <c r="PP21" s="9"/>
      <c r="PQ21" s="9"/>
      <c r="PR21" s="9"/>
      <c r="PS21" s="9"/>
      <c r="PT21" s="9"/>
      <c r="PU21" s="9"/>
      <c r="PV21" s="9"/>
      <c r="PW21" s="9"/>
      <c r="PX21" s="9"/>
      <c r="PY21" s="9"/>
      <c r="PZ21" s="9"/>
      <c r="QA21" s="9"/>
      <c r="QB21" s="9"/>
      <c r="QC21" s="9"/>
      <c r="QD21" s="9"/>
      <c r="QE21" s="9"/>
      <c r="QF21" s="9"/>
      <c r="QG21" s="9"/>
      <c r="QH21" s="9"/>
      <c r="QI21" s="9"/>
      <c r="QJ21" s="9"/>
      <c r="QK21" s="9"/>
      <c r="QL21" s="9"/>
      <c r="QM21" s="9"/>
      <c r="QN21" s="9"/>
      <c r="QO21" s="9"/>
      <c r="QP21" s="9"/>
      <c r="QQ21" s="9"/>
      <c r="QR21" s="9"/>
      <c r="QS21" s="9"/>
      <c r="QT21" s="9"/>
      <c r="QU21" s="9"/>
      <c r="QV21" s="9"/>
      <c r="QW21" s="9"/>
      <c r="QX21" s="9"/>
      <c r="QY21" s="9"/>
      <c r="QZ21" s="9"/>
      <c r="RA21" s="9"/>
      <c r="RB21" s="9"/>
      <c r="RC21" s="9"/>
      <c r="RD21" s="9"/>
      <c r="RE21" s="9"/>
      <c r="RF21" s="9"/>
      <c r="RG21" s="9"/>
      <c r="RH21" s="9"/>
      <c r="RI21" s="9"/>
      <c r="RJ21" s="9"/>
      <c r="RK21" s="9"/>
      <c r="RL21" s="9"/>
      <c r="RM21" s="9"/>
      <c r="RN21" s="9"/>
      <c r="RO21" s="9"/>
      <c r="RP21" s="9"/>
      <c r="RQ21" s="9"/>
      <c r="RR21" s="9"/>
      <c r="RS21" s="9"/>
      <c r="RT21" s="9"/>
      <c r="RU21" s="9"/>
      <c r="RV21" s="9"/>
      <c r="RW21" s="9"/>
      <c r="RX21" s="9"/>
      <c r="RY21" s="9"/>
      <c r="RZ21" s="9"/>
      <c r="SA21" s="9"/>
      <c r="SB21" s="9"/>
      <c r="SC21" s="9"/>
      <c r="SD21" s="9"/>
      <c r="SE21" s="9"/>
      <c r="SF21" s="9"/>
      <c r="SG21" s="9"/>
      <c r="SH21" s="9"/>
      <c r="SI21" s="9"/>
      <c r="SJ21" s="9"/>
      <c r="SK21" s="9"/>
      <c r="SL21" s="9"/>
      <c r="SM21" s="9"/>
      <c r="SN21" s="9"/>
      <c r="SO21" s="9"/>
      <c r="SP21" s="9"/>
      <c r="SQ21" s="9"/>
      <c r="SR21" s="9"/>
      <c r="SS21" s="9"/>
      <c r="ST21" s="9"/>
      <c r="SU21" s="9"/>
      <c r="SV21" s="9"/>
      <c r="SW21" s="9"/>
      <c r="SX21" s="9"/>
      <c r="SY21" s="9"/>
      <c r="SZ21" s="9"/>
      <c r="TA21" s="9"/>
      <c r="TB21" s="9"/>
      <c r="TC21" s="9"/>
      <c r="TD21" s="9"/>
      <c r="TE21" s="9"/>
      <c r="TF21" s="9"/>
      <c r="TG21" s="9"/>
      <c r="TH21" s="9"/>
      <c r="TI21" s="9"/>
      <c r="TJ21" s="9"/>
      <c r="TK21" s="9"/>
      <c r="TL21" s="9"/>
      <c r="TM21" s="9"/>
      <c r="TN21" s="9"/>
      <c r="TO21" s="9"/>
      <c r="TP21" s="9"/>
      <c r="TQ21" s="9"/>
      <c r="TR21" s="9"/>
      <c r="TS21" s="9"/>
      <c r="TT21" s="9"/>
      <c r="TU21" s="9"/>
      <c r="TV21" s="9"/>
      <c r="TW21" s="9"/>
      <c r="TX21" s="9"/>
      <c r="TY21" s="9"/>
      <c r="TZ21" s="9"/>
      <c r="UA21" s="9"/>
      <c r="UB21" s="9"/>
      <c r="UC21" s="9"/>
      <c r="UD21" s="9"/>
      <c r="UE21" s="9"/>
      <c r="UF21" s="9"/>
      <c r="UG21" s="9"/>
      <c r="UH21" s="9"/>
      <c r="UI21" s="9"/>
      <c r="UJ21" s="9"/>
      <c r="UK21" s="9"/>
      <c r="UL21" s="9"/>
      <c r="UM21" s="9"/>
      <c r="UN21" s="9"/>
      <c r="UO21" s="9"/>
      <c r="UP21" s="9"/>
      <c r="UQ21" s="9"/>
      <c r="UR21" s="9"/>
      <c r="US21" s="9"/>
      <c r="UT21" s="9"/>
      <c r="UU21" s="9"/>
      <c r="UV21" s="9"/>
      <c r="UW21" s="9"/>
      <c r="UX21" s="9"/>
      <c r="UY21" s="9"/>
      <c r="UZ21" s="9"/>
      <c r="VA21" s="9"/>
      <c r="VB21" s="9"/>
      <c r="VC21" s="9"/>
      <c r="VD21" s="9"/>
      <c r="VE21" s="9"/>
      <c r="VF21" s="9"/>
      <c r="VG21" s="9"/>
      <c r="VH21" s="9"/>
      <c r="VI21" s="9"/>
      <c r="VJ21" s="9"/>
      <c r="VK21" s="9"/>
      <c r="VL21" s="9"/>
      <c r="VM21" s="9"/>
      <c r="VN21" s="9"/>
      <c r="VO21" s="9"/>
      <c r="VP21" s="9"/>
      <c r="VQ21" s="9"/>
      <c r="VR21" s="9"/>
      <c r="VS21" s="9"/>
      <c r="VT21" s="9"/>
      <c r="VU21" s="9"/>
      <c r="VV21" s="9"/>
      <c r="VW21" s="9"/>
      <c r="VX21" s="9"/>
      <c r="VY21" s="9"/>
      <c r="VZ21" s="9"/>
      <c r="WA21" s="9"/>
      <c r="WB21" s="9"/>
      <c r="WC21" s="9"/>
      <c r="WD21" s="9"/>
      <c r="WE21" s="9"/>
      <c r="WF21" s="9"/>
      <c r="WG21" s="9"/>
      <c r="WH21" s="9"/>
      <c r="WI21" s="9"/>
      <c r="WJ21" s="9"/>
      <c r="WK21" s="9"/>
      <c r="WL21" s="9"/>
      <c r="WM21" s="9"/>
      <c r="WN21" s="9"/>
      <c r="WO21" s="9"/>
      <c r="WP21" s="9"/>
      <c r="WQ21" s="9"/>
      <c r="WR21" s="9"/>
      <c r="WS21" s="9"/>
      <c r="WT21" s="9"/>
      <c r="WU21" s="9"/>
      <c r="WV21" s="9"/>
      <c r="WW21" s="9"/>
      <c r="WX21" s="9"/>
      <c r="WY21" s="9"/>
      <c r="WZ21" s="9"/>
      <c r="XA21" s="9"/>
      <c r="XB21" s="9"/>
      <c r="XC21" s="9"/>
      <c r="XD21" s="9"/>
      <c r="XE21" s="9"/>
      <c r="XF21" s="9"/>
      <c r="XG21" s="9"/>
      <c r="XH21" s="9"/>
      <c r="XI21" s="9"/>
      <c r="XJ21" s="9"/>
      <c r="XK21" s="9"/>
      <c r="XL21" s="9"/>
      <c r="XM21" s="9"/>
      <c r="XN21" s="9"/>
      <c r="XO21" s="9"/>
      <c r="XP21" s="9"/>
      <c r="XQ21" s="9"/>
      <c r="XR21" s="9"/>
      <c r="XS21" s="9"/>
      <c r="XT21" s="9"/>
      <c r="XU21" s="9"/>
      <c r="XV21" s="9"/>
      <c r="XW21" s="9"/>
      <c r="XX21" s="9"/>
      <c r="XY21" s="9"/>
      <c r="XZ21" s="9"/>
      <c r="YA21" s="9"/>
      <c r="YB21" s="9"/>
      <c r="YC21" s="9"/>
      <c r="YD21" s="9"/>
      <c r="YE21" s="9"/>
      <c r="YF21" s="9"/>
      <c r="YG21" s="9"/>
      <c r="YH21" s="9"/>
      <c r="YI21" s="9"/>
      <c r="YJ21" s="9"/>
      <c r="YK21" s="9"/>
      <c r="YL21" s="9"/>
      <c r="YM21" s="9"/>
      <c r="YN21" s="9"/>
      <c r="YO21" s="9"/>
      <c r="YP21" s="9"/>
      <c r="YQ21" s="9"/>
      <c r="YR21" s="9"/>
      <c r="YS21" s="9"/>
      <c r="YT21" s="9"/>
      <c r="YU21" s="9"/>
      <c r="YV21" s="9"/>
      <c r="YW21" s="9"/>
      <c r="YX21" s="9"/>
      <c r="YY21" s="9"/>
      <c r="YZ21" s="9"/>
      <c r="ZA21" s="9"/>
      <c r="ZB21" s="9"/>
      <c r="ZC21" s="9"/>
      <c r="ZD21" s="9"/>
      <c r="ZE21" s="9"/>
      <c r="ZF21" s="9"/>
      <c r="ZG21" s="9"/>
      <c r="ZH21" s="9"/>
      <c r="ZI21" s="9"/>
      <c r="ZJ21" s="9"/>
      <c r="ZK21" s="9"/>
      <c r="ZL21" s="9"/>
      <c r="ZM21" s="9"/>
      <c r="ZN21" s="9"/>
      <c r="ZO21" s="9"/>
      <c r="ZP21" s="9"/>
      <c r="ZQ21" s="9"/>
      <c r="ZR21" s="9"/>
      <c r="ZS21" s="9"/>
      <c r="ZT21" s="9"/>
      <c r="ZU21" s="9"/>
      <c r="ZV21" s="9"/>
      <c r="ZW21" s="9"/>
      <c r="ZX21" s="9"/>
      <c r="ZY21" s="9"/>
      <c r="ZZ21" s="9"/>
      <c r="AAA21" s="9"/>
      <c r="AAB21" s="9"/>
      <c r="AAC21" s="9"/>
      <c r="AAD21" s="9"/>
      <c r="AAE21" s="9"/>
      <c r="AAF21" s="9"/>
      <c r="AAG21" s="9"/>
      <c r="AAH21" s="9"/>
      <c r="AAI21" s="9"/>
      <c r="AAJ21" s="9"/>
      <c r="AAK21" s="9"/>
      <c r="AAL21" s="9"/>
      <c r="AAM21" s="9"/>
      <c r="AAN21" s="9"/>
      <c r="AAO21" s="9"/>
      <c r="AAP21" s="9"/>
      <c r="AAQ21" s="9"/>
      <c r="AAR21" s="9"/>
      <c r="AAS21" s="9"/>
      <c r="AAT21" s="9"/>
      <c r="AAU21" s="9"/>
      <c r="AAV21" s="9"/>
      <c r="AAW21" s="9"/>
      <c r="AAX21" s="9"/>
      <c r="AAY21" s="9"/>
      <c r="AAZ21" s="9"/>
      <c r="ABA21" s="9"/>
      <c r="ABB21" s="9"/>
      <c r="ABC21" s="9"/>
      <c r="ABD21" s="9"/>
      <c r="ABE21" s="9"/>
      <c r="ABF21" s="9"/>
      <c r="ABG21" s="9"/>
      <c r="ABH21" s="9"/>
      <c r="ABI21" s="9"/>
      <c r="ABJ21" s="9"/>
      <c r="ABK21" s="9"/>
      <c r="ABL21" s="9"/>
      <c r="ABM21" s="9"/>
      <c r="ABN21" s="9"/>
      <c r="ABO21" s="9"/>
      <c r="ABP21" s="9"/>
      <c r="ABQ21" s="9"/>
      <c r="ABR21" s="9"/>
      <c r="ABS21" s="9"/>
      <c r="ABT21" s="9"/>
      <c r="ABU21" s="9"/>
      <c r="ABV21" s="9"/>
      <c r="ABW21" s="9"/>
      <c r="ABX21" s="9"/>
      <c r="ABY21" s="9"/>
      <c r="ABZ21" s="9"/>
      <c r="ACA21" s="9"/>
      <c r="ACB21" s="9"/>
      <c r="ACC21" s="9"/>
      <c r="ACD21" s="9"/>
      <c r="ACE21" s="9"/>
      <c r="ACF21" s="9"/>
      <c r="ACG21" s="9"/>
      <c r="ACH21" s="9"/>
      <c r="ACI21" s="9"/>
      <c r="ACJ21" s="9"/>
      <c r="ACK21" s="9"/>
      <c r="ACL21" s="9"/>
      <c r="ACM21" s="9"/>
      <c r="ACN21" s="9"/>
      <c r="ACO21" s="9"/>
      <c r="ACP21" s="9"/>
      <c r="ACQ21" s="9"/>
      <c r="ACR21" s="9"/>
      <c r="ACS21" s="9"/>
      <c r="ACT21" s="9"/>
      <c r="ACU21" s="9"/>
      <c r="ACV21" s="9"/>
      <c r="ACW21" s="9"/>
      <c r="ACX21" s="9"/>
      <c r="ACY21" s="9"/>
      <c r="ACZ21" s="9"/>
      <c r="ADA21" s="9"/>
      <c r="ADB21" s="9"/>
      <c r="ADC21" s="9"/>
      <c r="ADD21" s="9"/>
      <c r="ADE21" s="9"/>
      <c r="ADF21" s="9"/>
      <c r="ADG21" s="9"/>
      <c r="ADH21" s="9"/>
      <c r="ADI21" s="9"/>
      <c r="ADJ21" s="9"/>
      <c r="ADK21" s="9"/>
      <c r="ADL21" s="9"/>
      <c r="ADM21" s="9"/>
      <c r="ADN21" s="9"/>
      <c r="ADO21" s="9"/>
      <c r="ADP21" s="9"/>
      <c r="ADQ21" s="9"/>
      <c r="ADR21" s="9"/>
      <c r="ADS21" s="9"/>
      <c r="ADT21" s="9"/>
      <c r="ADU21" s="9"/>
      <c r="ADV21" s="9"/>
      <c r="ADW21" s="9"/>
      <c r="ADX21" s="9"/>
      <c r="ADY21" s="9"/>
      <c r="ADZ21" s="9"/>
      <c r="AEA21" s="9"/>
      <c r="AEB21" s="9"/>
      <c r="AEC21" s="9"/>
      <c r="AED21" s="9"/>
      <c r="AEE21" s="9"/>
      <c r="AEF21" s="9"/>
      <c r="AEG21" s="9"/>
      <c r="AEH21" s="9"/>
      <c r="AEI21" s="9"/>
      <c r="AEJ21" s="9"/>
      <c r="AEK21" s="9"/>
      <c r="AEL21" s="9"/>
      <c r="AEM21" s="9"/>
      <c r="AEN21" s="9"/>
      <c r="AEO21" s="9"/>
      <c r="AEP21" s="9"/>
      <c r="AEQ21" s="9"/>
      <c r="AER21" s="9"/>
      <c r="AES21" s="9"/>
      <c r="AET21" s="9"/>
      <c r="AEU21" s="9"/>
      <c r="AEV21" s="9"/>
      <c r="AEW21" s="9"/>
      <c r="AEX21" s="9"/>
      <c r="AEY21" s="9"/>
      <c r="AEZ21" s="9"/>
      <c r="AFA21" s="9"/>
      <c r="AFB21" s="9"/>
      <c r="AFC21" s="9"/>
      <c r="AFD21" s="9"/>
      <c r="AFE21" s="9"/>
      <c r="AFF21" s="9"/>
      <c r="AFG21" s="9"/>
      <c r="AFH21" s="9"/>
      <c r="AFI21" s="9"/>
      <c r="AFJ21" s="9"/>
      <c r="AFK21" s="9"/>
      <c r="AFL21" s="9"/>
      <c r="AFM21" s="9"/>
      <c r="AFN21" s="9"/>
      <c r="AFO21" s="9"/>
      <c r="AFP21" s="9"/>
      <c r="AFQ21" s="9"/>
      <c r="AFR21" s="9"/>
      <c r="AFS21" s="9"/>
      <c r="AFT21" s="9"/>
      <c r="AFU21" s="9"/>
      <c r="AFV21" s="9"/>
      <c r="AFW21" s="9"/>
      <c r="AFX21" s="9"/>
      <c r="AFY21" s="9"/>
      <c r="AFZ21" s="9"/>
      <c r="AGA21" s="9"/>
      <c r="AGB21" s="9"/>
      <c r="AGC21" s="9"/>
      <c r="AGD21" s="9"/>
      <c r="AGE21" s="9"/>
      <c r="AGF21" s="9"/>
      <c r="AGG21" s="9"/>
      <c r="AGH21" s="9"/>
      <c r="AGI21" s="9"/>
      <c r="AGJ21" s="9"/>
      <c r="AGK21" s="9"/>
      <c r="AGL21" s="9"/>
      <c r="AGM21" s="9"/>
      <c r="AGN21" s="9"/>
      <c r="AGO21" s="9"/>
      <c r="AGP21" s="9"/>
      <c r="AGQ21" s="9"/>
      <c r="AGR21" s="9"/>
      <c r="AGS21" s="9"/>
      <c r="AGT21" s="9"/>
      <c r="AGU21" s="9"/>
      <c r="AGV21" s="9"/>
      <c r="AGW21" s="9"/>
      <c r="AGX21" s="9"/>
      <c r="AGY21" s="9"/>
      <c r="AGZ21" s="9"/>
      <c r="AHA21" s="9"/>
      <c r="AHB21" s="9"/>
      <c r="AHC21" s="9"/>
      <c r="AHD21" s="9"/>
      <c r="AHE21" s="9"/>
      <c r="AHF21" s="9"/>
      <c r="AHG21" s="9"/>
      <c r="AHH21" s="9"/>
      <c r="AHI21" s="9"/>
      <c r="AHJ21" s="9"/>
      <c r="AHK21" s="9"/>
      <c r="AHL21" s="9"/>
      <c r="AHM21" s="9"/>
      <c r="AHN21" s="9"/>
      <c r="AHO21" s="9"/>
      <c r="AHP21" s="9"/>
      <c r="AHQ21" s="9"/>
      <c r="AHR21" s="9"/>
      <c r="AHS21" s="9"/>
      <c r="AHT21" s="9"/>
      <c r="AHU21" s="9"/>
      <c r="AHV21" s="9"/>
      <c r="AHW21" s="9"/>
      <c r="AHX21" s="9"/>
      <c r="AHY21" s="9"/>
      <c r="AHZ21" s="9"/>
      <c r="AIA21" s="9"/>
      <c r="AIB21" s="9"/>
      <c r="AIC21" s="9"/>
      <c r="AID21" s="9"/>
      <c r="AIE21" s="9"/>
      <c r="AIF21" s="9"/>
      <c r="AIG21" s="9"/>
      <c r="AIH21" s="9"/>
      <c r="AII21" s="9"/>
      <c r="AIJ21" s="9"/>
      <c r="AIK21" s="9"/>
      <c r="AIL21" s="9"/>
      <c r="AIM21" s="9"/>
      <c r="AIN21" s="9"/>
      <c r="AIO21" s="9"/>
      <c r="AIP21" s="9"/>
      <c r="AIQ21" s="9"/>
      <c r="AIR21" s="9"/>
      <c r="AIS21" s="9"/>
      <c r="AIT21" s="9"/>
      <c r="AIU21" s="9"/>
      <c r="AIV21" s="9"/>
      <c r="AIW21" s="9"/>
      <c r="AIX21" s="9"/>
      <c r="AIY21" s="9"/>
      <c r="AIZ21" s="9"/>
      <c r="AJA21" s="9"/>
      <c r="AJB21" s="9"/>
      <c r="AJC21" s="9"/>
      <c r="AJD21" s="9"/>
      <c r="AJE21" s="9"/>
      <c r="AJF21" s="9"/>
      <c r="AJG21" s="9"/>
      <c r="AJH21" s="9"/>
      <c r="AJI21" s="9"/>
      <c r="AJJ21" s="9"/>
      <c r="AJK21" s="9"/>
      <c r="AJL21" s="9"/>
      <c r="AJM21" s="9"/>
      <c r="AJN21" s="9"/>
      <c r="AJO21" s="9"/>
      <c r="AJP21" s="9"/>
      <c r="AJQ21" s="9"/>
      <c r="AJR21" s="9"/>
      <c r="AJS21" s="9"/>
      <c r="AJT21" s="9"/>
      <c r="AJU21" s="9"/>
      <c r="AJV21" s="9"/>
      <c r="AJW21" s="9"/>
      <c r="AJX21" s="9"/>
      <c r="AJY21" s="9"/>
      <c r="AJZ21" s="9"/>
      <c r="AKA21" s="9"/>
      <c r="AKB21" s="9"/>
      <c r="AKC21" s="9"/>
      <c r="AKD21" s="9"/>
      <c r="AKE21" s="9"/>
      <c r="AKF21" s="9"/>
      <c r="AKG21" s="9"/>
      <c r="AKH21" s="9"/>
      <c r="AKI21" s="9"/>
      <c r="AKJ21" s="9"/>
      <c r="AKK21" s="9"/>
      <c r="AKL21" s="9"/>
      <c r="AKM21" s="9"/>
      <c r="AKN21" s="9"/>
      <c r="AKO21" s="9"/>
      <c r="AKP21" s="9"/>
      <c r="AKQ21" s="9"/>
      <c r="AKR21" s="9"/>
      <c r="AKS21" s="9"/>
      <c r="AKT21" s="9"/>
      <c r="AKU21" s="9"/>
      <c r="AKV21" s="9"/>
      <c r="AKW21" s="9"/>
      <c r="AKX21" s="9"/>
      <c r="AKY21" s="9"/>
      <c r="AKZ21" s="9"/>
      <c r="ALA21" s="9"/>
      <c r="ALB21" s="9"/>
      <c r="ALC21" s="9"/>
      <c r="ALD21" s="9"/>
      <c r="ALE21" s="9"/>
      <c r="ALF21" s="9"/>
      <c r="ALG21" s="9"/>
      <c r="ALH21" s="9"/>
      <c r="ALI21" s="9"/>
      <c r="ALJ21" s="9"/>
      <c r="ALK21" s="9"/>
      <c r="ALL21" s="9"/>
      <c r="ALM21" s="9"/>
      <c r="ALN21" s="9"/>
      <c r="ALO21" s="9"/>
      <c r="ALP21" s="9"/>
      <c r="ALQ21" s="9"/>
      <c r="ALR21" s="9"/>
      <c r="ALS21" s="9"/>
      <c r="ALT21" s="9"/>
      <c r="ALU21" s="9"/>
      <c r="ALV21" s="9"/>
      <c r="ALW21" s="9"/>
      <c r="ALX21" s="9"/>
      <c r="ALY21" s="9"/>
      <c r="ALZ21" s="9"/>
      <c r="AMA21" s="9"/>
      <c r="AMB21" s="9"/>
      <c r="AMC21" s="9"/>
      <c r="AMD21" s="9"/>
      <c r="AME21" s="9"/>
      <c r="AMF21" s="9"/>
      <c r="AMG21" s="9"/>
      <c r="AMH21" s="9"/>
      <c r="AMI21" s="9"/>
      <c r="AMJ21" s="9"/>
      <c r="AMK21" s="9"/>
      <c r="AML21" s="9"/>
      <c r="AMM21" s="9"/>
      <c r="AMN21" s="9"/>
      <c r="AMO21" s="9"/>
      <c r="AMP21" s="9"/>
      <c r="AMQ21" s="9"/>
      <c r="AMR21" s="9"/>
      <c r="AMS21" s="9"/>
      <c r="AMT21" s="9"/>
      <c r="AMU21" s="9"/>
      <c r="AMV21" s="9"/>
      <c r="AMW21" s="9"/>
      <c r="AMX21" s="9"/>
      <c r="AMY21" s="9"/>
      <c r="AMZ21" s="9"/>
      <c r="ANA21" s="9"/>
      <c r="ANB21" s="9"/>
      <c r="ANC21" s="9"/>
      <c r="AND21" s="9"/>
      <c r="ANE21" s="9"/>
      <c r="ANF21" s="9"/>
      <c r="ANG21" s="9"/>
      <c r="ANH21" s="9"/>
      <c r="ANI21" s="9"/>
      <c r="ANJ21" s="9"/>
      <c r="ANK21" s="9"/>
      <c r="ANL21" s="9"/>
      <c r="ANM21" s="9"/>
      <c r="ANN21" s="9"/>
      <c r="ANO21" s="9"/>
      <c r="ANP21" s="9"/>
      <c r="ANQ21" s="9"/>
      <c r="ANR21" s="9"/>
      <c r="ANS21" s="9"/>
      <c r="ANT21" s="9"/>
      <c r="ANU21" s="9"/>
      <c r="ANV21" s="9"/>
      <c r="ANW21" s="9"/>
      <c r="ANX21" s="9"/>
      <c r="ANY21" s="9"/>
      <c r="ANZ21" s="9"/>
      <c r="AOA21" s="9"/>
      <c r="AOB21" s="9"/>
      <c r="AOC21" s="9"/>
      <c r="AOD21" s="9"/>
      <c r="AOE21" s="9"/>
      <c r="AOF21" s="9"/>
      <c r="AOG21" s="9"/>
      <c r="AOH21" s="9"/>
      <c r="AOI21" s="9"/>
      <c r="AOJ21" s="9"/>
      <c r="AOK21" s="9"/>
      <c r="AOL21" s="9"/>
      <c r="AOM21" s="9"/>
      <c r="AON21" s="9"/>
      <c r="AOO21" s="9"/>
      <c r="AOP21" s="9"/>
      <c r="AOQ21" s="9"/>
      <c r="AOR21" s="9"/>
      <c r="AOS21" s="9"/>
      <c r="AOT21" s="9"/>
      <c r="AOU21" s="9"/>
      <c r="AOV21" s="9"/>
      <c r="AOW21" s="9"/>
      <c r="AOX21" s="9"/>
      <c r="AOY21" s="9"/>
      <c r="AOZ21" s="9"/>
      <c r="APA21" s="9"/>
      <c r="APB21" s="9"/>
      <c r="APC21" s="9"/>
      <c r="APD21" s="9"/>
      <c r="APE21" s="9"/>
      <c r="APF21" s="9"/>
      <c r="APG21" s="9"/>
      <c r="APH21" s="9"/>
      <c r="API21" s="9"/>
      <c r="APJ21" s="9"/>
      <c r="APK21" s="9"/>
      <c r="APL21" s="9"/>
      <c r="APM21" s="9"/>
      <c r="APN21" s="9"/>
      <c r="APO21" s="9"/>
      <c r="APP21" s="9"/>
      <c r="APQ21" s="9"/>
      <c r="APR21" s="9"/>
      <c r="APS21" s="9"/>
      <c r="APT21" s="9"/>
      <c r="APU21" s="9"/>
      <c r="APV21" s="9"/>
      <c r="APW21" s="9"/>
      <c r="APX21" s="9"/>
      <c r="APY21" s="9"/>
      <c r="APZ21" s="9"/>
      <c r="AQA21" s="9"/>
      <c r="AQB21" s="9"/>
      <c r="AQC21" s="9"/>
      <c r="AQD21" s="9"/>
      <c r="AQE21" s="9"/>
      <c r="AQF21" s="9"/>
      <c r="AQG21" s="9"/>
      <c r="AQH21" s="9"/>
      <c r="AQI21" s="9"/>
      <c r="AQJ21" s="9"/>
      <c r="AQK21" s="9"/>
      <c r="AQL21" s="9"/>
      <c r="AQM21" s="9"/>
      <c r="AQN21" s="9"/>
      <c r="AQO21" s="9"/>
      <c r="AQP21" s="9"/>
      <c r="AQQ21" s="9"/>
      <c r="AQR21" s="9"/>
      <c r="AQS21" s="9"/>
      <c r="AQT21" s="9"/>
      <c r="AQU21" s="9"/>
      <c r="AQV21" s="9"/>
      <c r="AQW21" s="9"/>
      <c r="AQX21" s="9"/>
      <c r="AQY21" s="9"/>
      <c r="AQZ21" s="9"/>
      <c r="ARA21" s="9"/>
      <c r="ARB21" s="9"/>
      <c r="ARC21" s="9"/>
      <c r="ARD21" s="9"/>
      <c r="ARE21" s="9"/>
      <c r="ARF21" s="9"/>
      <c r="ARG21" s="9"/>
      <c r="ARH21" s="9"/>
      <c r="ARI21" s="9"/>
      <c r="ARJ21" s="9"/>
      <c r="ARK21" s="9"/>
      <c r="ARL21" s="9"/>
      <c r="ARM21" s="9"/>
      <c r="ARN21" s="9"/>
      <c r="ARO21" s="9"/>
      <c r="ARP21" s="9"/>
      <c r="ARQ21" s="9"/>
      <c r="ARR21" s="9"/>
      <c r="ARS21" s="9"/>
      <c r="ART21" s="9"/>
      <c r="ARU21" s="9"/>
      <c r="ARV21" s="9"/>
      <c r="ARW21" s="9"/>
      <c r="ARX21" s="9"/>
      <c r="ARY21" s="9"/>
      <c r="ARZ21" s="9"/>
      <c r="ASA21" s="9"/>
      <c r="ASB21" s="9"/>
      <c r="ASC21" s="9"/>
      <c r="ASD21" s="9"/>
      <c r="ASE21" s="9"/>
      <c r="ASF21" s="9"/>
      <c r="ASG21" s="9"/>
      <c r="ASH21" s="9"/>
      <c r="ASI21" s="9"/>
      <c r="ASJ21" s="9"/>
      <c r="ASK21" s="9"/>
      <c r="ASL21" s="9"/>
      <c r="ASM21" s="9"/>
      <c r="ASN21" s="9"/>
      <c r="ASO21" s="9"/>
      <c r="ASP21" s="9"/>
      <c r="ASQ21" s="9"/>
      <c r="ASR21" s="9"/>
      <c r="ASS21" s="9"/>
      <c r="AST21" s="9"/>
      <c r="ASU21" s="9"/>
      <c r="ASV21" s="9"/>
      <c r="ASW21" s="9"/>
      <c r="ASX21" s="9"/>
      <c r="ASY21" s="9"/>
      <c r="ASZ21" s="9"/>
      <c r="ATA21" s="9"/>
      <c r="ATB21" s="9"/>
      <c r="ATC21" s="9"/>
      <c r="ATD21" s="9"/>
      <c r="ATE21" s="9"/>
      <c r="ATF21" s="9"/>
      <c r="ATG21" s="9"/>
      <c r="ATH21" s="9"/>
      <c r="ATI21" s="9"/>
      <c r="ATJ21" s="9"/>
      <c r="ATK21" s="9"/>
      <c r="ATL21" s="9"/>
      <c r="ATM21" s="9"/>
      <c r="ATN21" s="9"/>
      <c r="ATO21" s="9"/>
      <c r="ATP21" s="9"/>
      <c r="ATQ21" s="9"/>
      <c r="ATR21" s="9"/>
      <c r="ATS21" s="9"/>
      <c r="ATT21" s="9"/>
      <c r="ATU21" s="9"/>
      <c r="ATV21" s="9"/>
      <c r="ATW21" s="9"/>
      <c r="ATX21" s="9"/>
      <c r="ATY21" s="9"/>
      <c r="ATZ21" s="9"/>
      <c r="AUA21" s="9"/>
      <c r="AUB21" s="9"/>
      <c r="AUC21" s="9"/>
      <c r="AUD21" s="9"/>
      <c r="AUE21" s="9"/>
      <c r="AUF21" s="9"/>
      <c r="AUG21" s="9"/>
      <c r="AUH21" s="9"/>
      <c r="AUI21" s="9"/>
      <c r="AUJ21" s="9"/>
      <c r="AUK21" s="9"/>
      <c r="AUL21" s="9"/>
      <c r="AUM21" s="9"/>
      <c r="AUN21" s="9"/>
      <c r="AUO21" s="9"/>
      <c r="AUP21" s="9"/>
      <c r="AUQ21" s="9"/>
      <c r="AUR21" s="9"/>
      <c r="AUS21" s="9"/>
      <c r="AUT21" s="9"/>
      <c r="AUU21" s="9"/>
      <c r="AUV21" s="9"/>
      <c r="AUW21" s="9"/>
      <c r="AUX21" s="9"/>
      <c r="AUY21" s="9"/>
      <c r="AUZ21" s="9"/>
      <c r="AVA21" s="9"/>
      <c r="AVB21" s="9"/>
      <c r="AVC21" s="9"/>
      <c r="AVD21" s="9"/>
      <c r="AVE21" s="9"/>
      <c r="AVF21" s="9"/>
      <c r="AVG21" s="9"/>
      <c r="AVH21" s="9"/>
      <c r="AVI21" s="9"/>
      <c r="AVJ21" s="9"/>
      <c r="AVK21" s="9"/>
      <c r="AVL21" s="9"/>
      <c r="AVM21" s="9"/>
      <c r="AVN21" s="9"/>
      <c r="AVO21" s="9"/>
      <c r="AVP21" s="9"/>
      <c r="AVQ21" s="9"/>
      <c r="AVR21" s="9"/>
      <c r="AVS21" s="9"/>
      <c r="AVT21" s="9"/>
      <c r="AVU21" s="9"/>
      <c r="AVV21" s="9"/>
      <c r="AVW21" s="9"/>
      <c r="AVX21" s="9"/>
      <c r="AVY21" s="9"/>
      <c r="AVZ21" s="9"/>
      <c r="AWA21" s="9"/>
      <c r="AWB21" s="9"/>
      <c r="AWC21" s="9"/>
      <c r="AWD21" s="9"/>
      <c r="AWE21" s="9"/>
      <c r="AWF21" s="9"/>
      <c r="AWG21" s="9"/>
      <c r="AWH21" s="9"/>
      <c r="AWI21" s="9"/>
      <c r="AWJ21" s="9"/>
      <c r="AWK21" s="9"/>
      <c r="AWL21" s="9"/>
      <c r="AWM21" s="9"/>
      <c r="AWN21" s="9"/>
      <c r="AWO21" s="9"/>
      <c r="AWP21" s="9"/>
      <c r="AWQ21" s="9"/>
      <c r="AWR21" s="9"/>
      <c r="AWS21" s="9"/>
      <c r="AWT21" s="9"/>
      <c r="AWU21" s="9"/>
      <c r="AWV21" s="9"/>
      <c r="AWW21" s="9"/>
      <c r="AWX21" s="9"/>
      <c r="AWY21" s="9"/>
      <c r="AWZ21" s="9"/>
      <c r="AXA21" s="9"/>
      <c r="AXB21" s="9"/>
      <c r="AXC21" s="9"/>
      <c r="AXD21" s="9"/>
      <c r="AXE21" s="9"/>
      <c r="AXF21" s="9"/>
      <c r="AXG21" s="9"/>
      <c r="AXH21" s="9"/>
      <c r="AXI21" s="9"/>
      <c r="AXJ21" s="9"/>
      <c r="AXK21" s="9"/>
      <c r="AXL21" s="9"/>
      <c r="AXM21" s="9"/>
      <c r="AXN21" s="9"/>
      <c r="AXO21" s="9"/>
      <c r="AXP21" s="9"/>
      <c r="AXQ21" s="9"/>
      <c r="AXR21" s="9"/>
      <c r="AXS21" s="9"/>
      <c r="AXT21" s="9"/>
      <c r="AXU21" s="9"/>
      <c r="AXV21" s="9"/>
      <c r="AXW21" s="9"/>
      <c r="AXX21" s="9"/>
      <c r="AXY21" s="9"/>
      <c r="AXZ21" s="9"/>
      <c r="AYA21" s="9"/>
      <c r="AYB21" s="9"/>
      <c r="AYC21" s="9"/>
      <c r="AYD21" s="9"/>
      <c r="AYE21" s="9"/>
      <c r="AYF21" s="9"/>
      <c r="AYG21" s="9"/>
      <c r="AYH21" s="9"/>
      <c r="AYI21" s="9"/>
      <c r="AYJ21" s="9"/>
      <c r="AYK21" s="9"/>
      <c r="AYL21" s="9"/>
      <c r="AYM21" s="9"/>
      <c r="AYN21" s="9"/>
      <c r="AYO21" s="9"/>
      <c r="AYP21" s="9"/>
      <c r="AYQ21" s="9"/>
      <c r="AYR21" s="9"/>
      <c r="AYS21" s="9"/>
      <c r="AYT21" s="9"/>
      <c r="AYU21" s="9"/>
      <c r="AYV21" s="9"/>
      <c r="AYW21" s="9"/>
      <c r="AYX21" s="9"/>
      <c r="AYY21" s="9"/>
      <c r="AYZ21" s="9"/>
      <c r="AZA21" s="9"/>
      <c r="AZB21" s="9"/>
      <c r="AZC21" s="9"/>
      <c r="AZD21" s="9"/>
      <c r="AZE21" s="9"/>
      <c r="AZF21" s="9"/>
      <c r="AZG21" s="9"/>
      <c r="AZH21" s="9"/>
      <c r="AZI21" s="9"/>
      <c r="AZJ21" s="9"/>
      <c r="AZK21" s="9"/>
      <c r="AZL21" s="9"/>
      <c r="AZM21" s="9"/>
      <c r="AZN21" s="9"/>
      <c r="AZO21" s="9"/>
      <c r="AZP21" s="9"/>
      <c r="AZQ21" s="9"/>
      <c r="AZR21" s="9"/>
      <c r="AZS21" s="9"/>
      <c r="AZT21" s="9"/>
      <c r="AZU21" s="9"/>
      <c r="AZV21" s="9"/>
      <c r="AZW21" s="9"/>
      <c r="AZX21" s="9"/>
      <c r="AZY21" s="9"/>
      <c r="AZZ21" s="9"/>
      <c r="BAA21" s="9"/>
      <c r="BAB21" s="9"/>
      <c r="BAC21" s="9"/>
      <c r="BAD21" s="9"/>
      <c r="BAE21" s="9"/>
      <c r="BAF21" s="9"/>
      <c r="BAG21" s="9"/>
      <c r="BAH21" s="9"/>
      <c r="BAI21" s="9"/>
      <c r="BAJ21" s="9"/>
      <c r="BAK21" s="9"/>
      <c r="BAL21" s="9"/>
      <c r="BAM21" s="9"/>
      <c r="BAN21" s="9"/>
      <c r="BAO21" s="9"/>
      <c r="BAP21" s="9"/>
      <c r="BAQ21" s="9"/>
      <c r="BAR21" s="9"/>
      <c r="BAS21" s="9"/>
      <c r="BAT21" s="9"/>
      <c r="BAU21" s="9"/>
      <c r="BAV21" s="9"/>
      <c r="BAW21" s="9"/>
      <c r="BAX21" s="9"/>
      <c r="BAY21" s="9"/>
      <c r="BAZ21" s="9"/>
      <c r="BBA21" s="9"/>
      <c r="BBB21" s="9"/>
      <c r="BBC21" s="9"/>
      <c r="BBD21" s="9"/>
      <c r="BBE21" s="9"/>
      <c r="BBF21" s="9"/>
      <c r="BBG21" s="9"/>
      <c r="BBH21" s="9"/>
      <c r="BBI21" s="9"/>
      <c r="BBJ21" s="9"/>
      <c r="BBK21" s="9"/>
      <c r="BBL21" s="9"/>
      <c r="BBM21" s="9"/>
      <c r="BBN21" s="9"/>
      <c r="BBO21" s="9"/>
      <c r="BBP21" s="9"/>
      <c r="BBQ21" s="9"/>
      <c r="BBR21" s="9"/>
      <c r="BBS21" s="9"/>
      <c r="BBT21" s="9"/>
      <c r="BBU21" s="9"/>
      <c r="BBV21" s="9"/>
      <c r="BBW21" s="9"/>
      <c r="BBX21" s="9"/>
      <c r="BBY21" s="9"/>
      <c r="BBZ21" s="9"/>
      <c r="BCA21" s="9"/>
      <c r="BCB21" s="9"/>
      <c r="BCC21" s="9"/>
      <c r="BCD21" s="9"/>
      <c r="BCE21" s="9"/>
      <c r="BCF21" s="9"/>
      <c r="BCG21" s="9"/>
      <c r="BCH21" s="9"/>
      <c r="BCI21" s="9"/>
      <c r="BCJ21" s="9"/>
      <c r="BCK21" s="9"/>
      <c r="BCL21" s="9"/>
      <c r="BCM21" s="9"/>
      <c r="BCN21" s="9"/>
      <c r="BCO21" s="9"/>
      <c r="BCP21" s="9"/>
      <c r="BCQ21" s="9"/>
      <c r="BCR21" s="9"/>
      <c r="BCS21" s="9"/>
      <c r="BCT21" s="9"/>
      <c r="BCU21" s="9"/>
      <c r="BCV21" s="9"/>
      <c r="BCW21" s="9"/>
      <c r="BCX21" s="9"/>
      <c r="BCY21" s="9"/>
      <c r="BCZ21" s="9"/>
      <c r="BDA21" s="9"/>
      <c r="BDB21" s="9"/>
      <c r="BDC21" s="9"/>
      <c r="BDD21" s="9"/>
      <c r="BDE21" s="9"/>
      <c r="BDF21" s="9"/>
      <c r="BDG21" s="9"/>
      <c r="BDH21" s="9"/>
      <c r="BDI21" s="9"/>
      <c r="BDJ21" s="9"/>
      <c r="BDK21" s="9"/>
      <c r="BDL21" s="9"/>
      <c r="BDM21" s="9"/>
      <c r="BDN21" s="9"/>
      <c r="BDO21" s="9"/>
      <c r="BDP21" s="9"/>
      <c r="BDQ21" s="9"/>
      <c r="BDR21" s="9"/>
      <c r="BDS21" s="9"/>
      <c r="BDT21" s="9"/>
      <c r="BDU21" s="9"/>
      <c r="BDV21" s="9"/>
      <c r="BDW21" s="9"/>
      <c r="BDX21" s="9"/>
      <c r="BDY21" s="9"/>
      <c r="BDZ21" s="9"/>
      <c r="BEA21" s="9"/>
      <c r="BEB21" s="9"/>
      <c r="BEC21" s="9"/>
      <c r="BED21" s="9"/>
      <c r="BEE21" s="9"/>
      <c r="BEF21" s="9"/>
      <c r="BEG21" s="9"/>
      <c r="BEH21" s="9"/>
      <c r="BEI21" s="9"/>
      <c r="BEJ21" s="9"/>
      <c r="BEK21" s="9"/>
      <c r="BEL21" s="9"/>
      <c r="BEM21" s="9"/>
      <c r="BEN21" s="9"/>
      <c r="BEO21" s="9"/>
      <c r="BEP21" s="9"/>
      <c r="BEQ21" s="9"/>
      <c r="BER21" s="9"/>
      <c r="BES21" s="9"/>
      <c r="BET21" s="9"/>
      <c r="BEU21" s="9"/>
      <c r="BEV21" s="9"/>
      <c r="BEW21" s="9"/>
      <c r="BEX21" s="9"/>
      <c r="BEY21" s="9"/>
      <c r="BEZ21" s="9"/>
      <c r="BFA21" s="9"/>
      <c r="BFB21" s="9"/>
      <c r="BFC21" s="9"/>
      <c r="BFD21" s="9"/>
      <c r="BFE21" s="9"/>
      <c r="BFF21" s="9"/>
      <c r="BFG21" s="9"/>
      <c r="BFH21" s="9"/>
      <c r="BFI21" s="9"/>
      <c r="BFJ21" s="9"/>
      <c r="BFK21" s="9"/>
      <c r="BFL21" s="9"/>
      <c r="BFM21" s="9"/>
      <c r="BFN21" s="9"/>
      <c r="BFO21" s="9"/>
      <c r="BFP21" s="9"/>
      <c r="BFQ21" s="9"/>
      <c r="BFR21" s="9"/>
      <c r="BFS21" s="9"/>
      <c r="BFT21" s="9"/>
      <c r="BFU21" s="9"/>
      <c r="BFV21" s="9"/>
      <c r="BFW21" s="9"/>
      <c r="BFX21" s="9"/>
      <c r="BFY21" s="9"/>
      <c r="BFZ21" s="9"/>
      <c r="BGA21" s="9"/>
      <c r="BGB21" s="9"/>
      <c r="BGC21" s="9"/>
      <c r="BGD21" s="9"/>
      <c r="BGE21" s="9"/>
      <c r="BGF21" s="9"/>
      <c r="BGG21" s="9"/>
      <c r="BGH21" s="9"/>
      <c r="BGI21" s="9"/>
      <c r="BGJ21" s="9"/>
      <c r="BGK21" s="9"/>
      <c r="BGL21" s="9"/>
      <c r="BGM21" s="9"/>
      <c r="BGN21" s="9"/>
      <c r="BGO21" s="9"/>
      <c r="BGP21" s="9"/>
      <c r="BGQ21" s="9"/>
      <c r="BGR21" s="9"/>
      <c r="BGS21" s="9"/>
      <c r="BGT21" s="9"/>
      <c r="BGU21" s="9"/>
      <c r="BGV21" s="9"/>
      <c r="BGW21" s="9"/>
      <c r="BGX21" s="9"/>
      <c r="BGY21" s="9"/>
      <c r="BGZ21" s="9"/>
      <c r="BHA21" s="9"/>
      <c r="BHB21" s="9"/>
      <c r="BHC21" s="9"/>
      <c r="BHD21" s="9"/>
      <c r="BHE21" s="9"/>
      <c r="BHF21" s="9"/>
      <c r="BHG21" s="9"/>
      <c r="BHH21" s="9"/>
      <c r="BHI21" s="9"/>
      <c r="BHJ21" s="9"/>
      <c r="BHK21" s="9"/>
      <c r="BHL21" s="9"/>
      <c r="BHM21" s="9"/>
      <c r="BHN21" s="9"/>
      <c r="BHO21" s="9"/>
      <c r="BHP21" s="9"/>
      <c r="BHQ21" s="9"/>
      <c r="BHR21" s="9"/>
      <c r="BHS21" s="9"/>
      <c r="BHT21" s="9"/>
      <c r="BHU21" s="9"/>
      <c r="BHV21" s="9"/>
      <c r="BHW21" s="9"/>
      <c r="BHX21" s="9"/>
      <c r="BHY21" s="9"/>
      <c r="BHZ21" s="9"/>
      <c r="BIA21" s="9"/>
      <c r="BIB21" s="9"/>
      <c r="BIC21" s="9"/>
      <c r="BID21" s="9"/>
      <c r="BIE21" s="9"/>
      <c r="BIF21" s="9"/>
      <c r="BIG21" s="9"/>
      <c r="BIH21" s="9"/>
      <c r="BII21" s="9"/>
      <c r="BIJ21" s="9"/>
      <c r="BIK21" s="9"/>
      <c r="BIL21" s="9"/>
      <c r="BIM21" s="9"/>
      <c r="BIN21" s="9"/>
      <c r="BIO21" s="9"/>
      <c r="BIP21" s="9"/>
      <c r="BIQ21" s="9"/>
      <c r="BIR21" s="9"/>
      <c r="BIS21" s="9"/>
      <c r="BIT21" s="9"/>
      <c r="BIU21" s="9"/>
      <c r="BIV21" s="9"/>
      <c r="BIW21" s="9"/>
      <c r="BIX21" s="9"/>
      <c r="BIY21" s="9"/>
      <c r="BIZ21" s="9"/>
      <c r="BJA21" s="9"/>
      <c r="BJB21" s="9"/>
      <c r="BJC21" s="9"/>
      <c r="BJD21" s="9"/>
      <c r="BJE21" s="9"/>
      <c r="BJF21" s="9"/>
      <c r="BJG21" s="9"/>
      <c r="BJH21" s="9"/>
      <c r="BJI21" s="9"/>
      <c r="BJJ21" s="9"/>
      <c r="BJK21" s="9"/>
      <c r="BJL21" s="9"/>
      <c r="BJM21" s="9"/>
      <c r="BJN21" s="9"/>
      <c r="BJO21" s="9"/>
      <c r="BJP21" s="9"/>
      <c r="BJQ21" s="9"/>
      <c r="BJR21" s="9"/>
      <c r="BJS21" s="9"/>
      <c r="BJT21" s="9"/>
      <c r="BJU21" s="9"/>
      <c r="BJV21" s="9"/>
      <c r="BJW21" s="9"/>
      <c r="BJX21" s="9"/>
      <c r="BJY21" s="9"/>
      <c r="BJZ21" s="9"/>
      <c r="BKA21" s="9"/>
      <c r="BKB21" s="9"/>
      <c r="BKC21" s="9"/>
      <c r="BKD21" s="9"/>
      <c r="BKE21" s="9"/>
      <c r="BKF21" s="9"/>
      <c r="BKG21" s="9"/>
      <c r="BKH21" s="9"/>
      <c r="BKI21" s="9"/>
      <c r="BKJ21" s="9"/>
      <c r="BKK21" s="9"/>
      <c r="BKL21" s="9"/>
      <c r="BKM21" s="9"/>
      <c r="BKN21" s="9"/>
      <c r="BKO21" s="9"/>
      <c r="BKP21" s="9"/>
      <c r="BKQ21" s="9"/>
      <c r="BKR21" s="9"/>
      <c r="BKS21" s="9"/>
      <c r="BKT21" s="9"/>
      <c r="BKU21" s="9"/>
      <c r="BKV21" s="9"/>
      <c r="BKW21" s="9"/>
      <c r="BKX21" s="9"/>
      <c r="BKY21" s="9"/>
      <c r="BKZ21" s="9"/>
      <c r="BLA21" s="9"/>
      <c r="BLB21" s="9"/>
      <c r="BLC21" s="9"/>
      <c r="BLD21" s="9"/>
      <c r="BLE21" s="9"/>
      <c r="BLF21" s="9"/>
      <c r="BLG21" s="9"/>
      <c r="BLH21" s="9"/>
      <c r="BLI21" s="9"/>
      <c r="BLJ21" s="9"/>
      <c r="BLK21" s="9"/>
      <c r="BLL21" s="9"/>
      <c r="BLM21" s="9"/>
      <c r="BLN21" s="9"/>
      <c r="BLO21" s="9"/>
      <c r="BLP21" s="9"/>
      <c r="BLQ21" s="9"/>
      <c r="BLR21" s="9"/>
      <c r="BLS21" s="9"/>
      <c r="BLT21" s="9"/>
      <c r="BLU21" s="9"/>
      <c r="BLV21" s="9"/>
      <c r="BLW21" s="9"/>
      <c r="BLX21" s="9"/>
      <c r="BLY21" s="9"/>
      <c r="BLZ21" s="9"/>
      <c r="BMA21" s="9"/>
      <c r="BMB21" s="9"/>
      <c r="BMC21" s="9"/>
      <c r="BMD21" s="9"/>
      <c r="BME21" s="9"/>
      <c r="BMF21" s="9"/>
      <c r="BMG21" s="9"/>
      <c r="BMH21" s="9"/>
      <c r="BMI21" s="9"/>
      <c r="BMJ21" s="9"/>
      <c r="BMK21" s="9"/>
      <c r="BML21" s="9"/>
      <c r="BMM21" s="9"/>
      <c r="BMN21" s="9"/>
      <c r="BMO21" s="9"/>
      <c r="BMP21" s="9"/>
      <c r="BMQ21" s="9"/>
      <c r="BMR21" s="9"/>
      <c r="BMS21" s="9"/>
      <c r="BMT21" s="9"/>
      <c r="BMU21" s="9"/>
      <c r="BMV21" s="9"/>
      <c r="BMW21" s="9"/>
      <c r="BMX21" s="9"/>
      <c r="BMY21" s="9"/>
      <c r="BMZ21" s="9"/>
      <c r="BNA21" s="9"/>
      <c r="BNB21" s="9"/>
      <c r="BNC21" s="9"/>
      <c r="BND21" s="9"/>
      <c r="BNE21" s="9"/>
      <c r="BNF21" s="9"/>
      <c r="BNG21" s="9"/>
      <c r="BNH21" s="9"/>
      <c r="BNI21" s="9"/>
      <c r="BNJ21" s="9"/>
      <c r="BNK21" s="9"/>
      <c r="BNL21" s="9"/>
      <c r="BNM21" s="9"/>
      <c r="BNN21" s="9"/>
      <c r="BNO21" s="9"/>
      <c r="BNP21" s="9"/>
      <c r="BNQ21" s="9"/>
      <c r="BNR21" s="9"/>
      <c r="BNS21" s="9"/>
      <c r="BNT21" s="9"/>
      <c r="BNU21" s="9"/>
      <c r="BNV21" s="9"/>
      <c r="BNW21" s="9"/>
      <c r="BNX21" s="9"/>
      <c r="BNY21" s="9"/>
      <c r="BNZ21" s="9"/>
      <c r="BOA21" s="9"/>
      <c r="BOB21" s="9"/>
      <c r="BOC21" s="9"/>
      <c r="BOD21" s="9"/>
      <c r="BOE21" s="9"/>
      <c r="BOF21" s="9"/>
      <c r="BOG21" s="9"/>
      <c r="BOH21" s="9"/>
      <c r="BOI21" s="9"/>
      <c r="BOJ21" s="9"/>
      <c r="BOK21" s="9"/>
      <c r="BOL21" s="9"/>
      <c r="BOM21" s="9"/>
      <c r="BON21" s="9"/>
      <c r="BOO21" s="9"/>
      <c r="BOP21" s="9"/>
      <c r="BOQ21" s="9"/>
      <c r="BOR21" s="9"/>
      <c r="BOS21" s="9"/>
      <c r="BOT21" s="9"/>
      <c r="BOU21" s="9"/>
      <c r="BOV21" s="9"/>
      <c r="BOW21" s="9"/>
      <c r="BOX21" s="9"/>
      <c r="BOY21" s="9"/>
      <c r="BOZ21" s="9"/>
      <c r="BPA21" s="9"/>
      <c r="BPB21" s="9"/>
      <c r="BPC21" s="9"/>
      <c r="BPD21" s="9"/>
      <c r="BPE21" s="9"/>
      <c r="BPF21" s="9"/>
      <c r="BPG21" s="9"/>
      <c r="BPH21" s="9"/>
      <c r="BPI21" s="9"/>
      <c r="BPJ21" s="9"/>
      <c r="BPK21" s="9"/>
      <c r="BPL21" s="9"/>
      <c r="BPM21" s="9"/>
      <c r="BPN21" s="9"/>
      <c r="BPO21" s="9"/>
      <c r="BPP21" s="9"/>
      <c r="BPQ21" s="9"/>
      <c r="BPR21" s="9"/>
      <c r="BPS21" s="9"/>
      <c r="BPT21" s="9"/>
      <c r="BPU21" s="9"/>
      <c r="BPV21" s="9"/>
      <c r="BPW21" s="9"/>
      <c r="BPX21" s="9"/>
      <c r="BPY21" s="9"/>
      <c r="BPZ21" s="9"/>
      <c r="BQA21" s="9"/>
      <c r="BQB21" s="9"/>
      <c r="BQC21" s="9"/>
      <c r="BQD21" s="9"/>
      <c r="BQE21" s="9"/>
      <c r="BQF21" s="9"/>
      <c r="BQG21" s="9"/>
      <c r="BQH21" s="9"/>
      <c r="BQI21" s="9"/>
      <c r="BQJ21" s="9"/>
      <c r="BQK21" s="9"/>
      <c r="BQL21" s="9"/>
      <c r="BQM21" s="9"/>
      <c r="BQN21" s="9"/>
      <c r="BQO21" s="9"/>
      <c r="BQP21" s="9"/>
      <c r="BQQ21" s="9"/>
      <c r="BQR21" s="9"/>
      <c r="BQS21" s="9"/>
      <c r="BQT21" s="9"/>
      <c r="BQU21" s="9"/>
      <c r="BQV21" s="9"/>
      <c r="BQW21" s="9"/>
      <c r="BQX21" s="9"/>
      <c r="BQY21" s="9"/>
      <c r="BQZ21" s="9"/>
      <c r="BRA21" s="9"/>
      <c r="BRB21" s="9"/>
      <c r="BRC21" s="9"/>
      <c r="BRD21" s="9"/>
      <c r="BRE21" s="9"/>
      <c r="BRF21" s="9"/>
      <c r="BRG21" s="9"/>
      <c r="BRH21" s="9"/>
      <c r="BRI21" s="9"/>
      <c r="BRJ21" s="9"/>
      <c r="BRK21" s="9"/>
      <c r="BRL21" s="9"/>
      <c r="BRM21" s="9"/>
      <c r="BRN21" s="9"/>
      <c r="BRO21" s="9"/>
      <c r="BRP21" s="9"/>
      <c r="BRQ21" s="9"/>
      <c r="BRR21" s="9"/>
      <c r="BRS21" s="9"/>
      <c r="BRT21" s="9"/>
      <c r="BRU21" s="9"/>
      <c r="BRV21" s="9"/>
      <c r="BRW21" s="9"/>
      <c r="BRX21" s="9"/>
      <c r="BRY21" s="9"/>
      <c r="BRZ21" s="9"/>
      <c r="BSA21" s="9"/>
      <c r="BSB21" s="9"/>
      <c r="BSC21" s="9"/>
      <c r="BSD21" s="9"/>
      <c r="BSE21" s="9"/>
      <c r="BSF21" s="9"/>
      <c r="BSG21" s="9"/>
      <c r="BSH21" s="9"/>
      <c r="BSI21" s="9"/>
      <c r="BSJ21" s="9"/>
      <c r="BSK21" s="9"/>
      <c r="BSL21" s="9"/>
      <c r="BSM21" s="9"/>
      <c r="BSN21" s="9"/>
      <c r="BSO21" s="9"/>
      <c r="BSP21" s="9"/>
      <c r="BSQ21" s="9"/>
      <c r="BSR21" s="9"/>
      <c r="BSS21" s="9"/>
      <c r="BST21" s="9"/>
      <c r="BSU21" s="9"/>
      <c r="BSV21" s="9"/>
      <c r="BSW21" s="9"/>
      <c r="BSX21" s="9"/>
      <c r="BSY21" s="9"/>
      <c r="BSZ21" s="9"/>
      <c r="BTA21" s="9"/>
      <c r="BTB21" s="9"/>
      <c r="BTC21" s="9"/>
      <c r="BTD21" s="9"/>
      <c r="BTE21" s="9"/>
      <c r="BTF21" s="9"/>
      <c r="BTG21" s="9"/>
      <c r="BTH21" s="9"/>
      <c r="BTI21" s="9"/>
      <c r="BTJ21" s="9"/>
      <c r="BTK21" s="9"/>
      <c r="BTL21" s="9"/>
      <c r="BTM21" s="9"/>
      <c r="BTN21" s="9"/>
      <c r="BTO21" s="9"/>
      <c r="BTP21" s="9"/>
      <c r="BTQ21" s="9"/>
      <c r="BTR21" s="9"/>
      <c r="BTS21" s="9"/>
      <c r="BTT21" s="9"/>
      <c r="BTU21" s="9"/>
      <c r="BTV21" s="9"/>
      <c r="BTW21" s="9"/>
      <c r="BTX21" s="9"/>
      <c r="BTY21" s="9"/>
      <c r="BTZ21" s="9"/>
      <c r="BUA21" s="9"/>
      <c r="BUB21" s="9"/>
      <c r="BUC21" s="9"/>
      <c r="BUD21" s="9"/>
      <c r="BUE21" s="9"/>
      <c r="BUF21" s="9"/>
      <c r="BUG21" s="9"/>
      <c r="BUH21" s="9"/>
      <c r="BUI21" s="9"/>
      <c r="BUJ21" s="9"/>
      <c r="BUK21" s="9"/>
      <c r="BUL21" s="9"/>
      <c r="BUM21" s="9"/>
      <c r="BUN21" s="9"/>
      <c r="BUO21" s="9"/>
      <c r="BUP21" s="9"/>
      <c r="BUQ21" s="9"/>
      <c r="BUR21" s="9"/>
      <c r="BUS21" s="9"/>
      <c r="BUT21" s="9"/>
      <c r="BUU21" s="9"/>
      <c r="BUV21" s="9"/>
      <c r="BUW21" s="9"/>
      <c r="BUX21" s="9"/>
      <c r="BUY21" s="9"/>
      <c r="BUZ21" s="9"/>
      <c r="BVA21" s="9"/>
      <c r="BVB21" s="9"/>
      <c r="BVC21" s="9"/>
      <c r="BVD21" s="9"/>
      <c r="BVE21" s="9"/>
      <c r="BVF21" s="9"/>
      <c r="BVG21" s="9"/>
      <c r="BVH21" s="9"/>
      <c r="BVI21" s="9"/>
      <c r="BVJ21" s="9"/>
      <c r="BVK21" s="9"/>
      <c r="BVL21" s="9"/>
      <c r="BVM21" s="9"/>
      <c r="BVN21" s="9"/>
      <c r="BVO21" s="9"/>
      <c r="BVP21" s="9"/>
      <c r="BVQ21" s="9"/>
      <c r="BVR21" s="9"/>
      <c r="BVS21" s="9"/>
      <c r="BVT21" s="9"/>
      <c r="BVU21" s="9"/>
      <c r="BVV21" s="9"/>
      <c r="BVW21" s="9"/>
      <c r="BVX21" s="9"/>
      <c r="BVY21" s="9"/>
      <c r="BVZ21" s="9"/>
      <c r="BWA21" s="9"/>
      <c r="BWB21" s="9"/>
      <c r="BWC21" s="9"/>
      <c r="BWD21" s="9"/>
      <c r="BWE21" s="9"/>
      <c r="BWF21" s="9"/>
      <c r="BWG21" s="9"/>
      <c r="BWH21" s="9"/>
      <c r="BWI21" s="9"/>
      <c r="BWJ21" s="9"/>
      <c r="BWK21" s="9"/>
      <c r="BWL21" s="9"/>
      <c r="BWM21" s="9"/>
      <c r="BWN21" s="9"/>
      <c r="BWO21" s="9"/>
      <c r="BWP21" s="9"/>
      <c r="BWQ21" s="9"/>
      <c r="BWR21" s="9"/>
      <c r="BWS21" s="9"/>
      <c r="BWT21" s="9"/>
      <c r="BWU21" s="9"/>
      <c r="BWV21" s="9"/>
      <c r="BWW21" s="9"/>
      <c r="BWX21" s="9"/>
      <c r="BWY21" s="9"/>
      <c r="BWZ21" s="9"/>
      <c r="BXA21" s="9"/>
      <c r="BXB21" s="9"/>
      <c r="BXC21" s="9"/>
      <c r="BXD21" s="9"/>
      <c r="BXE21" s="9"/>
      <c r="BXF21" s="9"/>
      <c r="BXG21" s="9"/>
      <c r="BXH21" s="9"/>
      <c r="BXI21" s="9"/>
      <c r="BXJ21" s="9"/>
      <c r="BXK21" s="9"/>
      <c r="BXL21" s="9"/>
      <c r="BXM21" s="9"/>
      <c r="BXN21" s="9"/>
      <c r="BXO21" s="9"/>
      <c r="BXP21" s="9"/>
      <c r="BXQ21" s="9"/>
      <c r="BXR21" s="9"/>
      <c r="BXS21" s="9"/>
      <c r="BXT21" s="9"/>
      <c r="BXU21" s="9"/>
      <c r="BXV21" s="9"/>
      <c r="BXW21" s="9"/>
      <c r="BXX21" s="9"/>
      <c r="BXY21" s="9"/>
      <c r="BXZ21" s="9"/>
      <c r="BYA21" s="9"/>
      <c r="BYB21" s="9"/>
      <c r="BYC21" s="9"/>
      <c r="BYD21" s="9"/>
      <c r="BYE21" s="9"/>
      <c r="BYF21" s="9"/>
      <c r="BYG21" s="9"/>
      <c r="BYH21" s="9"/>
      <c r="BYI21" s="9"/>
      <c r="BYJ21" s="9"/>
      <c r="BYK21" s="9"/>
      <c r="BYL21" s="9"/>
      <c r="BYM21" s="9"/>
      <c r="BYN21" s="9"/>
      <c r="BYO21" s="9"/>
      <c r="BYP21" s="9"/>
      <c r="BYQ21" s="9"/>
      <c r="BYR21" s="9"/>
      <c r="BYS21" s="9"/>
      <c r="BYT21" s="9"/>
      <c r="BYU21" s="9"/>
      <c r="BYV21" s="9"/>
      <c r="BYW21" s="9"/>
      <c r="BYX21" s="9"/>
      <c r="BYY21" s="9"/>
      <c r="BYZ21" s="9"/>
      <c r="BZA21" s="9"/>
      <c r="BZB21" s="9"/>
      <c r="BZC21" s="9"/>
      <c r="BZD21" s="9"/>
      <c r="BZE21" s="9"/>
      <c r="BZF21" s="9"/>
      <c r="BZG21" s="9"/>
      <c r="BZH21" s="9"/>
      <c r="BZI21" s="9"/>
      <c r="BZJ21" s="9"/>
      <c r="BZK21" s="9"/>
      <c r="BZL21" s="9"/>
      <c r="BZM21" s="9"/>
      <c r="BZN21" s="9"/>
      <c r="BZO21" s="9"/>
      <c r="BZP21" s="9"/>
      <c r="BZQ21" s="9"/>
      <c r="BZR21" s="9"/>
      <c r="BZS21" s="9"/>
      <c r="BZT21" s="9"/>
      <c r="BZU21" s="9"/>
      <c r="BZV21" s="9"/>
      <c r="BZW21" s="9"/>
      <c r="BZX21" s="9"/>
      <c r="BZY21" s="9"/>
      <c r="BZZ21" s="9"/>
      <c r="CAA21" s="9"/>
      <c r="CAB21" s="9"/>
      <c r="CAC21" s="9"/>
      <c r="CAD21" s="9"/>
      <c r="CAE21" s="9"/>
      <c r="CAF21" s="9"/>
      <c r="CAG21" s="9"/>
      <c r="CAH21" s="9"/>
      <c r="CAI21" s="9"/>
      <c r="CAJ21" s="9"/>
      <c r="CAK21" s="9"/>
      <c r="CAL21" s="9"/>
      <c r="CAM21" s="9"/>
      <c r="CAN21" s="9"/>
      <c r="CAO21" s="9"/>
      <c r="CAP21" s="9"/>
      <c r="CAQ21" s="9"/>
      <c r="CAR21" s="9"/>
      <c r="CAS21" s="9"/>
      <c r="CAT21" s="9"/>
      <c r="CAU21" s="9"/>
      <c r="CAV21" s="9"/>
      <c r="CAW21" s="9"/>
      <c r="CAX21" s="9"/>
      <c r="CAY21" s="9"/>
      <c r="CAZ21" s="9"/>
      <c r="CBA21" s="9"/>
      <c r="CBB21" s="9"/>
      <c r="CBC21" s="9"/>
      <c r="CBD21" s="9"/>
      <c r="CBE21" s="9"/>
      <c r="CBF21" s="9"/>
      <c r="CBG21" s="9"/>
      <c r="CBH21" s="9"/>
      <c r="CBI21" s="9"/>
      <c r="CBJ21" s="9"/>
      <c r="CBK21" s="9"/>
      <c r="CBL21" s="9"/>
      <c r="CBM21" s="9"/>
      <c r="CBN21" s="9"/>
      <c r="CBO21" s="9"/>
      <c r="CBP21" s="9"/>
      <c r="CBQ21" s="9"/>
      <c r="CBR21" s="9"/>
      <c r="CBS21" s="9"/>
      <c r="CBT21" s="9"/>
      <c r="CBU21" s="9"/>
      <c r="CBV21" s="9"/>
      <c r="CBW21" s="9"/>
      <c r="CBX21" s="9"/>
      <c r="CBY21" s="9"/>
      <c r="CBZ21" s="9"/>
      <c r="CCA21" s="9"/>
      <c r="CCB21" s="9"/>
      <c r="CCC21" s="9"/>
      <c r="CCD21" s="9"/>
      <c r="CCE21" s="9"/>
      <c r="CCF21" s="9"/>
      <c r="CCG21" s="9"/>
      <c r="CCH21" s="9"/>
      <c r="CCI21" s="9"/>
      <c r="CCJ21" s="9"/>
      <c r="CCK21" s="9"/>
      <c r="CCL21" s="9"/>
      <c r="CCM21" s="9"/>
      <c r="CCN21" s="9"/>
      <c r="CCO21" s="9"/>
      <c r="CCP21" s="9"/>
      <c r="CCQ21" s="9"/>
      <c r="CCR21" s="9"/>
      <c r="CCS21" s="9"/>
      <c r="CCT21" s="9"/>
      <c r="CCU21" s="9"/>
      <c r="CCV21" s="9"/>
      <c r="CCW21" s="9"/>
      <c r="CCX21" s="9"/>
      <c r="CCY21" s="9"/>
      <c r="CCZ21" s="9"/>
      <c r="CDA21" s="9"/>
      <c r="CDB21" s="9"/>
      <c r="CDC21" s="9"/>
      <c r="CDD21" s="9"/>
      <c r="CDE21" s="9"/>
      <c r="CDF21" s="9"/>
      <c r="CDG21" s="9"/>
      <c r="CDH21" s="9"/>
      <c r="CDI21" s="9"/>
      <c r="CDJ21" s="9"/>
      <c r="CDK21" s="9"/>
      <c r="CDL21" s="9"/>
      <c r="CDM21" s="9"/>
      <c r="CDN21" s="9"/>
      <c r="CDO21" s="9"/>
      <c r="CDP21" s="9"/>
      <c r="CDQ21" s="9"/>
      <c r="CDR21" s="9"/>
      <c r="CDS21" s="9"/>
      <c r="CDT21" s="9"/>
      <c r="CDU21" s="9"/>
      <c r="CDV21" s="9"/>
      <c r="CDW21" s="9"/>
      <c r="CDX21" s="9"/>
      <c r="CDY21" s="9"/>
      <c r="CDZ21" s="9"/>
      <c r="CEA21" s="9"/>
      <c r="CEB21" s="9"/>
      <c r="CEC21" s="9"/>
      <c r="CED21" s="9"/>
      <c r="CEE21" s="9"/>
      <c r="CEF21" s="9"/>
      <c r="CEG21" s="9"/>
      <c r="CEH21" s="9"/>
      <c r="CEI21" s="9"/>
      <c r="CEJ21" s="9"/>
      <c r="CEK21" s="9"/>
      <c r="CEL21" s="9"/>
      <c r="CEM21" s="9"/>
      <c r="CEN21" s="9"/>
      <c r="CEO21" s="9"/>
      <c r="CEP21" s="9"/>
      <c r="CEQ21" s="9"/>
      <c r="CER21" s="9"/>
      <c r="CES21" s="9"/>
      <c r="CET21" s="9"/>
      <c r="CEU21" s="9"/>
      <c r="CEV21" s="9"/>
      <c r="CEW21" s="9"/>
      <c r="CEX21" s="9"/>
      <c r="CEY21" s="9"/>
      <c r="CEZ21" s="9"/>
      <c r="CFA21" s="9"/>
      <c r="CFB21" s="9"/>
      <c r="CFC21" s="9"/>
      <c r="CFD21" s="9"/>
      <c r="CFE21" s="9"/>
      <c r="CFF21" s="9"/>
      <c r="CFG21" s="9"/>
      <c r="CFH21" s="9"/>
      <c r="CFI21" s="9"/>
      <c r="CFJ21" s="9"/>
      <c r="CFK21" s="9"/>
      <c r="CFL21" s="9"/>
      <c r="CFM21" s="9"/>
      <c r="CFN21" s="9"/>
      <c r="CFO21" s="9"/>
      <c r="CFP21" s="9"/>
      <c r="CFQ21" s="9"/>
      <c r="CFR21" s="9"/>
      <c r="CFS21" s="9"/>
      <c r="CFT21" s="9"/>
      <c r="CFU21" s="9"/>
      <c r="CFV21" s="9"/>
      <c r="CFW21" s="9"/>
      <c r="CFX21" s="9"/>
      <c r="CFY21" s="9"/>
      <c r="CFZ21" s="9"/>
      <c r="CGA21" s="9"/>
      <c r="CGB21" s="9"/>
      <c r="CGC21" s="9"/>
      <c r="CGD21" s="9"/>
      <c r="CGE21" s="9"/>
      <c r="CGF21" s="9"/>
      <c r="CGG21" s="9"/>
      <c r="CGH21" s="9"/>
      <c r="CGI21" s="9"/>
      <c r="CGJ21" s="9"/>
      <c r="CGK21" s="9"/>
      <c r="CGL21" s="9"/>
      <c r="CGM21" s="9"/>
      <c r="CGN21" s="9"/>
      <c r="CGO21" s="9"/>
      <c r="CGP21" s="9"/>
      <c r="CGQ21" s="9"/>
      <c r="CGR21" s="9"/>
      <c r="CGS21" s="9"/>
      <c r="CGT21" s="9"/>
      <c r="CGU21" s="9"/>
      <c r="CGV21" s="9"/>
      <c r="CGW21" s="9"/>
      <c r="CGX21" s="9"/>
      <c r="CGY21" s="9"/>
      <c r="CGZ21" s="9"/>
      <c r="CHA21" s="9"/>
      <c r="CHB21" s="9"/>
      <c r="CHC21" s="9"/>
      <c r="CHD21" s="9"/>
      <c r="CHE21" s="9"/>
      <c r="CHF21" s="9"/>
      <c r="CHG21" s="9"/>
      <c r="CHH21" s="9"/>
      <c r="CHI21" s="9"/>
      <c r="CHJ21" s="9"/>
      <c r="CHK21" s="9"/>
      <c r="CHL21" s="9"/>
      <c r="CHM21" s="9"/>
      <c r="CHN21" s="9"/>
      <c r="CHO21" s="9"/>
      <c r="CHP21" s="9"/>
      <c r="CHQ21" s="9"/>
      <c r="CHR21" s="9"/>
      <c r="CHS21" s="9"/>
      <c r="CHT21" s="9"/>
      <c r="CHU21" s="9"/>
      <c r="CHV21" s="9"/>
      <c r="CHW21" s="9"/>
      <c r="CHX21" s="9"/>
      <c r="CHY21" s="9"/>
      <c r="CHZ21" s="9"/>
      <c r="CIA21" s="9"/>
      <c r="CIB21" s="9"/>
      <c r="CIC21" s="9"/>
      <c r="CID21" s="9"/>
      <c r="CIE21" s="9"/>
      <c r="CIF21" s="9"/>
      <c r="CIG21" s="9"/>
      <c r="CIH21" s="9"/>
      <c r="CII21" s="9"/>
      <c r="CIJ21" s="9"/>
      <c r="CIK21" s="9"/>
      <c r="CIL21" s="9"/>
      <c r="CIM21" s="9"/>
      <c r="CIN21" s="9"/>
      <c r="CIO21" s="9"/>
      <c r="CIP21" s="9"/>
      <c r="CIQ21" s="9"/>
      <c r="CIR21" s="9"/>
      <c r="CIS21" s="9"/>
      <c r="CIT21" s="9"/>
      <c r="CIU21" s="9"/>
      <c r="CIV21" s="9"/>
      <c r="CIW21" s="9"/>
      <c r="CIX21" s="9"/>
      <c r="CIY21" s="9"/>
      <c r="CIZ21" s="9"/>
      <c r="CJA21" s="9"/>
      <c r="CJB21" s="9"/>
      <c r="CJC21" s="9"/>
      <c r="CJD21" s="9"/>
      <c r="CJE21" s="9"/>
      <c r="CJF21" s="9"/>
      <c r="CJG21" s="9"/>
      <c r="CJH21" s="9"/>
      <c r="CJI21" s="9"/>
      <c r="CJJ21" s="9"/>
      <c r="CJK21" s="9"/>
      <c r="CJL21" s="9"/>
      <c r="CJM21" s="9"/>
      <c r="CJN21" s="9"/>
      <c r="CJO21" s="9"/>
      <c r="CJP21" s="9"/>
      <c r="CJQ21" s="9"/>
      <c r="CJR21" s="9"/>
      <c r="CJS21" s="9"/>
      <c r="CJT21" s="9"/>
      <c r="CJU21" s="9"/>
      <c r="CJV21" s="9"/>
      <c r="CJW21" s="9"/>
      <c r="CJX21" s="9"/>
      <c r="CJY21" s="9"/>
      <c r="CJZ21" s="9"/>
      <c r="CKA21" s="9"/>
      <c r="CKB21" s="9"/>
      <c r="CKC21" s="9"/>
      <c r="CKD21" s="9"/>
      <c r="CKE21" s="9"/>
      <c r="CKF21" s="9"/>
      <c r="CKG21" s="9"/>
      <c r="CKH21" s="9"/>
      <c r="CKI21" s="9"/>
      <c r="CKJ21" s="9"/>
      <c r="CKK21" s="9"/>
      <c r="CKL21" s="9"/>
      <c r="CKM21" s="9"/>
      <c r="CKN21" s="9"/>
      <c r="CKO21" s="9"/>
      <c r="CKP21" s="9"/>
      <c r="CKQ21" s="9"/>
      <c r="CKR21" s="9"/>
      <c r="CKS21" s="9"/>
      <c r="CKT21" s="9"/>
      <c r="CKU21" s="9"/>
      <c r="CKV21" s="9"/>
      <c r="CKW21" s="9"/>
      <c r="CKX21" s="9"/>
      <c r="CKY21" s="9"/>
      <c r="CKZ21" s="9"/>
      <c r="CLA21" s="9"/>
      <c r="CLB21" s="9"/>
      <c r="CLC21" s="9"/>
      <c r="CLD21" s="9"/>
      <c r="CLE21" s="9"/>
      <c r="CLF21" s="9"/>
      <c r="CLG21" s="9"/>
      <c r="CLH21" s="9"/>
      <c r="CLI21" s="9"/>
      <c r="CLJ21" s="9"/>
      <c r="CLK21" s="9"/>
      <c r="CLL21" s="9"/>
      <c r="CLM21" s="9"/>
      <c r="CLN21" s="9"/>
      <c r="CLO21" s="9"/>
      <c r="CLP21" s="9"/>
      <c r="CLQ21" s="9"/>
      <c r="CLR21" s="9"/>
      <c r="CLS21" s="9"/>
      <c r="CLT21" s="9"/>
      <c r="CLU21" s="9"/>
      <c r="CLV21" s="9"/>
      <c r="CLW21" s="9"/>
      <c r="CLX21" s="9"/>
      <c r="CLY21" s="9"/>
      <c r="CLZ21" s="9"/>
      <c r="CMA21" s="9"/>
      <c r="CMB21" s="9"/>
      <c r="CMC21" s="9"/>
      <c r="CMD21" s="9"/>
      <c r="CME21" s="9"/>
      <c r="CMF21" s="9"/>
      <c r="CMG21" s="9"/>
      <c r="CMH21" s="9"/>
      <c r="CMI21" s="9"/>
      <c r="CMJ21" s="9"/>
      <c r="CMK21" s="9"/>
      <c r="CML21" s="9"/>
      <c r="CMM21" s="9"/>
      <c r="CMN21" s="9"/>
      <c r="CMO21" s="9"/>
      <c r="CMP21" s="9"/>
      <c r="CMQ21" s="9"/>
      <c r="CMR21" s="9"/>
      <c r="CMS21" s="9"/>
      <c r="CMT21" s="9"/>
      <c r="CMU21" s="9"/>
      <c r="CMV21" s="9"/>
      <c r="CMW21" s="9"/>
      <c r="CMX21" s="9"/>
      <c r="CMY21" s="9"/>
      <c r="CMZ21" s="9"/>
      <c r="CNA21" s="9"/>
      <c r="CNB21" s="9"/>
      <c r="CNC21" s="9"/>
      <c r="CND21" s="9"/>
      <c r="CNE21" s="9"/>
      <c r="CNF21" s="9"/>
      <c r="CNG21" s="9"/>
      <c r="CNH21" s="9"/>
      <c r="CNI21" s="9"/>
      <c r="CNJ21" s="9"/>
      <c r="CNK21" s="9"/>
      <c r="CNL21" s="9"/>
      <c r="CNM21" s="9"/>
      <c r="CNN21" s="9"/>
      <c r="CNO21" s="9"/>
      <c r="CNP21" s="9"/>
      <c r="CNQ21" s="9"/>
      <c r="CNR21" s="9"/>
      <c r="CNS21" s="9"/>
      <c r="CNT21" s="9"/>
      <c r="CNU21" s="9"/>
      <c r="CNV21" s="9"/>
      <c r="CNW21" s="9"/>
      <c r="CNX21" s="9"/>
      <c r="CNY21" s="9"/>
      <c r="CNZ21" s="9"/>
      <c r="COA21" s="9"/>
      <c r="COB21" s="9"/>
      <c r="COC21" s="9"/>
      <c r="COD21" s="9"/>
      <c r="COE21" s="9"/>
      <c r="COF21" s="9"/>
      <c r="COG21" s="9"/>
      <c r="COH21" s="9"/>
      <c r="COI21" s="9"/>
      <c r="COJ21" s="9"/>
      <c r="COK21" s="9"/>
      <c r="COL21" s="9"/>
      <c r="COM21" s="9"/>
      <c r="CON21" s="9"/>
      <c r="COO21" s="9"/>
      <c r="COP21" s="9"/>
      <c r="COQ21" s="9"/>
      <c r="COR21" s="9"/>
      <c r="COS21" s="9"/>
      <c r="COT21" s="9"/>
      <c r="COU21" s="9"/>
      <c r="COV21" s="9"/>
      <c r="COW21" s="9"/>
      <c r="COX21" s="9"/>
      <c r="COY21" s="9"/>
      <c r="COZ21" s="9"/>
      <c r="CPA21" s="9"/>
      <c r="CPB21" s="9"/>
      <c r="CPC21" s="9"/>
      <c r="CPD21" s="9"/>
      <c r="CPE21" s="9"/>
      <c r="CPF21" s="9"/>
      <c r="CPG21" s="9"/>
      <c r="CPH21" s="9"/>
      <c r="CPI21" s="9"/>
      <c r="CPJ21" s="9"/>
      <c r="CPK21" s="9"/>
      <c r="CPL21" s="9"/>
      <c r="CPM21" s="9"/>
      <c r="CPN21" s="9"/>
      <c r="CPO21" s="9"/>
      <c r="CPP21" s="9"/>
      <c r="CPQ21" s="9"/>
      <c r="CPR21" s="9"/>
      <c r="CPS21" s="9"/>
      <c r="CPT21" s="9"/>
      <c r="CPU21" s="9"/>
      <c r="CPV21" s="9"/>
      <c r="CPW21" s="9"/>
      <c r="CPX21" s="9"/>
      <c r="CPY21" s="9"/>
      <c r="CPZ21" s="9"/>
      <c r="CQA21" s="9"/>
      <c r="CQB21" s="9"/>
      <c r="CQC21" s="9"/>
      <c r="CQD21" s="9"/>
      <c r="CQE21" s="9"/>
      <c r="CQF21" s="9"/>
      <c r="CQG21" s="9"/>
      <c r="CQH21" s="9"/>
      <c r="CQI21" s="9"/>
      <c r="CQJ21" s="9"/>
      <c r="CQK21" s="9"/>
      <c r="CQL21" s="9"/>
      <c r="CQM21" s="9"/>
      <c r="CQN21" s="9"/>
      <c r="CQO21" s="9"/>
      <c r="CQP21" s="9"/>
      <c r="CQQ21" s="9"/>
      <c r="CQR21" s="9"/>
      <c r="CQS21" s="9"/>
      <c r="CQT21" s="9"/>
      <c r="CQU21" s="9"/>
      <c r="CQV21" s="9"/>
      <c r="CQW21" s="9"/>
      <c r="CQX21" s="9"/>
      <c r="CQY21" s="9"/>
      <c r="CQZ21" s="9"/>
      <c r="CRA21" s="9"/>
      <c r="CRB21" s="9"/>
      <c r="CRC21" s="9"/>
      <c r="CRD21" s="9"/>
      <c r="CRE21" s="9"/>
      <c r="CRF21" s="9"/>
      <c r="CRG21" s="9"/>
      <c r="CRH21" s="9"/>
      <c r="CRI21" s="9"/>
      <c r="CRJ21" s="9"/>
      <c r="CRK21" s="9"/>
      <c r="CRL21" s="9"/>
      <c r="CRM21" s="9"/>
      <c r="CRN21" s="9"/>
      <c r="CRO21" s="9"/>
      <c r="CRP21" s="9"/>
      <c r="CRQ21" s="9"/>
      <c r="CRR21" s="9"/>
      <c r="CRS21" s="9"/>
      <c r="CRT21" s="9"/>
      <c r="CRU21" s="9"/>
      <c r="CRV21" s="9"/>
      <c r="CRW21" s="9"/>
      <c r="CRX21" s="9"/>
      <c r="CRY21" s="9"/>
      <c r="CRZ21" s="9"/>
      <c r="CSA21" s="9"/>
      <c r="CSB21" s="9"/>
      <c r="CSC21" s="9"/>
      <c r="CSD21" s="9"/>
      <c r="CSE21" s="9"/>
      <c r="CSF21" s="9"/>
      <c r="CSG21" s="9"/>
      <c r="CSH21" s="9"/>
      <c r="CSI21" s="9"/>
      <c r="CSJ21" s="9"/>
      <c r="CSK21" s="9"/>
      <c r="CSL21" s="9"/>
      <c r="CSM21" s="9"/>
      <c r="CSN21" s="9"/>
      <c r="CSO21" s="9"/>
      <c r="CSP21" s="9"/>
      <c r="CSQ21" s="9"/>
      <c r="CSR21" s="9"/>
      <c r="CSS21" s="9"/>
      <c r="CST21" s="9"/>
      <c r="CSU21" s="9"/>
      <c r="CSV21" s="9"/>
      <c r="CSW21" s="9"/>
      <c r="CSX21" s="9"/>
      <c r="CSY21" s="9"/>
      <c r="CSZ21" s="9"/>
      <c r="CTA21" s="9"/>
      <c r="CTB21" s="9"/>
      <c r="CTC21" s="9"/>
      <c r="CTD21" s="9"/>
      <c r="CTE21" s="9"/>
      <c r="CTF21" s="9"/>
      <c r="CTG21" s="9"/>
      <c r="CTH21" s="9"/>
      <c r="CTI21" s="9"/>
      <c r="CTJ21" s="9"/>
      <c r="CTK21" s="9"/>
      <c r="CTL21" s="9"/>
      <c r="CTM21" s="9"/>
      <c r="CTN21" s="9"/>
      <c r="CTO21" s="9"/>
      <c r="CTP21" s="9"/>
      <c r="CTQ21" s="9"/>
      <c r="CTR21" s="9"/>
      <c r="CTS21" s="9"/>
      <c r="CTT21" s="9"/>
      <c r="CTU21" s="9"/>
      <c r="CTV21" s="9"/>
      <c r="CTW21" s="9"/>
      <c r="CTX21" s="9"/>
      <c r="CTY21" s="9"/>
      <c r="CTZ21" s="9"/>
      <c r="CUA21" s="9"/>
      <c r="CUB21" s="9"/>
      <c r="CUC21" s="9"/>
      <c r="CUD21" s="9"/>
      <c r="CUE21" s="9"/>
      <c r="CUF21" s="9"/>
      <c r="CUG21" s="9"/>
      <c r="CUH21" s="9"/>
      <c r="CUI21" s="9"/>
      <c r="CUJ21" s="9"/>
      <c r="CUK21" s="9"/>
      <c r="CUL21" s="9"/>
      <c r="CUM21" s="9"/>
      <c r="CUN21" s="9"/>
      <c r="CUO21" s="9"/>
      <c r="CUP21" s="9"/>
      <c r="CUQ21" s="9"/>
      <c r="CUR21" s="9"/>
      <c r="CUS21" s="9"/>
      <c r="CUT21" s="9"/>
      <c r="CUU21" s="9"/>
      <c r="CUV21" s="9"/>
      <c r="CUW21" s="9"/>
      <c r="CUX21" s="9"/>
      <c r="CUY21" s="9"/>
      <c r="CUZ21" s="9"/>
      <c r="CVA21" s="9"/>
      <c r="CVB21" s="9"/>
      <c r="CVC21" s="9"/>
      <c r="CVD21" s="9"/>
      <c r="CVE21" s="9"/>
      <c r="CVF21" s="9"/>
      <c r="CVG21" s="9"/>
      <c r="CVH21" s="9"/>
      <c r="CVI21" s="9"/>
      <c r="CVJ21" s="9"/>
      <c r="CVK21" s="9"/>
      <c r="CVL21" s="9"/>
      <c r="CVM21" s="9"/>
      <c r="CVN21" s="9"/>
      <c r="CVO21" s="9"/>
      <c r="CVP21" s="9"/>
      <c r="CVQ21" s="9"/>
      <c r="CVR21" s="9"/>
      <c r="CVS21" s="9"/>
      <c r="CVT21" s="9"/>
      <c r="CVU21" s="9"/>
      <c r="CVV21" s="9"/>
      <c r="CVW21" s="9"/>
      <c r="CVX21" s="9"/>
      <c r="CVY21" s="9"/>
      <c r="CVZ21" s="9"/>
      <c r="CWA21" s="9"/>
      <c r="CWB21" s="9"/>
      <c r="CWC21" s="9"/>
      <c r="CWD21" s="9"/>
      <c r="CWE21" s="9"/>
      <c r="CWF21" s="9"/>
      <c r="CWG21" s="9"/>
      <c r="CWH21" s="9"/>
      <c r="CWI21" s="9"/>
      <c r="CWJ21" s="9"/>
      <c r="CWK21" s="9"/>
      <c r="CWL21" s="9"/>
      <c r="CWM21" s="9"/>
      <c r="CWN21" s="9"/>
      <c r="CWO21" s="9"/>
      <c r="CWP21" s="9"/>
      <c r="CWQ21" s="9"/>
      <c r="CWR21" s="9"/>
      <c r="CWS21" s="9"/>
      <c r="CWT21" s="9"/>
      <c r="CWU21" s="9"/>
      <c r="CWV21" s="9"/>
      <c r="CWW21" s="9"/>
      <c r="CWX21" s="9"/>
      <c r="CWY21" s="9"/>
      <c r="CWZ21" s="9"/>
      <c r="CXA21" s="9"/>
      <c r="CXB21" s="9"/>
      <c r="CXC21" s="9"/>
      <c r="CXD21" s="9"/>
      <c r="CXE21" s="9"/>
      <c r="CXF21" s="9"/>
      <c r="CXG21" s="9"/>
      <c r="CXH21" s="9"/>
      <c r="CXI21" s="9"/>
      <c r="CXJ21" s="9"/>
      <c r="CXK21" s="9"/>
      <c r="CXL21" s="9"/>
      <c r="CXM21" s="9"/>
      <c r="CXN21" s="9"/>
      <c r="CXO21" s="9"/>
      <c r="CXP21" s="9"/>
      <c r="CXQ21" s="9"/>
      <c r="CXR21" s="9"/>
      <c r="CXS21" s="9"/>
      <c r="CXT21" s="9"/>
      <c r="CXU21" s="9"/>
      <c r="CXV21" s="9"/>
      <c r="CXW21" s="9"/>
      <c r="CXX21" s="9"/>
      <c r="CXY21" s="9"/>
      <c r="CXZ21" s="9"/>
      <c r="CYA21" s="9"/>
      <c r="CYB21" s="9"/>
      <c r="CYC21" s="9"/>
      <c r="CYD21" s="9"/>
      <c r="CYE21" s="9"/>
      <c r="CYF21" s="9"/>
      <c r="CYG21" s="9"/>
      <c r="CYH21" s="9"/>
      <c r="CYI21" s="9"/>
      <c r="CYJ21" s="9"/>
      <c r="CYK21" s="9"/>
      <c r="CYL21" s="9"/>
      <c r="CYM21" s="9"/>
      <c r="CYN21" s="9"/>
      <c r="CYO21" s="9"/>
      <c r="CYP21" s="9"/>
      <c r="CYQ21" s="9"/>
      <c r="CYR21" s="9"/>
      <c r="CYS21" s="9"/>
      <c r="CYT21" s="9"/>
      <c r="CYU21" s="9"/>
      <c r="CYV21" s="9"/>
      <c r="CYW21" s="9"/>
      <c r="CYX21" s="9"/>
      <c r="CYY21" s="9"/>
      <c r="CYZ21" s="9"/>
      <c r="CZA21" s="9"/>
      <c r="CZB21" s="9"/>
      <c r="CZC21" s="9"/>
      <c r="CZD21" s="9"/>
      <c r="CZE21" s="9"/>
      <c r="CZF21" s="9"/>
      <c r="CZG21" s="9"/>
      <c r="CZH21" s="9"/>
      <c r="CZI21" s="9"/>
      <c r="CZJ21" s="9"/>
      <c r="CZK21" s="9"/>
      <c r="CZL21" s="9"/>
      <c r="CZM21" s="9"/>
      <c r="CZN21" s="9"/>
      <c r="CZO21" s="9"/>
      <c r="CZP21" s="9"/>
      <c r="CZQ21" s="9"/>
      <c r="CZR21" s="9"/>
      <c r="CZS21" s="9"/>
      <c r="CZT21" s="9"/>
      <c r="CZU21" s="9"/>
      <c r="CZV21" s="9"/>
      <c r="CZW21" s="9"/>
      <c r="CZX21" s="9"/>
      <c r="CZY21" s="9"/>
      <c r="CZZ21" s="9"/>
      <c r="DAA21" s="9"/>
      <c r="DAB21" s="9"/>
      <c r="DAC21" s="9"/>
      <c r="DAD21" s="9"/>
      <c r="DAE21" s="9"/>
      <c r="DAF21" s="9"/>
      <c r="DAG21" s="9"/>
      <c r="DAH21" s="9"/>
      <c r="DAI21" s="9"/>
      <c r="DAJ21" s="9"/>
      <c r="DAK21" s="9"/>
      <c r="DAL21" s="9"/>
      <c r="DAM21" s="9"/>
      <c r="DAN21" s="9"/>
      <c r="DAO21" s="9"/>
      <c r="DAP21" s="9"/>
      <c r="DAQ21" s="9"/>
      <c r="DAR21" s="9"/>
      <c r="DAS21" s="9"/>
      <c r="DAT21" s="9"/>
      <c r="DAU21" s="9"/>
      <c r="DAV21" s="9"/>
      <c r="DAW21" s="9"/>
      <c r="DAX21" s="9"/>
      <c r="DAY21" s="9"/>
      <c r="DAZ21" s="9"/>
      <c r="DBA21" s="9"/>
      <c r="DBB21" s="9"/>
      <c r="DBC21" s="9"/>
      <c r="DBD21" s="9"/>
      <c r="DBE21" s="9"/>
      <c r="DBF21" s="9"/>
      <c r="DBG21" s="9"/>
      <c r="DBH21" s="9"/>
      <c r="DBI21" s="9"/>
      <c r="DBJ21" s="9"/>
      <c r="DBK21" s="9"/>
      <c r="DBL21" s="9"/>
      <c r="DBM21" s="9"/>
      <c r="DBN21" s="9"/>
      <c r="DBO21" s="9"/>
      <c r="DBP21" s="9"/>
      <c r="DBQ21" s="9"/>
      <c r="DBR21" s="9"/>
      <c r="DBS21" s="9"/>
      <c r="DBT21" s="9"/>
      <c r="DBU21" s="9"/>
      <c r="DBV21" s="9"/>
      <c r="DBW21" s="9"/>
      <c r="DBX21" s="9"/>
      <c r="DBY21" s="9"/>
      <c r="DBZ21" s="9"/>
      <c r="DCA21" s="9"/>
      <c r="DCB21" s="9"/>
      <c r="DCC21" s="9"/>
      <c r="DCD21" s="9"/>
      <c r="DCE21" s="9"/>
      <c r="DCF21" s="9"/>
      <c r="DCG21" s="9"/>
      <c r="DCH21" s="9"/>
      <c r="DCI21" s="9"/>
      <c r="DCJ21" s="9"/>
      <c r="DCK21" s="9"/>
      <c r="DCL21" s="9"/>
      <c r="DCM21" s="9"/>
      <c r="DCN21" s="9"/>
      <c r="DCO21" s="9"/>
      <c r="DCP21" s="9"/>
      <c r="DCQ21" s="9"/>
      <c r="DCR21" s="9"/>
      <c r="DCS21" s="9"/>
      <c r="DCT21" s="9"/>
      <c r="DCU21" s="9"/>
      <c r="DCV21" s="9"/>
      <c r="DCW21" s="9"/>
      <c r="DCX21" s="9"/>
      <c r="DCY21" s="9"/>
      <c r="DCZ21" s="9"/>
      <c r="DDA21" s="9"/>
      <c r="DDB21" s="9"/>
      <c r="DDC21" s="9"/>
      <c r="DDD21" s="9"/>
      <c r="DDE21" s="9"/>
      <c r="DDF21" s="9"/>
      <c r="DDG21" s="9"/>
      <c r="DDH21" s="9"/>
      <c r="DDI21" s="9"/>
      <c r="DDJ21" s="9"/>
      <c r="DDK21" s="9"/>
      <c r="DDL21" s="9"/>
      <c r="DDM21" s="9"/>
      <c r="DDN21" s="9"/>
      <c r="DDO21" s="9"/>
      <c r="DDP21" s="9"/>
      <c r="DDQ21" s="9"/>
      <c r="DDR21" s="9"/>
      <c r="DDS21" s="9"/>
      <c r="DDT21" s="9"/>
      <c r="DDU21" s="9"/>
      <c r="DDV21" s="9"/>
      <c r="DDW21" s="9"/>
      <c r="DDX21" s="9"/>
      <c r="DDY21" s="9"/>
      <c r="DDZ21" s="9"/>
      <c r="DEA21" s="9"/>
      <c r="DEB21" s="9"/>
      <c r="DEC21" s="9"/>
      <c r="DED21" s="9"/>
      <c r="DEE21" s="9"/>
      <c r="DEF21" s="9"/>
      <c r="DEG21" s="9"/>
      <c r="DEH21" s="9"/>
      <c r="DEI21" s="9"/>
      <c r="DEJ21" s="9"/>
      <c r="DEK21" s="9"/>
      <c r="DEL21" s="9"/>
      <c r="DEM21" s="9"/>
      <c r="DEN21" s="9"/>
      <c r="DEO21" s="9"/>
      <c r="DEP21" s="9"/>
      <c r="DEQ21" s="9"/>
      <c r="DER21" s="9"/>
      <c r="DES21" s="9"/>
      <c r="DET21" s="9"/>
      <c r="DEU21" s="9"/>
      <c r="DEV21" s="9"/>
      <c r="DEW21" s="9"/>
      <c r="DEX21" s="9"/>
      <c r="DEY21" s="9"/>
      <c r="DEZ21" s="9"/>
      <c r="DFA21" s="9"/>
      <c r="DFB21" s="9"/>
      <c r="DFC21" s="9"/>
      <c r="DFD21" s="9"/>
      <c r="DFE21" s="9"/>
      <c r="DFF21" s="9"/>
      <c r="DFG21" s="9"/>
      <c r="DFH21" s="9"/>
      <c r="DFI21" s="9"/>
      <c r="DFJ21" s="9"/>
      <c r="DFK21" s="9"/>
      <c r="DFL21" s="9"/>
      <c r="DFM21" s="9"/>
      <c r="DFN21" s="9"/>
      <c r="DFO21" s="9"/>
      <c r="DFP21" s="9"/>
      <c r="DFQ21" s="9"/>
      <c r="DFR21" s="9"/>
      <c r="DFS21" s="9"/>
      <c r="DFT21" s="9"/>
      <c r="DFU21" s="9"/>
      <c r="DFV21" s="9"/>
      <c r="DFW21" s="9"/>
      <c r="DFX21" s="9"/>
      <c r="DFY21" s="9"/>
      <c r="DFZ21" s="9"/>
      <c r="DGA21" s="9"/>
      <c r="DGB21" s="9"/>
      <c r="DGC21" s="9"/>
      <c r="DGD21" s="9"/>
      <c r="DGE21" s="9"/>
      <c r="DGF21" s="9"/>
      <c r="DGG21" s="9"/>
      <c r="DGH21" s="9"/>
      <c r="DGI21" s="9"/>
      <c r="DGJ21" s="9"/>
      <c r="DGK21" s="9"/>
      <c r="DGL21" s="9"/>
      <c r="DGM21" s="9"/>
      <c r="DGN21" s="9"/>
      <c r="DGO21" s="9"/>
      <c r="DGP21" s="9"/>
      <c r="DGQ21" s="9"/>
      <c r="DGR21" s="9"/>
      <c r="DGS21" s="9"/>
      <c r="DGT21" s="9"/>
      <c r="DGU21" s="9"/>
      <c r="DGV21" s="9"/>
      <c r="DGW21" s="9"/>
      <c r="DGX21" s="9"/>
      <c r="DGY21" s="9"/>
      <c r="DGZ21" s="9"/>
      <c r="DHA21" s="9"/>
      <c r="DHB21" s="9"/>
      <c r="DHC21" s="9"/>
      <c r="DHD21" s="9"/>
      <c r="DHE21" s="9"/>
      <c r="DHF21" s="9"/>
      <c r="DHG21" s="9"/>
      <c r="DHH21" s="9"/>
      <c r="DHI21" s="9"/>
      <c r="DHJ21" s="9"/>
      <c r="DHK21" s="9"/>
      <c r="DHL21" s="9"/>
      <c r="DHM21" s="9"/>
      <c r="DHN21" s="9"/>
      <c r="DHO21" s="9"/>
      <c r="DHP21" s="9"/>
      <c r="DHQ21" s="9"/>
      <c r="DHR21" s="9"/>
      <c r="DHS21" s="9"/>
      <c r="DHT21" s="9"/>
      <c r="DHU21" s="9"/>
      <c r="DHV21" s="9"/>
      <c r="DHW21" s="9"/>
      <c r="DHX21" s="9"/>
      <c r="DHY21" s="9"/>
      <c r="DHZ21" s="9"/>
      <c r="DIA21" s="9"/>
      <c r="DIB21" s="9"/>
      <c r="DIC21" s="9"/>
      <c r="DID21" s="9"/>
      <c r="DIE21" s="9"/>
      <c r="DIF21" s="9"/>
      <c r="DIG21" s="9"/>
      <c r="DIH21" s="9"/>
      <c r="DII21" s="9"/>
      <c r="DIJ21" s="9"/>
      <c r="DIK21" s="9"/>
      <c r="DIL21" s="9"/>
      <c r="DIM21" s="9"/>
      <c r="DIN21" s="9"/>
      <c r="DIO21" s="9"/>
      <c r="DIP21" s="9"/>
      <c r="DIQ21" s="9"/>
      <c r="DIR21" s="9"/>
      <c r="DIS21" s="9"/>
      <c r="DIT21" s="9"/>
      <c r="DIU21" s="9"/>
      <c r="DIV21" s="9"/>
      <c r="DIW21" s="9"/>
      <c r="DIX21" s="9"/>
      <c r="DIY21" s="9"/>
      <c r="DIZ21" s="9"/>
      <c r="DJA21" s="9"/>
      <c r="DJB21" s="9"/>
      <c r="DJC21" s="9"/>
      <c r="DJD21" s="9"/>
      <c r="DJE21" s="9"/>
      <c r="DJF21" s="9"/>
      <c r="DJG21" s="9"/>
      <c r="DJH21" s="9"/>
      <c r="DJI21" s="9"/>
      <c r="DJJ21" s="9"/>
      <c r="DJK21" s="9"/>
      <c r="DJL21" s="9"/>
      <c r="DJM21" s="9"/>
      <c r="DJN21" s="9"/>
      <c r="DJO21" s="9"/>
      <c r="DJP21" s="9"/>
      <c r="DJQ21" s="9"/>
      <c r="DJR21" s="9"/>
      <c r="DJS21" s="9"/>
      <c r="DJT21" s="9"/>
      <c r="DJU21" s="9"/>
      <c r="DJV21" s="9"/>
      <c r="DJW21" s="9"/>
      <c r="DJX21" s="9"/>
      <c r="DJY21" s="9"/>
      <c r="DJZ21" s="9"/>
      <c r="DKA21" s="9"/>
      <c r="DKB21" s="9"/>
      <c r="DKC21" s="9"/>
      <c r="DKD21" s="9"/>
      <c r="DKE21" s="9"/>
      <c r="DKF21" s="9"/>
      <c r="DKG21" s="9"/>
      <c r="DKH21" s="9"/>
      <c r="DKI21" s="9"/>
      <c r="DKJ21" s="9"/>
      <c r="DKK21" s="9"/>
      <c r="DKL21" s="9"/>
      <c r="DKM21" s="9"/>
      <c r="DKN21" s="9"/>
      <c r="DKO21" s="9"/>
      <c r="DKP21" s="9"/>
      <c r="DKQ21" s="9"/>
      <c r="DKR21" s="9"/>
      <c r="DKS21" s="9"/>
      <c r="DKT21" s="9"/>
      <c r="DKU21" s="9"/>
      <c r="DKV21" s="9"/>
      <c r="DKW21" s="9"/>
      <c r="DKX21" s="9"/>
      <c r="DKY21" s="9"/>
      <c r="DKZ21" s="9"/>
      <c r="DLA21" s="9"/>
      <c r="DLB21" s="9"/>
      <c r="DLC21" s="9"/>
      <c r="DLD21" s="9"/>
      <c r="DLE21" s="9"/>
      <c r="DLF21" s="9"/>
      <c r="DLG21" s="9"/>
      <c r="DLH21" s="9"/>
      <c r="DLI21" s="9"/>
      <c r="DLJ21" s="9"/>
      <c r="DLK21" s="9"/>
      <c r="DLL21" s="9"/>
      <c r="DLM21" s="9"/>
      <c r="DLN21" s="9"/>
      <c r="DLO21" s="9"/>
      <c r="DLP21" s="9"/>
      <c r="DLQ21" s="9"/>
      <c r="DLR21" s="9"/>
      <c r="DLS21" s="9"/>
      <c r="DLT21" s="9"/>
      <c r="DLU21" s="9"/>
      <c r="DLV21" s="9"/>
      <c r="DLW21" s="9"/>
      <c r="DLX21" s="9"/>
      <c r="DLY21" s="9"/>
      <c r="DLZ21" s="9"/>
      <c r="DMA21" s="9"/>
      <c r="DMB21" s="9"/>
      <c r="DMC21" s="9"/>
      <c r="DMD21" s="9"/>
      <c r="DME21" s="9"/>
      <c r="DMF21" s="9"/>
      <c r="DMG21" s="9"/>
      <c r="DMH21" s="9"/>
      <c r="DMI21" s="9"/>
      <c r="DMJ21" s="9"/>
      <c r="DMK21" s="9"/>
      <c r="DML21" s="9"/>
      <c r="DMM21" s="9"/>
      <c r="DMN21" s="9"/>
      <c r="DMO21" s="9"/>
      <c r="DMP21" s="9"/>
      <c r="DMQ21" s="9"/>
      <c r="DMR21" s="9"/>
      <c r="DMS21" s="9"/>
      <c r="DMT21" s="9"/>
      <c r="DMU21" s="9"/>
      <c r="DMV21" s="9"/>
      <c r="DMW21" s="9"/>
      <c r="DMX21" s="9"/>
      <c r="DMY21" s="9"/>
      <c r="DMZ21" s="9"/>
      <c r="DNA21" s="9"/>
      <c r="DNB21" s="9"/>
      <c r="DNC21" s="9"/>
      <c r="DND21" s="9"/>
      <c r="DNE21" s="9"/>
      <c r="DNF21" s="9"/>
      <c r="DNG21" s="9"/>
      <c r="DNH21" s="9"/>
      <c r="DNI21" s="9"/>
      <c r="DNJ21" s="9"/>
      <c r="DNK21" s="9"/>
      <c r="DNL21" s="9"/>
      <c r="DNM21" s="9"/>
      <c r="DNN21" s="9"/>
      <c r="DNO21" s="9"/>
      <c r="DNP21" s="9"/>
      <c r="DNQ21" s="9"/>
      <c r="DNR21" s="9"/>
      <c r="DNS21" s="9"/>
      <c r="DNT21" s="9"/>
      <c r="DNU21" s="9"/>
      <c r="DNV21" s="9"/>
      <c r="DNW21" s="9"/>
      <c r="DNX21" s="9"/>
      <c r="DNY21" s="9"/>
      <c r="DNZ21" s="9"/>
      <c r="DOA21" s="9"/>
      <c r="DOB21" s="9"/>
      <c r="DOC21" s="9"/>
      <c r="DOD21" s="9"/>
      <c r="DOE21" s="9"/>
      <c r="DOF21" s="9"/>
      <c r="DOG21" s="9"/>
      <c r="DOH21" s="9"/>
      <c r="DOI21" s="9"/>
      <c r="DOJ21" s="9"/>
      <c r="DOK21" s="9"/>
      <c r="DOL21" s="9"/>
      <c r="DOM21" s="9"/>
      <c r="DON21" s="9"/>
      <c r="DOO21" s="9"/>
      <c r="DOP21" s="9"/>
      <c r="DOQ21" s="9"/>
      <c r="DOR21" s="9"/>
      <c r="DOS21" s="9"/>
      <c r="DOT21" s="9"/>
      <c r="DOU21" s="9"/>
      <c r="DOV21" s="9"/>
      <c r="DOW21" s="9"/>
      <c r="DOX21" s="9"/>
      <c r="DOY21" s="9"/>
      <c r="DOZ21" s="9"/>
      <c r="DPA21" s="9"/>
      <c r="DPB21" s="9"/>
      <c r="DPC21" s="9"/>
      <c r="DPD21" s="9"/>
      <c r="DPE21" s="9"/>
      <c r="DPF21" s="9"/>
      <c r="DPG21" s="9"/>
      <c r="DPH21" s="9"/>
      <c r="DPI21" s="9"/>
      <c r="DPJ21" s="9"/>
      <c r="DPK21" s="9"/>
      <c r="DPL21" s="9"/>
      <c r="DPM21" s="9"/>
      <c r="DPN21" s="9"/>
      <c r="DPO21" s="9"/>
      <c r="DPP21" s="9"/>
      <c r="DPQ21" s="9"/>
      <c r="DPR21" s="9"/>
      <c r="DPS21" s="9"/>
      <c r="DPT21" s="9"/>
      <c r="DPU21" s="9"/>
      <c r="DPV21" s="9"/>
      <c r="DPW21" s="9"/>
      <c r="DPX21" s="9"/>
      <c r="DPY21" s="9"/>
      <c r="DPZ21" s="9"/>
      <c r="DQA21" s="9"/>
      <c r="DQB21" s="9"/>
      <c r="DQC21" s="9"/>
      <c r="DQD21" s="9"/>
      <c r="DQE21" s="9"/>
      <c r="DQF21" s="9"/>
      <c r="DQG21" s="9"/>
      <c r="DQH21" s="9"/>
      <c r="DQI21" s="9"/>
      <c r="DQJ21" s="9"/>
      <c r="DQK21" s="9"/>
      <c r="DQL21" s="9"/>
      <c r="DQM21" s="9"/>
      <c r="DQN21" s="9"/>
      <c r="DQO21" s="9"/>
      <c r="DQP21" s="9"/>
      <c r="DQQ21" s="9"/>
      <c r="DQR21" s="9"/>
      <c r="DQS21" s="9"/>
      <c r="DQT21" s="9"/>
      <c r="DQU21" s="9"/>
      <c r="DQV21" s="9"/>
      <c r="DQW21" s="9"/>
      <c r="DQX21" s="9"/>
      <c r="DQY21" s="9"/>
      <c r="DQZ21" s="9"/>
      <c r="DRA21" s="9"/>
      <c r="DRB21" s="9"/>
      <c r="DRC21" s="9"/>
      <c r="DRD21" s="9"/>
      <c r="DRE21" s="9"/>
      <c r="DRF21" s="9"/>
      <c r="DRG21" s="9"/>
      <c r="DRH21" s="9"/>
      <c r="DRI21" s="9"/>
      <c r="DRJ21" s="9"/>
      <c r="DRK21" s="9"/>
      <c r="DRL21" s="9"/>
      <c r="DRM21" s="9"/>
      <c r="DRN21" s="9"/>
      <c r="DRO21" s="9"/>
      <c r="DRP21" s="9"/>
      <c r="DRQ21" s="9"/>
      <c r="DRR21" s="9"/>
      <c r="DRS21" s="9"/>
      <c r="DRT21" s="9"/>
      <c r="DRU21" s="9"/>
      <c r="DRV21" s="9"/>
      <c r="DRW21" s="9"/>
      <c r="DRX21" s="9"/>
      <c r="DRY21" s="9"/>
      <c r="DRZ21" s="9"/>
      <c r="DSA21" s="9"/>
      <c r="DSB21" s="9"/>
      <c r="DSC21" s="9"/>
      <c r="DSD21" s="9"/>
      <c r="DSE21" s="9"/>
      <c r="DSF21" s="9"/>
      <c r="DSG21" s="9"/>
      <c r="DSH21" s="9"/>
      <c r="DSI21" s="9"/>
      <c r="DSJ21" s="9"/>
      <c r="DSK21" s="9"/>
      <c r="DSL21" s="9"/>
      <c r="DSM21" s="9"/>
      <c r="DSN21" s="9"/>
      <c r="DSO21" s="9"/>
      <c r="DSP21" s="9"/>
      <c r="DSQ21" s="9"/>
      <c r="DSR21" s="9"/>
      <c r="DSS21" s="9"/>
      <c r="DST21" s="9"/>
      <c r="DSU21" s="9"/>
      <c r="DSV21" s="9"/>
      <c r="DSW21" s="9"/>
      <c r="DSX21" s="9"/>
      <c r="DSY21" s="9"/>
      <c r="DSZ21" s="9"/>
      <c r="DTA21" s="9"/>
      <c r="DTB21" s="9"/>
      <c r="DTC21" s="9"/>
      <c r="DTD21" s="9"/>
      <c r="DTE21" s="9"/>
      <c r="DTF21" s="9"/>
      <c r="DTG21" s="9"/>
      <c r="DTH21" s="9"/>
      <c r="DTI21" s="9"/>
      <c r="DTJ21" s="9"/>
      <c r="DTK21" s="9"/>
      <c r="DTL21" s="9"/>
      <c r="DTM21" s="9"/>
      <c r="DTN21" s="9"/>
      <c r="DTO21" s="9"/>
      <c r="DTP21" s="9"/>
      <c r="DTQ21" s="9"/>
      <c r="DTR21" s="9"/>
      <c r="DTS21" s="9"/>
      <c r="DTT21" s="9"/>
      <c r="DTU21" s="9"/>
      <c r="DTV21" s="9"/>
      <c r="DTW21" s="9"/>
      <c r="DTX21" s="9"/>
      <c r="DTY21" s="9"/>
      <c r="DTZ21" s="9"/>
      <c r="DUA21" s="9"/>
      <c r="DUB21" s="9"/>
      <c r="DUC21" s="9"/>
      <c r="DUD21" s="9"/>
      <c r="DUE21" s="9"/>
      <c r="DUF21" s="9"/>
      <c r="DUG21" s="9"/>
      <c r="DUH21" s="9"/>
      <c r="DUI21" s="9"/>
      <c r="DUJ21" s="9"/>
      <c r="DUK21" s="9"/>
      <c r="DUL21" s="9"/>
      <c r="DUM21" s="9"/>
      <c r="DUN21" s="9"/>
      <c r="DUO21" s="9"/>
      <c r="DUP21" s="9"/>
      <c r="DUQ21" s="9"/>
      <c r="DUR21" s="9"/>
      <c r="DUS21" s="9"/>
      <c r="DUT21" s="9"/>
      <c r="DUU21" s="9"/>
      <c r="DUV21" s="9"/>
      <c r="DUW21" s="9"/>
      <c r="DUX21" s="9"/>
      <c r="DUY21" s="9"/>
      <c r="DUZ21" s="9"/>
      <c r="DVA21" s="9"/>
      <c r="DVB21" s="9"/>
      <c r="DVC21" s="9"/>
      <c r="DVD21" s="9"/>
      <c r="DVE21" s="9"/>
      <c r="DVF21" s="9"/>
      <c r="DVG21" s="9"/>
      <c r="DVH21" s="9"/>
      <c r="DVI21" s="9"/>
      <c r="DVJ21" s="9"/>
      <c r="DVK21" s="9"/>
      <c r="DVL21" s="9"/>
      <c r="DVM21" s="9"/>
      <c r="DVN21" s="9"/>
      <c r="DVO21" s="9"/>
      <c r="DVP21" s="9"/>
      <c r="DVQ21" s="9"/>
      <c r="DVR21" s="9"/>
      <c r="DVS21" s="9"/>
      <c r="DVT21" s="9"/>
      <c r="DVU21" s="9"/>
      <c r="DVV21" s="9"/>
      <c r="DVW21" s="9"/>
      <c r="DVX21" s="9"/>
      <c r="DVY21" s="9"/>
      <c r="DVZ21" s="9"/>
      <c r="DWA21" s="9"/>
      <c r="DWB21" s="9"/>
      <c r="DWC21" s="9"/>
      <c r="DWD21" s="9"/>
      <c r="DWE21" s="9"/>
      <c r="DWF21" s="9"/>
      <c r="DWG21" s="9"/>
      <c r="DWH21" s="9"/>
      <c r="DWI21" s="9"/>
      <c r="DWJ21" s="9"/>
      <c r="DWK21" s="9"/>
      <c r="DWL21" s="9"/>
      <c r="DWM21" s="9"/>
      <c r="DWN21" s="9"/>
      <c r="DWO21" s="9"/>
      <c r="DWP21" s="9"/>
      <c r="DWQ21" s="9"/>
      <c r="DWR21" s="9"/>
      <c r="DWS21" s="9"/>
      <c r="DWT21" s="9"/>
      <c r="DWU21" s="9"/>
      <c r="DWV21" s="9"/>
      <c r="DWW21" s="9"/>
      <c r="DWX21" s="9"/>
      <c r="DWY21" s="9"/>
      <c r="DWZ21" s="9"/>
      <c r="DXA21" s="9"/>
      <c r="DXB21" s="9"/>
      <c r="DXC21" s="9"/>
      <c r="DXD21" s="9"/>
      <c r="DXE21" s="9"/>
      <c r="DXF21" s="9"/>
      <c r="DXG21" s="9"/>
      <c r="DXH21" s="9"/>
      <c r="DXI21" s="9"/>
      <c r="DXJ21" s="9"/>
      <c r="DXK21" s="9"/>
      <c r="DXL21" s="9"/>
      <c r="DXM21" s="9"/>
      <c r="DXN21" s="9"/>
      <c r="DXO21" s="9"/>
      <c r="DXP21" s="9"/>
      <c r="DXQ21" s="9"/>
      <c r="DXR21" s="9"/>
      <c r="DXS21" s="9"/>
      <c r="DXT21" s="9"/>
      <c r="DXU21" s="9"/>
      <c r="DXV21" s="9"/>
      <c r="DXW21" s="9"/>
      <c r="DXX21" s="9"/>
      <c r="DXY21" s="9"/>
      <c r="DXZ21" s="9"/>
      <c r="DYA21" s="9"/>
      <c r="DYB21" s="9"/>
      <c r="DYC21" s="9"/>
      <c r="DYD21" s="9"/>
      <c r="DYE21" s="9"/>
      <c r="DYF21" s="9"/>
      <c r="DYG21" s="9"/>
      <c r="DYH21" s="9"/>
      <c r="DYI21" s="9"/>
      <c r="DYJ21" s="9"/>
      <c r="DYK21" s="9"/>
      <c r="DYL21" s="9"/>
      <c r="DYM21" s="9"/>
      <c r="DYN21" s="9"/>
      <c r="DYO21" s="9"/>
      <c r="DYP21" s="9"/>
      <c r="DYQ21" s="9"/>
      <c r="DYR21" s="9"/>
      <c r="DYS21" s="9"/>
      <c r="DYT21" s="9"/>
      <c r="DYU21" s="9"/>
      <c r="DYV21" s="9"/>
      <c r="DYW21" s="9"/>
      <c r="DYX21" s="9"/>
      <c r="DYY21" s="9"/>
      <c r="DYZ21" s="9"/>
      <c r="DZA21" s="9"/>
      <c r="DZB21" s="9"/>
      <c r="DZC21" s="9"/>
      <c r="DZD21" s="9"/>
      <c r="DZE21" s="9"/>
      <c r="DZF21" s="9"/>
      <c r="DZG21" s="9"/>
      <c r="DZH21" s="9"/>
      <c r="DZI21" s="9"/>
      <c r="DZJ21" s="9"/>
      <c r="DZK21" s="9"/>
      <c r="DZL21" s="9"/>
      <c r="DZM21" s="9"/>
      <c r="DZN21" s="9"/>
      <c r="DZO21" s="9"/>
      <c r="DZP21" s="9"/>
      <c r="DZQ21" s="9"/>
      <c r="DZR21" s="9"/>
      <c r="DZS21" s="9"/>
      <c r="DZT21" s="9"/>
      <c r="DZU21" s="9"/>
      <c r="DZV21" s="9"/>
      <c r="DZW21" s="9"/>
      <c r="DZX21" s="9"/>
      <c r="DZY21" s="9"/>
      <c r="DZZ21" s="9"/>
      <c r="EAA21" s="9"/>
      <c r="EAB21" s="9"/>
      <c r="EAC21" s="9"/>
      <c r="EAD21" s="9"/>
      <c r="EAE21" s="9"/>
      <c r="EAF21" s="9"/>
      <c r="EAG21" s="9"/>
      <c r="EAH21" s="9"/>
      <c r="EAI21" s="9"/>
      <c r="EAJ21" s="9"/>
      <c r="EAK21" s="9"/>
      <c r="EAL21" s="9"/>
      <c r="EAM21" s="9"/>
      <c r="EAN21" s="9"/>
      <c r="EAO21" s="9"/>
      <c r="EAP21" s="9"/>
      <c r="EAQ21" s="9"/>
      <c r="EAR21" s="9"/>
      <c r="EAS21" s="9"/>
      <c r="EAT21" s="9"/>
      <c r="EAU21" s="9"/>
      <c r="EAV21" s="9"/>
      <c r="EAW21" s="9"/>
      <c r="EAX21" s="9"/>
      <c r="EAY21" s="9"/>
      <c r="EAZ21" s="9"/>
      <c r="EBA21" s="9"/>
      <c r="EBB21" s="9"/>
      <c r="EBC21" s="9"/>
      <c r="EBD21" s="9"/>
      <c r="EBE21" s="9"/>
      <c r="EBF21" s="9"/>
      <c r="EBG21" s="9"/>
      <c r="EBH21" s="9"/>
      <c r="EBI21" s="9"/>
      <c r="EBJ21" s="9"/>
      <c r="EBK21" s="9"/>
      <c r="EBL21" s="9"/>
      <c r="EBM21" s="9"/>
      <c r="EBN21" s="9"/>
      <c r="EBO21" s="9"/>
      <c r="EBP21" s="9"/>
      <c r="EBQ21" s="9"/>
      <c r="EBR21" s="9"/>
      <c r="EBS21" s="9"/>
      <c r="EBT21" s="9"/>
      <c r="EBU21" s="9"/>
      <c r="EBV21" s="9"/>
      <c r="EBW21" s="9"/>
      <c r="EBX21" s="9"/>
      <c r="EBY21" s="9"/>
      <c r="EBZ21" s="9"/>
      <c r="ECA21" s="9"/>
      <c r="ECB21" s="9"/>
      <c r="ECC21" s="9"/>
      <c r="ECD21" s="9"/>
      <c r="ECE21" s="9"/>
      <c r="ECF21" s="9"/>
      <c r="ECG21" s="9"/>
      <c r="ECH21" s="9"/>
      <c r="ECI21" s="9"/>
      <c r="ECJ21" s="9"/>
      <c r="ECK21" s="9"/>
      <c r="ECL21" s="9"/>
      <c r="ECM21" s="9"/>
      <c r="ECN21" s="9"/>
      <c r="ECO21" s="9"/>
      <c r="ECP21" s="9"/>
      <c r="ECQ21" s="9"/>
      <c r="ECR21" s="9"/>
      <c r="ECS21" s="9"/>
      <c r="ECT21" s="9"/>
      <c r="ECU21" s="9"/>
      <c r="ECV21" s="9"/>
      <c r="ECW21" s="9"/>
      <c r="ECX21" s="9"/>
      <c r="ECY21" s="9"/>
      <c r="ECZ21" s="9"/>
      <c r="EDA21" s="9"/>
      <c r="EDB21" s="9"/>
      <c r="EDC21" s="9"/>
      <c r="EDD21" s="9"/>
      <c r="EDE21" s="9"/>
      <c r="EDF21" s="9"/>
      <c r="EDG21" s="9"/>
      <c r="EDH21" s="9"/>
      <c r="EDI21" s="9"/>
      <c r="EDJ21" s="9"/>
      <c r="EDK21" s="9"/>
      <c r="EDL21" s="9"/>
      <c r="EDM21" s="9"/>
      <c r="EDN21" s="9"/>
      <c r="EDO21" s="9"/>
      <c r="EDP21" s="9"/>
      <c r="EDQ21" s="9"/>
      <c r="EDR21" s="9"/>
      <c r="EDS21" s="9"/>
      <c r="EDT21" s="9"/>
      <c r="EDU21" s="9"/>
      <c r="EDV21" s="9"/>
      <c r="EDW21" s="9"/>
      <c r="EDX21" s="9"/>
      <c r="EDY21" s="9"/>
      <c r="EDZ21" s="9"/>
      <c r="EEA21" s="9"/>
      <c r="EEB21" s="9"/>
      <c r="EEC21" s="9"/>
      <c r="EED21" s="9"/>
      <c r="EEE21" s="9"/>
      <c r="EEF21" s="9"/>
      <c r="EEG21" s="9"/>
      <c r="EEH21" s="9"/>
      <c r="EEI21" s="9"/>
      <c r="EEJ21" s="9"/>
      <c r="EEK21" s="9"/>
      <c r="EEL21" s="9"/>
      <c r="EEM21" s="9"/>
      <c r="EEN21" s="9"/>
      <c r="EEO21" s="9"/>
      <c r="EEP21" s="9"/>
      <c r="EEQ21" s="9"/>
      <c r="EER21" s="9"/>
      <c r="EES21" s="9"/>
      <c r="EET21" s="9"/>
      <c r="EEU21" s="9"/>
      <c r="EEV21" s="9"/>
      <c r="EEW21" s="9"/>
      <c r="EEX21" s="9"/>
      <c r="EEY21" s="9"/>
      <c r="EEZ21" s="9"/>
      <c r="EFA21" s="9"/>
      <c r="EFB21" s="9"/>
      <c r="EFC21" s="9"/>
      <c r="EFD21" s="9"/>
      <c r="EFE21" s="9"/>
      <c r="EFF21" s="9"/>
      <c r="EFG21" s="9"/>
      <c r="EFH21" s="9"/>
      <c r="EFI21" s="9"/>
      <c r="EFJ21" s="9"/>
      <c r="EFK21" s="9"/>
      <c r="EFL21" s="9"/>
      <c r="EFM21" s="9"/>
      <c r="EFN21" s="9"/>
      <c r="EFO21" s="9"/>
      <c r="EFP21" s="9"/>
      <c r="EFQ21" s="9"/>
      <c r="EFR21" s="9"/>
      <c r="EFS21" s="9"/>
      <c r="EFT21" s="9"/>
      <c r="EFU21" s="9"/>
      <c r="EFV21" s="9"/>
      <c r="EFW21" s="9"/>
      <c r="EFX21" s="9"/>
      <c r="EFY21" s="9"/>
      <c r="EFZ21" s="9"/>
      <c r="EGA21" s="9"/>
      <c r="EGB21" s="9"/>
      <c r="EGC21" s="9"/>
      <c r="EGD21" s="9"/>
      <c r="EGE21" s="9"/>
      <c r="EGF21" s="9"/>
      <c r="EGG21" s="9"/>
      <c r="EGH21" s="9"/>
      <c r="EGI21" s="9"/>
      <c r="EGJ21" s="9"/>
      <c r="EGK21" s="9"/>
      <c r="EGL21" s="9"/>
      <c r="EGM21" s="9"/>
      <c r="EGN21" s="9"/>
      <c r="EGO21" s="9"/>
      <c r="EGP21" s="9"/>
      <c r="EGQ21" s="9"/>
      <c r="EGR21" s="9"/>
      <c r="EGS21" s="9"/>
      <c r="EGT21" s="9"/>
      <c r="EGU21" s="9"/>
      <c r="EGV21" s="9"/>
      <c r="EGW21" s="9"/>
      <c r="EGX21" s="9"/>
      <c r="EGY21" s="9"/>
      <c r="EGZ21" s="9"/>
      <c r="EHA21" s="9"/>
      <c r="EHB21" s="9"/>
      <c r="EHC21" s="9"/>
      <c r="EHD21" s="9"/>
      <c r="EHE21" s="9"/>
      <c r="EHF21" s="9"/>
      <c r="EHG21" s="9"/>
      <c r="EHH21" s="9"/>
      <c r="EHI21" s="9"/>
      <c r="EHJ21" s="9"/>
      <c r="EHK21" s="9"/>
      <c r="EHL21" s="9"/>
      <c r="EHM21" s="9"/>
      <c r="EHN21" s="9"/>
      <c r="EHO21" s="9"/>
      <c r="EHP21" s="9"/>
      <c r="EHQ21" s="9"/>
      <c r="EHR21" s="9"/>
      <c r="EHS21" s="9"/>
      <c r="EHT21" s="9"/>
      <c r="EHU21" s="9"/>
      <c r="EHV21" s="9"/>
      <c r="EHW21" s="9"/>
      <c r="EHX21" s="9"/>
      <c r="EHY21" s="9"/>
      <c r="EHZ21" s="9"/>
      <c r="EIA21" s="9"/>
      <c r="EIB21" s="9"/>
      <c r="EIC21" s="9"/>
      <c r="EID21" s="9"/>
      <c r="EIE21" s="9"/>
      <c r="EIF21" s="9"/>
      <c r="EIG21" s="9"/>
      <c r="EIH21" s="9"/>
      <c r="EII21" s="9"/>
      <c r="EIJ21" s="9"/>
      <c r="EIK21" s="9"/>
      <c r="EIL21" s="9"/>
      <c r="EIM21" s="9"/>
      <c r="EIN21" s="9"/>
      <c r="EIO21" s="9"/>
      <c r="EIP21" s="9"/>
      <c r="EIQ21" s="9"/>
      <c r="EIR21" s="9"/>
      <c r="EIS21" s="9"/>
      <c r="EIT21" s="9"/>
      <c r="EIU21" s="9"/>
      <c r="EIV21" s="9"/>
      <c r="EIW21" s="9"/>
      <c r="EIX21" s="9"/>
      <c r="EIY21" s="9"/>
      <c r="EIZ21" s="9"/>
      <c r="EJA21" s="9"/>
      <c r="EJB21" s="9"/>
      <c r="EJC21" s="9"/>
      <c r="EJD21" s="9"/>
      <c r="EJE21" s="9"/>
      <c r="EJF21" s="9"/>
      <c r="EJG21" s="9"/>
      <c r="EJH21" s="9"/>
      <c r="EJI21" s="9"/>
      <c r="EJJ21" s="9"/>
      <c r="EJK21" s="9"/>
      <c r="EJL21" s="9"/>
      <c r="EJM21" s="9"/>
      <c r="EJN21" s="9"/>
      <c r="EJO21" s="9"/>
      <c r="EJP21" s="9"/>
      <c r="EJQ21" s="9"/>
      <c r="EJR21" s="9"/>
      <c r="EJS21" s="9"/>
      <c r="EJT21" s="9"/>
      <c r="EJU21" s="9"/>
      <c r="EJV21" s="9"/>
      <c r="EJW21" s="9"/>
      <c r="EJX21" s="9"/>
      <c r="EJY21" s="9"/>
      <c r="EJZ21" s="9"/>
      <c r="EKA21" s="9"/>
      <c r="EKB21" s="9"/>
      <c r="EKC21" s="9"/>
      <c r="EKD21" s="9"/>
      <c r="EKE21" s="9"/>
      <c r="EKF21" s="9"/>
      <c r="EKG21" s="9"/>
      <c r="EKH21" s="9"/>
      <c r="EKI21" s="9"/>
      <c r="EKJ21" s="9"/>
      <c r="EKK21" s="9"/>
      <c r="EKL21" s="9"/>
      <c r="EKM21" s="9"/>
      <c r="EKN21" s="9"/>
      <c r="EKO21" s="9"/>
      <c r="EKP21" s="9"/>
      <c r="EKQ21" s="9"/>
      <c r="EKR21" s="9"/>
      <c r="EKS21" s="9"/>
      <c r="EKT21" s="9"/>
      <c r="EKU21" s="9"/>
      <c r="EKV21" s="9"/>
      <c r="EKW21" s="9"/>
      <c r="EKX21" s="9"/>
      <c r="EKY21" s="9"/>
      <c r="EKZ21" s="9"/>
      <c r="ELA21" s="9"/>
      <c r="ELB21" s="9"/>
      <c r="ELC21" s="9"/>
      <c r="ELD21" s="9"/>
      <c r="ELE21" s="9"/>
      <c r="ELF21" s="9"/>
      <c r="ELG21" s="9"/>
      <c r="ELH21" s="9"/>
      <c r="ELI21" s="9"/>
      <c r="ELJ21" s="9"/>
      <c r="ELK21" s="9"/>
      <c r="ELL21" s="9"/>
      <c r="ELM21" s="9"/>
      <c r="ELN21" s="9"/>
      <c r="ELO21" s="9"/>
      <c r="ELP21" s="9"/>
      <c r="ELQ21" s="9"/>
      <c r="ELR21" s="9"/>
      <c r="ELS21" s="9"/>
      <c r="ELT21" s="9"/>
      <c r="ELU21" s="9"/>
      <c r="ELV21" s="9"/>
      <c r="ELW21" s="9"/>
      <c r="ELX21" s="9"/>
      <c r="ELY21" s="9"/>
      <c r="ELZ21" s="9"/>
      <c r="EMA21" s="9"/>
      <c r="EMB21" s="9"/>
      <c r="EMC21" s="9"/>
      <c r="EMD21" s="9"/>
      <c r="EME21" s="9"/>
      <c r="EMF21" s="9"/>
      <c r="EMG21" s="9"/>
      <c r="EMH21" s="9"/>
      <c r="EMI21" s="9"/>
      <c r="EMJ21" s="9"/>
      <c r="EMK21" s="9"/>
      <c r="EML21" s="9"/>
      <c r="EMM21" s="9"/>
      <c r="EMN21" s="9"/>
      <c r="EMO21" s="9"/>
      <c r="EMP21" s="9"/>
      <c r="EMQ21" s="9"/>
      <c r="EMR21" s="9"/>
      <c r="EMS21" s="9"/>
      <c r="EMT21" s="9"/>
      <c r="EMU21" s="9"/>
      <c r="EMV21" s="9"/>
      <c r="EMW21" s="9"/>
      <c r="EMX21" s="9"/>
      <c r="EMY21" s="9"/>
      <c r="EMZ21" s="9"/>
      <c r="ENA21" s="9"/>
      <c r="ENB21" s="9"/>
      <c r="ENC21" s="9"/>
      <c r="END21" s="9"/>
      <c r="ENE21" s="9"/>
      <c r="ENF21" s="9"/>
      <c r="ENG21" s="9"/>
      <c r="ENH21" s="9"/>
      <c r="ENI21" s="9"/>
      <c r="ENJ21" s="9"/>
      <c r="ENK21" s="9"/>
      <c r="ENL21" s="9"/>
      <c r="ENM21" s="9"/>
      <c r="ENN21" s="9"/>
      <c r="ENO21" s="9"/>
      <c r="ENP21" s="9"/>
      <c r="ENQ21" s="9"/>
      <c r="ENR21" s="9"/>
      <c r="ENS21" s="9"/>
      <c r="ENT21" s="9"/>
      <c r="ENU21" s="9"/>
      <c r="ENV21" s="9"/>
      <c r="ENW21" s="9"/>
      <c r="ENX21" s="9"/>
      <c r="ENY21" s="9"/>
      <c r="ENZ21" s="9"/>
      <c r="EOA21" s="9"/>
      <c r="EOB21" s="9"/>
      <c r="EOC21" s="9"/>
      <c r="EOD21" s="9"/>
      <c r="EOE21" s="9"/>
      <c r="EOF21" s="9"/>
      <c r="EOG21" s="9"/>
      <c r="EOH21" s="9"/>
      <c r="EOI21" s="9"/>
      <c r="EOJ21" s="9"/>
      <c r="EOK21" s="9"/>
      <c r="EOL21" s="9"/>
      <c r="EOM21" s="9"/>
      <c r="EON21" s="9"/>
      <c r="EOO21" s="9"/>
      <c r="EOP21" s="9"/>
      <c r="EOQ21" s="9"/>
      <c r="EOR21" s="9"/>
      <c r="EOS21" s="9"/>
      <c r="EOT21" s="9"/>
      <c r="EOU21" s="9"/>
      <c r="EOV21" s="9"/>
      <c r="EOW21" s="9"/>
      <c r="EOX21" s="9"/>
      <c r="EOY21" s="9"/>
      <c r="EOZ21" s="9"/>
      <c r="EPA21" s="9"/>
      <c r="EPB21" s="9"/>
      <c r="EPC21" s="9"/>
      <c r="EPD21" s="9"/>
      <c r="EPE21" s="9"/>
      <c r="EPF21" s="9"/>
      <c r="EPG21" s="9"/>
      <c r="EPH21" s="9"/>
      <c r="EPI21" s="9"/>
      <c r="EPJ21" s="9"/>
      <c r="EPK21" s="9"/>
      <c r="EPL21" s="9"/>
      <c r="EPM21" s="9"/>
      <c r="EPN21" s="9"/>
      <c r="EPO21" s="9"/>
      <c r="EPP21" s="9"/>
      <c r="EPQ21" s="9"/>
      <c r="EPR21" s="9"/>
      <c r="EPS21" s="9"/>
      <c r="EPT21" s="9"/>
      <c r="EPU21" s="9"/>
      <c r="EPV21" s="9"/>
      <c r="EPW21" s="9"/>
      <c r="EPX21" s="9"/>
      <c r="EPY21" s="9"/>
      <c r="EPZ21" s="9"/>
      <c r="EQA21" s="9"/>
      <c r="EQB21" s="9"/>
      <c r="EQC21" s="9"/>
      <c r="EQD21" s="9"/>
      <c r="EQE21" s="9"/>
      <c r="EQF21" s="9"/>
      <c r="EQG21" s="9"/>
      <c r="EQH21" s="9"/>
      <c r="EQI21" s="9"/>
      <c r="EQJ21" s="9"/>
      <c r="EQK21" s="9"/>
      <c r="EQL21" s="9"/>
      <c r="EQM21" s="9"/>
      <c r="EQN21" s="9"/>
      <c r="EQO21" s="9"/>
      <c r="EQP21" s="9"/>
      <c r="EQQ21" s="9"/>
      <c r="EQR21" s="9"/>
      <c r="EQS21" s="9"/>
      <c r="EQT21" s="9"/>
      <c r="EQU21" s="9"/>
      <c r="EQV21" s="9"/>
      <c r="EQW21" s="9"/>
      <c r="EQX21" s="9"/>
      <c r="EQY21" s="9"/>
      <c r="EQZ21" s="9"/>
      <c r="ERA21" s="9"/>
      <c r="ERB21" s="9"/>
      <c r="ERC21" s="9"/>
      <c r="ERD21" s="9"/>
      <c r="ERE21" s="9"/>
      <c r="ERF21" s="9"/>
      <c r="ERG21" s="9"/>
      <c r="ERH21" s="9"/>
      <c r="ERI21" s="9"/>
      <c r="ERJ21" s="9"/>
      <c r="ERK21" s="9"/>
      <c r="ERL21" s="9"/>
      <c r="ERM21" s="9"/>
      <c r="ERN21" s="9"/>
      <c r="ERO21" s="9"/>
      <c r="ERP21" s="9"/>
      <c r="ERQ21" s="9"/>
      <c r="ERR21" s="9"/>
      <c r="ERS21" s="9"/>
      <c r="ERT21" s="9"/>
      <c r="ERU21" s="9"/>
      <c r="ERV21" s="9"/>
      <c r="ERW21" s="9"/>
      <c r="ERX21" s="9"/>
      <c r="ERY21" s="9"/>
      <c r="ERZ21" s="9"/>
      <c r="ESA21" s="9"/>
      <c r="ESB21" s="9"/>
      <c r="ESC21" s="9"/>
      <c r="ESD21" s="9"/>
      <c r="ESE21" s="9"/>
      <c r="ESF21" s="9"/>
      <c r="ESG21" s="9"/>
      <c r="ESH21" s="9"/>
      <c r="ESI21" s="9"/>
      <c r="ESJ21" s="9"/>
      <c r="ESK21" s="9"/>
      <c r="ESL21" s="9"/>
      <c r="ESM21" s="9"/>
      <c r="ESN21" s="9"/>
      <c r="ESO21" s="9"/>
      <c r="ESP21" s="9"/>
      <c r="ESQ21" s="9"/>
      <c r="ESR21" s="9"/>
      <c r="ESS21" s="9"/>
      <c r="EST21" s="9"/>
      <c r="ESU21" s="9"/>
      <c r="ESV21" s="9"/>
      <c r="ESW21" s="9"/>
      <c r="ESX21" s="9"/>
      <c r="ESY21" s="9"/>
      <c r="ESZ21" s="9"/>
      <c r="ETA21" s="9"/>
      <c r="ETB21" s="9"/>
      <c r="ETC21" s="9"/>
      <c r="ETD21" s="9"/>
      <c r="ETE21" s="9"/>
      <c r="ETF21" s="9"/>
      <c r="ETG21" s="9"/>
      <c r="ETH21" s="9"/>
      <c r="ETI21" s="9"/>
      <c r="ETJ21" s="9"/>
      <c r="ETK21" s="9"/>
      <c r="ETL21" s="9"/>
      <c r="ETM21" s="9"/>
      <c r="ETN21" s="9"/>
      <c r="ETO21" s="9"/>
      <c r="ETP21" s="9"/>
      <c r="ETQ21" s="9"/>
      <c r="ETR21" s="9"/>
      <c r="ETS21" s="9"/>
      <c r="ETT21" s="9"/>
      <c r="ETU21" s="9"/>
      <c r="ETV21" s="9"/>
      <c r="ETW21" s="9"/>
      <c r="ETX21" s="9"/>
      <c r="ETY21" s="9"/>
      <c r="ETZ21" s="9"/>
      <c r="EUA21" s="9"/>
      <c r="EUB21" s="9"/>
      <c r="EUC21" s="9"/>
      <c r="EUD21" s="9"/>
      <c r="EUE21" s="9"/>
      <c r="EUF21" s="9"/>
      <c r="EUG21" s="9"/>
      <c r="EUH21" s="9"/>
      <c r="EUI21" s="9"/>
      <c r="EUJ21" s="9"/>
      <c r="EUK21" s="9"/>
      <c r="EUL21" s="9"/>
      <c r="EUM21" s="9"/>
      <c r="EUN21" s="9"/>
      <c r="EUO21" s="9"/>
      <c r="EUP21" s="9"/>
      <c r="EUQ21" s="9"/>
      <c r="EUR21" s="9"/>
      <c r="EUS21" s="9"/>
      <c r="EUT21" s="9"/>
      <c r="EUU21" s="9"/>
      <c r="EUV21" s="9"/>
      <c r="EUW21" s="9"/>
      <c r="EUX21" s="9"/>
      <c r="EUY21" s="9"/>
      <c r="EUZ21" s="9"/>
      <c r="EVA21" s="9"/>
      <c r="EVB21" s="9"/>
      <c r="EVC21" s="9"/>
      <c r="EVD21" s="9"/>
      <c r="EVE21" s="9"/>
      <c r="EVF21" s="9"/>
      <c r="EVG21" s="9"/>
      <c r="EVH21" s="9"/>
      <c r="EVI21" s="9"/>
      <c r="EVJ21" s="9"/>
      <c r="EVK21" s="9"/>
      <c r="EVL21" s="9"/>
      <c r="EVM21" s="9"/>
      <c r="EVN21" s="9"/>
      <c r="EVO21" s="9"/>
      <c r="EVP21" s="9"/>
      <c r="EVQ21" s="9"/>
      <c r="EVR21" s="9"/>
      <c r="EVS21" s="9"/>
      <c r="EVT21" s="9"/>
      <c r="EVU21" s="9"/>
      <c r="EVV21" s="9"/>
      <c r="EVW21" s="9"/>
      <c r="EVX21" s="9"/>
      <c r="EVY21" s="9"/>
      <c r="EVZ21" s="9"/>
      <c r="EWA21" s="9"/>
      <c r="EWB21" s="9"/>
      <c r="EWC21" s="9"/>
      <c r="EWD21" s="9"/>
      <c r="EWE21" s="9"/>
      <c r="EWF21" s="9"/>
      <c r="EWG21" s="9"/>
      <c r="EWH21" s="9"/>
      <c r="EWI21" s="9"/>
      <c r="EWJ21" s="9"/>
      <c r="EWK21" s="9"/>
      <c r="EWL21" s="9"/>
      <c r="EWM21" s="9"/>
      <c r="EWN21" s="9"/>
      <c r="EWO21" s="9"/>
      <c r="EWP21" s="9"/>
      <c r="EWQ21" s="9"/>
      <c r="EWR21" s="9"/>
      <c r="EWS21" s="9"/>
      <c r="EWT21" s="9"/>
      <c r="EWU21" s="9"/>
      <c r="EWV21" s="9"/>
      <c r="EWW21" s="9"/>
      <c r="EWX21" s="9"/>
      <c r="EWY21" s="9"/>
      <c r="EWZ21" s="9"/>
      <c r="EXA21" s="9"/>
      <c r="EXB21" s="9"/>
      <c r="EXC21" s="9"/>
      <c r="EXD21" s="9"/>
      <c r="EXE21" s="9"/>
      <c r="EXF21" s="9"/>
      <c r="EXG21" s="9"/>
      <c r="EXH21" s="9"/>
      <c r="EXI21" s="9"/>
      <c r="EXJ21" s="9"/>
      <c r="EXK21" s="9"/>
      <c r="EXL21" s="9"/>
      <c r="EXM21" s="9"/>
      <c r="EXN21" s="9"/>
      <c r="EXO21" s="9"/>
      <c r="EXP21" s="9"/>
      <c r="EXQ21" s="9"/>
      <c r="EXR21" s="9"/>
      <c r="EXS21" s="9"/>
      <c r="EXT21" s="9"/>
      <c r="EXU21" s="9"/>
      <c r="EXV21" s="9"/>
      <c r="EXW21" s="9"/>
      <c r="EXX21" s="9"/>
      <c r="EXY21" s="9"/>
      <c r="EXZ21" s="9"/>
      <c r="EYA21" s="9"/>
      <c r="EYB21" s="9"/>
      <c r="EYC21" s="9"/>
      <c r="EYD21" s="9"/>
      <c r="EYE21" s="9"/>
      <c r="EYF21" s="9"/>
      <c r="EYG21" s="9"/>
      <c r="EYH21" s="9"/>
      <c r="EYI21" s="9"/>
      <c r="EYJ21" s="9"/>
      <c r="EYK21" s="9"/>
      <c r="EYL21" s="9"/>
      <c r="EYM21" s="9"/>
      <c r="EYN21" s="9"/>
      <c r="EYO21" s="9"/>
      <c r="EYP21" s="9"/>
      <c r="EYQ21" s="9"/>
      <c r="EYR21" s="9"/>
      <c r="EYS21" s="9"/>
      <c r="EYT21" s="9"/>
      <c r="EYU21" s="9"/>
      <c r="EYV21" s="9"/>
      <c r="EYW21" s="9"/>
      <c r="EYX21" s="9"/>
      <c r="EYY21" s="9"/>
      <c r="EYZ21" s="9"/>
      <c r="EZA21" s="9"/>
      <c r="EZB21" s="9"/>
      <c r="EZC21" s="9"/>
      <c r="EZD21" s="9"/>
      <c r="EZE21" s="9"/>
      <c r="EZF21" s="9"/>
      <c r="EZG21" s="9"/>
      <c r="EZH21" s="9"/>
      <c r="EZI21" s="9"/>
      <c r="EZJ21" s="9"/>
      <c r="EZK21" s="9"/>
      <c r="EZL21" s="9"/>
      <c r="EZM21" s="9"/>
      <c r="EZN21" s="9"/>
      <c r="EZO21" s="9"/>
      <c r="EZP21" s="9"/>
      <c r="EZQ21" s="9"/>
      <c r="EZR21" s="9"/>
      <c r="EZS21" s="9"/>
      <c r="EZT21" s="9"/>
      <c r="EZU21" s="9"/>
      <c r="EZV21" s="9"/>
      <c r="EZW21" s="9"/>
      <c r="EZX21" s="9"/>
      <c r="EZY21" s="9"/>
      <c r="EZZ21" s="9"/>
      <c r="FAA21" s="9"/>
      <c r="FAB21" s="9"/>
      <c r="FAC21" s="9"/>
      <c r="FAD21" s="9"/>
      <c r="FAE21" s="9"/>
      <c r="FAF21" s="9"/>
      <c r="FAG21" s="9"/>
      <c r="FAH21" s="9"/>
      <c r="FAI21" s="9"/>
      <c r="FAJ21" s="9"/>
      <c r="FAK21" s="9"/>
      <c r="FAL21" s="9"/>
      <c r="FAM21" s="9"/>
      <c r="FAN21" s="9"/>
      <c r="FAO21" s="9"/>
      <c r="FAP21" s="9"/>
      <c r="FAQ21" s="9"/>
      <c r="FAR21" s="9"/>
      <c r="FAS21" s="9"/>
      <c r="FAT21" s="9"/>
      <c r="FAU21" s="9"/>
      <c r="FAV21" s="9"/>
      <c r="FAW21" s="9"/>
      <c r="FAX21" s="9"/>
      <c r="FAY21" s="9"/>
      <c r="FAZ21" s="9"/>
      <c r="FBA21" s="9"/>
      <c r="FBB21" s="9"/>
      <c r="FBC21" s="9"/>
      <c r="FBD21" s="9"/>
      <c r="FBE21" s="9"/>
      <c r="FBF21" s="9"/>
      <c r="FBG21" s="9"/>
      <c r="FBH21" s="9"/>
      <c r="FBI21" s="9"/>
      <c r="FBJ21" s="9"/>
      <c r="FBK21" s="9"/>
      <c r="FBL21" s="9"/>
      <c r="FBM21" s="9"/>
      <c r="FBN21" s="9"/>
      <c r="FBO21" s="9"/>
      <c r="FBP21" s="9"/>
      <c r="FBQ21" s="9"/>
      <c r="FBR21" s="9"/>
      <c r="FBS21" s="9"/>
      <c r="FBT21" s="9"/>
      <c r="FBU21" s="9"/>
      <c r="FBV21" s="9"/>
      <c r="FBW21" s="9"/>
      <c r="FBX21" s="9"/>
      <c r="FBY21" s="9"/>
      <c r="FBZ21" s="9"/>
      <c r="FCA21" s="9"/>
      <c r="FCB21" s="9"/>
      <c r="FCC21" s="9"/>
      <c r="FCD21" s="9"/>
      <c r="FCE21" s="9"/>
      <c r="FCF21" s="9"/>
      <c r="FCG21" s="9"/>
      <c r="FCH21" s="9"/>
      <c r="FCI21" s="9"/>
      <c r="FCJ21" s="9"/>
      <c r="FCK21" s="9"/>
      <c r="FCL21" s="9"/>
      <c r="FCM21" s="9"/>
      <c r="FCN21" s="9"/>
      <c r="FCO21" s="9"/>
      <c r="FCP21" s="9"/>
      <c r="FCQ21" s="9"/>
      <c r="FCR21" s="9"/>
      <c r="FCS21" s="9"/>
      <c r="FCT21" s="9"/>
      <c r="FCU21" s="9"/>
      <c r="FCV21" s="9"/>
      <c r="FCW21" s="9"/>
      <c r="FCX21" s="9"/>
      <c r="FCY21" s="9"/>
      <c r="FCZ21" s="9"/>
      <c r="FDA21" s="9"/>
      <c r="FDB21" s="9"/>
      <c r="FDC21" s="9"/>
      <c r="FDD21" s="9"/>
      <c r="FDE21" s="9"/>
      <c r="FDF21" s="9"/>
      <c r="FDG21" s="9"/>
      <c r="FDH21" s="9"/>
      <c r="FDI21" s="9"/>
      <c r="FDJ21" s="9"/>
      <c r="FDK21" s="9"/>
      <c r="FDL21" s="9"/>
      <c r="FDM21" s="9"/>
      <c r="FDN21" s="9"/>
      <c r="FDO21" s="9"/>
      <c r="FDP21" s="9"/>
      <c r="FDQ21" s="9"/>
      <c r="FDR21" s="9"/>
      <c r="FDS21" s="9"/>
      <c r="FDT21" s="9"/>
      <c r="FDU21" s="9"/>
      <c r="FDV21" s="9"/>
      <c r="FDW21" s="9"/>
      <c r="FDX21" s="9"/>
      <c r="FDY21" s="9"/>
      <c r="FDZ21" s="9"/>
      <c r="FEA21" s="9"/>
      <c r="FEB21" s="9"/>
      <c r="FEC21" s="9"/>
      <c r="FED21" s="9"/>
      <c r="FEE21" s="9"/>
      <c r="FEF21" s="9"/>
      <c r="FEG21" s="9"/>
      <c r="FEH21" s="9"/>
      <c r="FEI21" s="9"/>
      <c r="FEJ21" s="9"/>
      <c r="FEK21" s="9"/>
      <c r="FEL21" s="9"/>
      <c r="FEM21" s="9"/>
      <c r="FEN21" s="9"/>
      <c r="FEO21" s="9"/>
      <c r="FEP21" s="9"/>
      <c r="FEQ21" s="9"/>
      <c r="FER21" s="9"/>
      <c r="FES21" s="9"/>
      <c r="FET21" s="9"/>
      <c r="FEU21" s="9"/>
      <c r="FEV21" s="9"/>
      <c r="FEW21" s="9"/>
      <c r="FEX21" s="9"/>
      <c r="FEY21" s="9"/>
      <c r="FEZ21" s="9"/>
      <c r="FFA21" s="9"/>
      <c r="FFB21" s="9"/>
      <c r="FFC21" s="9"/>
      <c r="FFD21" s="9"/>
      <c r="FFE21" s="9"/>
      <c r="FFF21" s="9"/>
      <c r="FFG21" s="9"/>
      <c r="FFH21" s="9"/>
      <c r="FFI21" s="9"/>
      <c r="FFJ21" s="9"/>
      <c r="FFK21" s="9"/>
      <c r="FFL21" s="9"/>
      <c r="FFM21" s="9"/>
      <c r="FFN21" s="9"/>
      <c r="FFO21" s="9"/>
      <c r="FFP21" s="9"/>
      <c r="FFQ21" s="9"/>
      <c r="FFR21" s="9"/>
      <c r="FFS21" s="9"/>
      <c r="FFT21" s="9"/>
      <c r="FFU21" s="9"/>
      <c r="FFV21" s="9"/>
      <c r="FFW21" s="9"/>
      <c r="FFX21" s="9"/>
      <c r="FFY21" s="9"/>
      <c r="FFZ21" s="9"/>
      <c r="FGA21" s="9"/>
      <c r="FGB21" s="9"/>
      <c r="FGC21" s="9"/>
      <c r="FGD21" s="9"/>
      <c r="FGE21" s="9"/>
      <c r="FGF21" s="9"/>
      <c r="FGG21" s="9"/>
      <c r="FGH21" s="9"/>
      <c r="FGI21" s="9"/>
      <c r="FGJ21" s="9"/>
      <c r="FGK21" s="9"/>
      <c r="FGL21" s="9"/>
      <c r="FGM21" s="9"/>
      <c r="FGN21" s="9"/>
      <c r="FGO21" s="9"/>
      <c r="FGP21" s="9"/>
      <c r="FGQ21" s="9"/>
      <c r="FGR21" s="9"/>
      <c r="FGS21" s="9"/>
      <c r="FGT21" s="9"/>
      <c r="FGU21" s="9"/>
      <c r="FGV21" s="9"/>
      <c r="FGW21" s="9"/>
      <c r="FGX21" s="9"/>
      <c r="FGY21" s="9"/>
      <c r="FGZ21" s="9"/>
      <c r="FHA21" s="9"/>
      <c r="FHB21" s="9"/>
      <c r="FHC21" s="9"/>
      <c r="FHD21" s="9"/>
      <c r="FHE21" s="9"/>
      <c r="FHF21" s="9"/>
      <c r="FHG21" s="9"/>
      <c r="FHH21" s="9"/>
      <c r="FHI21" s="9"/>
      <c r="FHJ21" s="9"/>
      <c r="FHK21" s="9"/>
      <c r="FHL21" s="9"/>
      <c r="FHM21" s="9"/>
      <c r="FHN21" s="9"/>
      <c r="FHO21" s="9"/>
      <c r="FHP21" s="9"/>
      <c r="FHQ21" s="9"/>
      <c r="FHR21" s="9"/>
      <c r="FHS21" s="9"/>
      <c r="FHT21" s="9"/>
      <c r="FHU21" s="9"/>
      <c r="FHV21" s="9"/>
      <c r="FHW21" s="9"/>
      <c r="FHX21" s="9"/>
      <c r="FHY21" s="9"/>
      <c r="FHZ21" s="9"/>
      <c r="FIA21" s="9"/>
      <c r="FIB21" s="9"/>
      <c r="FIC21" s="9"/>
      <c r="FID21" s="9"/>
      <c r="FIE21" s="9"/>
      <c r="FIF21" s="9"/>
      <c r="FIG21" s="9"/>
      <c r="FIH21" s="9"/>
      <c r="FII21" s="9"/>
      <c r="FIJ21" s="9"/>
      <c r="FIK21" s="9"/>
      <c r="FIL21" s="9"/>
      <c r="FIM21" s="9"/>
      <c r="FIN21" s="9"/>
      <c r="FIO21" s="9"/>
      <c r="FIP21" s="9"/>
      <c r="FIQ21" s="9"/>
      <c r="FIR21" s="9"/>
      <c r="FIS21" s="9"/>
      <c r="FIT21" s="9"/>
      <c r="FIU21" s="9"/>
      <c r="FIV21" s="9"/>
      <c r="FIW21" s="9"/>
      <c r="FIX21" s="9"/>
      <c r="FIY21" s="9"/>
      <c r="FIZ21" s="9"/>
      <c r="FJA21" s="9"/>
      <c r="FJB21" s="9"/>
      <c r="FJC21" s="9"/>
      <c r="FJD21" s="9"/>
      <c r="FJE21" s="9"/>
      <c r="FJF21" s="9"/>
      <c r="FJG21" s="9"/>
      <c r="FJH21" s="9"/>
      <c r="FJI21" s="9"/>
      <c r="FJJ21" s="9"/>
      <c r="FJK21" s="9"/>
      <c r="FJL21" s="9"/>
      <c r="FJM21" s="9"/>
      <c r="FJN21" s="9"/>
      <c r="FJO21" s="9"/>
      <c r="FJP21" s="9"/>
      <c r="FJQ21" s="9"/>
      <c r="FJR21" s="9"/>
      <c r="FJS21" s="9"/>
      <c r="FJT21" s="9"/>
      <c r="FJU21" s="9"/>
      <c r="FJV21" s="9"/>
      <c r="FJW21" s="9"/>
      <c r="FJX21" s="9"/>
      <c r="FJY21" s="9"/>
      <c r="FJZ21" s="9"/>
      <c r="FKA21" s="9"/>
      <c r="FKB21" s="9"/>
      <c r="FKC21" s="9"/>
      <c r="FKD21" s="9"/>
      <c r="FKE21" s="9"/>
      <c r="FKF21" s="9"/>
      <c r="FKG21" s="9"/>
      <c r="FKH21" s="9"/>
      <c r="FKI21" s="9"/>
      <c r="FKJ21" s="9"/>
      <c r="FKK21" s="9"/>
      <c r="FKL21" s="9"/>
      <c r="FKM21" s="9"/>
      <c r="FKN21" s="9"/>
      <c r="FKO21" s="9"/>
      <c r="FKP21" s="9"/>
      <c r="FKQ21" s="9"/>
      <c r="FKR21" s="9"/>
      <c r="FKS21" s="9"/>
      <c r="FKT21" s="9"/>
      <c r="FKU21" s="9"/>
      <c r="FKV21" s="9"/>
      <c r="FKW21" s="9"/>
      <c r="FKX21" s="9"/>
      <c r="FKY21" s="9"/>
      <c r="FKZ21" s="9"/>
      <c r="FLA21" s="9"/>
      <c r="FLB21" s="9"/>
      <c r="FLC21" s="9"/>
      <c r="FLD21" s="9"/>
      <c r="FLE21" s="9"/>
      <c r="FLF21" s="9"/>
      <c r="FLG21" s="9"/>
      <c r="FLH21" s="9"/>
      <c r="FLI21" s="9"/>
      <c r="FLJ21" s="9"/>
      <c r="FLK21" s="9"/>
      <c r="FLL21" s="9"/>
      <c r="FLM21" s="9"/>
      <c r="FLN21" s="9"/>
      <c r="FLO21" s="9"/>
      <c r="FLP21" s="9"/>
      <c r="FLQ21" s="9"/>
      <c r="FLR21" s="9"/>
      <c r="FLS21" s="9"/>
      <c r="FLT21" s="9"/>
      <c r="FLU21" s="9"/>
      <c r="FLV21" s="9"/>
      <c r="FLW21" s="9"/>
      <c r="FLX21" s="9"/>
      <c r="FLY21" s="9"/>
      <c r="FLZ21" s="9"/>
      <c r="FMA21" s="9"/>
      <c r="FMB21" s="9"/>
      <c r="FMC21" s="9"/>
      <c r="FMD21" s="9"/>
      <c r="FME21" s="9"/>
      <c r="FMF21" s="9"/>
      <c r="FMG21" s="9"/>
      <c r="FMH21" s="9"/>
      <c r="FMI21" s="9"/>
      <c r="FMJ21" s="9"/>
      <c r="FMK21" s="9"/>
      <c r="FML21" s="9"/>
      <c r="FMM21" s="9"/>
      <c r="FMN21" s="9"/>
      <c r="FMO21" s="9"/>
      <c r="FMP21" s="9"/>
      <c r="FMQ21" s="9"/>
      <c r="FMR21" s="9"/>
      <c r="FMS21" s="9"/>
      <c r="FMT21" s="9"/>
      <c r="FMU21" s="9"/>
      <c r="FMV21" s="9"/>
      <c r="FMW21" s="9"/>
      <c r="FMX21" s="9"/>
      <c r="FMY21" s="9"/>
      <c r="FMZ21" s="9"/>
      <c r="FNA21" s="9"/>
      <c r="FNB21" s="9"/>
      <c r="FNC21" s="9"/>
      <c r="FND21" s="9"/>
      <c r="FNE21" s="9"/>
      <c r="FNF21" s="9"/>
      <c r="FNG21" s="9"/>
      <c r="FNH21" s="9"/>
      <c r="FNI21" s="9"/>
      <c r="FNJ21" s="9"/>
      <c r="FNK21" s="9"/>
      <c r="FNL21" s="9"/>
      <c r="FNM21" s="9"/>
      <c r="FNN21" s="9"/>
      <c r="FNO21" s="9"/>
      <c r="FNP21" s="9"/>
      <c r="FNQ21" s="9"/>
      <c r="FNR21" s="9"/>
      <c r="FNS21" s="9"/>
      <c r="FNT21" s="9"/>
      <c r="FNU21" s="9"/>
      <c r="FNV21" s="9"/>
      <c r="FNW21" s="9"/>
      <c r="FNX21" s="9"/>
      <c r="FNY21" s="9"/>
      <c r="FNZ21" s="9"/>
      <c r="FOA21" s="9"/>
      <c r="FOB21" s="9"/>
      <c r="FOC21" s="9"/>
      <c r="FOD21" s="9"/>
      <c r="FOE21" s="9"/>
      <c r="FOF21" s="9"/>
      <c r="FOG21" s="9"/>
      <c r="FOH21" s="9"/>
      <c r="FOI21" s="9"/>
      <c r="FOJ21" s="9"/>
      <c r="FOK21" s="9"/>
      <c r="FOL21" s="9"/>
      <c r="FOM21" s="9"/>
      <c r="FON21" s="9"/>
      <c r="FOO21" s="9"/>
      <c r="FOP21" s="9"/>
      <c r="FOQ21" s="9"/>
      <c r="FOR21" s="9"/>
      <c r="FOS21" s="9"/>
      <c r="FOT21" s="9"/>
      <c r="FOU21" s="9"/>
      <c r="FOV21" s="9"/>
      <c r="FOW21" s="9"/>
      <c r="FOX21" s="9"/>
      <c r="FOY21" s="9"/>
      <c r="FOZ21" s="9"/>
      <c r="FPA21" s="9"/>
      <c r="FPB21" s="9"/>
      <c r="FPC21" s="9"/>
      <c r="FPD21" s="9"/>
      <c r="FPE21" s="9"/>
      <c r="FPF21" s="9"/>
      <c r="FPG21" s="9"/>
      <c r="FPH21" s="9"/>
      <c r="FPI21" s="9"/>
      <c r="FPJ21" s="9"/>
      <c r="FPK21" s="9"/>
      <c r="FPL21" s="9"/>
      <c r="FPM21" s="9"/>
      <c r="FPN21" s="9"/>
      <c r="FPO21" s="9"/>
      <c r="FPP21" s="9"/>
      <c r="FPQ21" s="9"/>
      <c r="FPR21" s="9"/>
      <c r="FPS21" s="9"/>
      <c r="FPT21" s="9"/>
      <c r="FPU21" s="9"/>
      <c r="FPV21" s="9"/>
      <c r="FPW21" s="9"/>
      <c r="FPX21" s="9"/>
      <c r="FPY21" s="9"/>
      <c r="FPZ21" s="9"/>
      <c r="FQA21" s="9"/>
      <c r="FQB21" s="9"/>
      <c r="FQC21" s="9"/>
      <c r="FQD21" s="9"/>
      <c r="FQE21" s="9"/>
      <c r="FQF21" s="9"/>
      <c r="FQG21" s="9"/>
      <c r="FQH21" s="9"/>
      <c r="FQI21" s="9"/>
      <c r="FQJ21" s="9"/>
      <c r="FQK21" s="9"/>
      <c r="FQL21" s="9"/>
      <c r="FQM21" s="9"/>
      <c r="FQN21" s="9"/>
      <c r="FQO21" s="9"/>
      <c r="FQP21" s="9"/>
      <c r="FQQ21" s="9"/>
      <c r="FQR21" s="9"/>
      <c r="FQS21" s="9"/>
      <c r="FQT21" s="9"/>
      <c r="FQU21" s="9"/>
      <c r="FQV21" s="9"/>
      <c r="FQW21" s="9"/>
      <c r="FQX21" s="9"/>
      <c r="FQY21" s="9"/>
      <c r="FQZ21" s="9"/>
      <c r="FRA21" s="9"/>
      <c r="FRB21" s="9"/>
      <c r="FRC21" s="9"/>
      <c r="FRD21" s="9"/>
      <c r="FRE21" s="9"/>
      <c r="FRF21" s="9"/>
      <c r="FRG21" s="9"/>
      <c r="FRH21" s="9"/>
      <c r="FRI21" s="9"/>
      <c r="FRJ21" s="9"/>
      <c r="FRK21" s="9"/>
      <c r="FRL21" s="9"/>
      <c r="FRM21" s="9"/>
      <c r="FRN21" s="9"/>
      <c r="FRO21" s="9"/>
      <c r="FRP21" s="9"/>
      <c r="FRQ21" s="9"/>
      <c r="FRR21" s="9"/>
      <c r="FRS21" s="9"/>
      <c r="FRT21" s="9"/>
      <c r="FRU21" s="9"/>
      <c r="FRV21" s="9"/>
      <c r="FRW21" s="9"/>
      <c r="FRX21" s="9"/>
      <c r="FRY21" s="9"/>
      <c r="FRZ21" s="9"/>
      <c r="FSA21" s="9"/>
      <c r="FSB21" s="9"/>
      <c r="FSC21" s="9"/>
      <c r="FSD21" s="9"/>
      <c r="FSE21" s="9"/>
      <c r="FSF21" s="9"/>
      <c r="FSG21" s="9"/>
      <c r="FSH21" s="9"/>
      <c r="FSI21" s="9"/>
      <c r="FSJ21" s="9"/>
      <c r="FSK21" s="9"/>
      <c r="FSL21" s="9"/>
      <c r="FSM21" s="9"/>
      <c r="FSN21" s="9"/>
      <c r="FSO21" s="9"/>
      <c r="FSP21" s="9"/>
      <c r="FSQ21" s="9"/>
      <c r="FSR21" s="9"/>
      <c r="FSS21" s="9"/>
      <c r="FST21" s="9"/>
      <c r="FSU21" s="9"/>
      <c r="FSV21" s="9"/>
      <c r="FSW21" s="9"/>
      <c r="FSX21" s="9"/>
      <c r="FSY21" s="9"/>
      <c r="FSZ21" s="9"/>
      <c r="FTA21" s="9"/>
      <c r="FTB21" s="9"/>
      <c r="FTC21" s="9"/>
      <c r="FTD21" s="9"/>
      <c r="FTE21" s="9"/>
      <c r="FTF21" s="9"/>
      <c r="FTG21" s="9"/>
      <c r="FTH21" s="9"/>
      <c r="FTI21" s="9"/>
      <c r="FTJ21" s="9"/>
      <c r="FTK21" s="9"/>
      <c r="FTL21" s="9"/>
      <c r="FTM21" s="9"/>
      <c r="FTN21" s="9"/>
      <c r="FTO21" s="9"/>
      <c r="FTP21" s="9"/>
      <c r="FTQ21" s="9"/>
      <c r="FTR21" s="9"/>
      <c r="FTS21" s="9"/>
      <c r="FTT21" s="9"/>
      <c r="FTU21" s="9"/>
      <c r="FTV21" s="9"/>
      <c r="FTW21" s="9"/>
      <c r="FTX21" s="9"/>
      <c r="FTY21" s="9"/>
      <c r="FTZ21" s="9"/>
      <c r="FUA21" s="9"/>
      <c r="FUB21" s="9"/>
      <c r="FUC21" s="9"/>
      <c r="FUD21" s="9"/>
      <c r="FUE21" s="9"/>
      <c r="FUF21" s="9"/>
      <c r="FUG21" s="9"/>
      <c r="FUH21" s="9"/>
      <c r="FUI21" s="9"/>
      <c r="FUJ21" s="9"/>
      <c r="FUK21" s="9"/>
      <c r="FUL21" s="9"/>
      <c r="FUM21" s="9"/>
      <c r="FUN21" s="9"/>
      <c r="FUO21" s="9"/>
      <c r="FUP21" s="9"/>
      <c r="FUQ21" s="9"/>
      <c r="FUR21" s="9"/>
      <c r="FUS21" s="9"/>
      <c r="FUT21" s="9"/>
      <c r="FUU21" s="9"/>
      <c r="FUV21" s="9"/>
      <c r="FUW21" s="9"/>
      <c r="FUX21" s="9"/>
      <c r="FUY21" s="9"/>
      <c r="FUZ21" s="9"/>
      <c r="FVA21" s="9"/>
      <c r="FVB21" s="9"/>
      <c r="FVC21" s="9"/>
      <c r="FVD21" s="9"/>
      <c r="FVE21" s="9"/>
      <c r="FVF21" s="9"/>
      <c r="FVG21" s="9"/>
      <c r="FVH21" s="9"/>
      <c r="FVI21" s="9"/>
      <c r="FVJ21" s="9"/>
      <c r="FVK21" s="9"/>
      <c r="FVL21" s="9"/>
      <c r="FVM21" s="9"/>
      <c r="FVN21" s="9"/>
      <c r="FVO21" s="9"/>
      <c r="FVP21" s="9"/>
      <c r="FVQ21" s="9"/>
      <c r="FVR21" s="9"/>
      <c r="FVS21" s="9"/>
      <c r="FVT21" s="9"/>
      <c r="FVU21" s="9"/>
      <c r="FVV21" s="9"/>
      <c r="FVW21" s="9"/>
      <c r="FVX21" s="9"/>
      <c r="FVY21" s="9"/>
      <c r="FVZ21" s="9"/>
      <c r="FWA21" s="9"/>
      <c r="FWB21" s="9"/>
      <c r="FWC21" s="9"/>
      <c r="FWD21" s="9"/>
      <c r="FWE21" s="9"/>
      <c r="FWF21" s="9"/>
      <c r="FWG21" s="9"/>
      <c r="FWH21" s="9"/>
      <c r="FWI21" s="9"/>
      <c r="FWJ21" s="9"/>
      <c r="FWK21" s="9"/>
      <c r="FWL21" s="9"/>
      <c r="FWM21" s="9"/>
      <c r="FWN21" s="9"/>
      <c r="FWO21" s="9"/>
      <c r="FWP21" s="9"/>
      <c r="FWQ21" s="9"/>
      <c r="FWR21" s="9"/>
      <c r="FWS21" s="9"/>
      <c r="FWT21" s="9"/>
      <c r="FWU21" s="9"/>
      <c r="FWV21" s="9"/>
      <c r="FWW21" s="9"/>
      <c r="FWX21" s="9"/>
      <c r="FWY21" s="9"/>
      <c r="FWZ21" s="9"/>
      <c r="FXA21" s="9"/>
      <c r="FXB21" s="9"/>
      <c r="FXC21" s="9"/>
      <c r="FXD21" s="9"/>
      <c r="FXE21" s="9"/>
      <c r="FXF21" s="9"/>
      <c r="FXG21" s="9"/>
      <c r="FXH21" s="9"/>
      <c r="FXI21" s="9"/>
      <c r="FXJ21" s="9"/>
      <c r="FXK21" s="9"/>
      <c r="FXL21" s="9"/>
      <c r="FXM21" s="9"/>
      <c r="FXN21" s="9"/>
      <c r="FXO21" s="9"/>
      <c r="FXP21" s="9"/>
      <c r="FXQ21" s="9"/>
      <c r="FXR21" s="9"/>
      <c r="FXS21" s="9"/>
      <c r="FXT21" s="9"/>
      <c r="FXU21" s="9"/>
      <c r="FXV21" s="9"/>
      <c r="FXW21" s="9"/>
      <c r="FXX21" s="9"/>
      <c r="FXY21" s="9"/>
      <c r="FXZ21" s="9"/>
      <c r="FYA21" s="9"/>
      <c r="FYB21" s="9"/>
      <c r="FYC21" s="9"/>
      <c r="FYD21" s="9"/>
      <c r="FYE21" s="9"/>
      <c r="FYF21" s="9"/>
      <c r="FYG21" s="9"/>
      <c r="FYH21" s="9"/>
      <c r="FYI21" s="9"/>
      <c r="FYJ21" s="9"/>
      <c r="FYK21" s="9"/>
      <c r="FYL21" s="9"/>
      <c r="FYM21" s="9"/>
      <c r="FYN21" s="9"/>
      <c r="FYO21" s="9"/>
      <c r="FYP21" s="9"/>
      <c r="FYQ21" s="9"/>
      <c r="FYR21" s="9"/>
      <c r="FYS21" s="9"/>
      <c r="FYT21" s="9"/>
      <c r="FYU21" s="9"/>
      <c r="FYV21" s="9"/>
      <c r="FYW21" s="9"/>
      <c r="FYX21" s="9"/>
      <c r="FYY21" s="9"/>
      <c r="FYZ21" s="9"/>
      <c r="FZA21" s="9"/>
      <c r="FZB21" s="9"/>
      <c r="FZC21" s="9"/>
      <c r="FZD21" s="9"/>
      <c r="FZE21" s="9"/>
      <c r="FZF21" s="9"/>
      <c r="FZG21" s="9"/>
      <c r="FZH21" s="9"/>
      <c r="FZI21" s="9"/>
      <c r="FZJ21" s="9"/>
      <c r="FZK21" s="9"/>
      <c r="FZL21" s="9"/>
      <c r="FZM21" s="9"/>
      <c r="FZN21" s="9"/>
      <c r="FZO21" s="9"/>
      <c r="FZP21" s="9"/>
      <c r="FZQ21" s="9"/>
      <c r="FZR21" s="9"/>
      <c r="FZS21" s="9"/>
      <c r="FZT21" s="9"/>
      <c r="FZU21" s="9"/>
      <c r="FZV21" s="9"/>
      <c r="FZW21" s="9"/>
      <c r="FZX21" s="9"/>
      <c r="FZY21" s="9"/>
      <c r="FZZ21" s="9"/>
      <c r="GAA21" s="9"/>
      <c r="GAB21" s="9"/>
      <c r="GAC21" s="9"/>
      <c r="GAD21" s="9"/>
      <c r="GAE21" s="9"/>
      <c r="GAF21" s="9"/>
      <c r="GAG21" s="9"/>
      <c r="GAH21" s="9"/>
      <c r="GAI21" s="9"/>
      <c r="GAJ21" s="9"/>
      <c r="GAK21" s="9"/>
      <c r="GAL21" s="9"/>
      <c r="GAM21" s="9"/>
      <c r="GAN21" s="9"/>
      <c r="GAO21" s="9"/>
      <c r="GAP21" s="9"/>
      <c r="GAQ21" s="9"/>
      <c r="GAR21" s="9"/>
      <c r="GAS21" s="9"/>
      <c r="GAT21" s="9"/>
      <c r="GAU21" s="9"/>
      <c r="GAV21" s="9"/>
      <c r="GAW21" s="9"/>
      <c r="GAX21" s="9"/>
      <c r="GAY21" s="9"/>
      <c r="GAZ21" s="9"/>
      <c r="GBA21" s="9"/>
      <c r="GBB21" s="9"/>
      <c r="GBC21" s="9"/>
      <c r="GBD21" s="9"/>
      <c r="GBE21" s="9"/>
      <c r="GBF21" s="9"/>
      <c r="GBG21" s="9"/>
      <c r="GBH21" s="9"/>
      <c r="GBI21" s="9"/>
      <c r="GBJ21" s="9"/>
      <c r="GBK21" s="9"/>
      <c r="GBL21" s="9"/>
      <c r="GBM21" s="9"/>
      <c r="GBN21" s="9"/>
      <c r="GBO21" s="9"/>
      <c r="GBP21" s="9"/>
      <c r="GBQ21" s="9"/>
      <c r="GBR21" s="9"/>
      <c r="GBS21" s="9"/>
      <c r="GBT21" s="9"/>
      <c r="GBU21" s="9"/>
      <c r="GBV21" s="9"/>
      <c r="GBW21" s="9"/>
      <c r="GBX21" s="9"/>
      <c r="GBY21" s="9"/>
      <c r="GBZ21" s="9"/>
      <c r="GCA21" s="9"/>
      <c r="GCB21" s="9"/>
      <c r="GCC21" s="9"/>
      <c r="GCD21" s="9"/>
      <c r="GCE21" s="9"/>
      <c r="GCF21" s="9"/>
      <c r="GCG21" s="9"/>
      <c r="GCH21" s="9"/>
      <c r="GCI21" s="9"/>
      <c r="GCJ21" s="9"/>
      <c r="GCK21" s="9"/>
      <c r="GCL21" s="9"/>
      <c r="GCM21" s="9"/>
      <c r="GCN21" s="9"/>
      <c r="GCO21" s="9"/>
      <c r="GCP21" s="9"/>
      <c r="GCQ21" s="9"/>
      <c r="GCR21" s="9"/>
      <c r="GCS21" s="9"/>
      <c r="GCT21" s="9"/>
      <c r="GCU21" s="9"/>
      <c r="GCV21" s="9"/>
      <c r="GCW21" s="9"/>
      <c r="GCX21" s="9"/>
      <c r="GCY21" s="9"/>
      <c r="GCZ21" s="9"/>
      <c r="GDA21" s="9"/>
      <c r="GDB21" s="9"/>
      <c r="GDC21" s="9"/>
      <c r="GDD21" s="9"/>
      <c r="GDE21" s="9"/>
      <c r="GDF21" s="9"/>
      <c r="GDG21" s="9"/>
      <c r="GDH21" s="9"/>
      <c r="GDI21" s="9"/>
      <c r="GDJ21" s="9"/>
      <c r="GDK21" s="9"/>
      <c r="GDL21" s="9"/>
      <c r="GDM21" s="9"/>
      <c r="GDN21" s="9"/>
      <c r="GDO21" s="9"/>
      <c r="GDP21" s="9"/>
      <c r="GDQ21" s="9"/>
      <c r="GDR21" s="9"/>
      <c r="GDS21" s="9"/>
      <c r="GDT21" s="9"/>
      <c r="GDU21" s="9"/>
      <c r="GDV21" s="9"/>
      <c r="GDW21" s="9"/>
      <c r="GDX21" s="9"/>
      <c r="GDY21" s="9"/>
      <c r="GDZ21" s="9"/>
      <c r="GEA21" s="9"/>
      <c r="GEB21" s="9"/>
      <c r="GEC21" s="9"/>
      <c r="GED21" s="9"/>
      <c r="GEE21" s="9"/>
      <c r="GEF21" s="9"/>
      <c r="GEG21" s="9"/>
      <c r="GEH21" s="9"/>
      <c r="GEI21" s="9"/>
      <c r="GEJ21" s="9"/>
      <c r="GEK21" s="9"/>
      <c r="GEL21" s="9"/>
      <c r="GEM21" s="9"/>
      <c r="GEN21" s="9"/>
      <c r="GEO21" s="9"/>
      <c r="GEP21" s="9"/>
      <c r="GEQ21" s="9"/>
      <c r="GER21" s="9"/>
      <c r="GES21" s="9"/>
      <c r="GET21" s="9"/>
      <c r="GEU21" s="9"/>
      <c r="GEV21" s="9"/>
      <c r="GEW21" s="9"/>
      <c r="GEX21" s="9"/>
      <c r="GEY21" s="9"/>
      <c r="GEZ21" s="9"/>
      <c r="GFA21" s="9"/>
      <c r="GFB21" s="9"/>
      <c r="GFC21" s="9"/>
      <c r="GFD21" s="9"/>
      <c r="GFE21" s="9"/>
      <c r="GFF21" s="9"/>
      <c r="GFG21" s="9"/>
      <c r="GFH21" s="9"/>
      <c r="GFI21" s="9"/>
      <c r="GFJ21" s="9"/>
      <c r="GFK21" s="9"/>
      <c r="GFL21" s="9"/>
      <c r="GFM21" s="9"/>
      <c r="GFN21" s="9"/>
      <c r="GFO21" s="9"/>
      <c r="GFP21" s="9"/>
      <c r="GFQ21" s="9"/>
      <c r="GFR21" s="9"/>
      <c r="GFS21" s="9"/>
      <c r="GFT21" s="9"/>
      <c r="GFU21" s="9"/>
      <c r="GFV21" s="9"/>
      <c r="GFW21" s="9"/>
      <c r="GFX21" s="9"/>
      <c r="GFY21" s="9"/>
      <c r="GFZ21" s="9"/>
      <c r="GGA21" s="9"/>
      <c r="GGB21" s="9"/>
      <c r="GGC21" s="9"/>
      <c r="GGD21" s="9"/>
      <c r="GGE21" s="9"/>
      <c r="GGF21" s="9"/>
      <c r="GGG21" s="9"/>
      <c r="GGH21" s="9"/>
      <c r="GGI21" s="9"/>
      <c r="GGJ21" s="9"/>
      <c r="GGK21" s="9"/>
      <c r="GGL21" s="9"/>
      <c r="GGM21" s="9"/>
      <c r="GGN21" s="9"/>
      <c r="GGO21" s="9"/>
      <c r="GGP21" s="9"/>
      <c r="GGQ21" s="9"/>
      <c r="GGR21" s="9"/>
      <c r="GGS21" s="9"/>
      <c r="GGT21" s="9"/>
      <c r="GGU21" s="9"/>
      <c r="GGV21" s="9"/>
      <c r="GGW21" s="9"/>
      <c r="GGX21" s="9"/>
      <c r="GGY21" s="9"/>
      <c r="GGZ21" s="9"/>
      <c r="GHA21" s="9"/>
      <c r="GHB21" s="9"/>
      <c r="GHC21" s="9"/>
      <c r="GHD21" s="9"/>
      <c r="GHE21" s="9"/>
      <c r="GHF21" s="9"/>
      <c r="GHG21" s="9"/>
      <c r="GHH21" s="9"/>
      <c r="GHI21" s="9"/>
      <c r="GHJ21" s="9"/>
      <c r="GHK21" s="9"/>
      <c r="GHL21" s="9"/>
      <c r="GHM21" s="9"/>
      <c r="GHN21" s="9"/>
      <c r="GHO21" s="9"/>
      <c r="GHP21" s="9"/>
      <c r="GHQ21" s="9"/>
      <c r="GHR21" s="9"/>
      <c r="GHS21" s="9"/>
      <c r="GHT21" s="9"/>
      <c r="GHU21" s="9"/>
      <c r="GHV21" s="9"/>
      <c r="GHW21" s="9"/>
      <c r="GHX21" s="9"/>
      <c r="GHY21" s="9"/>
      <c r="GHZ21" s="9"/>
      <c r="GIA21" s="9"/>
      <c r="GIB21" s="9"/>
      <c r="GIC21" s="9"/>
      <c r="GID21" s="9"/>
      <c r="GIE21" s="9"/>
      <c r="GIF21" s="9"/>
      <c r="GIG21" s="9"/>
      <c r="GIH21" s="9"/>
      <c r="GII21" s="9"/>
      <c r="GIJ21" s="9"/>
      <c r="GIK21" s="9"/>
      <c r="GIL21" s="9"/>
      <c r="GIM21" s="9"/>
      <c r="GIN21" s="9"/>
      <c r="GIO21" s="9"/>
      <c r="GIP21" s="9"/>
      <c r="GIQ21" s="9"/>
      <c r="GIR21" s="9"/>
      <c r="GIS21" s="9"/>
      <c r="GIT21" s="9"/>
      <c r="GIU21" s="9"/>
      <c r="GIV21" s="9"/>
      <c r="GIW21" s="9"/>
      <c r="GIX21" s="9"/>
      <c r="GIY21" s="9"/>
      <c r="GIZ21" s="9"/>
      <c r="GJA21" s="9"/>
      <c r="GJB21" s="9"/>
      <c r="GJC21" s="9"/>
      <c r="GJD21" s="9"/>
      <c r="GJE21" s="9"/>
      <c r="GJF21" s="9"/>
      <c r="GJG21" s="9"/>
      <c r="GJH21" s="9"/>
      <c r="GJI21" s="9"/>
      <c r="GJJ21" s="9"/>
      <c r="GJK21" s="9"/>
      <c r="GJL21" s="9"/>
      <c r="GJM21" s="9"/>
      <c r="GJN21" s="9"/>
      <c r="GJO21" s="9"/>
      <c r="GJP21" s="9"/>
      <c r="GJQ21" s="9"/>
      <c r="GJR21" s="9"/>
      <c r="GJS21" s="9"/>
      <c r="GJT21" s="9"/>
      <c r="GJU21" s="9"/>
      <c r="GJV21" s="9"/>
      <c r="GJW21" s="9"/>
      <c r="GJX21" s="9"/>
      <c r="GJY21" s="9"/>
      <c r="GJZ21" s="9"/>
      <c r="GKA21" s="9"/>
      <c r="GKB21" s="9"/>
      <c r="GKC21" s="9"/>
      <c r="GKD21" s="9"/>
      <c r="GKE21" s="9"/>
      <c r="GKF21" s="9"/>
      <c r="GKG21" s="9"/>
      <c r="GKH21" s="9"/>
      <c r="GKI21" s="9"/>
      <c r="GKJ21" s="9"/>
      <c r="GKK21" s="9"/>
      <c r="GKL21" s="9"/>
      <c r="GKM21" s="9"/>
      <c r="GKN21" s="9"/>
      <c r="GKO21" s="9"/>
      <c r="GKP21" s="9"/>
      <c r="GKQ21" s="9"/>
      <c r="GKR21" s="9"/>
      <c r="GKS21" s="9"/>
      <c r="GKT21" s="9"/>
      <c r="GKU21" s="9"/>
      <c r="GKV21" s="9"/>
      <c r="GKW21" s="9"/>
      <c r="GKX21" s="9"/>
      <c r="GKY21" s="9"/>
      <c r="GKZ21" s="9"/>
      <c r="GLA21" s="9"/>
      <c r="GLB21" s="9"/>
      <c r="GLC21" s="9"/>
      <c r="GLD21" s="9"/>
      <c r="GLE21" s="9"/>
      <c r="GLF21" s="9"/>
      <c r="GLG21" s="9"/>
      <c r="GLH21" s="9"/>
      <c r="GLI21" s="9"/>
      <c r="GLJ21" s="9"/>
      <c r="GLK21" s="9"/>
      <c r="GLL21" s="9"/>
      <c r="GLM21" s="9"/>
      <c r="GLN21" s="9"/>
      <c r="GLO21" s="9"/>
      <c r="GLP21" s="9"/>
      <c r="GLQ21" s="9"/>
      <c r="GLR21" s="9"/>
      <c r="GLS21" s="9"/>
      <c r="GLT21" s="9"/>
      <c r="GLU21" s="9"/>
      <c r="GLV21" s="9"/>
      <c r="GLW21" s="9"/>
      <c r="GLX21" s="9"/>
      <c r="GLY21" s="9"/>
      <c r="GLZ21" s="9"/>
      <c r="GMA21" s="9"/>
      <c r="GMB21" s="9"/>
      <c r="GMC21" s="9"/>
      <c r="GMD21" s="9"/>
      <c r="GME21" s="9"/>
      <c r="GMF21" s="9"/>
      <c r="GMG21" s="9"/>
      <c r="GMH21" s="9"/>
      <c r="GMI21" s="9"/>
      <c r="GMJ21" s="9"/>
      <c r="GMK21" s="9"/>
      <c r="GML21" s="9"/>
      <c r="GMM21" s="9"/>
      <c r="GMN21" s="9"/>
      <c r="GMO21" s="9"/>
      <c r="GMP21" s="9"/>
      <c r="GMQ21" s="9"/>
      <c r="GMR21" s="9"/>
      <c r="GMS21" s="9"/>
      <c r="GMT21" s="9"/>
      <c r="GMU21" s="9"/>
      <c r="GMV21" s="9"/>
      <c r="GMW21" s="9"/>
      <c r="GMX21" s="9"/>
      <c r="GMY21" s="9"/>
      <c r="GMZ21" s="9"/>
      <c r="GNA21" s="9"/>
      <c r="GNB21" s="9"/>
      <c r="GNC21" s="9"/>
      <c r="GND21" s="9"/>
      <c r="GNE21" s="9"/>
      <c r="GNF21" s="9"/>
      <c r="GNG21" s="9"/>
      <c r="GNH21" s="9"/>
      <c r="GNI21" s="9"/>
      <c r="GNJ21" s="9"/>
      <c r="GNK21" s="9"/>
      <c r="GNL21" s="9"/>
      <c r="GNM21" s="9"/>
      <c r="GNN21" s="9"/>
      <c r="GNO21" s="9"/>
      <c r="GNP21" s="9"/>
      <c r="GNQ21" s="9"/>
      <c r="GNR21" s="9"/>
      <c r="GNS21" s="9"/>
      <c r="GNT21" s="9"/>
      <c r="GNU21" s="9"/>
      <c r="GNV21" s="9"/>
      <c r="GNW21" s="9"/>
      <c r="GNX21" s="9"/>
      <c r="GNY21" s="9"/>
      <c r="GNZ21" s="9"/>
      <c r="GOA21" s="9"/>
      <c r="GOB21" s="9"/>
      <c r="GOC21" s="9"/>
      <c r="GOD21" s="9"/>
      <c r="GOE21" s="9"/>
      <c r="GOF21" s="9"/>
      <c r="GOG21" s="9"/>
      <c r="GOH21" s="9"/>
      <c r="GOI21" s="9"/>
      <c r="GOJ21" s="9"/>
      <c r="GOK21" s="9"/>
      <c r="GOL21" s="9"/>
      <c r="GOM21" s="9"/>
      <c r="GON21" s="9"/>
      <c r="GOO21" s="9"/>
      <c r="GOP21" s="9"/>
      <c r="GOQ21" s="9"/>
      <c r="GOR21" s="9"/>
      <c r="GOS21" s="9"/>
      <c r="GOT21" s="9"/>
      <c r="GOU21" s="9"/>
      <c r="GOV21" s="9"/>
      <c r="GOW21" s="9"/>
      <c r="GOX21" s="9"/>
      <c r="GOY21" s="9"/>
      <c r="GOZ21" s="9"/>
      <c r="GPA21" s="9"/>
      <c r="GPB21" s="9"/>
      <c r="GPC21" s="9"/>
      <c r="GPD21" s="9"/>
      <c r="GPE21" s="9"/>
      <c r="GPF21" s="9"/>
      <c r="GPG21" s="9"/>
      <c r="GPH21" s="9"/>
      <c r="GPI21" s="9"/>
      <c r="GPJ21" s="9"/>
      <c r="GPK21" s="9"/>
      <c r="GPL21" s="9"/>
      <c r="GPM21" s="9"/>
      <c r="GPN21" s="9"/>
      <c r="GPO21" s="9"/>
      <c r="GPP21" s="9"/>
      <c r="GPQ21" s="9"/>
      <c r="GPR21" s="9"/>
      <c r="GPS21" s="9"/>
      <c r="GPT21" s="9"/>
      <c r="GPU21" s="9"/>
      <c r="GPV21" s="9"/>
      <c r="GPW21" s="9"/>
      <c r="GPX21" s="9"/>
      <c r="GPY21" s="9"/>
      <c r="GPZ21" s="9"/>
      <c r="GQA21" s="9"/>
      <c r="GQB21" s="9"/>
      <c r="GQC21" s="9"/>
      <c r="GQD21" s="9"/>
      <c r="GQE21" s="9"/>
      <c r="GQF21" s="9"/>
      <c r="GQG21" s="9"/>
      <c r="GQH21" s="9"/>
      <c r="GQI21" s="9"/>
      <c r="GQJ21" s="9"/>
      <c r="GQK21" s="9"/>
      <c r="GQL21" s="9"/>
      <c r="GQM21" s="9"/>
      <c r="GQN21" s="9"/>
      <c r="GQO21" s="9"/>
      <c r="GQP21" s="9"/>
      <c r="GQQ21" s="9"/>
      <c r="GQR21" s="9"/>
      <c r="GQS21" s="9"/>
      <c r="GQT21" s="9"/>
      <c r="GQU21" s="9"/>
      <c r="GQV21" s="9"/>
      <c r="GQW21" s="9"/>
      <c r="GQX21" s="9"/>
      <c r="GQY21" s="9"/>
      <c r="GQZ21" s="9"/>
      <c r="GRA21" s="9"/>
      <c r="GRB21" s="9"/>
      <c r="GRC21" s="9"/>
      <c r="GRD21" s="9"/>
      <c r="GRE21" s="9"/>
      <c r="GRF21" s="9"/>
      <c r="GRG21" s="9"/>
      <c r="GRH21" s="9"/>
      <c r="GRI21" s="9"/>
      <c r="GRJ21" s="9"/>
      <c r="GRK21" s="9"/>
      <c r="GRL21" s="9"/>
      <c r="GRM21" s="9"/>
      <c r="GRN21" s="9"/>
      <c r="GRO21" s="9"/>
      <c r="GRP21" s="9"/>
      <c r="GRQ21" s="9"/>
      <c r="GRR21" s="9"/>
      <c r="GRS21" s="9"/>
      <c r="GRT21" s="9"/>
      <c r="GRU21" s="9"/>
      <c r="GRV21" s="9"/>
      <c r="GRW21" s="9"/>
      <c r="GRX21" s="9"/>
      <c r="GRY21" s="9"/>
      <c r="GRZ21" s="9"/>
      <c r="GSA21" s="9"/>
      <c r="GSB21" s="9"/>
      <c r="GSC21" s="9"/>
      <c r="GSD21" s="9"/>
      <c r="GSE21" s="9"/>
      <c r="GSF21" s="9"/>
      <c r="GSG21" s="9"/>
      <c r="GSH21" s="9"/>
      <c r="GSI21" s="9"/>
      <c r="GSJ21" s="9"/>
      <c r="GSK21" s="9"/>
      <c r="GSL21" s="9"/>
      <c r="GSM21" s="9"/>
      <c r="GSN21" s="9"/>
      <c r="GSO21" s="9"/>
      <c r="GSP21" s="9"/>
      <c r="GSQ21" s="9"/>
      <c r="GSR21" s="9"/>
      <c r="GSS21" s="9"/>
      <c r="GST21" s="9"/>
      <c r="GSU21" s="9"/>
      <c r="GSV21" s="9"/>
      <c r="GSW21" s="9"/>
      <c r="GSX21" s="9"/>
      <c r="GSY21" s="9"/>
      <c r="GSZ21" s="9"/>
      <c r="GTA21" s="9"/>
      <c r="GTB21" s="9"/>
      <c r="GTC21" s="9"/>
      <c r="GTD21" s="9"/>
      <c r="GTE21" s="9"/>
      <c r="GTF21" s="9"/>
      <c r="GTG21" s="9"/>
      <c r="GTH21" s="9"/>
      <c r="GTI21" s="9"/>
      <c r="GTJ21" s="9"/>
      <c r="GTK21" s="9"/>
      <c r="GTL21" s="9"/>
      <c r="GTM21" s="9"/>
      <c r="GTN21" s="9"/>
      <c r="GTO21" s="9"/>
      <c r="GTP21" s="9"/>
      <c r="GTQ21" s="9"/>
      <c r="GTR21" s="9"/>
      <c r="GTS21" s="9"/>
      <c r="GTT21" s="9"/>
      <c r="GTU21" s="9"/>
      <c r="GTV21" s="9"/>
      <c r="GTW21" s="9"/>
      <c r="GTX21" s="9"/>
      <c r="GTY21" s="9"/>
      <c r="GTZ21" s="9"/>
      <c r="GUA21" s="9"/>
      <c r="GUB21" s="9"/>
      <c r="GUC21" s="9"/>
      <c r="GUD21" s="9"/>
      <c r="GUE21" s="9"/>
      <c r="GUF21" s="9"/>
      <c r="GUG21" s="9"/>
      <c r="GUH21" s="9"/>
      <c r="GUI21" s="9"/>
      <c r="GUJ21" s="9"/>
      <c r="GUK21" s="9"/>
      <c r="GUL21" s="9"/>
      <c r="GUM21" s="9"/>
      <c r="GUN21" s="9"/>
      <c r="GUO21" s="9"/>
      <c r="GUP21" s="9"/>
      <c r="GUQ21" s="9"/>
      <c r="GUR21" s="9"/>
      <c r="GUS21" s="9"/>
      <c r="GUT21" s="9"/>
      <c r="GUU21" s="9"/>
      <c r="GUV21" s="9"/>
      <c r="GUW21" s="9"/>
      <c r="GUX21" s="9"/>
      <c r="GUY21" s="9"/>
      <c r="GUZ21" s="9"/>
      <c r="GVA21" s="9"/>
      <c r="GVB21" s="9"/>
      <c r="GVC21" s="9"/>
      <c r="GVD21" s="9"/>
      <c r="GVE21" s="9"/>
      <c r="GVF21" s="9"/>
      <c r="GVG21" s="9"/>
      <c r="GVH21" s="9"/>
      <c r="GVI21" s="9"/>
      <c r="GVJ21" s="9"/>
      <c r="GVK21" s="9"/>
      <c r="GVL21" s="9"/>
      <c r="GVM21" s="9"/>
      <c r="GVN21" s="9"/>
      <c r="GVO21" s="9"/>
      <c r="GVP21" s="9"/>
      <c r="GVQ21" s="9"/>
      <c r="GVR21" s="9"/>
      <c r="GVS21" s="9"/>
      <c r="GVT21" s="9"/>
      <c r="GVU21" s="9"/>
      <c r="GVV21" s="9"/>
      <c r="GVW21" s="9"/>
      <c r="GVX21" s="9"/>
      <c r="GVY21" s="9"/>
      <c r="GVZ21" s="9"/>
      <c r="GWA21" s="9"/>
      <c r="GWB21" s="9"/>
      <c r="GWC21" s="9"/>
      <c r="GWD21" s="9"/>
      <c r="GWE21" s="9"/>
      <c r="GWF21" s="9"/>
      <c r="GWG21" s="9"/>
      <c r="GWH21" s="9"/>
      <c r="GWI21" s="9"/>
      <c r="GWJ21" s="9"/>
      <c r="GWK21" s="9"/>
      <c r="GWL21" s="9"/>
      <c r="GWM21" s="9"/>
      <c r="GWN21" s="9"/>
      <c r="GWO21" s="9"/>
      <c r="GWP21" s="9"/>
      <c r="GWQ21" s="9"/>
      <c r="GWR21" s="9"/>
      <c r="GWS21" s="9"/>
      <c r="GWT21" s="9"/>
      <c r="GWU21" s="9"/>
      <c r="GWV21" s="9"/>
      <c r="GWW21" s="9"/>
      <c r="GWX21" s="9"/>
      <c r="GWY21" s="9"/>
      <c r="GWZ21" s="9"/>
      <c r="GXA21" s="9"/>
      <c r="GXB21" s="9"/>
      <c r="GXC21" s="9"/>
      <c r="GXD21" s="9"/>
      <c r="GXE21" s="9"/>
      <c r="GXF21" s="9"/>
      <c r="GXG21" s="9"/>
      <c r="GXH21" s="9"/>
      <c r="GXI21" s="9"/>
      <c r="GXJ21" s="9"/>
      <c r="GXK21" s="9"/>
      <c r="GXL21" s="9"/>
      <c r="GXM21" s="9"/>
      <c r="GXN21" s="9"/>
      <c r="GXO21" s="9"/>
      <c r="GXP21" s="9"/>
      <c r="GXQ21" s="9"/>
      <c r="GXR21" s="9"/>
      <c r="GXS21" s="9"/>
      <c r="GXT21" s="9"/>
      <c r="GXU21" s="9"/>
      <c r="GXV21" s="9"/>
      <c r="GXW21" s="9"/>
      <c r="GXX21" s="9"/>
      <c r="GXY21" s="9"/>
      <c r="GXZ21" s="9"/>
      <c r="GYA21" s="9"/>
      <c r="GYB21" s="9"/>
      <c r="GYC21" s="9"/>
      <c r="GYD21" s="9"/>
      <c r="GYE21" s="9"/>
      <c r="GYF21" s="9"/>
      <c r="GYG21" s="9"/>
      <c r="GYH21" s="9"/>
      <c r="GYI21" s="9"/>
      <c r="GYJ21" s="9"/>
      <c r="GYK21" s="9"/>
      <c r="GYL21" s="9"/>
      <c r="GYM21" s="9"/>
      <c r="GYN21" s="9"/>
      <c r="GYO21" s="9"/>
      <c r="GYP21" s="9"/>
      <c r="GYQ21" s="9"/>
      <c r="GYR21" s="9"/>
      <c r="GYS21" s="9"/>
      <c r="GYT21" s="9"/>
      <c r="GYU21" s="9"/>
      <c r="GYV21" s="9"/>
      <c r="GYW21" s="9"/>
      <c r="GYX21" s="9"/>
      <c r="GYY21" s="9"/>
      <c r="GYZ21" s="9"/>
      <c r="GZA21" s="9"/>
      <c r="GZB21" s="9"/>
      <c r="GZC21" s="9"/>
      <c r="GZD21" s="9"/>
      <c r="GZE21" s="9"/>
      <c r="GZF21" s="9"/>
      <c r="GZG21" s="9"/>
      <c r="GZH21" s="9"/>
      <c r="GZI21" s="9"/>
      <c r="GZJ21" s="9"/>
      <c r="GZK21" s="9"/>
      <c r="GZL21" s="9"/>
      <c r="GZM21" s="9"/>
      <c r="GZN21" s="9"/>
      <c r="GZO21" s="9"/>
      <c r="GZP21" s="9"/>
      <c r="GZQ21" s="9"/>
      <c r="GZR21" s="9"/>
      <c r="GZS21" s="9"/>
      <c r="GZT21" s="9"/>
      <c r="GZU21" s="9"/>
      <c r="GZV21" s="9"/>
      <c r="GZW21" s="9"/>
      <c r="GZX21" s="9"/>
      <c r="GZY21" s="9"/>
      <c r="GZZ21" s="9"/>
      <c r="HAA21" s="9"/>
      <c r="HAB21" s="9"/>
      <c r="HAC21" s="9"/>
      <c r="HAD21" s="9"/>
      <c r="HAE21" s="9"/>
      <c r="HAF21" s="9"/>
      <c r="HAG21" s="9"/>
      <c r="HAH21" s="9"/>
      <c r="HAI21" s="9"/>
      <c r="HAJ21" s="9"/>
      <c r="HAK21" s="9"/>
      <c r="HAL21" s="9"/>
      <c r="HAM21" s="9"/>
      <c r="HAN21" s="9"/>
      <c r="HAO21" s="9"/>
      <c r="HAP21" s="9"/>
      <c r="HAQ21" s="9"/>
      <c r="HAR21" s="9"/>
      <c r="HAS21" s="9"/>
      <c r="HAT21" s="9"/>
      <c r="HAU21" s="9"/>
      <c r="HAV21" s="9"/>
      <c r="HAW21" s="9"/>
      <c r="HAX21" s="9"/>
      <c r="HAY21" s="9"/>
      <c r="HAZ21" s="9"/>
      <c r="HBA21" s="9"/>
      <c r="HBB21" s="9"/>
      <c r="HBC21" s="9"/>
      <c r="HBD21" s="9"/>
      <c r="HBE21" s="9"/>
      <c r="HBF21" s="9"/>
      <c r="HBG21" s="9"/>
      <c r="HBH21" s="9"/>
      <c r="HBI21" s="9"/>
      <c r="HBJ21" s="9"/>
      <c r="HBK21" s="9"/>
      <c r="HBL21" s="9"/>
      <c r="HBM21" s="9"/>
      <c r="HBN21" s="9"/>
      <c r="HBO21" s="9"/>
      <c r="HBP21" s="9"/>
      <c r="HBQ21" s="9"/>
      <c r="HBR21" s="9"/>
      <c r="HBS21" s="9"/>
      <c r="HBT21" s="9"/>
      <c r="HBU21" s="9"/>
      <c r="HBV21" s="9"/>
      <c r="HBW21" s="9"/>
      <c r="HBX21" s="9"/>
      <c r="HBY21" s="9"/>
      <c r="HBZ21" s="9"/>
      <c r="HCA21" s="9"/>
      <c r="HCB21" s="9"/>
      <c r="HCC21" s="9"/>
      <c r="HCD21" s="9"/>
      <c r="HCE21" s="9"/>
      <c r="HCF21" s="9"/>
      <c r="HCG21" s="9"/>
      <c r="HCH21" s="9"/>
      <c r="HCI21" s="9"/>
      <c r="HCJ21" s="9"/>
      <c r="HCK21" s="9"/>
      <c r="HCL21" s="9"/>
      <c r="HCM21" s="9"/>
      <c r="HCN21" s="9"/>
      <c r="HCO21" s="9"/>
      <c r="HCP21" s="9"/>
      <c r="HCQ21" s="9"/>
      <c r="HCR21" s="9"/>
      <c r="HCS21" s="9"/>
      <c r="HCT21" s="9"/>
      <c r="HCU21" s="9"/>
      <c r="HCV21" s="9"/>
      <c r="HCW21" s="9"/>
      <c r="HCX21" s="9"/>
      <c r="HCY21" s="9"/>
      <c r="HCZ21" s="9"/>
      <c r="HDA21" s="9"/>
      <c r="HDB21" s="9"/>
      <c r="HDC21" s="9"/>
      <c r="HDD21" s="9"/>
      <c r="HDE21" s="9"/>
      <c r="HDF21" s="9"/>
      <c r="HDG21" s="9"/>
      <c r="HDH21" s="9"/>
      <c r="HDI21" s="9"/>
      <c r="HDJ21" s="9"/>
      <c r="HDK21" s="9"/>
      <c r="HDL21" s="9"/>
      <c r="HDM21" s="9"/>
      <c r="HDN21" s="9"/>
      <c r="HDO21" s="9"/>
      <c r="HDP21" s="9"/>
      <c r="HDQ21" s="9"/>
      <c r="HDR21" s="9"/>
      <c r="HDS21" s="9"/>
      <c r="HDT21" s="9"/>
      <c r="HDU21" s="9"/>
      <c r="HDV21" s="9"/>
      <c r="HDW21" s="9"/>
      <c r="HDX21" s="9"/>
      <c r="HDY21" s="9"/>
      <c r="HDZ21" s="9"/>
      <c r="HEA21" s="9"/>
      <c r="HEB21" s="9"/>
      <c r="HEC21" s="9"/>
      <c r="HED21" s="9"/>
      <c r="HEE21" s="9"/>
      <c r="HEF21" s="9"/>
      <c r="HEG21" s="9"/>
      <c r="HEH21" s="9"/>
      <c r="HEI21" s="9"/>
      <c r="HEJ21" s="9"/>
      <c r="HEK21" s="9"/>
      <c r="HEL21" s="9"/>
      <c r="HEM21" s="9"/>
      <c r="HEN21" s="9"/>
      <c r="HEO21" s="9"/>
      <c r="HEP21" s="9"/>
      <c r="HEQ21" s="9"/>
      <c r="HER21" s="9"/>
      <c r="HES21" s="9"/>
      <c r="HET21" s="9"/>
      <c r="HEU21" s="9"/>
      <c r="HEV21" s="9"/>
      <c r="HEW21" s="9"/>
      <c r="HEX21" s="9"/>
      <c r="HEY21" s="9"/>
      <c r="HEZ21" s="9"/>
      <c r="HFA21" s="9"/>
      <c r="HFB21" s="9"/>
      <c r="HFC21" s="9"/>
      <c r="HFD21" s="9"/>
      <c r="HFE21" s="9"/>
      <c r="HFF21" s="9"/>
      <c r="HFG21" s="9"/>
      <c r="HFH21" s="9"/>
      <c r="HFI21" s="9"/>
      <c r="HFJ21" s="9"/>
      <c r="HFK21" s="9"/>
      <c r="HFL21" s="9"/>
      <c r="HFM21" s="9"/>
      <c r="HFN21" s="9"/>
      <c r="HFO21" s="9"/>
      <c r="HFP21" s="9"/>
      <c r="HFQ21" s="9"/>
      <c r="HFR21" s="9"/>
      <c r="HFS21" s="9"/>
      <c r="HFT21" s="9"/>
      <c r="HFU21" s="9"/>
      <c r="HFV21" s="9"/>
      <c r="HFW21" s="9"/>
      <c r="HFX21" s="9"/>
      <c r="HFY21" s="9"/>
      <c r="HFZ21" s="9"/>
      <c r="HGA21" s="9"/>
      <c r="HGB21" s="9"/>
      <c r="HGC21" s="9"/>
      <c r="HGD21" s="9"/>
      <c r="HGE21" s="9"/>
      <c r="HGF21" s="9"/>
      <c r="HGG21" s="9"/>
      <c r="HGH21" s="9"/>
      <c r="HGI21" s="9"/>
      <c r="HGJ21" s="9"/>
      <c r="HGK21" s="9"/>
      <c r="HGL21" s="9"/>
      <c r="HGM21" s="9"/>
      <c r="HGN21" s="9"/>
      <c r="HGO21" s="9"/>
      <c r="HGP21" s="9"/>
      <c r="HGQ21" s="9"/>
      <c r="HGR21" s="9"/>
      <c r="HGS21" s="9"/>
      <c r="HGT21" s="9"/>
      <c r="HGU21" s="9"/>
      <c r="HGV21" s="9"/>
      <c r="HGW21" s="9"/>
      <c r="HGX21" s="9"/>
      <c r="HGY21" s="9"/>
      <c r="HGZ21" s="9"/>
      <c r="HHA21" s="9"/>
      <c r="HHB21" s="9"/>
      <c r="HHC21" s="9"/>
      <c r="HHD21" s="9"/>
      <c r="HHE21" s="9"/>
      <c r="HHF21" s="9"/>
      <c r="HHG21" s="9"/>
      <c r="HHH21" s="9"/>
      <c r="HHI21" s="9"/>
      <c r="HHJ21" s="9"/>
      <c r="HHK21" s="9"/>
      <c r="HHL21" s="9"/>
      <c r="HHM21" s="9"/>
      <c r="HHN21" s="9"/>
      <c r="HHO21" s="9"/>
      <c r="HHP21" s="9"/>
      <c r="HHQ21" s="9"/>
      <c r="HHR21" s="9"/>
      <c r="HHS21" s="9"/>
      <c r="HHT21" s="9"/>
      <c r="HHU21" s="9"/>
      <c r="HHV21" s="9"/>
      <c r="HHW21" s="9"/>
      <c r="HHX21" s="9"/>
      <c r="HHY21" s="9"/>
      <c r="HHZ21" s="9"/>
      <c r="HIA21" s="9"/>
      <c r="HIB21" s="9"/>
      <c r="HIC21" s="9"/>
      <c r="HID21" s="9"/>
      <c r="HIE21" s="9"/>
      <c r="HIF21" s="9"/>
      <c r="HIG21" s="9"/>
      <c r="HIH21" s="9"/>
      <c r="HII21" s="9"/>
      <c r="HIJ21" s="9"/>
      <c r="HIK21" s="9"/>
      <c r="HIL21" s="9"/>
      <c r="HIM21" s="9"/>
      <c r="HIN21" s="9"/>
      <c r="HIO21" s="9"/>
      <c r="HIP21" s="9"/>
      <c r="HIQ21" s="9"/>
      <c r="HIR21" s="9"/>
      <c r="HIS21" s="9"/>
      <c r="HIT21" s="9"/>
      <c r="HIU21" s="9"/>
      <c r="HIV21" s="9"/>
      <c r="HIW21" s="9"/>
      <c r="HIX21" s="9"/>
      <c r="HIY21" s="9"/>
      <c r="HIZ21" s="9"/>
      <c r="HJA21" s="9"/>
      <c r="HJB21" s="9"/>
      <c r="HJC21" s="9"/>
      <c r="HJD21" s="9"/>
      <c r="HJE21" s="9"/>
      <c r="HJF21" s="9"/>
      <c r="HJG21" s="9"/>
      <c r="HJH21" s="9"/>
      <c r="HJI21" s="9"/>
      <c r="HJJ21" s="9"/>
      <c r="HJK21" s="9"/>
      <c r="HJL21" s="9"/>
      <c r="HJM21" s="9"/>
      <c r="HJN21" s="9"/>
      <c r="HJO21" s="9"/>
      <c r="HJP21" s="9"/>
      <c r="HJQ21" s="9"/>
      <c r="HJR21" s="9"/>
      <c r="HJS21" s="9"/>
      <c r="HJT21" s="9"/>
      <c r="HJU21" s="9"/>
      <c r="HJV21" s="9"/>
      <c r="HJW21" s="9"/>
      <c r="HJX21" s="9"/>
      <c r="HJY21" s="9"/>
      <c r="HJZ21" s="9"/>
      <c r="HKA21" s="9"/>
      <c r="HKB21" s="9"/>
      <c r="HKC21" s="9"/>
      <c r="HKD21" s="9"/>
      <c r="HKE21" s="9"/>
      <c r="HKF21" s="9"/>
      <c r="HKG21" s="9"/>
      <c r="HKH21" s="9"/>
      <c r="HKI21" s="9"/>
      <c r="HKJ21" s="9"/>
      <c r="HKK21" s="9"/>
      <c r="HKL21" s="9"/>
      <c r="HKM21" s="9"/>
      <c r="HKN21" s="9"/>
      <c r="HKO21" s="9"/>
      <c r="HKP21" s="9"/>
      <c r="HKQ21" s="9"/>
      <c r="HKR21" s="9"/>
      <c r="HKS21" s="9"/>
      <c r="HKT21" s="9"/>
      <c r="HKU21" s="9"/>
      <c r="HKV21" s="9"/>
      <c r="HKW21" s="9"/>
      <c r="HKX21" s="9"/>
      <c r="HKY21" s="9"/>
      <c r="HKZ21" s="9"/>
      <c r="HLA21" s="9"/>
      <c r="HLB21" s="9"/>
      <c r="HLC21" s="9"/>
      <c r="HLD21" s="9"/>
      <c r="HLE21" s="9"/>
      <c r="HLF21" s="9"/>
      <c r="HLG21" s="9"/>
      <c r="HLH21" s="9"/>
      <c r="HLI21" s="9"/>
      <c r="HLJ21" s="9"/>
      <c r="HLK21" s="9"/>
      <c r="HLL21" s="9"/>
      <c r="HLM21" s="9"/>
      <c r="HLN21" s="9"/>
      <c r="HLO21" s="9"/>
      <c r="HLP21" s="9"/>
      <c r="HLQ21" s="9"/>
      <c r="HLR21" s="9"/>
      <c r="HLS21" s="9"/>
      <c r="HLT21" s="9"/>
      <c r="HLU21" s="9"/>
      <c r="HLV21" s="9"/>
      <c r="HLW21" s="9"/>
      <c r="HLX21" s="9"/>
      <c r="HLY21" s="9"/>
      <c r="HLZ21" s="9"/>
      <c r="HMA21" s="9"/>
      <c r="HMB21" s="9"/>
      <c r="HMC21" s="9"/>
      <c r="HMD21" s="9"/>
      <c r="HME21" s="9"/>
      <c r="HMF21" s="9"/>
      <c r="HMG21" s="9"/>
      <c r="HMH21" s="9"/>
      <c r="HMI21" s="9"/>
      <c r="HMJ21" s="9"/>
      <c r="HMK21" s="9"/>
      <c r="HML21" s="9"/>
      <c r="HMM21" s="9"/>
      <c r="HMN21" s="9"/>
      <c r="HMO21" s="9"/>
      <c r="HMP21" s="9"/>
      <c r="HMQ21" s="9"/>
      <c r="HMR21" s="9"/>
      <c r="HMS21" s="9"/>
      <c r="HMT21" s="9"/>
      <c r="HMU21" s="9"/>
      <c r="HMV21" s="9"/>
      <c r="HMW21" s="9"/>
      <c r="HMX21" s="9"/>
      <c r="HMY21" s="9"/>
      <c r="HMZ21" s="9"/>
      <c r="HNA21" s="9"/>
      <c r="HNB21" s="9"/>
      <c r="HNC21" s="9"/>
      <c r="HND21" s="9"/>
      <c r="HNE21" s="9"/>
      <c r="HNF21" s="9"/>
      <c r="HNG21" s="9"/>
      <c r="HNH21" s="9"/>
      <c r="HNI21" s="9"/>
      <c r="HNJ21" s="9"/>
      <c r="HNK21" s="9"/>
      <c r="HNL21" s="9"/>
      <c r="HNM21" s="9"/>
      <c r="HNN21" s="9"/>
      <c r="HNO21" s="9"/>
      <c r="HNP21" s="9"/>
      <c r="HNQ21" s="9"/>
      <c r="HNR21" s="9"/>
      <c r="HNS21" s="9"/>
      <c r="HNT21" s="9"/>
      <c r="HNU21" s="9"/>
      <c r="HNV21" s="9"/>
      <c r="HNW21" s="9"/>
      <c r="HNX21" s="9"/>
      <c r="HNY21" s="9"/>
      <c r="HNZ21" s="9"/>
      <c r="HOA21" s="9"/>
      <c r="HOB21" s="9"/>
      <c r="HOC21" s="9"/>
      <c r="HOD21" s="9"/>
      <c r="HOE21" s="9"/>
      <c r="HOF21" s="9"/>
      <c r="HOG21" s="9"/>
      <c r="HOH21" s="9"/>
      <c r="HOI21" s="9"/>
      <c r="HOJ21" s="9"/>
      <c r="HOK21" s="9"/>
      <c r="HOL21" s="9"/>
      <c r="HOM21" s="9"/>
      <c r="HON21" s="9"/>
      <c r="HOO21" s="9"/>
      <c r="HOP21" s="9"/>
      <c r="HOQ21" s="9"/>
      <c r="HOR21" s="9"/>
      <c r="HOS21" s="9"/>
      <c r="HOT21" s="9"/>
      <c r="HOU21" s="9"/>
      <c r="HOV21" s="9"/>
      <c r="HOW21" s="9"/>
      <c r="HOX21" s="9"/>
      <c r="HOY21" s="9"/>
      <c r="HOZ21" s="9"/>
      <c r="HPA21" s="9"/>
      <c r="HPB21" s="9"/>
      <c r="HPC21" s="9"/>
      <c r="HPD21" s="9"/>
      <c r="HPE21" s="9"/>
      <c r="HPF21" s="9"/>
      <c r="HPG21" s="9"/>
      <c r="HPH21" s="9"/>
      <c r="HPI21" s="9"/>
      <c r="HPJ21" s="9"/>
      <c r="HPK21" s="9"/>
      <c r="HPL21" s="9"/>
      <c r="HPM21" s="9"/>
      <c r="HPN21" s="9"/>
      <c r="HPO21" s="9"/>
      <c r="HPP21" s="9"/>
      <c r="HPQ21" s="9"/>
      <c r="HPR21" s="9"/>
      <c r="HPS21" s="9"/>
      <c r="HPT21" s="9"/>
      <c r="HPU21" s="9"/>
      <c r="HPV21" s="9"/>
      <c r="HPW21" s="9"/>
      <c r="HPX21" s="9"/>
      <c r="HPY21" s="9"/>
      <c r="HPZ21" s="9"/>
      <c r="HQA21" s="9"/>
      <c r="HQB21" s="9"/>
      <c r="HQC21" s="9"/>
      <c r="HQD21" s="9"/>
      <c r="HQE21" s="9"/>
      <c r="HQF21" s="9"/>
      <c r="HQG21" s="9"/>
      <c r="HQH21" s="9"/>
      <c r="HQI21" s="9"/>
      <c r="HQJ21" s="9"/>
      <c r="HQK21" s="9"/>
      <c r="HQL21" s="9"/>
      <c r="HQM21" s="9"/>
      <c r="HQN21" s="9"/>
      <c r="HQO21" s="9"/>
      <c r="HQP21" s="9"/>
      <c r="HQQ21" s="9"/>
      <c r="HQR21" s="9"/>
      <c r="HQS21" s="9"/>
      <c r="HQT21" s="9"/>
      <c r="HQU21" s="9"/>
      <c r="HQV21" s="9"/>
      <c r="HQW21" s="9"/>
      <c r="HQX21" s="9"/>
      <c r="HQY21" s="9"/>
      <c r="HQZ21" s="9"/>
      <c r="HRA21" s="9"/>
      <c r="HRB21" s="9"/>
      <c r="HRC21" s="9"/>
      <c r="HRD21" s="9"/>
      <c r="HRE21" s="9"/>
      <c r="HRF21" s="9"/>
      <c r="HRG21" s="9"/>
      <c r="HRH21" s="9"/>
      <c r="HRI21" s="9"/>
      <c r="HRJ21" s="9"/>
      <c r="HRK21" s="9"/>
      <c r="HRL21" s="9"/>
      <c r="HRM21" s="9"/>
      <c r="HRN21" s="9"/>
      <c r="HRO21" s="9"/>
      <c r="HRP21" s="9"/>
      <c r="HRQ21" s="9"/>
      <c r="HRR21" s="9"/>
      <c r="HRS21" s="9"/>
      <c r="HRT21" s="9"/>
      <c r="HRU21" s="9"/>
      <c r="HRV21" s="9"/>
      <c r="HRW21" s="9"/>
      <c r="HRX21" s="9"/>
      <c r="HRY21" s="9"/>
      <c r="HRZ21" s="9"/>
      <c r="HSA21" s="9"/>
      <c r="HSB21" s="9"/>
      <c r="HSC21" s="9"/>
      <c r="HSD21" s="9"/>
      <c r="HSE21" s="9"/>
      <c r="HSF21" s="9"/>
      <c r="HSG21" s="9"/>
      <c r="HSH21" s="9"/>
      <c r="HSI21" s="9"/>
      <c r="HSJ21" s="9"/>
      <c r="HSK21" s="9"/>
      <c r="HSL21" s="9"/>
      <c r="HSM21" s="9"/>
      <c r="HSN21" s="9"/>
      <c r="HSO21" s="9"/>
      <c r="HSP21" s="9"/>
      <c r="HSQ21" s="9"/>
      <c r="HSR21" s="9"/>
      <c r="HSS21" s="9"/>
      <c r="HST21" s="9"/>
      <c r="HSU21" s="9"/>
      <c r="HSV21" s="9"/>
      <c r="HSW21" s="9"/>
      <c r="HSX21" s="9"/>
      <c r="HSY21" s="9"/>
      <c r="HSZ21" s="9"/>
      <c r="HTA21" s="9"/>
      <c r="HTB21" s="9"/>
      <c r="HTC21" s="9"/>
      <c r="HTD21" s="9"/>
      <c r="HTE21" s="9"/>
      <c r="HTF21" s="9"/>
      <c r="HTG21" s="9"/>
      <c r="HTH21" s="9"/>
      <c r="HTI21" s="9"/>
      <c r="HTJ21" s="9"/>
      <c r="HTK21" s="9"/>
      <c r="HTL21" s="9"/>
      <c r="HTM21" s="9"/>
      <c r="HTN21" s="9"/>
      <c r="HTO21" s="9"/>
      <c r="HTP21" s="9"/>
      <c r="HTQ21" s="9"/>
      <c r="HTR21" s="9"/>
      <c r="HTS21" s="9"/>
      <c r="HTT21" s="9"/>
      <c r="HTU21" s="9"/>
      <c r="HTV21" s="9"/>
      <c r="HTW21" s="9"/>
      <c r="HTX21" s="9"/>
      <c r="HTY21" s="9"/>
      <c r="HTZ21" s="9"/>
      <c r="HUA21" s="9"/>
      <c r="HUB21" s="9"/>
      <c r="HUC21" s="9"/>
      <c r="HUD21" s="9"/>
      <c r="HUE21" s="9"/>
      <c r="HUF21" s="9"/>
      <c r="HUG21" s="9"/>
      <c r="HUH21" s="9"/>
      <c r="HUI21" s="9"/>
      <c r="HUJ21" s="9"/>
      <c r="HUK21" s="9"/>
      <c r="HUL21" s="9"/>
      <c r="HUM21" s="9"/>
      <c r="HUN21" s="9"/>
      <c r="HUO21" s="9"/>
      <c r="HUP21" s="9"/>
      <c r="HUQ21" s="9"/>
      <c r="HUR21" s="9"/>
      <c r="HUS21" s="9"/>
      <c r="HUT21" s="9"/>
      <c r="HUU21" s="9"/>
      <c r="HUV21" s="9"/>
      <c r="HUW21" s="9"/>
      <c r="HUX21" s="9"/>
      <c r="HUY21" s="9"/>
      <c r="HUZ21" s="9"/>
      <c r="HVA21" s="9"/>
      <c r="HVB21" s="9"/>
      <c r="HVC21" s="9"/>
      <c r="HVD21" s="9"/>
      <c r="HVE21" s="9"/>
      <c r="HVF21" s="9"/>
      <c r="HVG21" s="9"/>
      <c r="HVH21" s="9"/>
      <c r="HVI21" s="9"/>
      <c r="HVJ21" s="9"/>
      <c r="HVK21" s="9"/>
      <c r="HVL21" s="9"/>
      <c r="HVM21" s="9"/>
      <c r="HVN21" s="9"/>
      <c r="HVO21" s="9"/>
      <c r="HVP21" s="9"/>
      <c r="HVQ21" s="9"/>
      <c r="HVR21" s="9"/>
      <c r="HVS21" s="9"/>
      <c r="HVT21" s="9"/>
      <c r="HVU21" s="9"/>
      <c r="HVV21" s="9"/>
      <c r="HVW21" s="9"/>
      <c r="HVX21" s="9"/>
      <c r="HVY21" s="9"/>
      <c r="HVZ21" s="9"/>
      <c r="HWA21" s="9"/>
      <c r="HWB21" s="9"/>
      <c r="HWC21" s="9"/>
      <c r="HWD21" s="9"/>
      <c r="HWE21" s="9"/>
      <c r="HWF21" s="9"/>
      <c r="HWG21" s="9"/>
      <c r="HWH21" s="9"/>
      <c r="HWI21" s="9"/>
      <c r="HWJ21" s="9"/>
      <c r="HWK21" s="9"/>
      <c r="HWL21" s="9"/>
      <c r="HWM21" s="9"/>
      <c r="HWN21" s="9"/>
      <c r="HWO21" s="9"/>
      <c r="HWP21" s="9"/>
      <c r="HWQ21" s="9"/>
      <c r="HWR21" s="9"/>
      <c r="HWS21" s="9"/>
      <c r="HWT21" s="9"/>
      <c r="HWU21" s="9"/>
      <c r="HWV21" s="9"/>
      <c r="HWW21" s="9"/>
      <c r="HWX21" s="9"/>
      <c r="HWY21" s="9"/>
      <c r="HWZ21" s="9"/>
      <c r="HXA21" s="9"/>
      <c r="HXB21" s="9"/>
      <c r="HXC21" s="9"/>
      <c r="HXD21" s="9"/>
      <c r="HXE21" s="9"/>
      <c r="HXF21" s="9"/>
      <c r="HXG21" s="9"/>
      <c r="HXH21" s="9"/>
      <c r="HXI21" s="9"/>
      <c r="HXJ21" s="9"/>
      <c r="HXK21" s="9"/>
      <c r="HXL21" s="9"/>
      <c r="HXM21" s="9"/>
      <c r="HXN21" s="9"/>
      <c r="HXO21" s="9"/>
      <c r="HXP21" s="9"/>
      <c r="HXQ21" s="9"/>
      <c r="HXR21" s="9"/>
      <c r="HXS21" s="9"/>
      <c r="HXT21" s="9"/>
      <c r="HXU21" s="9"/>
      <c r="HXV21" s="9"/>
      <c r="HXW21" s="9"/>
      <c r="HXX21" s="9"/>
      <c r="HXY21" s="9"/>
      <c r="HXZ21" s="9"/>
      <c r="HYA21" s="9"/>
      <c r="HYB21" s="9"/>
      <c r="HYC21" s="9"/>
      <c r="HYD21" s="9"/>
      <c r="HYE21" s="9"/>
      <c r="HYF21" s="9"/>
      <c r="HYG21" s="9"/>
      <c r="HYH21" s="9"/>
      <c r="HYI21" s="9"/>
      <c r="HYJ21" s="9"/>
      <c r="HYK21" s="9"/>
      <c r="HYL21" s="9"/>
      <c r="HYM21" s="9"/>
      <c r="HYN21" s="9"/>
      <c r="HYO21" s="9"/>
      <c r="HYP21" s="9"/>
      <c r="HYQ21" s="9"/>
      <c r="HYR21" s="9"/>
      <c r="HYS21" s="9"/>
      <c r="HYT21" s="9"/>
      <c r="HYU21" s="9"/>
      <c r="HYV21" s="9"/>
      <c r="HYW21" s="9"/>
      <c r="HYX21" s="9"/>
      <c r="HYY21" s="9"/>
      <c r="HYZ21" s="9"/>
      <c r="HZA21" s="9"/>
      <c r="HZB21" s="9"/>
      <c r="HZC21" s="9"/>
      <c r="HZD21" s="9"/>
      <c r="HZE21" s="9"/>
      <c r="HZF21" s="9"/>
      <c r="HZG21" s="9"/>
      <c r="HZH21" s="9"/>
      <c r="HZI21" s="9"/>
      <c r="HZJ21" s="9"/>
      <c r="HZK21" s="9"/>
      <c r="HZL21" s="9"/>
      <c r="HZM21" s="9"/>
      <c r="HZN21" s="9"/>
      <c r="HZO21" s="9"/>
      <c r="HZP21" s="9"/>
      <c r="HZQ21" s="9"/>
      <c r="HZR21" s="9"/>
      <c r="HZS21" s="9"/>
      <c r="HZT21" s="9"/>
      <c r="HZU21" s="9"/>
      <c r="HZV21" s="9"/>
      <c r="HZW21" s="9"/>
      <c r="HZX21" s="9"/>
      <c r="HZY21" s="9"/>
      <c r="HZZ21" s="9"/>
      <c r="IAA21" s="9"/>
      <c r="IAB21" s="9"/>
      <c r="IAC21" s="9"/>
      <c r="IAD21" s="9"/>
      <c r="IAE21" s="9"/>
      <c r="IAF21" s="9"/>
      <c r="IAG21" s="9"/>
      <c r="IAH21" s="9"/>
      <c r="IAI21" s="9"/>
      <c r="IAJ21" s="9"/>
      <c r="IAK21" s="9"/>
      <c r="IAL21" s="9"/>
      <c r="IAM21" s="9"/>
      <c r="IAN21" s="9"/>
      <c r="IAO21" s="9"/>
      <c r="IAP21" s="9"/>
      <c r="IAQ21" s="9"/>
      <c r="IAR21" s="9"/>
      <c r="IAS21" s="9"/>
      <c r="IAT21" s="9"/>
      <c r="IAU21" s="9"/>
      <c r="IAV21" s="9"/>
      <c r="IAW21" s="9"/>
      <c r="IAX21" s="9"/>
      <c r="IAY21" s="9"/>
      <c r="IAZ21" s="9"/>
      <c r="IBA21" s="9"/>
      <c r="IBB21" s="9"/>
      <c r="IBC21" s="9"/>
      <c r="IBD21" s="9"/>
      <c r="IBE21" s="9"/>
      <c r="IBF21" s="9"/>
      <c r="IBG21" s="9"/>
      <c r="IBH21" s="9"/>
      <c r="IBI21" s="9"/>
      <c r="IBJ21" s="9"/>
      <c r="IBK21" s="9"/>
      <c r="IBL21" s="9"/>
      <c r="IBM21" s="9"/>
      <c r="IBN21" s="9"/>
      <c r="IBO21" s="9"/>
      <c r="IBP21" s="9"/>
      <c r="IBQ21" s="9"/>
      <c r="IBR21" s="9"/>
      <c r="IBS21" s="9"/>
      <c r="IBT21" s="9"/>
      <c r="IBU21" s="9"/>
      <c r="IBV21" s="9"/>
      <c r="IBW21" s="9"/>
      <c r="IBX21" s="9"/>
      <c r="IBY21" s="9"/>
      <c r="IBZ21" s="9"/>
      <c r="ICA21" s="9"/>
      <c r="ICB21" s="9"/>
      <c r="ICC21" s="9"/>
      <c r="ICD21" s="9"/>
      <c r="ICE21" s="9"/>
      <c r="ICF21" s="9"/>
      <c r="ICG21" s="9"/>
      <c r="ICH21" s="9"/>
      <c r="ICI21" s="9"/>
      <c r="ICJ21" s="9"/>
      <c r="ICK21" s="9"/>
      <c r="ICL21" s="9"/>
      <c r="ICM21" s="9"/>
      <c r="ICN21" s="9"/>
      <c r="ICO21" s="9"/>
      <c r="ICP21" s="9"/>
      <c r="ICQ21" s="9"/>
      <c r="ICR21" s="9"/>
      <c r="ICS21" s="9"/>
      <c r="ICT21" s="9"/>
      <c r="ICU21" s="9"/>
      <c r="ICV21" s="9"/>
      <c r="ICW21" s="9"/>
      <c r="ICX21" s="9"/>
      <c r="ICY21" s="9"/>
      <c r="ICZ21" s="9"/>
      <c r="IDA21" s="9"/>
      <c r="IDB21" s="9"/>
      <c r="IDC21" s="9"/>
      <c r="IDD21" s="9"/>
      <c r="IDE21" s="9"/>
      <c r="IDF21" s="9"/>
      <c r="IDG21" s="9"/>
      <c r="IDH21" s="9"/>
      <c r="IDI21" s="9"/>
      <c r="IDJ21" s="9"/>
      <c r="IDK21" s="9"/>
      <c r="IDL21" s="9"/>
      <c r="IDM21" s="9"/>
      <c r="IDN21" s="9"/>
      <c r="IDO21" s="9"/>
      <c r="IDP21" s="9"/>
      <c r="IDQ21" s="9"/>
      <c r="IDR21" s="9"/>
      <c r="IDS21" s="9"/>
      <c r="IDT21" s="9"/>
      <c r="IDU21" s="9"/>
      <c r="IDV21" s="9"/>
      <c r="IDW21" s="9"/>
      <c r="IDX21" s="9"/>
      <c r="IDY21" s="9"/>
      <c r="IDZ21" s="9"/>
      <c r="IEA21" s="9"/>
      <c r="IEB21" s="9"/>
      <c r="IEC21" s="9"/>
      <c r="IED21" s="9"/>
      <c r="IEE21" s="9"/>
      <c r="IEF21" s="9"/>
      <c r="IEG21" s="9"/>
      <c r="IEH21" s="9"/>
      <c r="IEI21" s="9"/>
      <c r="IEJ21" s="9"/>
      <c r="IEK21" s="9"/>
      <c r="IEL21" s="9"/>
      <c r="IEM21" s="9"/>
      <c r="IEN21" s="9"/>
      <c r="IEO21" s="9"/>
      <c r="IEP21" s="9"/>
      <c r="IEQ21" s="9"/>
      <c r="IER21" s="9"/>
      <c r="IES21" s="9"/>
      <c r="IET21" s="9"/>
      <c r="IEU21" s="9"/>
      <c r="IEV21" s="9"/>
      <c r="IEW21" s="9"/>
      <c r="IEX21" s="9"/>
      <c r="IEY21" s="9"/>
      <c r="IEZ21" s="9"/>
      <c r="IFA21" s="9"/>
      <c r="IFB21" s="9"/>
      <c r="IFC21" s="9"/>
      <c r="IFD21" s="9"/>
      <c r="IFE21" s="9"/>
      <c r="IFF21" s="9"/>
      <c r="IFG21" s="9"/>
      <c r="IFH21" s="9"/>
      <c r="IFI21" s="9"/>
      <c r="IFJ21" s="9"/>
      <c r="IFK21" s="9"/>
      <c r="IFL21" s="9"/>
      <c r="IFM21" s="9"/>
      <c r="IFN21" s="9"/>
      <c r="IFO21" s="9"/>
      <c r="IFP21" s="9"/>
      <c r="IFQ21" s="9"/>
      <c r="IFR21" s="9"/>
      <c r="IFS21" s="9"/>
      <c r="IFT21" s="9"/>
      <c r="IFU21" s="9"/>
      <c r="IFV21" s="9"/>
      <c r="IFW21" s="9"/>
      <c r="IFX21" s="9"/>
      <c r="IFY21" s="9"/>
      <c r="IFZ21" s="9"/>
      <c r="IGA21" s="9"/>
      <c r="IGB21" s="9"/>
      <c r="IGC21" s="9"/>
      <c r="IGD21" s="9"/>
      <c r="IGE21" s="9"/>
      <c r="IGF21" s="9"/>
      <c r="IGG21" s="9"/>
      <c r="IGH21" s="9"/>
      <c r="IGI21" s="9"/>
      <c r="IGJ21" s="9"/>
      <c r="IGK21" s="9"/>
      <c r="IGL21" s="9"/>
      <c r="IGM21" s="9"/>
      <c r="IGN21" s="9"/>
      <c r="IGO21" s="9"/>
      <c r="IGP21" s="9"/>
      <c r="IGQ21" s="9"/>
      <c r="IGR21" s="9"/>
      <c r="IGS21" s="9"/>
      <c r="IGT21" s="9"/>
      <c r="IGU21" s="9"/>
      <c r="IGV21" s="9"/>
      <c r="IGW21" s="9"/>
      <c r="IGX21" s="9"/>
      <c r="IGY21" s="9"/>
      <c r="IGZ21" s="9"/>
      <c r="IHA21" s="9"/>
      <c r="IHB21" s="9"/>
      <c r="IHC21" s="9"/>
      <c r="IHD21" s="9"/>
      <c r="IHE21" s="9"/>
      <c r="IHF21" s="9"/>
      <c r="IHG21" s="9"/>
      <c r="IHH21" s="9"/>
      <c r="IHI21" s="9"/>
      <c r="IHJ21" s="9"/>
      <c r="IHK21" s="9"/>
      <c r="IHL21" s="9"/>
      <c r="IHM21" s="9"/>
      <c r="IHN21" s="9"/>
      <c r="IHO21" s="9"/>
      <c r="IHP21" s="9"/>
      <c r="IHQ21" s="9"/>
      <c r="IHR21" s="9"/>
      <c r="IHS21" s="9"/>
      <c r="IHT21" s="9"/>
      <c r="IHU21" s="9"/>
      <c r="IHV21" s="9"/>
      <c r="IHW21" s="9"/>
      <c r="IHX21" s="9"/>
      <c r="IHY21" s="9"/>
      <c r="IHZ21" s="9"/>
      <c r="IIA21" s="9"/>
      <c r="IIB21" s="9"/>
      <c r="IIC21" s="9"/>
      <c r="IID21" s="9"/>
      <c r="IIE21" s="9"/>
      <c r="IIF21" s="9"/>
      <c r="IIG21" s="9"/>
      <c r="IIH21" s="9"/>
      <c r="III21" s="9"/>
      <c r="IIJ21" s="9"/>
      <c r="IIK21" s="9"/>
      <c r="IIL21" s="9"/>
      <c r="IIM21" s="9"/>
      <c r="IIN21" s="9"/>
      <c r="IIO21" s="9"/>
      <c r="IIP21" s="9"/>
      <c r="IIQ21" s="9"/>
      <c r="IIR21" s="9"/>
      <c r="IIS21" s="9"/>
      <c r="IIT21" s="9"/>
      <c r="IIU21" s="9"/>
      <c r="IIV21" s="9"/>
      <c r="IIW21" s="9"/>
      <c r="IIX21" s="9"/>
      <c r="IIY21" s="9"/>
      <c r="IIZ21" s="9"/>
      <c r="IJA21" s="9"/>
      <c r="IJB21" s="9"/>
      <c r="IJC21" s="9"/>
      <c r="IJD21" s="9"/>
      <c r="IJE21" s="9"/>
      <c r="IJF21" s="9"/>
      <c r="IJG21" s="9"/>
      <c r="IJH21" s="9"/>
      <c r="IJI21" s="9"/>
      <c r="IJJ21" s="9"/>
      <c r="IJK21" s="9"/>
      <c r="IJL21" s="9"/>
      <c r="IJM21" s="9"/>
      <c r="IJN21" s="9"/>
      <c r="IJO21" s="9"/>
      <c r="IJP21" s="9"/>
      <c r="IJQ21" s="9"/>
      <c r="IJR21" s="9"/>
      <c r="IJS21" s="9"/>
      <c r="IJT21" s="9"/>
      <c r="IJU21" s="9"/>
      <c r="IJV21" s="9"/>
      <c r="IJW21" s="9"/>
      <c r="IJX21" s="9"/>
      <c r="IJY21" s="9"/>
      <c r="IJZ21" s="9"/>
      <c r="IKA21" s="9"/>
      <c r="IKB21" s="9"/>
      <c r="IKC21" s="9"/>
      <c r="IKD21" s="9"/>
      <c r="IKE21" s="9"/>
      <c r="IKF21" s="9"/>
      <c r="IKG21" s="9"/>
      <c r="IKH21" s="9"/>
      <c r="IKI21" s="9"/>
      <c r="IKJ21" s="9"/>
      <c r="IKK21" s="9"/>
      <c r="IKL21" s="9"/>
      <c r="IKM21" s="9"/>
      <c r="IKN21" s="9"/>
      <c r="IKO21" s="9"/>
      <c r="IKP21" s="9"/>
      <c r="IKQ21" s="9"/>
      <c r="IKR21" s="9"/>
      <c r="IKS21" s="9"/>
      <c r="IKT21" s="9"/>
      <c r="IKU21" s="9"/>
      <c r="IKV21" s="9"/>
      <c r="IKW21" s="9"/>
      <c r="IKX21" s="9"/>
      <c r="IKY21" s="9"/>
      <c r="IKZ21" s="9"/>
      <c r="ILA21" s="9"/>
      <c r="ILB21" s="9"/>
      <c r="ILC21" s="9"/>
      <c r="ILD21" s="9"/>
      <c r="ILE21" s="9"/>
      <c r="ILF21" s="9"/>
      <c r="ILG21" s="9"/>
      <c r="ILH21" s="9"/>
      <c r="ILI21" s="9"/>
      <c r="ILJ21" s="9"/>
      <c r="ILK21" s="9"/>
      <c r="ILL21" s="9"/>
      <c r="ILM21" s="9"/>
      <c r="ILN21" s="9"/>
      <c r="ILO21" s="9"/>
      <c r="ILP21" s="9"/>
      <c r="ILQ21" s="9"/>
      <c r="ILR21" s="9"/>
      <c r="ILS21" s="9"/>
      <c r="ILT21" s="9"/>
      <c r="ILU21" s="9"/>
      <c r="ILV21" s="9"/>
      <c r="ILW21" s="9"/>
      <c r="ILX21" s="9"/>
      <c r="ILY21" s="9"/>
      <c r="ILZ21" s="9"/>
      <c r="IMA21" s="9"/>
      <c r="IMB21" s="9"/>
      <c r="IMC21" s="9"/>
      <c r="IMD21" s="9"/>
      <c r="IME21" s="9"/>
      <c r="IMF21" s="9"/>
      <c r="IMG21" s="9"/>
      <c r="IMH21" s="9"/>
      <c r="IMI21" s="9"/>
      <c r="IMJ21" s="9"/>
      <c r="IMK21" s="9"/>
      <c r="IML21" s="9"/>
      <c r="IMM21" s="9"/>
      <c r="IMN21" s="9"/>
      <c r="IMO21" s="9"/>
      <c r="IMP21" s="9"/>
      <c r="IMQ21" s="9"/>
      <c r="IMR21" s="9"/>
      <c r="IMS21" s="9"/>
      <c r="IMT21" s="9"/>
      <c r="IMU21" s="9"/>
      <c r="IMV21" s="9"/>
      <c r="IMW21" s="9"/>
      <c r="IMX21" s="9"/>
      <c r="IMY21" s="9"/>
      <c r="IMZ21" s="9"/>
      <c r="INA21" s="9"/>
      <c r="INB21" s="9"/>
      <c r="INC21" s="9"/>
      <c r="IND21" s="9"/>
      <c r="INE21" s="9"/>
      <c r="INF21" s="9"/>
      <c r="ING21" s="9"/>
      <c r="INH21" s="9"/>
      <c r="INI21" s="9"/>
      <c r="INJ21" s="9"/>
      <c r="INK21" s="9"/>
      <c r="INL21" s="9"/>
      <c r="INM21" s="9"/>
      <c r="INN21" s="9"/>
      <c r="INO21" s="9"/>
      <c r="INP21" s="9"/>
      <c r="INQ21" s="9"/>
      <c r="INR21" s="9"/>
      <c r="INS21" s="9"/>
      <c r="INT21" s="9"/>
      <c r="INU21" s="9"/>
      <c r="INV21" s="9"/>
      <c r="INW21" s="9"/>
      <c r="INX21" s="9"/>
      <c r="INY21" s="9"/>
      <c r="INZ21" s="9"/>
      <c r="IOA21" s="9"/>
      <c r="IOB21" s="9"/>
      <c r="IOC21" s="9"/>
      <c r="IOD21" s="9"/>
      <c r="IOE21" s="9"/>
      <c r="IOF21" s="9"/>
      <c r="IOG21" s="9"/>
      <c r="IOH21" s="9"/>
      <c r="IOI21" s="9"/>
      <c r="IOJ21" s="9"/>
      <c r="IOK21" s="9"/>
      <c r="IOL21" s="9"/>
      <c r="IOM21" s="9"/>
      <c r="ION21" s="9"/>
      <c r="IOO21" s="9"/>
      <c r="IOP21" s="9"/>
      <c r="IOQ21" s="9"/>
      <c r="IOR21" s="9"/>
      <c r="IOS21" s="9"/>
      <c r="IOT21" s="9"/>
      <c r="IOU21" s="9"/>
      <c r="IOV21" s="9"/>
      <c r="IOW21" s="9"/>
      <c r="IOX21" s="9"/>
      <c r="IOY21" s="9"/>
      <c r="IOZ21" s="9"/>
      <c r="IPA21" s="9"/>
      <c r="IPB21" s="9"/>
      <c r="IPC21" s="9"/>
      <c r="IPD21" s="9"/>
      <c r="IPE21" s="9"/>
      <c r="IPF21" s="9"/>
      <c r="IPG21" s="9"/>
      <c r="IPH21" s="9"/>
      <c r="IPI21" s="9"/>
      <c r="IPJ21" s="9"/>
      <c r="IPK21" s="9"/>
      <c r="IPL21" s="9"/>
      <c r="IPM21" s="9"/>
      <c r="IPN21" s="9"/>
      <c r="IPO21" s="9"/>
      <c r="IPP21" s="9"/>
      <c r="IPQ21" s="9"/>
      <c r="IPR21" s="9"/>
      <c r="IPS21" s="9"/>
      <c r="IPT21" s="9"/>
      <c r="IPU21" s="9"/>
      <c r="IPV21" s="9"/>
      <c r="IPW21" s="9"/>
      <c r="IPX21" s="9"/>
      <c r="IPY21" s="9"/>
      <c r="IPZ21" s="9"/>
      <c r="IQA21" s="9"/>
      <c r="IQB21" s="9"/>
      <c r="IQC21" s="9"/>
      <c r="IQD21" s="9"/>
      <c r="IQE21" s="9"/>
      <c r="IQF21" s="9"/>
      <c r="IQG21" s="9"/>
      <c r="IQH21" s="9"/>
      <c r="IQI21" s="9"/>
      <c r="IQJ21" s="9"/>
      <c r="IQK21" s="9"/>
      <c r="IQL21" s="9"/>
      <c r="IQM21" s="9"/>
      <c r="IQN21" s="9"/>
      <c r="IQO21" s="9"/>
      <c r="IQP21" s="9"/>
      <c r="IQQ21" s="9"/>
      <c r="IQR21" s="9"/>
      <c r="IQS21" s="9"/>
      <c r="IQT21" s="9"/>
      <c r="IQU21" s="9"/>
      <c r="IQV21" s="9"/>
      <c r="IQW21" s="9"/>
      <c r="IQX21" s="9"/>
      <c r="IQY21" s="9"/>
      <c r="IQZ21" s="9"/>
      <c r="IRA21" s="9"/>
      <c r="IRB21" s="9"/>
      <c r="IRC21" s="9"/>
      <c r="IRD21" s="9"/>
      <c r="IRE21" s="9"/>
      <c r="IRF21" s="9"/>
      <c r="IRG21" s="9"/>
      <c r="IRH21" s="9"/>
      <c r="IRI21" s="9"/>
      <c r="IRJ21" s="9"/>
      <c r="IRK21" s="9"/>
      <c r="IRL21" s="9"/>
      <c r="IRM21" s="9"/>
      <c r="IRN21" s="9"/>
      <c r="IRO21" s="9"/>
      <c r="IRP21" s="9"/>
      <c r="IRQ21" s="9"/>
      <c r="IRR21" s="9"/>
      <c r="IRS21" s="9"/>
      <c r="IRT21" s="9"/>
      <c r="IRU21" s="9"/>
      <c r="IRV21" s="9"/>
      <c r="IRW21" s="9"/>
      <c r="IRX21" s="9"/>
      <c r="IRY21" s="9"/>
      <c r="IRZ21" s="9"/>
      <c r="ISA21" s="9"/>
      <c r="ISB21" s="9"/>
      <c r="ISC21" s="9"/>
      <c r="ISD21" s="9"/>
      <c r="ISE21" s="9"/>
      <c r="ISF21" s="9"/>
      <c r="ISG21" s="9"/>
      <c r="ISH21" s="9"/>
      <c r="ISI21" s="9"/>
      <c r="ISJ21" s="9"/>
      <c r="ISK21" s="9"/>
      <c r="ISL21" s="9"/>
      <c r="ISM21" s="9"/>
      <c r="ISN21" s="9"/>
      <c r="ISO21" s="9"/>
      <c r="ISP21" s="9"/>
      <c r="ISQ21" s="9"/>
      <c r="ISR21" s="9"/>
      <c r="ISS21" s="9"/>
      <c r="IST21" s="9"/>
      <c r="ISU21" s="9"/>
      <c r="ISV21" s="9"/>
      <c r="ISW21" s="9"/>
      <c r="ISX21" s="9"/>
      <c r="ISY21" s="9"/>
      <c r="ISZ21" s="9"/>
      <c r="ITA21" s="9"/>
      <c r="ITB21" s="9"/>
      <c r="ITC21" s="9"/>
      <c r="ITD21" s="9"/>
      <c r="ITE21" s="9"/>
      <c r="ITF21" s="9"/>
      <c r="ITG21" s="9"/>
      <c r="ITH21" s="9"/>
      <c r="ITI21" s="9"/>
      <c r="ITJ21" s="9"/>
      <c r="ITK21" s="9"/>
      <c r="ITL21" s="9"/>
      <c r="ITM21" s="9"/>
      <c r="ITN21" s="9"/>
      <c r="ITO21" s="9"/>
      <c r="ITP21" s="9"/>
      <c r="ITQ21" s="9"/>
      <c r="ITR21" s="9"/>
      <c r="ITS21" s="9"/>
      <c r="ITT21" s="9"/>
      <c r="ITU21" s="9"/>
      <c r="ITV21" s="9"/>
      <c r="ITW21" s="9"/>
      <c r="ITX21" s="9"/>
      <c r="ITY21" s="9"/>
      <c r="ITZ21" s="9"/>
      <c r="IUA21" s="9"/>
      <c r="IUB21" s="9"/>
      <c r="IUC21" s="9"/>
      <c r="IUD21" s="9"/>
      <c r="IUE21" s="9"/>
      <c r="IUF21" s="9"/>
      <c r="IUG21" s="9"/>
      <c r="IUH21" s="9"/>
      <c r="IUI21" s="9"/>
      <c r="IUJ21" s="9"/>
      <c r="IUK21" s="9"/>
      <c r="IUL21" s="9"/>
      <c r="IUM21" s="9"/>
      <c r="IUN21" s="9"/>
      <c r="IUO21" s="9"/>
      <c r="IUP21" s="9"/>
      <c r="IUQ21" s="9"/>
      <c r="IUR21" s="9"/>
      <c r="IUS21" s="9"/>
      <c r="IUT21" s="9"/>
      <c r="IUU21" s="9"/>
      <c r="IUV21" s="9"/>
      <c r="IUW21" s="9"/>
      <c r="IUX21" s="9"/>
      <c r="IUY21" s="9"/>
      <c r="IUZ21" s="9"/>
      <c r="IVA21" s="9"/>
      <c r="IVB21" s="9"/>
      <c r="IVC21" s="9"/>
      <c r="IVD21" s="9"/>
      <c r="IVE21" s="9"/>
      <c r="IVF21" s="9"/>
      <c r="IVG21" s="9"/>
      <c r="IVH21" s="9"/>
      <c r="IVI21" s="9"/>
      <c r="IVJ21" s="9"/>
      <c r="IVK21" s="9"/>
      <c r="IVL21" s="9"/>
      <c r="IVM21" s="9"/>
      <c r="IVN21" s="9"/>
      <c r="IVO21" s="9"/>
      <c r="IVP21" s="9"/>
      <c r="IVQ21" s="9"/>
      <c r="IVR21" s="9"/>
      <c r="IVS21" s="9"/>
      <c r="IVT21" s="9"/>
      <c r="IVU21" s="9"/>
      <c r="IVV21" s="9"/>
      <c r="IVW21" s="9"/>
      <c r="IVX21" s="9"/>
      <c r="IVY21" s="9"/>
      <c r="IVZ21" s="9"/>
      <c r="IWA21" s="9"/>
      <c r="IWB21" s="9"/>
      <c r="IWC21" s="9"/>
      <c r="IWD21" s="9"/>
      <c r="IWE21" s="9"/>
      <c r="IWF21" s="9"/>
      <c r="IWG21" s="9"/>
      <c r="IWH21" s="9"/>
      <c r="IWI21" s="9"/>
      <c r="IWJ21" s="9"/>
      <c r="IWK21" s="9"/>
      <c r="IWL21" s="9"/>
      <c r="IWM21" s="9"/>
      <c r="IWN21" s="9"/>
      <c r="IWO21" s="9"/>
      <c r="IWP21" s="9"/>
      <c r="IWQ21" s="9"/>
      <c r="IWR21" s="9"/>
      <c r="IWS21" s="9"/>
      <c r="IWT21" s="9"/>
      <c r="IWU21" s="9"/>
      <c r="IWV21" s="9"/>
      <c r="IWW21" s="9"/>
      <c r="IWX21" s="9"/>
      <c r="IWY21" s="9"/>
      <c r="IWZ21" s="9"/>
      <c r="IXA21" s="9"/>
      <c r="IXB21" s="9"/>
      <c r="IXC21" s="9"/>
      <c r="IXD21" s="9"/>
      <c r="IXE21" s="9"/>
      <c r="IXF21" s="9"/>
      <c r="IXG21" s="9"/>
      <c r="IXH21" s="9"/>
      <c r="IXI21" s="9"/>
      <c r="IXJ21" s="9"/>
      <c r="IXK21" s="9"/>
      <c r="IXL21" s="9"/>
      <c r="IXM21" s="9"/>
      <c r="IXN21" s="9"/>
      <c r="IXO21" s="9"/>
      <c r="IXP21" s="9"/>
      <c r="IXQ21" s="9"/>
      <c r="IXR21" s="9"/>
      <c r="IXS21" s="9"/>
      <c r="IXT21" s="9"/>
      <c r="IXU21" s="9"/>
      <c r="IXV21" s="9"/>
      <c r="IXW21" s="9"/>
      <c r="IXX21" s="9"/>
      <c r="IXY21" s="9"/>
      <c r="IXZ21" s="9"/>
      <c r="IYA21" s="9"/>
      <c r="IYB21" s="9"/>
      <c r="IYC21" s="9"/>
      <c r="IYD21" s="9"/>
      <c r="IYE21" s="9"/>
      <c r="IYF21" s="9"/>
      <c r="IYG21" s="9"/>
      <c r="IYH21" s="9"/>
      <c r="IYI21" s="9"/>
      <c r="IYJ21" s="9"/>
      <c r="IYK21" s="9"/>
      <c r="IYL21" s="9"/>
      <c r="IYM21" s="9"/>
      <c r="IYN21" s="9"/>
      <c r="IYO21" s="9"/>
      <c r="IYP21" s="9"/>
      <c r="IYQ21" s="9"/>
      <c r="IYR21" s="9"/>
      <c r="IYS21" s="9"/>
      <c r="IYT21" s="9"/>
      <c r="IYU21" s="9"/>
      <c r="IYV21" s="9"/>
      <c r="IYW21" s="9"/>
      <c r="IYX21" s="9"/>
      <c r="IYY21" s="9"/>
      <c r="IYZ21" s="9"/>
      <c r="IZA21" s="9"/>
      <c r="IZB21" s="9"/>
      <c r="IZC21" s="9"/>
      <c r="IZD21" s="9"/>
      <c r="IZE21" s="9"/>
      <c r="IZF21" s="9"/>
      <c r="IZG21" s="9"/>
      <c r="IZH21" s="9"/>
      <c r="IZI21" s="9"/>
      <c r="IZJ21" s="9"/>
      <c r="IZK21" s="9"/>
      <c r="IZL21" s="9"/>
      <c r="IZM21" s="9"/>
      <c r="IZN21" s="9"/>
      <c r="IZO21" s="9"/>
      <c r="IZP21" s="9"/>
      <c r="IZQ21" s="9"/>
      <c r="IZR21" s="9"/>
      <c r="IZS21" s="9"/>
      <c r="IZT21" s="9"/>
      <c r="IZU21" s="9"/>
      <c r="IZV21" s="9"/>
      <c r="IZW21" s="9"/>
      <c r="IZX21" s="9"/>
      <c r="IZY21" s="9"/>
      <c r="IZZ21" s="9"/>
      <c r="JAA21" s="9"/>
      <c r="JAB21" s="9"/>
      <c r="JAC21" s="9"/>
      <c r="JAD21" s="9"/>
      <c r="JAE21" s="9"/>
      <c r="JAF21" s="9"/>
      <c r="JAG21" s="9"/>
      <c r="JAH21" s="9"/>
      <c r="JAI21" s="9"/>
      <c r="JAJ21" s="9"/>
      <c r="JAK21" s="9"/>
      <c r="JAL21" s="9"/>
      <c r="JAM21" s="9"/>
      <c r="JAN21" s="9"/>
      <c r="JAO21" s="9"/>
      <c r="JAP21" s="9"/>
      <c r="JAQ21" s="9"/>
      <c r="JAR21" s="9"/>
      <c r="JAS21" s="9"/>
      <c r="JAT21" s="9"/>
      <c r="JAU21" s="9"/>
      <c r="JAV21" s="9"/>
      <c r="JAW21" s="9"/>
      <c r="JAX21" s="9"/>
      <c r="JAY21" s="9"/>
      <c r="JAZ21" s="9"/>
      <c r="JBA21" s="9"/>
      <c r="JBB21" s="9"/>
      <c r="JBC21" s="9"/>
      <c r="JBD21" s="9"/>
      <c r="JBE21" s="9"/>
      <c r="JBF21" s="9"/>
      <c r="JBG21" s="9"/>
      <c r="JBH21" s="9"/>
      <c r="JBI21" s="9"/>
      <c r="JBJ21" s="9"/>
      <c r="JBK21" s="9"/>
      <c r="JBL21" s="9"/>
      <c r="JBM21" s="9"/>
      <c r="JBN21" s="9"/>
      <c r="JBO21" s="9"/>
      <c r="JBP21" s="9"/>
      <c r="JBQ21" s="9"/>
      <c r="JBR21" s="9"/>
      <c r="JBS21" s="9"/>
      <c r="JBT21" s="9"/>
      <c r="JBU21" s="9"/>
      <c r="JBV21" s="9"/>
      <c r="JBW21" s="9"/>
      <c r="JBX21" s="9"/>
      <c r="JBY21" s="9"/>
      <c r="JBZ21" s="9"/>
      <c r="JCA21" s="9"/>
      <c r="JCB21" s="9"/>
      <c r="JCC21" s="9"/>
      <c r="JCD21" s="9"/>
      <c r="JCE21" s="9"/>
      <c r="JCF21" s="9"/>
      <c r="JCG21" s="9"/>
      <c r="JCH21" s="9"/>
      <c r="JCI21" s="9"/>
      <c r="JCJ21" s="9"/>
      <c r="JCK21" s="9"/>
      <c r="JCL21" s="9"/>
      <c r="JCM21" s="9"/>
      <c r="JCN21" s="9"/>
      <c r="JCO21" s="9"/>
      <c r="JCP21" s="9"/>
      <c r="JCQ21" s="9"/>
      <c r="JCR21" s="9"/>
      <c r="JCS21" s="9"/>
      <c r="JCT21" s="9"/>
      <c r="JCU21" s="9"/>
      <c r="JCV21" s="9"/>
      <c r="JCW21" s="9"/>
      <c r="JCX21" s="9"/>
      <c r="JCY21" s="9"/>
      <c r="JCZ21" s="9"/>
      <c r="JDA21" s="9"/>
      <c r="JDB21" s="9"/>
      <c r="JDC21" s="9"/>
      <c r="JDD21" s="9"/>
      <c r="JDE21" s="9"/>
      <c r="JDF21" s="9"/>
      <c r="JDG21" s="9"/>
      <c r="JDH21" s="9"/>
      <c r="JDI21" s="9"/>
      <c r="JDJ21" s="9"/>
      <c r="JDK21" s="9"/>
      <c r="JDL21" s="9"/>
      <c r="JDM21" s="9"/>
      <c r="JDN21" s="9"/>
      <c r="JDO21" s="9"/>
      <c r="JDP21" s="9"/>
      <c r="JDQ21" s="9"/>
      <c r="JDR21" s="9"/>
      <c r="JDS21" s="9"/>
      <c r="JDT21" s="9"/>
      <c r="JDU21" s="9"/>
      <c r="JDV21" s="9"/>
      <c r="JDW21" s="9"/>
      <c r="JDX21" s="9"/>
      <c r="JDY21" s="9"/>
      <c r="JDZ21" s="9"/>
      <c r="JEA21" s="9"/>
      <c r="JEB21" s="9"/>
      <c r="JEC21" s="9"/>
      <c r="JED21" s="9"/>
      <c r="JEE21" s="9"/>
      <c r="JEF21" s="9"/>
      <c r="JEG21" s="9"/>
      <c r="JEH21" s="9"/>
      <c r="JEI21" s="9"/>
      <c r="JEJ21" s="9"/>
      <c r="JEK21" s="9"/>
      <c r="JEL21" s="9"/>
      <c r="JEM21" s="9"/>
      <c r="JEN21" s="9"/>
      <c r="JEO21" s="9"/>
      <c r="JEP21" s="9"/>
      <c r="JEQ21" s="9"/>
      <c r="JER21" s="9"/>
      <c r="JES21" s="9"/>
      <c r="JET21" s="9"/>
      <c r="JEU21" s="9"/>
      <c r="JEV21" s="9"/>
      <c r="JEW21" s="9"/>
      <c r="JEX21" s="9"/>
      <c r="JEY21" s="9"/>
      <c r="JEZ21" s="9"/>
      <c r="JFA21" s="9"/>
      <c r="JFB21" s="9"/>
      <c r="JFC21" s="9"/>
      <c r="JFD21" s="9"/>
      <c r="JFE21" s="9"/>
      <c r="JFF21" s="9"/>
      <c r="JFG21" s="9"/>
      <c r="JFH21" s="9"/>
      <c r="JFI21" s="9"/>
      <c r="JFJ21" s="9"/>
      <c r="JFK21" s="9"/>
      <c r="JFL21" s="9"/>
      <c r="JFM21" s="9"/>
      <c r="JFN21" s="9"/>
      <c r="JFO21" s="9"/>
      <c r="JFP21" s="9"/>
      <c r="JFQ21" s="9"/>
      <c r="JFR21" s="9"/>
      <c r="JFS21" s="9"/>
      <c r="JFT21" s="9"/>
      <c r="JFU21" s="9"/>
      <c r="JFV21" s="9"/>
      <c r="JFW21" s="9"/>
      <c r="JFX21" s="9"/>
      <c r="JFY21" s="9"/>
      <c r="JFZ21" s="9"/>
      <c r="JGA21" s="9"/>
      <c r="JGB21" s="9"/>
      <c r="JGC21" s="9"/>
      <c r="JGD21" s="9"/>
      <c r="JGE21" s="9"/>
      <c r="JGF21" s="9"/>
      <c r="JGG21" s="9"/>
      <c r="JGH21" s="9"/>
      <c r="JGI21" s="9"/>
      <c r="JGJ21" s="9"/>
      <c r="JGK21" s="9"/>
      <c r="JGL21" s="9"/>
      <c r="JGM21" s="9"/>
      <c r="JGN21" s="9"/>
      <c r="JGO21" s="9"/>
      <c r="JGP21" s="9"/>
      <c r="JGQ21" s="9"/>
      <c r="JGR21" s="9"/>
      <c r="JGS21" s="9"/>
      <c r="JGT21" s="9"/>
      <c r="JGU21" s="9"/>
      <c r="JGV21" s="9"/>
      <c r="JGW21" s="9"/>
      <c r="JGX21" s="9"/>
      <c r="JGY21" s="9"/>
      <c r="JGZ21" s="9"/>
      <c r="JHA21" s="9"/>
      <c r="JHB21" s="9"/>
      <c r="JHC21" s="9"/>
      <c r="JHD21" s="9"/>
      <c r="JHE21" s="9"/>
      <c r="JHF21" s="9"/>
      <c r="JHG21" s="9"/>
      <c r="JHH21" s="9"/>
      <c r="JHI21" s="9"/>
      <c r="JHJ21" s="9"/>
      <c r="JHK21" s="9"/>
      <c r="JHL21" s="9"/>
      <c r="JHM21" s="9"/>
      <c r="JHN21" s="9"/>
      <c r="JHO21" s="9"/>
      <c r="JHP21" s="9"/>
      <c r="JHQ21" s="9"/>
      <c r="JHR21" s="9"/>
      <c r="JHS21" s="9"/>
      <c r="JHT21" s="9"/>
      <c r="JHU21" s="9"/>
      <c r="JHV21" s="9"/>
      <c r="JHW21" s="9"/>
      <c r="JHX21" s="9"/>
      <c r="JHY21" s="9"/>
      <c r="JHZ21" s="9"/>
      <c r="JIA21" s="9"/>
      <c r="JIB21" s="9"/>
      <c r="JIC21" s="9"/>
      <c r="JID21" s="9"/>
      <c r="JIE21" s="9"/>
      <c r="JIF21" s="9"/>
      <c r="JIG21" s="9"/>
      <c r="JIH21" s="9"/>
      <c r="JII21" s="9"/>
      <c r="JIJ21" s="9"/>
      <c r="JIK21" s="9"/>
      <c r="JIL21" s="9"/>
      <c r="JIM21" s="9"/>
      <c r="JIN21" s="9"/>
      <c r="JIO21" s="9"/>
      <c r="JIP21" s="9"/>
      <c r="JIQ21" s="9"/>
      <c r="JIR21" s="9"/>
      <c r="JIS21" s="9"/>
      <c r="JIT21" s="9"/>
      <c r="JIU21" s="9"/>
      <c r="JIV21" s="9"/>
      <c r="JIW21" s="9"/>
      <c r="JIX21" s="9"/>
      <c r="JIY21" s="9"/>
      <c r="JIZ21" s="9"/>
      <c r="JJA21" s="9"/>
      <c r="JJB21" s="9"/>
      <c r="JJC21" s="9"/>
      <c r="JJD21" s="9"/>
      <c r="JJE21" s="9"/>
      <c r="JJF21" s="9"/>
      <c r="JJG21" s="9"/>
      <c r="JJH21" s="9"/>
      <c r="JJI21" s="9"/>
      <c r="JJJ21" s="9"/>
      <c r="JJK21" s="9"/>
      <c r="JJL21" s="9"/>
      <c r="JJM21" s="9"/>
      <c r="JJN21" s="9"/>
      <c r="JJO21" s="9"/>
      <c r="JJP21" s="9"/>
      <c r="JJQ21" s="9"/>
      <c r="JJR21" s="9"/>
      <c r="JJS21" s="9"/>
      <c r="JJT21" s="9"/>
      <c r="JJU21" s="9"/>
      <c r="JJV21" s="9"/>
      <c r="JJW21" s="9"/>
      <c r="JJX21" s="9"/>
      <c r="JJY21" s="9"/>
      <c r="JJZ21" s="9"/>
      <c r="JKA21" s="9"/>
      <c r="JKB21" s="9"/>
      <c r="JKC21" s="9"/>
      <c r="JKD21" s="9"/>
      <c r="JKE21" s="9"/>
      <c r="JKF21" s="9"/>
      <c r="JKG21" s="9"/>
      <c r="JKH21" s="9"/>
      <c r="JKI21" s="9"/>
      <c r="JKJ21" s="9"/>
      <c r="JKK21" s="9"/>
      <c r="JKL21" s="9"/>
      <c r="JKM21" s="9"/>
      <c r="JKN21" s="9"/>
      <c r="JKO21" s="9"/>
      <c r="JKP21" s="9"/>
      <c r="JKQ21" s="9"/>
      <c r="JKR21" s="9"/>
      <c r="JKS21" s="9"/>
      <c r="JKT21" s="9"/>
      <c r="JKU21" s="9"/>
      <c r="JKV21" s="9"/>
      <c r="JKW21" s="9"/>
      <c r="JKX21" s="9"/>
      <c r="JKY21" s="9"/>
      <c r="JKZ21" s="9"/>
      <c r="JLA21" s="9"/>
      <c r="JLB21" s="9"/>
      <c r="JLC21" s="9"/>
      <c r="JLD21" s="9"/>
      <c r="JLE21" s="9"/>
      <c r="JLF21" s="9"/>
      <c r="JLG21" s="9"/>
      <c r="JLH21" s="9"/>
      <c r="JLI21" s="9"/>
      <c r="JLJ21" s="9"/>
      <c r="JLK21" s="9"/>
      <c r="JLL21" s="9"/>
      <c r="JLM21" s="9"/>
      <c r="JLN21" s="9"/>
      <c r="JLO21" s="9"/>
      <c r="JLP21" s="9"/>
      <c r="JLQ21" s="9"/>
      <c r="JLR21" s="9"/>
      <c r="JLS21" s="9"/>
      <c r="JLT21" s="9"/>
      <c r="JLU21" s="9"/>
      <c r="JLV21" s="9"/>
      <c r="JLW21" s="9"/>
      <c r="JLX21" s="9"/>
      <c r="JLY21" s="9"/>
      <c r="JLZ21" s="9"/>
      <c r="JMA21" s="9"/>
      <c r="JMB21" s="9"/>
      <c r="JMC21" s="9"/>
      <c r="JMD21" s="9"/>
      <c r="JME21" s="9"/>
      <c r="JMF21" s="9"/>
      <c r="JMG21" s="9"/>
      <c r="JMH21" s="9"/>
      <c r="JMI21" s="9"/>
      <c r="JMJ21" s="9"/>
      <c r="JMK21" s="9"/>
      <c r="JML21" s="9"/>
      <c r="JMM21" s="9"/>
      <c r="JMN21" s="9"/>
      <c r="JMO21" s="9"/>
      <c r="JMP21" s="9"/>
      <c r="JMQ21" s="9"/>
      <c r="JMR21" s="9"/>
      <c r="JMS21" s="9"/>
      <c r="JMT21" s="9"/>
      <c r="JMU21" s="9"/>
      <c r="JMV21" s="9"/>
      <c r="JMW21" s="9"/>
      <c r="JMX21" s="9"/>
      <c r="JMY21" s="9"/>
      <c r="JMZ21" s="9"/>
      <c r="JNA21" s="9"/>
      <c r="JNB21" s="9"/>
      <c r="JNC21" s="9"/>
      <c r="JND21" s="9"/>
      <c r="JNE21" s="9"/>
      <c r="JNF21" s="9"/>
      <c r="JNG21" s="9"/>
      <c r="JNH21" s="9"/>
      <c r="JNI21" s="9"/>
      <c r="JNJ21" s="9"/>
      <c r="JNK21" s="9"/>
      <c r="JNL21" s="9"/>
      <c r="JNM21" s="9"/>
      <c r="JNN21" s="9"/>
      <c r="JNO21" s="9"/>
      <c r="JNP21" s="9"/>
      <c r="JNQ21" s="9"/>
      <c r="JNR21" s="9"/>
      <c r="JNS21" s="9"/>
      <c r="JNT21" s="9"/>
      <c r="JNU21" s="9"/>
      <c r="JNV21" s="9"/>
      <c r="JNW21" s="9"/>
      <c r="JNX21" s="9"/>
      <c r="JNY21" s="9"/>
      <c r="JNZ21" s="9"/>
      <c r="JOA21" s="9"/>
      <c r="JOB21" s="9"/>
      <c r="JOC21" s="9"/>
      <c r="JOD21" s="9"/>
      <c r="JOE21" s="9"/>
      <c r="JOF21" s="9"/>
      <c r="JOG21" s="9"/>
      <c r="JOH21" s="9"/>
      <c r="JOI21" s="9"/>
      <c r="JOJ21" s="9"/>
      <c r="JOK21" s="9"/>
      <c r="JOL21" s="9"/>
      <c r="JOM21" s="9"/>
      <c r="JON21" s="9"/>
      <c r="JOO21" s="9"/>
      <c r="JOP21" s="9"/>
      <c r="JOQ21" s="9"/>
      <c r="JOR21" s="9"/>
      <c r="JOS21" s="9"/>
      <c r="JOT21" s="9"/>
      <c r="JOU21" s="9"/>
      <c r="JOV21" s="9"/>
      <c r="JOW21" s="9"/>
      <c r="JOX21" s="9"/>
      <c r="JOY21" s="9"/>
      <c r="JOZ21" s="9"/>
      <c r="JPA21" s="9"/>
      <c r="JPB21" s="9"/>
      <c r="JPC21" s="9"/>
      <c r="JPD21" s="9"/>
      <c r="JPE21" s="9"/>
      <c r="JPF21" s="9"/>
      <c r="JPG21" s="9"/>
      <c r="JPH21" s="9"/>
      <c r="JPI21" s="9"/>
      <c r="JPJ21" s="9"/>
      <c r="JPK21" s="9"/>
      <c r="JPL21" s="9"/>
      <c r="JPM21" s="9"/>
      <c r="JPN21" s="9"/>
      <c r="JPO21" s="9"/>
      <c r="JPP21" s="9"/>
      <c r="JPQ21" s="9"/>
      <c r="JPR21" s="9"/>
      <c r="JPS21" s="9"/>
      <c r="JPT21" s="9"/>
      <c r="JPU21" s="9"/>
      <c r="JPV21" s="9"/>
      <c r="JPW21" s="9"/>
      <c r="JPX21" s="9"/>
      <c r="JPY21" s="9"/>
      <c r="JPZ21" s="9"/>
      <c r="JQA21" s="9"/>
      <c r="JQB21" s="9"/>
      <c r="JQC21" s="9"/>
      <c r="JQD21" s="9"/>
      <c r="JQE21" s="9"/>
      <c r="JQF21" s="9"/>
      <c r="JQG21" s="9"/>
      <c r="JQH21" s="9"/>
      <c r="JQI21" s="9"/>
      <c r="JQJ21" s="9"/>
      <c r="JQK21" s="9"/>
      <c r="JQL21" s="9"/>
      <c r="JQM21" s="9"/>
      <c r="JQN21" s="9"/>
      <c r="JQO21" s="9"/>
      <c r="JQP21" s="9"/>
      <c r="JQQ21" s="9"/>
      <c r="JQR21" s="9"/>
      <c r="JQS21" s="9"/>
      <c r="JQT21" s="9"/>
      <c r="JQU21" s="9"/>
      <c r="JQV21" s="9"/>
      <c r="JQW21" s="9"/>
      <c r="JQX21" s="9"/>
      <c r="JQY21" s="9"/>
      <c r="JQZ21" s="9"/>
      <c r="JRA21" s="9"/>
      <c r="JRB21" s="9"/>
      <c r="JRC21" s="9"/>
      <c r="JRD21" s="9"/>
      <c r="JRE21" s="9"/>
      <c r="JRF21" s="9"/>
      <c r="JRG21" s="9"/>
      <c r="JRH21" s="9"/>
      <c r="JRI21" s="9"/>
      <c r="JRJ21" s="9"/>
      <c r="JRK21" s="9"/>
      <c r="JRL21" s="9"/>
      <c r="JRM21" s="9"/>
      <c r="JRN21" s="9"/>
      <c r="JRO21" s="9"/>
      <c r="JRP21" s="9"/>
      <c r="JRQ21" s="9"/>
      <c r="JRR21" s="9"/>
      <c r="JRS21" s="9"/>
      <c r="JRT21" s="9"/>
      <c r="JRU21" s="9"/>
      <c r="JRV21" s="9"/>
      <c r="JRW21" s="9"/>
      <c r="JRX21" s="9"/>
      <c r="JRY21" s="9"/>
      <c r="JRZ21" s="9"/>
      <c r="JSA21" s="9"/>
      <c r="JSB21" s="9"/>
      <c r="JSC21" s="9"/>
      <c r="JSD21" s="9"/>
      <c r="JSE21" s="9"/>
      <c r="JSF21" s="9"/>
      <c r="JSG21" s="9"/>
      <c r="JSH21" s="9"/>
      <c r="JSI21" s="9"/>
      <c r="JSJ21" s="9"/>
      <c r="JSK21" s="9"/>
      <c r="JSL21" s="9"/>
      <c r="JSM21" s="9"/>
      <c r="JSN21" s="9"/>
      <c r="JSO21" s="9"/>
      <c r="JSP21" s="9"/>
      <c r="JSQ21" s="9"/>
      <c r="JSR21" s="9"/>
      <c r="JSS21" s="9"/>
      <c r="JST21" s="9"/>
      <c r="JSU21" s="9"/>
      <c r="JSV21" s="9"/>
      <c r="JSW21" s="9"/>
      <c r="JSX21" s="9"/>
      <c r="JSY21" s="9"/>
      <c r="JSZ21" s="9"/>
      <c r="JTA21" s="9"/>
      <c r="JTB21" s="9"/>
      <c r="JTC21" s="9"/>
      <c r="JTD21" s="9"/>
      <c r="JTE21" s="9"/>
      <c r="JTF21" s="9"/>
      <c r="JTG21" s="9"/>
      <c r="JTH21" s="9"/>
      <c r="JTI21" s="9"/>
      <c r="JTJ21" s="9"/>
      <c r="JTK21" s="9"/>
      <c r="JTL21" s="9"/>
      <c r="JTM21" s="9"/>
      <c r="JTN21" s="9"/>
      <c r="JTO21" s="9"/>
      <c r="JTP21" s="9"/>
      <c r="JTQ21" s="9"/>
      <c r="JTR21" s="9"/>
      <c r="JTS21" s="9"/>
      <c r="JTT21" s="9"/>
      <c r="JTU21" s="9"/>
      <c r="JTV21" s="9"/>
      <c r="JTW21" s="9"/>
      <c r="JTX21" s="9"/>
      <c r="JTY21" s="9"/>
      <c r="JTZ21" s="9"/>
      <c r="JUA21" s="9"/>
      <c r="JUB21" s="9"/>
      <c r="JUC21" s="9"/>
      <c r="JUD21" s="9"/>
      <c r="JUE21" s="9"/>
      <c r="JUF21" s="9"/>
      <c r="JUG21" s="9"/>
      <c r="JUH21" s="9"/>
      <c r="JUI21" s="9"/>
      <c r="JUJ21" s="9"/>
      <c r="JUK21" s="9"/>
      <c r="JUL21" s="9"/>
      <c r="JUM21" s="9"/>
      <c r="JUN21" s="9"/>
      <c r="JUO21" s="9"/>
      <c r="JUP21" s="9"/>
      <c r="JUQ21" s="9"/>
      <c r="JUR21" s="9"/>
      <c r="JUS21" s="9"/>
      <c r="JUT21" s="9"/>
      <c r="JUU21" s="9"/>
      <c r="JUV21" s="9"/>
      <c r="JUW21" s="9"/>
      <c r="JUX21" s="9"/>
      <c r="JUY21" s="9"/>
      <c r="JUZ21" s="9"/>
      <c r="JVA21" s="9"/>
      <c r="JVB21" s="9"/>
      <c r="JVC21" s="9"/>
      <c r="JVD21" s="9"/>
      <c r="JVE21" s="9"/>
      <c r="JVF21" s="9"/>
      <c r="JVG21" s="9"/>
      <c r="JVH21" s="9"/>
      <c r="JVI21" s="9"/>
      <c r="JVJ21" s="9"/>
      <c r="JVK21" s="9"/>
      <c r="JVL21" s="9"/>
      <c r="JVM21" s="9"/>
      <c r="JVN21" s="9"/>
      <c r="JVO21" s="9"/>
      <c r="JVP21" s="9"/>
      <c r="JVQ21" s="9"/>
      <c r="JVR21" s="9"/>
      <c r="JVS21" s="9"/>
      <c r="JVT21" s="9"/>
      <c r="JVU21" s="9"/>
      <c r="JVV21" s="9"/>
      <c r="JVW21" s="9"/>
      <c r="JVX21" s="9"/>
      <c r="JVY21" s="9"/>
      <c r="JVZ21" s="9"/>
      <c r="JWA21" s="9"/>
      <c r="JWB21" s="9"/>
      <c r="JWC21" s="9"/>
      <c r="JWD21" s="9"/>
      <c r="JWE21" s="9"/>
      <c r="JWF21" s="9"/>
      <c r="JWG21" s="9"/>
      <c r="JWH21" s="9"/>
      <c r="JWI21" s="9"/>
      <c r="JWJ21" s="9"/>
      <c r="JWK21" s="9"/>
      <c r="JWL21" s="9"/>
      <c r="JWM21" s="9"/>
      <c r="JWN21" s="9"/>
      <c r="JWO21" s="9"/>
      <c r="JWP21" s="9"/>
      <c r="JWQ21" s="9"/>
      <c r="JWR21" s="9"/>
      <c r="JWS21" s="9"/>
      <c r="JWT21" s="9"/>
      <c r="JWU21" s="9"/>
      <c r="JWV21" s="9"/>
      <c r="JWW21" s="9"/>
      <c r="JWX21" s="9"/>
      <c r="JWY21" s="9"/>
      <c r="JWZ21" s="9"/>
      <c r="JXA21" s="9"/>
      <c r="JXB21" s="9"/>
      <c r="JXC21" s="9"/>
      <c r="JXD21" s="9"/>
      <c r="JXE21" s="9"/>
      <c r="JXF21" s="9"/>
      <c r="JXG21" s="9"/>
      <c r="JXH21" s="9"/>
      <c r="JXI21" s="9"/>
      <c r="JXJ21" s="9"/>
      <c r="JXK21" s="9"/>
      <c r="JXL21" s="9"/>
      <c r="JXM21" s="9"/>
      <c r="JXN21" s="9"/>
      <c r="JXO21" s="9"/>
      <c r="JXP21" s="9"/>
      <c r="JXQ21" s="9"/>
      <c r="JXR21" s="9"/>
      <c r="JXS21" s="9"/>
      <c r="JXT21" s="9"/>
      <c r="JXU21" s="9"/>
      <c r="JXV21" s="9"/>
      <c r="JXW21" s="9"/>
      <c r="JXX21" s="9"/>
      <c r="JXY21" s="9"/>
      <c r="JXZ21" s="9"/>
      <c r="JYA21" s="9"/>
      <c r="JYB21" s="9"/>
      <c r="JYC21" s="9"/>
      <c r="JYD21" s="9"/>
      <c r="JYE21" s="9"/>
      <c r="JYF21" s="9"/>
      <c r="JYG21" s="9"/>
      <c r="JYH21" s="9"/>
      <c r="JYI21" s="9"/>
      <c r="JYJ21" s="9"/>
      <c r="JYK21" s="9"/>
      <c r="JYL21" s="9"/>
      <c r="JYM21" s="9"/>
      <c r="JYN21" s="9"/>
      <c r="JYO21" s="9"/>
      <c r="JYP21" s="9"/>
      <c r="JYQ21" s="9"/>
      <c r="JYR21" s="9"/>
      <c r="JYS21" s="9"/>
      <c r="JYT21" s="9"/>
      <c r="JYU21" s="9"/>
      <c r="JYV21" s="9"/>
      <c r="JYW21" s="9"/>
      <c r="JYX21" s="9"/>
      <c r="JYY21" s="9"/>
      <c r="JYZ21" s="9"/>
      <c r="JZA21" s="9"/>
      <c r="JZB21" s="9"/>
      <c r="JZC21" s="9"/>
      <c r="JZD21" s="9"/>
      <c r="JZE21" s="9"/>
      <c r="JZF21" s="9"/>
      <c r="JZG21" s="9"/>
      <c r="JZH21" s="9"/>
      <c r="JZI21" s="9"/>
      <c r="JZJ21" s="9"/>
      <c r="JZK21" s="9"/>
      <c r="JZL21" s="9"/>
      <c r="JZM21" s="9"/>
      <c r="JZN21" s="9"/>
      <c r="JZO21" s="9"/>
      <c r="JZP21" s="9"/>
      <c r="JZQ21" s="9"/>
      <c r="JZR21" s="9"/>
      <c r="JZS21" s="9"/>
      <c r="JZT21" s="9"/>
      <c r="JZU21" s="9"/>
      <c r="JZV21" s="9"/>
      <c r="JZW21" s="9"/>
      <c r="JZX21" s="9"/>
      <c r="JZY21" s="9"/>
      <c r="JZZ21" s="9"/>
      <c r="KAA21" s="9"/>
      <c r="KAB21" s="9"/>
      <c r="KAC21" s="9"/>
      <c r="KAD21" s="9"/>
      <c r="KAE21" s="9"/>
      <c r="KAF21" s="9"/>
      <c r="KAG21" s="9"/>
      <c r="KAH21" s="9"/>
      <c r="KAI21" s="9"/>
      <c r="KAJ21" s="9"/>
      <c r="KAK21" s="9"/>
      <c r="KAL21" s="9"/>
      <c r="KAM21" s="9"/>
      <c r="KAN21" s="9"/>
      <c r="KAO21" s="9"/>
      <c r="KAP21" s="9"/>
      <c r="KAQ21" s="9"/>
      <c r="KAR21" s="9"/>
      <c r="KAS21" s="9"/>
      <c r="KAT21" s="9"/>
      <c r="KAU21" s="9"/>
      <c r="KAV21" s="9"/>
      <c r="KAW21" s="9"/>
      <c r="KAX21" s="9"/>
      <c r="KAY21" s="9"/>
      <c r="KAZ21" s="9"/>
      <c r="KBA21" s="9"/>
      <c r="KBB21" s="9"/>
      <c r="KBC21" s="9"/>
      <c r="KBD21" s="9"/>
      <c r="KBE21" s="9"/>
      <c r="KBF21" s="9"/>
      <c r="KBG21" s="9"/>
      <c r="KBH21" s="9"/>
      <c r="KBI21" s="9"/>
      <c r="KBJ21" s="9"/>
      <c r="KBK21" s="9"/>
      <c r="KBL21" s="9"/>
      <c r="KBM21" s="9"/>
      <c r="KBN21" s="9"/>
      <c r="KBO21" s="9"/>
      <c r="KBP21" s="9"/>
      <c r="KBQ21" s="9"/>
      <c r="KBR21" s="9"/>
      <c r="KBS21" s="9"/>
      <c r="KBT21" s="9"/>
      <c r="KBU21" s="9"/>
      <c r="KBV21" s="9"/>
      <c r="KBW21" s="9"/>
      <c r="KBX21" s="9"/>
      <c r="KBY21" s="9"/>
      <c r="KBZ21" s="9"/>
      <c r="KCA21" s="9"/>
      <c r="KCB21" s="9"/>
      <c r="KCC21" s="9"/>
      <c r="KCD21" s="9"/>
      <c r="KCE21" s="9"/>
      <c r="KCF21" s="9"/>
      <c r="KCG21" s="9"/>
      <c r="KCH21" s="9"/>
      <c r="KCI21" s="9"/>
      <c r="KCJ21" s="9"/>
      <c r="KCK21" s="9"/>
      <c r="KCL21" s="9"/>
      <c r="KCM21" s="9"/>
      <c r="KCN21" s="9"/>
      <c r="KCO21" s="9"/>
      <c r="KCP21" s="9"/>
      <c r="KCQ21" s="9"/>
      <c r="KCR21" s="9"/>
      <c r="KCS21" s="9"/>
      <c r="KCT21" s="9"/>
      <c r="KCU21" s="9"/>
      <c r="KCV21" s="9"/>
      <c r="KCW21" s="9"/>
      <c r="KCX21" s="9"/>
      <c r="KCY21" s="9"/>
      <c r="KCZ21" s="9"/>
      <c r="KDA21" s="9"/>
      <c r="KDB21" s="9"/>
      <c r="KDC21" s="9"/>
      <c r="KDD21" s="9"/>
      <c r="KDE21" s="9"/>
      <c r="KDF21" s="9"/>
      <c r="KDG21" s="9"/>
      <c r="KDH21" s="9"/>
      <c r="KDI21" s="9"/>
      <c r="KDJ21" s="9"/>
      <c r="KDK21" s="9"/>
      <c r="KDL21" s="9"/>
      <c r="KDM21" s="9"/>
      <c r="KDN21" s="9"/>
      <c r="KDO21" s="9"/>
      <c r="KDP21" s="9"/>
      <c r="KDQ21" s="9"/>
      <c r="KDR21" s="9"/>
      <c r="KDS21" s="9"/>
      <c r="KDT21" s="9"/>
      <c r="KDU21" s="9"/>
      <c r="KDV21" s="9"/>
      <c r="KDW21" s="9"/>
      <c r="KDX21" s="9"/>
      <c r="KDY21" s="9"/>
      <c r="KDZ21" s="9"/>
      <c r="KEA21" s="9"/>
      <c r="KEB21" s="9"/>
      <c r="KEC21" s="9"/>
      <c r="KED21" s="9"/>
      <c r="KEE21" s="9"/>
      <c r="KEF21" s="9"/>
      <c r="KEG21" s="9"/>
      <c r="KEH21" s="9"/>
      <c r="KEI21" s="9"/>
      <c r="KEJ21" s="9"/>
      <c r="KEK21" s="9"/>
      <c r="KEL21" s="9"/>
      <c r="KEM21" s="9"/>
      <c r="KEN21" s="9"/>
      <c r="KEO21" s="9"/>
      <c r="KEP21" s="9"/>
      <c r="KEQ21" s="9"/>
      <c r="KER21" s="9"/>
      <c r="KES21" s="9"/>
      <c r="KET21" s="9"/>
      <c r="KEU21" s="9"/>
      <c r="KEV21" s="9"/>
      <c r="KEW21" s="9"/>
      <c r="KEX21" s="9"/>
      <c r="KEY21" s="9"/>
      <c r="KEZ21" s="9"/>
      <c r="KFA21" s="9"/>
      <c r="KFB21" s="9"/>
      <c r="KFC21" s="9"/>
      <c r="KFD21" s="9"/>
      <c r="KFE21" s="9"/>
      <c r="KFF21" s="9"/>
      <c r="KFG21" s="9"/>
      <c r="KFH21" s="9"/>
      <c r="KFI21" s="9"/>
      <c r="KFJ21" s="9"/>
      <c r="KFK21" s="9"/>
      <c r="KFL21" s="9"/>
      <c r="KFM21" s="9"/>
      <c r="KFN21" s="9"/>
      <c r="KFO21" s="9"/>
      <c r="KFP21" s="9"/>
      <c r="KFQ21" s="9"/>
      <c r="KFR21" s="9"/>
      <c r="KFS21" s="9"/>
      <c r="KFT21" s="9"/>
      <c r="KFU21" s="9"/>
      <c r="KFV21" s="9"/>
      <c r="KFW21" s="9"/>
      <c r="KFX21" s="9"/>
      <c r="KFY21" s="9"/>
      <c r="KFZ21" s="9"/>
      <c r="KGA21" s="9"/>
      <c r="KGB21" s="9"/>
      <c r="KGC21" s="9"/>
      <c r="KGD21" s="9"/>
      <c r="KGE21" s="9"/>
      <c r="KGF21" s="9"/>
      <c r="KGG21" s="9"/>
      <c r="KGH21" s="9"/>
      <c r="KGI21" s="9"/>
      <c r="KGJ21" s="9"/>
      <c r="KGK21" s="9"/>
      <c r="KGL21" s="9"/>
      <c r="KGM21" s="9"/>
      <c r="KGN21" s="9"/>
      <c r="KGO21" s="9"/>
      <c r="KGP21" s="9"/>
      <c r="KGQ21" s="9"/>
      <c r="KGR21" s="9"/>
      <c r="KGS21" s="9"/>
      <c r="KGT21" s="9"/>
      <c r="KGU21" s="9"/>
      <c r="KGV21" s="9"/>
      <c r="KGW21" s="9"/>
      <c r="KGX21" s="9"/>
      <c r="KGY21" s="9"/>
      <c r="KGZ21" s="9"/>
      <c r="KHA21" s="9"/>
      <c r="KHB21" s="9"/>
      <c r="KHC21" s="9"/>
      <c r="KHD21" s="9"/>
      <c r="KHE21" s="9"/>
      <c r="KHF21" s="9"/>
      <c r="KHG21" s="9"/>
      <c r="KHH21" s="9"/>
      <c r="KHI21" s="9"/>
      <c r="KHJ21" s="9"/>
      <c r="KHK21" s="9"/>
      <c r="KHL21" s="9"/>
      <c r="KHM21" s="9"/>
      <c r="KHN21" s="9"/>
      <c r="KHO21" s="9"/>
      <c r="KHP21" s="9"/>
      <c r="KHQ21" s="9"/>
      <c r="KHR21" s="9"/>
      <c r="KHS21" s="9"/>
      <c r="KHT21" s="9"/>
      <c r="KHU21" s="9"/>
      <c r="KHV21" s="9"/>
      <c r="KHW21" s="9"/>
      <c r="KHX21" s="9"/>
      <c r="KHY21" s="9"/>
      <c r="KHZ21" s="9"/>
      <c r="KIA21" s="9"/>
      <c r="KIB21" s="9"/>
      <c r="KIC21" s="9"/>
      <c r="KID21" s="9"/>
      <c r="KIE21" s="9"/>
      <c r="KIF21" s="9"/>
      <c r="KIG21" s="9"/>
      <c r="KIH21" s="9"/>
      <c r="KII21" s="9"/>
      <c r="KIJ21" s="9"/>
      <c r="KIK21" s="9"/>
      <c r="KIL21" s="9"/>
      <c r="KIM21" s="9"/>
      <c r="KIN21" s="9"/>
      <c r="KIO21" s="9"/>
      <c r="KIP21" s="9"/>
      <c r="KIQ21" s="9"/>
      <c r="KIR21" s="9"/>
      <c r="KIS21" s="9"/>
      <c r="KIT21" s="9"/>
      <c r="KIU21" s="9"/>
      <c r="KIV21" s="9"/>
      <c r="KIW21" s="9"/>
      <c r="KIX21" s="9"/>
      <c r="KIY21" s="9"/>
      <c r="KIZ21" s="9"/>
      <c r="KJA21" s="9"/>
      <c r="KJB21" s="9"/>
      <c r="KJC21" s="9"/>
      <c r="KJD21" s="9"/>
      <c r="KJE21" s="9"/>
      <c r="KJF21" s="9"/>
      <c r="KJG21" s="9"/>
      <c r="KJH21" s="9"/>
      <c r="KJI21" s="9"/>
      <c r="KJJ21" s="9"/>
      <c r="KJK21" s="9"/>
      <c r="KJL21" s="9"/>
      <c r="KJM21" s="9"/>
      <c r="KJN21" s="9"/>
      <c r="KJO21" s="9"/>
      <c r="KJP21" s="9"/>
      <c r="KJQ21" s="9"/>
      <c r="KJR21" s="9"/>
      <c r="KJS21" s="9"/>
      <c r="KJT21" s="9"/>
      <c r="KJU21" s="9"/>
      <c r="KJV21" s="9"/>
      <c r="KJW21" s="9"/>
      <c r="KJX21" s="9"/>
      <c r="KJY21" s="9"/>
      <c r="KJZ21" s="9"/>
      <c r="KKA21" s="9"/>
      <c r="KKB21" s="9"/>
      <c r="KKC21" s="9"/>
      <c r="KKD21" s="9"/>
      <c r="KKE21" s="9"/>
      <c r="KKF21" s="9"/>
      <c r="KKG21" s="9"/>
      <c r="KKH21" s="9"/>
      <c r="KKI21" s="9"/>
      <c r="KKJ21" s="9"/>
      <c r="KKK21" s="9"/>
      <c r="KKL21" s="9"/>
      <c r="KKM21" s="9"/>
      <c r="KKN21" s="9"/>
      <c r="KKO21" s="9"/>
      <c r="KKP21" s="9"/>
      <c r="KKQ21" s="9"/>
      <c r="KKR21" s="9"/>
      <c r="KKS21" s="9"/>
      <c r="KKT21" s="9"/>
      <c r="KKU21" s="9"/>
      <c r="KKV21" s="9"/>
      <c r="KKW21" s="9"/>
      <c r="KKX21" s="9"/>
      <c r="KKY21" s="9"/>
      <c r="KKZ21" s="9"/>
      <c r="KLA21" s="9"/>
      <c r="KLB21" s="9"/>
      <c r="KLC21" s="9"/>
      <c r="KLD21" s="9"/>
      <c r="KLE21" s="9"/>
      <c r="KLF21" s="9"/>
      <c r="KLG21" s="9"/>
      <c r="KLH21" s="9"/>
      <c r="KLI21" s="9"/>
      <c r="KLJ21" s="9"/>
      <c r="KLK21" s="9"/>
      <c r="KLL21" s="9"/>
      <c r="KLM21" s="9"/>
      <c r="KLN21" s="9"/>
      <c r="KLO21" s="9"/>
      <c r="KLP21" s="9"/>
      <c r="KLQ21" s="9"/>
      <c r="KLR21" s="9"/>
      <c r="KLS21" s="9"/>
      <c r="KLT21" s="9"/>
      <c r="KLU21" s="9"/>
      <c r="KLV21" s="9"/>
      <c r="KLW21" s="9"/>
      <c r="KLX21" s="9"/>
      <c r="KLY21" s="9"/>
      <c r="KLZ21" s="9"/>
      <c r="KMA21" s="9"/>
      <c r="KMB21" s="9"/>
      <c r="KMC21" s="9"/>
      <c r="KMD21" s="9"/>
      <c r="KME21" s="9"/>
      <c r="KMF21" s="9"/>
      <c r="KMG21" s="9"/>
      <c r="KMH21" s="9"/>
      <c r="KMI21" s="9"/>
      <c r="KMJ21" s="9"/>
      <c r="KMK21" s="9"/>
      <c r="KML21" s="9"/>
      <c r="KMM21" s="9"/>
      <c r="KMN21" s="9"/>
      <c r="KMO21" s="9"/>
      <c r="KMP21" s="9"/>
      <c r="KMQ21" s="9"/>
      <c r="KMR21" s="9"/>
      <c r="KMS21" s="9"/>
      <c r="KMT21" s="9"/>
      <c r="KMU21" s="9"/>
      <c r="KMV21" s="9"/>
      <c r="KMW21" s="9"/>
      <c r="KMX21" s="9"/>
      <c r="KMY21" s="9"/>
      <c r="KMZ21" s="9"/>
      <c r="KNA21" s="9"/>
      <c r="KNB21" s="9"/>
      <c r="KNC21" s="9"/>
      <c r="KND21" s="9"/>
      <c r="KNE21" s="9"/>
      <c r="KNF21" s="9"/>
      <c r="KNG21" s="9"/>
      <c r="KNH21" s="9"/>
      <c r="KNI21" s="9"/>
      <c r="KNJ21" s="9"/>
      <c r="KNK21" s="9"/>
      <c r="KNL21" s="9"/>
      <c r="KNM21" s="9"/>
      <c r="KNN21" s="9"/>
      <c r="KNO21" s="9"/>
      <c r="KNP21" s="9"/>
      <c r="KNQ21" s="9"/>
      <c r="KNR21" s="9"/>
      <c r="KNS21" s="9"/>
      <c r="KNT21" s="9"/>
      <c r="KNU21" s="9"/>
      <c r="KNV21" s="9"/>
      <c r="KNW21" s="9"/>
      <c r="KNX21" s="9"/>
      <c r="KNY21" s="9"/>
      <c r="KNZ21" s="9"/>
      <c r="KOA21" s="9"/>
      <c r="KOB21" s="9"/>
      <c r="KOC21" s="9"/>
      <c r="KOD21" s="9"/>
      <c r="KOE21" s="9"/>
      <c r="KOF21" s="9"/>
      <c r="KOG21" s="9"/>
      <c r="KOH21" s="9"/>
      <c r="KOI21" s="9"/>
      <c r="KOJ21" s="9"/>
      <c r="KOK21" s="9"/>
      <c r="KOL21" s="9"/>
      <c r="KOM21" s="9"/>
      <c r="KON21" s="9"/>
      <c r="KOO21" s="9"/>
      <c r="KOP21" s="9"/>
      <c r="KOQ21" s="9"/>
      <c r="KOR21" s="9"/>
      <c r="KOS21" s="9"/>
      <c r="KOT21" s="9"/>
      <c r="KOU21" s="9"/>
      <c r="KOV21" s="9"/>
      <c r="KOW21" s="9"/>
      <c r="KOX21" s="9"/>
      <c r="KOY21" s="9"/>
      <c r="KOZ21" s="9"/>
      <c r="KPA21" s="9"/>
      <c r="KPB21" s="9"/>
      <c r="KPC21" s="9"/>
      <c r="KPD21" s="9"/>
      <c r="KPE21" s="9"/>
      <c r="KPF21" s="9"/>
      <c r="KPG21" s="9"/>
      <c r="KPH21" s="9"/>
      <c r="KPI21" s="9"/>
      <c r="KPJ21" s="9"/>
      <c r="KPK21" s="9"/>
      <c r="KPL21" s="9"/>
      <c r="KPM21" s="9"/>
      <c r="KPN21" s="9"/>
      <c r="KPO21" s="9"/>
      <c r="KPP21" s="9"/>
      <c r="KPQ21" s="9"/>
      <c r="KPR21" s="9"/>
      <c r="KPS21" s="9"/>
      <c r="KPT21" s="9"/>
      <c r="KPU21" s="9"/>
      <c r="KPV21" s="9"/>
      <c r="KPW21" s="9"/>
      <c r="KPX21" s="9"/>
      <c r="KPY21" s="9"/>
      <c r="KPZ21" s="9"/>
      <c r="KQA21" s="9"/>
      <c r="KQB21" s="9"/>
      <c r="KQC21" s="9"/>
      <c r="KQD21" s="9"/>
      <c r="KQE21" s="9"/>
      <c r="KQF21" s="9"/>
      <c r="KQG21" s="9"/>
      <c r="KQH21" s="9"/>
      <c r="KQI21" s="9"/>
      <c r="KQJ21" s="9"/>
      <c r="KQK21" s="9"/>
      <c r="KQL21" s="9"/>
      <c r="KQM21" s="9"/>
      <c r="KQN21" s="9"/>
      <c r="KQO21" s="9"/>
      <c r="KQP21" s="9"/>
      <c r="KQQ21" s="9"/>
      <c r="KQR21" s="9"/>
      <c r="KQS21" s="9"/>
      <c r="KQT21" s="9"/>
      <c r="KQU21" s="9"/>
      <c r="KQV21" s="9"/>
      <c r="KQW21" s="9"/>
      <c r="KQX21" s="9"/>
      <c r="KQY21" s="9"/>
      <c r="KQZ21" s="9"/>
      <c r="KRA21" s="9"/>
      <c r="KRB21" s="9"/>
      <c r="KRC21" s="9"/>
      <c r="KRD21" s="9"/>
      <c r="KRE21" s="9"/>
      <c r="KRF21" s="9"/>
      <c r="KRG21" s="9"/>
      <c r="KRH21" s="9"/>
      <c r="KRI21" s="9"/>
      <c r="KRJ21" s="9"/>
      <c r="KRK21" s="9"/>
      <c r="KRL21" s="9"/>
      <c r="KRM21" s="9"/>
      <c r="KRN21" s="9"/>
      <c r="KRO21" s="9"/>
      <c r="KRP21" s="9"/>
      <c r="KRQ21" s="9"/>
      <c r="KRR21" s="9"/>
      <c r="KRS21" s="9"/>
      <c r="KRT21" s="9"/>
      <c r="KRU21" s="9"/>
      <c r="KRV21" s="9"/>
      <c r="KRW21" s="9"/>
      <c r="KRX21" s="9"/>
      <c r="KRY21" s="9"/>
      <c r="KRZ21" s="9"/>
      <c r="KSA21" s="9"/>
      <c r="KSB21" s="9"/>
      <c r="KSC21" s="9"/>
      <c r="KSD21" s="9"/>
      <c r="KSE21" s="9"/>
      <c r="KSF21" s="9"/>
      <c r="KSG21" s="9"/>
      <c r="KSH21" s="9"/>
      <c r="KSI21" s="9"/>
      <c r="KSJ21" s="9"/>
      <c r="KSK21" s="9"/>
      <c r="KSL21" s="9"/>
      <c r="KSM21" s="9"/>
      <c r="KSN21" s="9"/>
      <c r="KSO21" s="9"/>
      <c r="KSP21" s="9"/>
      <c r="KSQ21" s="9"/>
      <c r="KSR21" s="9"/>
      <c r="KSS21" s="9"/>
      <c r="KST21" s="9"/>
      <c r="KSU21" s="9"/>
      <c r="KSV21" s="9"/>
      <c r="KSW21" s="9"/>
      <c r="KSX21" s="9"/>
      <c r="KSY21" s="9"/>
      <c r="KSZ21" s="9"/>
      <c r="KTA21" s="9"/>
      <c r="KTB21" s="9"/>
      <c r="KTC21" s="9"/>
      <c r="KTD21" s="9"/>
      <c r="KTE21" s="9"/>
      <c r="KTF21" s="9"/>
      <c r="KTG21" s="9"/>
      <c r="KTH21" s="9"/>
      <c r="KTI21" s="9"/>
      <c r="KTJ21" s="9"/>
      <c r="KTK21" s="9"/>
      <c r="KTL21" s="9"/>
      <c r="KTM21" s="9"/>
      <c r="KTN21" s="9"/>
      <c r="KTO21" s="9"/>
      <c r="KTP21" s="9"/>
      <c r="KTQ21" s="9"/>
      <c r="KTR21" s="9"/>
      <c r="KTS21" s="9"/>
      <c r="KTT21" s="9"/>
      <c r="KTU21" s="9"/>
      <c r="KTV21" s="9"/>
      <c r="KTW21" s="9"/>
      <c r="KTX21" s="9"/>
      <c r="KTY21" s="9"/>
      <c r="KTZ21" s="9"/>
      <c r="KUA21" s="9"/>
      <c r="KUB21" s="9"/>
      <c r="KUC21" s="9"/>
      <c r="KUD21" s="9"/>
      <c r="KUE21" s="9"/>
      <c r="KUF21" s="9"/>
      <c r="KUG21" s="9"/>
      <c r="KUH21" s="9"/>
      <c r="KUI21" s="9"/>
      <c r="KUJ21" s="9"/>
      <c r="KUK21" s="9"/>
      <c r="KUL21" s="9"/>
      <c r="KUM21" s="9"/>
      <c r="KUN21" s="9"/>
      <c r="KUO21" s="9"/>
      <c r="KUP21" s="9"/>
      <c r="KUQ21" s="9"/>
      <c r="KUR21" s="9"/>
      <c r="KUS21" s="9"/>
      <c r="KUT21" s="9"/>
      <c r="KUU21" s="9"/>
      <c r="KUV21" s="9"/>
      <c r="KUW21" s="9"/>
      <c r="KUX21" s="9"/>
      <c r="KUY21" s="9"/>
      <c r="KUZ21" s="9"/>
      <c r="KVA21" s="9"/>
      <c r="KVB21" s="9"/>
      <c r="KVC21" s="9"/>
      <c r="KVD21" s="9"/>
      <c r="KVE21" s="9"/>
      <c r="KVF21" s="9"/>
      <c r="KVG21" s="9"/>
      <c r="KVH21" s="9"/>
      <c r="KVI21" s="9"/>
      <c r="KVJ21" s="9"/>
      <c r="KVK21" s="9"/>
      <c r="KVL21" s="9"/>
      <c r="KVM21" s="9"/>
      <c r="KVN21" s="9"/>
      <c r="KVO21" s="9"/>
      <c r="KVP21" s="9"/>
      <c r="KVQ21" s="9"/>
      <c r="KVR21" s="9"/>
      <c r="KVS21" s="9"/>
      <c r="KVT21" s="9"/>
      <c r="KVU21" s="9"/>
      <c r="KVV21" s="9"/>
      <c r="KVW21" s="9"/>
      <c r="KVX21" s="9"/>
      <c r="KVY21" s="9"/>
      <c r="KVZ21" s="9"/>
      <c r="KWA21" s="9"/>
      <c r="KWB21" s="9"/>
      <c r="KWC21" s="9"/>
      <c r="KWD21" s="9"/>
      <c r="KWE21" s="9"/>
      <c r="KWF21" s="9"/>
      <c r="KWG21" s="9"/>
      <c r="KWH21" s="9"/>
      <c r="KWI21" s="9"/>
      <c r="KWJ21" s="9"/>
      <c r="KWK21" s="9"/>
      <c r="KWL21" s="9"/>
      <c r="KWM21" s="9"/>
      <c r="KWN21" s="9"/>
      <c r="KWO21" s="9"/>
      <c r="KWP21" s="9"/>
      <c r="KWQ21" s="9"/>
      <c r="KWR21" s="9"/>
      <c r="KWS21" s="9"/>
      <c r="KWT21" s="9"/>
      <c r="KWU21" s="9"/>
      <c r="KWV21" s="9"/>
      <c r="KWW21" s="9"/>
      <c r="KWX21" s="9"/>
      <c r="KWY21" s="9"/>
      <c r="KWZ21" s="9"/>
      <c r="KXA21" s="9"/>
      <c r="KXB21" s="9"/>
      <c r="KXC21" s="9"/>
      <c r="KXD21" s="9"/>
      <c r="KXE21" s="9"/>
      <c r="KXF21" s="9"/>
      <c r="KXG21" s="9"/>
      <c r="KXH21" s="9"/>
      <c r="KXI21" s="9"/>
      <c r="KXJ21" s="9"/>
      <c r="KXK21" s="9"/>
      <c r="KXL21" s="9"/>
      <c r="KXM21" s="9"/>
      <c r="KXN21" s="9"/>
      <c r="KXO21" s="9"/>
      <c r="KXP21" s="9"/>
      <c r="KXQ21" s="9"/>
      <c r="KXR21" s="9"/>
      <c r="KXS21" s="9"/>
      <c r="KXT21" s="9"/>
      <c r="KXU21" s="9"/>
      <c r="KXV21" s="9"/>
      <c r="KXW21" s="9"/>
      <c r="KXX21" s="9"/>
      <c r="KXY21" s="9"/>
      <c r="KXZ21" s="9"/>
      <c r="KYA21" s="9"/>
      <c r="KYB21" s="9"/>
      <c r="KYC21" s="9"/>
      <c r="KYD21" s="9"/>
      <c r="KYE21" s="9"/>
      <c r="KYF21" s="9"/>
      <c r="KYG21" s="9"/>
      <c r="KYH21" s="9"/>
      <c r="KYI21" s="9"/>
      <c r="KYJ21" s="9"/>
      <c r="KYK21" s="9"/>
      <c r="KYL21" s="9"/>
      <c r="KYM21" s="9"/>
      <c r="KYN21" s="9"/>
      <c r="KYO21" s="9"/>
      <c r="KYP21" s="9"/>
      <c r="KYQ21" s="9"/>
      <c r="KYR21" s="9"/>
      <c r="KYS21" s="9"/>
      <c r="KYT21" s="9"/>
      <c r="KYU21" s="9"/>
      <c r="KYV21" s="9"/>
      <c r="KYW21" s="9"/>
      <c r="KYX21" s="9"/>
      <c r="KYY21" s="9"/>
      <c r="KYZ21" s="9"/>
      <c r="KZA21" s="9"/>
      <c r="KZB21" s="9"/>
      <c r="KZC21" s="9"/>
      <c r="KZD21" s="9"/>
      <c r="KZE21" s="9"/>
      <c r="KZF21" s="9"/>
      <c r="KZG21" s="9"/>
      <c r="KZH21" s="9"/>
      <c r="KZI21" s="9"/>
      <c r="KZJ21" s="9"/>
      <c r="KZK21" s="9"/>
      <c r="KZL21" s="9"/>
      <c r="KZM21" s="9"/>
      <c r="KZN21" s="9"/>
      <c r="KZO21" s="9"/>
      <c r="KZP21" s="9"/>
      <c r="KZQ21" s="9"/>
      <c r="KZR21" s="9"/>
      <c r="KZS21" s="9"/>
      <c r="KZT21" s="9"/>
      <c r="KZU21" s="9"/>
      <c r="KZV21" s="9"/>
      <c r="KZW21" s="9"/>
      <c r="KZX21" s="9"/>
      <c r="KZY21" s="9"/>
      <c r="KZZ21" s="9"/>
      <c r="LAA21" s="9"/>
      <c r="LAB21" s="9"/>
      <c r="LAC21" s="9"/>
      <c r="LAD21" s="9"/>
      <c r="LAE21" s="9"/>
      <c r="LAF21" s="9"/>
      <c r="LAG21" s="9"/>
      <c r="LAH21" s="9"/>
      <c r="LAI21" s="9"/>
      <c r="LAJ21" s="9"/>
      <c r="LAK21" s="9"/>
      <c r="LAL21" s="9"/>
      <c r="LAM21" s="9"/>
      <c r="LAN21" s="9"/>
      <c r="LAO21" s="9"/>
      <c r="LAP21" s="9"/>
      <c r="LAQ21" s="9"/>
      <c r="LAR21" s="9"/>
      <c r="LAS21" s="9"/>
      <c r="LAT21" s="9"/>
      <c r="LAU21" s="9"/>
      <c r="LAV21" s="9"/>
      <c r="LAW21" s="9"/>
      <c r="LAX21" s="9"/>
      <c r="LAY21" s="9"/>
      <c r="LAZ21" s="9"/>
      <c r="LBA21" s="9"/>
      <c r="LBB21" s="9"/>
      <c r="LBC21" s="9"/>
      <c r="LBD21" s="9"/>
      <c r="LBE21" s="9"/>
      <c r="LBF21" s="9"/>
      <c r="LBG21" s="9"/>
      <c r="LBH21" s="9"/>
      <c r="LBI21" s="9"/>
      <c r="LBJ21" s="9"/>
      <c r="LBK21" s="9"/>
      <c r="LBL21" s="9"/>
      <c r="LBM21" s="9"/>
      <c r="LBN21" s="9"/>
      <c r="LBO21" s="9"/>
      <c r="LBP21" s="9"/>
      <c r="LBQ21" s="9"/>
      <c r="LBR21" s="9"/>
      <c r="LBS21" s="9"/>
      <c r="LBT21" s="9"/>
      <c r="LBU21" s="9"/>
      <c r="LBV21" s="9"/>
      <c r="LBW21" s="9"/>
      <c r="LBX21" s="9"/>
      <c r="LBY21" s="9"/>
      <c r="LBZ21" s="9"/>
      <c r="LCA21" s="9"/>
      <c r="LCB21" s="9"/>
      <c r="LCC21" s="9"/>
      <c r="LCD21" s="9"/>
      <c r="LCE21" s="9"/>
      <c r="LCF21" s="9"/>
      <c r="LCG21" s="9"/>
      <c r="LCH21" s="9"/>
      <c r="LCI21" s="9"/>
      <c r="LCJ21" s="9"/>
      <c r="LCK21" s="9"/>
      <c r="LCL21" s="9"/>
      <c r="LCM21" s="9"/>
      <c r="LCN21" s="9"/>
      <c r="LCO21" s="9"/>
      <c r="LCP21" s="9"/>
      <c r="LCQ21" s="9"/>
      <c r="LCR21" s="9"/>
      <c r="LCS21" s="9"/>
      <c r="LCT21" s="9"/>
      <c r="LCU21" s="9"/>
      <c r="LCV21" s="9"/>
      <c r="LCW21" s="9"/>
      <c r="LCX21" s="9"/>
      <c r="LCY21" s="9"/>
      <c r="LCZ21" s="9"/>
      <c r="LDA21" s="9"/>
      <c r="LDB21" s="9"/>
      <c r="LDC21" s="9"/>
      <c r="LDD21" s="9"/>
      <c r="LDE21" s="9"/>
      <c r="LDF21" s="9"/>
      <c r="LDG21" s="9"/>
      <c r="LDH21" s="9"/>
      <c r="LDI21" s="9"/>
      <c r="LDJ21" s="9"/>
      <c r="LDK21" s="9"/>
      <c r="LDL21" s="9"/>
      <c r="LDM21" s="9"/>
      <c r="LDN21" s="9"/>
      <c r="LDO21" s="9"/>
      <c r="LDP21" s="9"/>
      <c r="LDQ21" s="9"/>
      <c r="LDR21" s="9"/>
      <c r="LDS21" s="9"/>
      <c r="LDT21" s="9"/>
      <c r="LDU21" s="9"/>
      <c r="LDV21" s="9"/>
      <c r="LDW21" s="9"/>
      <c r="LDX21" s="9"/>
      <c r="LDY21" s="9"/>
      <c r="LDZ21" s="9"/>
      <c r="LEA21" s="9"/>
      <c r="LEB21" s="9"/>
      <c r="LEC21" s="9"/>
      <c r="LED21" s="9"/>
      <c r="LEE21" s="9"/>
      <c r="LEF21" s="9"/>
      <c r="LEG21" s="9"/>
      <c r="LEH21" s="9"/>
      <c r="LEI21" s="9"/>
      <c r="LEJ21" s="9"/>
      <c r="LEK21" s="9"/>
      <c r="LEL21" s="9"/>
      <c r="LEM21" s="9"/>
      <c r="LEN21" s="9"/>
      <c r="LEO21" s="9"/>
      <c r="LEP21" s="9"/>
      <c r="LEQ21" s="9"/>
      <c r="LER21" s="9"/>
      <c r="LES21" s="9"/>
      <c r="LET21" s="9"/>
      <c r="LEU21" s="9"/>
      <c r="LEV21" s="9"/>
      <c r="LEW21" s="9"/>
      <c r="LEX21" s="9"/>
      <c r="LEY21" s="9"/>
      <c r="LEZ21" s="9"/>
      <c r="LFA21" s="9"/>
      <c r="LFB21" s="9"/>
      <c r="LFC21" s="9"/>
      <c r="LFD21" s="9"/>
      <c r="LFE21" s="9"/>
      <c r="LFF21" s="9"/>
      <c r="LFG21" s="9"/>
      <c r="LFH21" s="9"/>
      <c r="LFI21" s="9"/>
      <c r="LFJ21" s="9"/>
      <c r="LFK21" s="9"/>
      <c r="LFL21" s="9"/>
      <c r="LFM21" s="9"/>
      <c r="LFN21" s="9"/>
      <c r="LFO21" s="9"/>
      <c r="LFP21" s="9"/>
      <c r="LFQ21" s="9"/>
      <c r="LFR21" s="9"/>
      <c r="LFS21" s="9"/>
      <c r="LFT21" s="9"/>
      <c r="LFU21" s="9"/>
      <c r="LFV21" s="9"/>
      <c r="LFW21" s="9"/>
      <c r="LFX21" s="9"/>
      <c r="LFY21" s="9"/>
      <c r="LFZ21" s="9"/>
      <c r="LGA21" s="9"/>
      <c r="LGB21" s="9"/>
      <c r="LGC21" s="9"/>
      <c r="LGD21" s="9"/>
      <c r="LGE21" s="9"/>
      <c r="LGF21" s="9"/>
      <c r="LGG21" s="9"/>
      <c r="LGH21" s="9"/>
      <c r="LGI21" s="9"/>
      <c r="LGJ21" s="9"/>
      <c r="LGK21" s="9"/>
      <c r="LGL21" s="9"/>
      <c r="LGM21" s="9"/>
      <c r="LGN21" s="9"/>
      <c r="LGO21" s="9"/>
      <c r="LGP21" s="9"/>
      <c r="LGQ21" s="9"/>
      <c r="LGR21" s="9"/>
      <c r="LGS21" s="9"/>
      <c r="LGT21" s="9"/>
      <c r="LGU21" s="9"/>
      <c r="LGV21" s="9"/>
      <c r="LGW21" s="9"/>
      <c r="LGX21" s="9"/>
      <c r="LGY21" s="9"/>
      <c r="LGZ21" s="9"/>
      <c r="LHA21" s="9"/>
      <c r="LHB21" s="9"/>
      <c r="LHC21" s="9"/>
      <c r="LHD21" s="9"/>
      <c r="LHE21" s="9"/>
      <c r="LHF21" s="9"/>
      <c r="LHG21" s="9"/>
      <c r="LHH21" s="9"/>
      <c r="LHI21" s="9"/>
      <c r="LHJ21" s="9"/>
      <c r="LHK21" s="9"/>
      <c r="LHL21" s="9"/>
      <c r="LHM21" s="9"/>
      <c r="LHN21" s="9"/>
      <c r="LHO21" s="9"/>
      <c r="LHP21" s="9"/>
      <c r="LHQ21" s="9"/>
      <c r="LHR21" s="9"/>
      <c r="LHS21" s="9"/>
      <c r="LHT21" s="9"/>
      <c r="LHU21" s="9"/>
      <c r="LHV21" s="9"/>
      <c r="LHW21" s="9"/>
      <c r="LHX21" s="9"/>
      <c r="LHY21" s="9"/>
      <c r="LHZ21" s="9"/>
      <c r="LIA21" s="9"/>
      <c r="LIB21" s="9"/>
      <c r="LIC21" s="9"/>
      <c r="LID21" s="9"/>
      <c r="LIE21" s="9"/>
      <c r="LIF21" s="9"/>
      <c r="LIG21" s="9"/>
      <c r="LIH21" s="9"/>
      <c r="LII21" s="9"/>
      <c r="LIJ21" s="9"/>
      <c r="LIK21" s="9"/>
      <c r="LIL21" s="9"/>
      <c r="LIM21" s="9"/>
      <c r="LIN21" s="9"/>
      <c r="LIO21" s="9"/>
      <c r="LIP21" s="9"/>
      <c r="LIQ21" s="9"/>
      <c r="LIR21" s="9"/>
      <c r="LIS21" s="9"/>
      <c r="LIT21" s="9"/>
      <c r="LIU21" s="9"/>
      <c r="LIV21" s="9"/>
      <c r="LIW21" s="9"/>
      <c r="LIX21" s="9"/>
      <c r="LIY21" s="9"/>
      <c r="LIZ21" s="9"/>
      <c r="LJA21" s="9"/>
      <c r="LJB21" s="9"/>
      <c r="LJC21" s="9"/>
      <c r="LJD21" s="9"/>
      <c r="LJE21" s="9"/>
      <c r="LJF21" s="9"/>
      <c r="LJG21" s="9"/>
      <c r="LJH21" s="9"/>
      <c r="LJI21" s="9"/>
      <c r="LJJ21" s="9"/>
      <c r="LJK21" s="9"/>
      <c r="LJL21" s="9"/>
      <c r="LJM21" s="9"/>
      <c r="LJN21" s="9"/>
      <c r="LJO21" s="9"/>
      <c r="LJP21" s="9"/>
      <c r="LJQ21" s="9"/>
      <c r="LJR21" s="9"/>
      <c r="LJS21" s="9"/>
      <c r="LJT21" s="9"/>
      <c r="LJU21" s="9"/>
      <c r="LJV21" s="9"/>
      <c r="LJW21" s="9"/>
      <c r="LJX21" s="9"/>
      <c r="LJY21" s="9"/>
      <c r="LJZ21" s="9"/>
      <c r="LKA21" s="9"/>
      <c r="LKB21" s="9"/>
      <c r="LKC21" s="9"/>
      <c r="LKD21" s="9"/>
      <c r="LKE21" s="9"/>
      <c r="LKF21" s="9"/>
      <c r="LKG21" s="9"/>
      <c r="LKH21" s="9"/>
      <c r="LKI21" s="9"/>
      <c r="LKJ21" s="9"/>
      <c r="LKK21" s="9"/>
      <c r="LKL21" s="9"/>
      <c r="LKM21" s="9"/>
      <c r="LKN21" s="9"/>
      <c r="LKO21" s="9"/>
      <c r="LKP21" s="9"/>
      <c r="LKQ21" s="9"/>
      <c r="LKR21" s="9"/>
      <c r="LKS21" s="9"/>
      <c r="LKT21" s="9"/>
      <c r="LKU21" s="9"/>
      <c r="LKV21" s="9"/>
      <c r="LKW21" s="9"/>
      <c r="LKX21" s="9"/>
      <c r="LKY21" s="9"/>
      <c r="LKZ21" s="9"/>
      <c r="LLA21" s="9"/>
      <c r="LLB21" s="9"/>
      <c r="LLC21" s="9"/>
      <c r="LLD21" s="9"/>
      <c r="LLE21" s="9"/>
      <c r="LLF21" s="9"/>
      <c r="LLG21" s="9"/>
      <c r="LLH21" s="9"/>
      <c r="LLI21" s="9"/>
      <c r="LLJ21" s="9"/>
      <c r="LLK21" s="9"/>
      <c r="LLL21" s="9"/>
      <c r="LLM21" s="9"/>
      <c r="LLN21" s="9"/>
      <c r="LLO21" s="9"/>
      <c r="LLP21" s="9"/>
      <c r="LLQ21" s="9"/>
      <c r="LLR21" s="9"/>
      <c r="LLS21" s="9"/>
      <c r="LLT21" s="9"/>
      <c r="LLU21" s="9"/>
      <c r="LLV21" s="9"/>
      <c r="LLW21" s="9"/>
      <c r="LLX21" s="9"/>
      <c r="LLY21" s="9"/>
      <c r="LLZ21" s="9"/>
      <c r="LMA21" s="9"/>
      <c r="LMB21" s="9"/>
      <c r="LMC21" s="9"/>
      <c r="LMD21" s="9"/>
      <c r="LME21" s="9"/>
      <c r="LMF21" s="9"/>
      <c r="LMG21" s="9"/>
      <c r="LMH21" s="9"/>
      <c r="LMI21" s="9"/>
      <c r="LMJ21" s="9"/>
      <c r="LMK21" s="9"/>
      <c r="LML21" s="9"/>
      <c r="LMM21" s="9"/>
      <c r="LMN21" s="9"/>
      <c r="LMO21" s="9"/>
      <c r="LMP21" s="9"/>
      <c r="LMQ21" s="9"/>
      <c r="LMR21" s="9"/>
      <c r="LMS21" s="9"/>
      <c r="LMT21" s="9"/>
      <c r="LMU21" s="9"/>
      <c r="LMV21" s="9"/>
      <c r="LMW21" s="9"/>
      <c r="LMX21" s="9"/>
      <c r="LMY21" s="9"/>
      <c r="LMZ21" s="9"/>
      <c r="LNA21" s="9"/>
      <c r="LNB21" s="9"/>
      <c r="LNC21" s="9"/>
      <c r="LND21" s="9"/>
      <c r="LNE21" s="9"/>
      <c r="LNF21" s="9"/>
      <c r="LNG21" s="9"/>
      <c r="LNH21" s="9"/>
      <c r="LNI21" s="9"/>
      <c r="LNJ21" s="9"/>
      <c r="LNK21" s="9"/>
      <c r="LNL21" s="9"/>
      <c r="LNM21" s="9"/>
      <c r="LNN21" s="9"/>
      <c r="LNO21" s="9"/>
      <c r="LNP21" s="9"/>
      <c r="LNQ21" s="9"/>
      <c r="LNR21" s="9"/>
      <c r="LNS21" s="9"/>
      <c r="LNT21" s="9"/>
      <c r="LNU21" s="9"/>
      <c r="LNV21" s="9"/>
      <c r="LNW21" s="9"/>
      <c r="LNX21" s="9"/>
      <c r="LNY21" s="9"/>
      <c r="LNZ21" s="9"/>
      <c r="LOA21" s="9"/>
      <c r="LOB21" s="9"/>
      <c r="LOC21" s="9"/>
      <c r="LOD21" s="9"/>
      <c r="LOE21" s="9"/>
      <c r="LOF21" s="9"/>
      <c r="LOG21" s="9"/>
      <c r="LOH21" s="9"/>
      <c r="LOI21" s="9"/>
      <c r="LOJ21" s="9"/>
      <c r="LOK21" s="9"/>
      <c r="LOL21" s="9"/>
      <c r="LOM21" s="9"/>
      <c r="LON21" s="9"/>
      <c r="LOO21" s="9"/>
      <c r="LOP21" s="9"/>
      <c r="LOQ21" s="9"/>
      <c r="LOR21" s="9"/>
      <c r="LOS21" s="9"/>
      <c r="LOT21" s="9"/>
      <c r="LOU21" s="9"/>
      <c r="LOV21" s="9"/>
      <c r="LOW21" s="9"/>
      <c r="LOX21" s="9"/>
      <c r="LOY21" s="9"/>
      <c r="LOZ21" s="9"/>
      <c r="LPA21" s="9"/>
      <c r="LPB21" s="9"/>
      <c r="LPC21" s="9"/>
      <c r="LPD21" s="9"/>
      <c r="LPE21" s="9"/>
      <c r="LPF21" s="9"/>
      <c r="LPG21" s="9"/>
      <c r="LPH21" s="9"/>
      <c r="LPI21" s="9"/>
      <c r="LPJ21" s="9"/>
      <c r="LPK21" s="9"/>
      <c r="LPL21" s="9"/>
      <c r="LPM21" s="9"/>
      <c r="LPN21" s="9"/>
      <c r="LPO21" s="9"/>
      <c r="LPP21" s="9"/>
      <c r="LPQ21" s="9"/>
      <c r="LPR21" s="9"/>
      <c r="LPS21" s="9"/>
      <c r="LPT21" s="9"/>
      <c r="LPU21" s="9"/>
      <c r="LPV21" s="9"/>
      <c r="LPW21" s="9"/>
      <c r="LPX21" s="9"/>
      <c r="LPY21" s="9"/>
      <c r="LPZ21" s="9"/>
      <c r="LQA21" s="9"/>
      <c r="LQB21" s="9"/>
      <c r="LQC21" s="9"/>
      <c r="LQD21" s="9"/>
      <c r="LQE21" s="9"/>
      <c r="LQF21" s="9"/>
      <c r="LQG21" s="9"/>
      <c r="LQH21" s="9"/>
      <c r="LQI21" s="9"/>
      <c r="LQJ21" s="9"/>
      <c r="LQK21" s="9"/>
      <c r="LQL21" s="9"/>
      <c r="LQM21" s="9"/>
      <c r="LQN21" s="9"/>
      <c r="LQO21" s="9"/>
      <c r="LQP21" s="9"/>
      <c r="LQQ21" s="9"/>
      <c r="LQR21" s="9"/>
      <c r="LQS21" s="9"/>
      <c r="LQT21" s="9"/>
      <c r="LQU21" s="9"/>
      <c r="LQV21" s="9"/>
      <c r="LQW21" s="9"/>
      <c r="LQX21" s="9"/>
      <c r="LQY21" s="9"/>
      <c r="LQZ21" s="9"/>
      <c r="LRA21" s="9"/>
      <c r="LRB21" s="9"/>
      <c r="LRC21" s="9"/>
      <c r="LRD21" s="9"/>
      <c r="LRE21" s="9"/>
      <c r="LRF21" s="9"/>
      <c r="LRG21" s="9"/>
      <c r="LRH21" s="9"/>
      <c r="LRI21" s="9"/>
      <c r="LRJ21" s="9"/>
      <c r="LRK21" s="9"/>
      <c r="LRL21" s="9"/>
      <c r="LRM21" s="9"/>
      <c r="LRN21" s="9"/>
      <c r="LRO21" s="9"/>
      <c r="LRP21" s="9"/>
      <c r="LRQ21" s="9"/>
      <c r="LRR21" s="9"/>
      <c r="LRS21" s="9"/>
      <c r="LRT21" s="9"/>
      <c r="LRU21" s="9"/>
      <c r="LRV21" s="9"/>
      <c r="LRW21" s="9"/>
      <c r="LRX21" s="9"/>
      <c r="LRY21" s="9"/>
      <c r="LRZ21" s="9"/>
      <c r="LSA21" s="9"/>
      <c r="LSB21" s="9"/>
      <c r="LSC21" s="9"/>
      <c r="LSD21" s="9"/>
      <c r="LSE21" s="9"/>
      <c r="LSF21" s="9"/>
      <c r="LSG21" s="9"/>
      <c r="LSH21" s="9"/>
      <c r="LSI21" s="9"/>
      <c r="LSJ21" s="9"/>
      <c r="LSK21" s="9"/>
      <c r="LSL21" s="9"/>
      <c r="LSM21" s="9"/>
      <c r="LSN21" s="9"/>
      <c r="LSO21" s="9"/>
      <c r="LSP21" s="9"/>
      <c r="LSQ21" s="9"/>
      <c r="LSR21" s="9"/>
      <c r="LSS21" s="9"/>
      <c r="LST21" s="9"/>
      <c r="LSU21" s="9"/>
      <c r="LSV21" s="9"/>
      <c r="LSW21" s="9"/>
      <c r="LSX21" s="9"/>
      <c r="LSY21" s="9"/>
      <c r="LSZ21" s="9"/>
      <c r="LTA21" s="9"/>
      <c r="LTB21" s="9"/>
      <c r="LTC21" s="9"/>
      <c r="LTD21" s="9"/>
      <c r="LTE21" s="9"/>
      <c r="LTF21" s="9"/>
      <c r="LTG21" s="9"/>
      <c r="LTH21" s="9"/>
      <c r="LTI21" s="9"/>
      <c r="LTJ21" s="9"/>
      <c r="LTK21" s="9"/>
      <c r="LTL21" s="9"/>
      <c r="LTM21" s="9"/>
      <c r="LTN21" s="9"/>
      <c r="LTO21" s="9"/>
      <c r="LTP21" s="9"/>
      <c r="LTQ21" s="9"/>
      <c r="LTR21" s="9"/>
      <c r="LTS21" s="9"/>
      <c r="LTT21" s="9"/>
      <c r="LTU21" s="9"/>
      <c r="LTV21" s="9"/>
      <c r="LTW21" s="9"/>
      <c r="LTX21" s="9"/>
      <c r="LTY21" s="9"/>
      <c r="LTZ21" s="9"/>
      <c r="LUA21" s="9"/>
      <c r="LUB21" s="9"/>
      <c r="LUC21" s="9"/>
      <c r="LUD21" s="9"/>
      <c r="LUE21" s="9"/>
      <c r="LUF21" s="9"/>
      <c r="LUG21" s="9"/>
      <c r="LUH21" s="9"/>
      <c r="LUI21" s="9"/>
      <c r="LUJ21" s="9"/>
      <c r="LUK21" s="9"/>
      <c r="LUL21" s="9"/>
      <c r="LUM21" s="9"/>
      <c r="LUN21" s="9"/>
      <c r="LUO21" s="9"/>
      <c r="LUP21" s="9"/>
      <c r="LUQ21" s="9"/>
      <c r="LUR21" s="9"/>
      <c r="LUS21" s="9"/>
      <c r="LUT21" s="9"/>
      <c r="LUU21" s="9"/>
      <c r="LUV21" s="9"/>
      <c r="LUW21" s="9"/>
      <c r="LUX21" s="9"/>
      <c r="LUY21" s="9"/>
      <c r="LUZ21" s="9"/>
      <c r="LVA21" s="9"/>
      <c r="LVB21" s="9"/>
      <c r="LVC21" s="9"/>
      <c r="LVD21" s="9"/>
      <c r="LVE21" s="9"/>
      <c r="LVF21" s="9"/>
      <c r="LVG21" s="9"/>
      <c r="LVH21" s="9"/>
      <c r="LVI21" s="9"/>
      <c r="LVJ21" s="9"/>
      <c r="LVK21" s="9"/>
      <c r="LVL21" s="9"/>
      <c r="LVM21" s="9"/>
      <c r="LVN21" s="9"/>
      <c r="LVO21" s="9"/>
      <c r="LVP21" s="9"/>
      <c r="LVQ21" s="9"/>
      <c r="LVR21" s="9"/>
      <c r="LVS21" s="9"/>
      <c r="LVT21" s="9"/>
      <c r="LVU21" s="9"/>
      <c r="LVV21" s="9"/>
      <c r="LVW21" s="9"/>
      <c r="LVX21" s="9"/>
      <c r="LVY21" s="9"/>
      <c r="LVZ21" s="9"/>
      <c r="LWA21" s="9"/>
      <c r="LWB21" s="9"/>
      <c r="LWC21" s="9"/>
      <c r="LWD21" s="9"/>
      <c r="LWE21" s="9"/>
      <c r="LWF21" s="9"/>
      <c r="LWG21" s="9"/>
      <c r="LWH21" s="9"/>
      <c r="LWI21" s="9"/>
      <c r="LWJ21" s="9"/>
      <c r="LWK21" s="9"/>
      <c r="LWL21" s="9"/>
      <c r="LWM21" s="9"/>
      <c r="LWN21" s="9"/>
      <c r="LWO21" s="9"/>
      <c r="LWP21" s="9"/>
      <c r="LWQ21" s="9"/>
      <c r="LWR21" s="9"/>
      <c r="LWS21" s="9"/>
      <c r="LWT21" s="9"/>
      <c r="LWU21" s="9"/>
      <c r="LWV21" s="9"/>
      <c r="LWW21" s="9"/>
      <c r="LWX21" s="9"/>
      <c r="LWY21" s="9"/>
      <c r="LWZ21" s="9"/>
      <c r="LXA21" s="9"/>
      <c r="LXB21" s="9"/>
      <c r="LXC21" s="9"/>
      <c r="LXD21" s="9"/>
      <c r="LXE21" s="9"/>
      <c r="LXF21" s="9"/>
      <c r="LXG21" s="9"/>
      <c r="LXH21" s="9"/>
      <c r="LXI21" s="9"/>
      <c r="LXJ21" s="9"/>
      <c r="LXK21" s="9"/>
      <c r="LXL21" s="9"/>
      <c r="LXM21" s="9"/>
      <c r="LXN21" s="9"/>
      <c r="LXO21" s="9"/>
      <c r="LXP21" s="9"/>
      <c r="LXQ21" s="9"/>
      <c r="LXR21" s="9"/>
      <c r="LXS21" s="9"/>
      <c r="LXT21" s="9"/>
      <c r="LXU21" s="9"/>
      <c r="LXV21" s="9"/>
      <c r="LXW21" s="9"/>
      <c r="LXX21" s="9"/>
      <c r="LXY21" s="9"/>
      <c r="LXZ21" s="9"/>
      <c r="LYA21" s="9"/>
      <c r="LYB21" s="9"/>
      <c r="LYC21" s="9"/>
      <c r="LYD21" s="9"/>
      <c r="LYE21" s="9"/>
      <c r="LYF21" s="9"/>
      <c r="LYG21" s="9"/>
      <c r="LYH21" s="9"/>
      <c r="LYI21" s="9"/>
      <c r="LYJ21" s="9"/>
      <c r="LYK21" s="9"/>
      <c r="LYL21" s="9"/>
      <c r="LYM21" s="9"/>
      <c r="LYN21" s="9"/>
      <c r="LYO21" s="9"/>
      <c r="LYP21" s="9"/>
      <c r="LYQ21" s="9"/>
      <c r="LYR21" s="9"/>
      <c r="LYS21" s="9"/>
      <c r="LYT21" s="9"/>
      <c r="LYU21" s="9"/>
      <c r="LYV21" s="9"/>
      <c r="LYW21" s="9"/>
      <c r="LYX21" s="9"/>
      <c r="LYY21" s="9"/>
      <c r="LYZ21" s="9"/>
      <c r="LZA21" s="9"/>
      <c r="LZB21" s="9"/>
      <c r="LZC21" s="9"/>
      <c r="LZD21" s="9"/>
      <c r="LZE21" s="9"/>
      <c r="LZF21" s="9"/>
      <c r="LZG21" s="9"/>
      <c r="LZH21" s="9"/>
      <c r="LZI21" s="9"/>
      <c r="LZJ21" s="9"/>
      <c r="LZK21" s="9"/>
      <c r="LZL21" s="9"/>
      <c r="LZM21" s="9"/>
      <c r="LZN21" s="9"/>
      <c r="LZO21" s="9"/>
      <c r="LZP21" s="9"/>
      <c r="LZQ21" s="9"/>
      <c r="LZR21" s="9"/>
      <c r="LZS21" s="9"/>
      <c r="LZT21" s="9"/>
      <c r="LZU21" s="9"/>
      <c r="LZV21" s="9"/>
      <c r="LZW21" s="9"/>
      <c r="LZX21" s="9"/>
      <c r="LZY21" s="9"/>
      <c r="LZZ21" s="9"/>
      <c r="MAA21" s="9"/>
      <c r="MAB21" s="9"/>
      <c r="MAC21" s="9"/>
      <c r="MAD21" s="9"/>
      <c r="MAE21" s="9"/>
      <c r="MAF21" s="9"/>
      <c r="MAG21" s="9"/>
      <c r="MAH21" s="9"/>
      <c r="MAI21" s="9"/>
      <c r="MAJ21" s="9"/>
      <c r="MAK21" s="9"/>
      <c r="MAL21" s="9"/>
      <c r="MAM21" s="9"/>
      <c r="MAN21" s="9"/>
      <c r="MAO21" s="9"/>
      <c r="MAP21" s="9"/>
      <c r="MAQ21" s="9"/>
      <c r="MAR21" s="9"/>
      <c r="MAS21" s="9"/>
      <c r="MAT21" s="9"/>
      <c r="MAU21" s="9"/>
      <c r="MAV21" s="9"/>
      <c r="MAW21" s="9"/>
      <c r="MAX21" s="9"/>
      <c r="MAY21" s="9"/>
      <c r="MAZ21" s="9"/>
      <c r="MBA21" s="9"/>
      <c r="MBB21" s="9"/>
      <c r="MBC21" s="9"/>
      <c r="MBD21" s="9"/>
      <c r="MBE21" s="9"/>
      <c r="MBF21" s="9"/>
      <c r="MBG21" s="9"/>
      <c r="MBH21" s="9"/>
      <c r="MBI21" s="9"/>
      <c r="MBJ21" s="9"/>
      <c r="MBK21" s="9"/>
      <c r="MBL21" s="9"/>
      <c r="MBM21" s="9"/>
      <c r="MBN21" s="9"/>
      <c r="MBO21" s="9"/>
      <c r="MBP21" s="9"/>
      <c r="MBQ21" s="9"/>
      <c r="MBR21" s="9"/>
      <c r="MBS21" s="9"/>
      <c r="MBT21" s="9"/>
      <c r="MBU21" s="9"/>
      <c r="MBV21" s="9"/>
      <c r="MBW21" s="9"/>
      <c r="MBX21" s="9"/>
      <c r="MBY21" s="9"/>
      <c r="MBZ21" s="9"/>
      <c r="MCA21" s="9"/>
      <c r="MCB21" s="9"/>
      <c r="MCC21" s="9"/>
      <c r="MCD21" s="9"/>
      <c r="MCE21" s="9"/>
      <c r="MCF21" s="9"/>
      <c r="MCG21" s="9"/>
      <c r="MCH21" s="9"/>
      <c r="MCI21" s="9"/>
      <c r="MCJ21" s="9"/>
      <c r="MCK21" s="9"/>
      <c r="MCL21" s="9"/>
      <c r="MCM21" s="9"/>
      <c r="MCN21" s="9"/>
      <c r="MCO21" s="9"/>
      <c r="MCP21" s="9"/>
      <c r="MCQ21" s="9"/>
      <c r="MCR21" s="9"/>
      <c r="MCS21" s="9"/>
      <c r="MCT21" s="9"/>
      <c r="MCU21" s="9"/>
      <c r="MCV21" s="9"/>
      <c r="MCW21" s="9"/>
      <c r="MCX21" s="9"/>
      <c r="MCY21" s="9"/>
      <c r="MCZ21" s="9"/>
      <c r="MDA21" s="9"/>
      <c r="MDB21" s="9"/>
      <c r="MDC21" s="9"/>
      <c r="MDD21" s="9"/>
      <c r="MDE21" s="9"/>
      <c r="MDF21" s="9"/>
      <c r="MDG21" s="9"/>
      <c r="MDH21" s="9"/>
      <c r="MDI21" s="9"/>
      <c r="MDJ21" s="9"/>
      <c r="MDK21" s="9"/>
      <c r="MDL21" s="9"/>
      <c r="MDM21" s="9"/>
      <c r="MDN21" s="9"/>
      <c r="MDO21" s="9"/>
      <c r="MDP21" s="9"/>
      <c r="MDQ21" s="9"/>
      <c r="MDR21" s="9"/>
      <c r="MDS21" s="9"/>
      <c r="MDT21" s="9"/>
      <c r="MDU21" s="9"/>
      <c r="MDV21" s="9"/>
      <c r="MDW21" s="9"/>
      <c r="MDX21" s="9"/>
      <c r="MDY21" s="9"/>
      <c r="MDZ21" s="9"/>
      <c r="MEA21" s="9"/>
      <c r="MEB21" s="9"/>
      <c r="MEC21" s="9"/>
      <c r="MED21" s="9"/>
      <c r="MEE21" s="9"/>
      <c r="MEF21" s="9"/>
      <c r="MEG21" s="9"/>
      <c r="MEH21" s="9"/>
      <c r="MEI21" s="9"/>
      <c r="MEJ21" s="9"/>
      <c r="MEK21" s="9"/>
      <c r="MEL21" s="9"/>
      <c r="MEM21" s="9"/>
      <c r="MEN21" s="9"/>
      <c r="MEO21" s="9"/>
      <c r="MEP21" s="9"/>
      <c r="MEQ21" s="9"/>
      <c r="MER21" s="9"/>
      <c r="MES21" s="9"/>
      <c r="MET21" s="9"/>
      <c r="MEU21" s="9"/>
      <c r="MEV21" s="9"/>
      <c r="MEW21" s="9"/>
      <c r="MEX21" s="9"/>
      <c r="MEY21" s="9"/>
      <c r="MEZ21" s="9"/>
      <c r="MFA21" s="9"/>
      <c r="MFB21" s="9"/>
      <c r="MFC21" s="9"/>
      <c r="MFD21" s="9"/>
      <c r="MFE21" s="9"/>
      <c r="MFF21" s="9"/>
      <c r="MFG21" s="9"/>
      <c r="MFH21" s="9"/>
      <c r="MFI21" s="9"/>
      <c r="MFJ21" s="9"/>
      <c r="MFK21" s="9"/>
      <c r="MFL21" s="9"/>
      <c r="MFM21" s="9"/>
      <c r="MFN21" s="9"/>
      <c r="MFO21" s="9"/>
      <c r="MFP21" s="9"/>
      <c r="MFQ21" s="9"/>
      <c r="MFR21" s="9"/>
      <c r="MFS21" s="9"/>
      <c r="MFT21" s="9"/>
      <c r="MFU21" s="9"/>
      <c r="MFV21" s="9"/>
      <c r="MFW21" s="9"/>
      <c r="MFX21" s="9"/>
      <c r="MFY21" s="9"/>
      <c r="MFZ21" s="9"/>
      <c r="MGA21" s="9"/>
      <c r="MGB21" s="9"/>
      <c r="MGC21" s="9"/>
      <c r="MGD21" s="9"/>
      <c r="MGE21" s="9"/>
      <c r="MGF21" s="9"/>
      <c r="MGG21" s="9"/>
      <c r="MGH21" s="9"/>
      <c r="MGI21" s="9"/>
      <c r="MGJ21" s="9"/>
      <c r="MGK21" s="9"/>
      <c r="MGL21" s="9"/>
      <c r="MGM21" s="9"/>
      <c r="MGN21" s="9"/>
      <c r="MGO21" s="9"/>
      <c r="MGP21" s="9"/>
      <c r="MGQ21" s="9"/>
      <c r="MGR21" s="9"/>
      <c r="MGS21" s="9"/>
      <c r="MGT21" s="9"/>
      <c r="MGU21" s="9"/>
      <c r="MGV21" s="9"/>
      <c r="MGW21" s="9"/>
      <c r="MGX21" s="9"/>
      <c r="MGY21" s="9"/>
      <c r="MGZ21" s="9"/>
      <c r="MHA21" s="9"/>
      <c r="MHB21" s="9"/>
      <c r="MHC21" s="9"/>
      <c r="MHD21" s="9"/>
      <c r="MHE21" s="9"/>
      <c r="MHF21" s="9"/>
      <c r="MHG21" s="9"/>
      <c r="MHH21" s="9"/>
      <c r="MHI21" s="9"/>
      <c r="MHJ21" s="9"/>
      <c r="MHK21" s="9"/>
      <c r="MHL21" s="9"/>
      <c r="MHM21" s="9"/>
      <c r="MHN21" s="9"/>
      <c r="MHO21" s="9"/>
      <c r="MHP21" s="9"/>
      <c r="MHQ21" s="9"/>
      <c r="MHR21" s="9"/>
      <c r="MHS21" s="9"/>
      <c r="MHT21" s="9"/>
      <c r="MHU21" s="9"/>
      <c r="MHV21" s="9"/>
      <c r="MHW21" s="9"/>
      <c r="MHX21" s="9"/>
      <c r="MHY21" s="9"/>
      <c r="MHZ21" s="9"/>
      <c r="MIA21" s="9"/>
      <c r="MIB21" s="9"/>
      <c r="MIC21" s="9"/>
      <c r="MID21" s="9"/>
      <c r="MIE21" s="9"/>
      <c r="MIF21" s="9"/>
      <c r="MIG21" s="9"/>
      <c r="MIH21" s="9"/>
      <c r="MII21" s="9"/>
      <c r="MIJ21" s="9"/>
      <c r="MIK21" s="9"/>
      <c r="MIL21" s="9"/>
      <c r="MIM21" s="9"/>
      <c r="MIN21" s="9"/>
      <c r="MIO21" s="9"/>
      <c r="MIP21" s="9"/>
      <c r="MIQ21" s="9"/>
      <c r="MIR21" s="9"/>
      <c r="MIS21" s="9"/>
      <c r="MIT21" s="9"/>
      <c r="MIU21" s="9"/>
      <c r="MIV21" s="9"/>
      <c r="MIW21" s="9"/>
      <c r="MIX21" s="9"/>
      <c r="MIY21" s="9"/>
      <c r="MIZ21" s="9"/>
      <c r="MJA21" s="9"/>
      <c r="MJB21" s="9"/>
      <c r="MJC21" s="9"/>
      <c r="MJD21" s="9"/>
      <c r="MJE21" s="9"/>
      <c r="MJF21" s="9"/>
      <c r="MJG21" s="9"/>
      <c r="MJH21" s="9"/>
      <c r="MJI21" s="9"/>
      <c r="MJJ21" s="9"/>
      <c r="MJK21" s="9"/>
      <c r="MJL21" s="9"/>
      <c r="MJM21" s="9"/>
      <c r="MJN21" s="9"/>
      <c r="MJO21" s="9"/>
      <c r="MJP21" s="9"/>
      <c r="MJQ21" s="9"/>
      <c r="MJR21" s="9"/>
      <c r="MJS21" s="9"/>
      <c r="MJT21" s="9"/>
      <c r="MJU21" s="9"/>
      <c r="MJV21" s="9"/>
      <c r="MJW21" s="9"/>
      <c r="MJX21" s="9"/>
      <c r="MJY21" s="9"/>
      <c r="MJZ21" s="9"/>
      <c r="MKA21" s="9"/>
      <c r="MKB21" s="9"/>
      <c r="MKC21" s="9"/>
      <c r="MKD21" s="9"/>
      <c r="MKE21" s="9"/>
      <c r="MKF21" s="9"/>
      <c r="MKG21" s="9"/>
      <c r="MKH21" s="9"/>
      <c r="MKI21" s="9"/>
      <c r="MKJ21" s="9"/>
      <c r="MKK21" s="9"/>
      <c r="MKL21" s="9"/>
      <c r="MKM21" s="9"/>
      <c r="MKN21" s="9"/>
      <c r="MKO21" s="9"/>
      <c r="MKP21" s="9"/>
      <c r="MKQ21" s="9"/>
      <c r="MKR21" s="9"/>
      <c r="MKS21" s="9"/>
      <c r="MKT21" s="9"/>
      <c r="MKU21" s="9"/>
      <c r="MKV21" s="9"/>
      <c r="MKW21" s="9"/>
      <c r="MKX21" s="9"/>
      <c r="MKY21" s="9"/>
      <c r="MKZ21" s="9"/>
      <c r="MLA21" s="9"/>
      <c r="MLB21" s="9"/>
      <c r="MLC21" s="9"/>
      <c r="MLD21" s="9"/>
      <c r="MLE21" s="9"/>
      <c r="MLF21" s="9"/>
      <c r="MLG21" s="9"/>
      <c r="MLH21" s="9"/>
      <c r="MLI21" s="9"/>
      <c r="MLJ21" s="9"/>
      <c r="MLK21" s="9"/>
      <c r="MLL21" s="9"/>
      <c r="MLM21" s="9"/>
      <c r="MLN21" s="9"/>
      <c r="MLO21" s="9"/>
      <c r="MLP21" s="9"/>
      <c r="MLQ21" s="9"/>
      <c r="MLR21" s="9"/>
      <c r="MLS21" s="9"/>
      <c r="MLT21" s="9"/>
      <c r="MLU21" s="9"/>
      <c r="MLV21" s="9"/>
      <c r="MLW21" s="9"/>
      <c r="MLX21" s="9"/>
      <c r="MLY21" s="9"/>
      <c r="MLZ21" s="9"/>
      <c r="MMA21" s="9"/>
      <c r="MMB21" s="9"/>
      <c r="MMC21" s="9"/>
      <c r="MMD21" s="9"/>
      <c r="MME21" s="9"/>
      <c r="MMF21" s="9"/>
      <c r="MMG21" s="9"/>
      <c r="MMH21" s="9"/>
      <c r="MMI21" s="9"/>
      <c r="MMJ21" s="9"/>
      <c r="MMK21" s="9"/>
      <c r="MML21" s="9"/>
      <c r="MMM21" s="9"/>
      <c r="MMN21" s="9"/>
      <c r="MMO21" s="9"/>
      <c r="MMP21" s="9"/>
      <c r="MMQ21" s="9"/>
      <c r="MMR21" s="9"/>
      <c r="MMS21" s="9"/>
      <c r="MMT21" s="9"/>
      <c r="MMU21" s="9"/>
      <c r="MMV21" s="9"/>
      <c r="MMW21" s="9"/>
      <c r="MMX21" s="9"/>
      <c r="MMY21" s="9"/>
      <c r="MMZ21" s="9"/>
      <c r="MNA21" s="9"/>
      <c r="MNB21" s="9"/>
      <c r="MNC21" s="9"/>
      <c r="MND21" s="9"/>
      <c r="MNE21" s="9"/>
      <c r="MNF21" s="9"/>
      <c r="MNG21" s="9"/>
      <c r="MNH21" s="9"/>
      <c r="MNI21" s="9"/>
      <c r="MNJ21" s="9"/>
      <c r="MNK21" s="9"/>
      <c r="MNL21" s="9"/>
      <c r="MNM21" s="9"/>
      <c r="MNN21" s="9"/>
      <c r="MNO21" s="9"/>
      <c r="MNP21" s="9"/>
      <c r="MNQ21" s="9"/>
      <c r="MNR21" s="9"/>
      <c r="MNS21" s="9"/>
      <c r="MNT21" s="9"/>
      <c r="MNU21" s="9"/>
      <c r="MNV21" s="9"/>
      <c r="MNW21" s="9"/>
      <c r="MNX21" s="9"/>
      <c r="MNY21" s="9"/>
      <c r="MNZ21" s="9"/>
      <c r="MOA21" s="9"/>
      <c r="MOB21" s="9"/>
      <c r="MOC21" s="9"/>
      <c r="MOD21" s="9"/>
      <c r="MOE21" s="9"/>
      <c r="MOF21" s="9"/>
      <c r="MOG21" s="9"/>
      <c r="MOH21" s="9"/>
      <c r="MOI21" s="9"/>
      <c r="MOJ21" s="9"/>
      <c r="MOK21" s="9"/>
      <c r="MOL21" s="9"/>
      <c r="MOM21" s="9"/>
      <c r="MON21" s="9"/>
      <c r="MOO21" s="9"/>
      <c r="MOP21" s="9"/>
      <c r="MOQ21" s="9"/>
      <c r="MOR21" s="9"/>
      <c r="MOS21" s="9"/>
      <c r="MOT21" s="9"/>
      <c r="MOU21" s="9"/>
      <c r="MOV21" s="9"/>
      <c r="MOW21" s="9"/>
      <c r="MOX21" s="9"/>
      <c r="MOY21" s="9"/>
      <c r="MOZ21" s="9"/>
      <c r="MPA21" s="9"/>
      <c r="MPB21" s="9"/>
      <c r="MPC21" s="9"/>
      <c r="MPD21" s="9"/>
      <c r="MPE21" s="9"/>
      <c r="MPF21" s="9"/>
      <c r="MPG21" s="9"/>
      <c r="MPH21" s="9"/>
      <c r="MPI21" s="9"/>
      <c r="MPJ21" s="9"/>
      <c r="MPK21" s="9"/>
      <c r="MPL21" s="9"/>
      <c r="MPM21" s="9"/>
      <c r="MPN21" s="9"/>
      <c r="MPO21" s="9"/>
      <c r="MPP21" s="9"/>
      <c r="MPQ21" s="9"/>
      <c r="MPR21" s="9"/>
      <c r="MPS21" s="9"/>
      <c r="MPT21" s="9"/>
      <c r="MPU21" s="9"/>
      <c r="MPV21" s="9"/>
      <c r="MPW21" s="9"/>
      <c r="MPX21" s="9"/>
      <c r="MPY21" s="9"/>
      <c r="MPZ21" s="9"/>
      <c r="MQA21" s="9"/>
      <c r="MQB21" s="9"/>
      <c r="MQC21" s="9"/>
      <c r="MQD21" s="9"/>
      <c r="MQE21" s="9"/>
      <c r="MQF21" s="9"/>
      <c r="MQG21" s="9"/>
      <c r="MQH21" s="9"/>
      <c r="MQI21" s="9"/>
      <c r="MQJ21" s="9"/>
      <c r="MQK21" s="9"/>
      <c r="MQL21" s="9"/>
      <c r="MQM21" s="9"/>
      <c r="MQN21" s="9"/>
      <c r="MQO21" s="9"/>
      <c r="MQP21" s="9"/>
      <c r="MQQ21" s="9"/>
      <c r="MQR21" s="9"/>
      <c r="MQS21" s="9"/>
      <c r="MQT21" s="9"/>
      <c r="MQU21" s="9"/>
      <c r="MQV21" s="9"/>
      <c r="MQW21" s="9"/>
      <c r="MQX21" s="9"/>
      <c r="MQY21" s="9"/>
      <c r="MQZ21" s="9"/>
      <c r="MRA21" s="9"/>
      <c r="MRB21" s="9"/>
      <c r="MRC21" s="9"/>
      <c r="MRD21" s="9"/>
      <c r="MRE21" s="9"/>
      <c r="MRF21" s="9"/>
      <c r="MRG21" s="9"/>
      <c r="MRH21" s="9"/>
      <c r="MRI21" s="9"/>
      <c r="MRJ21" s="9"/>
      <c r="MRK21" s="9"/>
      <c r="MRL21" s="9"/>
      <c r="MRM21" s="9"/>
      <c r="MRN21" s="9"/>
      <c r="MRO21" s="9"/>
      <c r="MRP21" s="9"/>
      <c r="MRQ21" s="9"/>
      <c r="MRR21" s="9"/>
      <c r="MRS21" s="9"/>
      <c r="MRT21" s="9"/>
      <c r="MRU21" s="9"/>
      <c r="MRV21" s="9"/>
      <c r="MRW21" s="9"/>
      <c r="MRX21" s="9"/>
      <c r="MRY21" s="9"/>
      <c r="MRZ21" s="9"/>
      <c r="MSA21" s="9"/>
      <c r="MSB21" s="9"/>
      <c r="MSC21" s="9"/>
      <c r="MSD21" s="9"/>
      <c r="MSE21" s="9"/>
      <c r="MSF21" s="9"/>
      <c r="MSG21" s="9"/>
      <c r="MSH21" s="9"/>
      <c r="MSI21" s="9"/>
      <c r="MSJ21" s="9"/>
      <c r="MSK21" s="9"/>
      <c r="MSL21" s="9"/>
      <c r="MSM21" s="9"/>
      <c r="MSN21" s="9"/>
      <c r="MSO21" s="9"/>
      <c r="MSP21" s="9"/>
      <c r="MSQ21" s="9"/>
      <c r="MSR21" s="9"/>
      <c r="MSS21" s="9"/>
      <c r="MST21" s="9"/>
      <c r="MSU21" s="9"/>
      <c r="MSV21" s="9"/>
      <c r="MSW21" s="9"/>
      <c r="MSX21" s="9"/>
      <c r="MSY21" s="9"/>
      <c r="MSZ21" s="9"/>
      <c r="MTA21" s="9"/>
      <c r="MTB21" s="9"/>
      <c r="MTC21" s="9"/>
      <c r="MTD21" s="9"/>
      <c r="MTE21" s="9"/>
      <c r="MTF21" s="9"/>
      <c r="MTG21" s="9"/>
      <c r="MTH21" s="9"/>
      <c r="MTI21" s="9"/>
      <c r="MTJ21" s="9"/>
      <c r="MTK21" s="9"/>
      <c r="MTL21" s="9"/>
      <c r="MTM21" s="9"/>
      <c r="MTN21" s="9"/>
      <c r="MTO21" s="9"/>
      <c r="MTP21" s="9"/>
      <c r="MTQ21" s="9"/>
      <c r="MTR21" s="9"/>
      <c r="MTS21" s="9"/>
      <c r="MTT21" s="9"/>
      <c r="MTU21" s="9"/>
      <c r="MTV21" s="9"/>
      <c r="MTW21" s="9"/>
      <c r="MTX21" s="9"/>
      <c r="MTY21" s="9"/>
      <c r="MTZ21" s="9"/>
      <c r="MUA21" s="9"/>
      <c r="MUB21" s="9"/>
      <c r="MUC21" s="9"/>
      <c r="MUD21" s="9"/>
      <c r="MUE21" s="9"/>
      <c r="MUF21" s="9"/>
      <c r="MUG21" s="9"/>
      <c r="MUH21" s="9"/>
      <c r="MUI21" s="9"/>
      <c r="MUJ21" s="9"/>
      <c r="MUK21" s="9"/>
      <c r="MUL21" s="9"/>
      <c r="MUM21" s="9"/>
      <c r="MUN21" s="9"/>
      <c r="MUO21" s="9"/>
      <c r="MUP21" s="9"/>
      <c r="MUQ21" s="9"/>
      <c r="MUR21" s="9"/>
      <c r="MUS21" s="9"/>
      <c r="MUT21" s="9"/>
      <c r="MUU21" s="9"/>
      <c r="MUV21" s="9"/>
      <c r="MUW21" s="9"/>
      <c r="MUX21" s="9"/>
      <c r="MUY21" s="9"/>
      <c r="MUZ21" s="9"/>
      <c r="MVA21" s="9"/>
      <c r="MVB21" s="9"/>
      <c r="MVC21" s="9"/>
      <c r="MVD21" s="9"/>
      <c r="MVE21" s="9"/>
      <c r="MVF21" s="9"/>
      <c r="MVG21" s="9"/>
      <c r="MVH21" s="9"/>
      <c r="MVI21" s="9"/>
      <c r="MVJ21" s="9"/>
      <c r="MVK21" s="9"/>
      <c r="MVL21" s="9"/>
      <c r="MVM21" s="9"/>
      <c r="MVN21" s="9"/>
      <c r="MVO21" s="9"/>
      <c r="MVP21" s="9"/>
      <c r="MVQ21" s="9"/>
      <c r="MVR21" s="9"/>
      <c r="MVS21" s="9"/>
      <c r="MVT21" s="9"/>
      <c r="MVU21" s="9"/>
      <c r="MVV21" s="9"/>
      <c r="MVW21" s="9"/>
      <c r="MVX21" s="9"/>
      <c r="MVY21" s="9"/>
      <c r="MVZ21" s="9"/>
      <c r="MWA21" s="9"/>
      <c r="MWB21" s="9"/>
      <c r="MWC21" s="9"/>
      <c r="MWD21" s="9"/>
      <c r="MWE21" s="9"/>
      <c r="MWF21" s="9"/>
      <c r="MWG21" s="9"/>
      <c r="MWH21" s="9"/>
      <c r="MWI21" s="9"/>
      <c r="MWJ21" s="9"/>
      <c r="MWK21" s="9"/>
      <c r="MWL21" s="9"/>
      <c r="MWM21" s="9"/>
      <c r="MWN21" s="9"/>
      <c r="MWO21" s="9"/>
      <c r="MWP21" s="9"/>
      <c r="MWQ21" s="9"/>
      <c r="MWR21" s="9"/>
      <c r="MWS21" s="9"/>
      <c r="MWT21" s="9"/>
      <c r="MWU21" s="9"/>
      <c r="MWV21" s="9"/>
      <c r="MWW21" s="9"/>
      <c r="MWX21" s="9"/>
      <c r="MWY21" s="9"/>
      <c r="MWZ21" s="9"/>
      <c r="MXA21" s="9"/>
      <c r="MXB21" s="9"/>
      <c r="MXC21" s="9"/>
      <c r="MXD21" s="9"/>
      <c r="MXE21" s="9"/>
      <c r="MXF21" s="9"/>
      <c r="MXG21" s="9"/>
      <c r="MXH21" s="9"/>
      <c r="MXI21" s="9"/>
      <c r="MXJ21" s="9"/>
      <c r="MXK21" s="9"/>
      <c r="MXL21" s="9"/>
      <c r="MXM21" s="9"/>
      <c r="MXN21" s="9"/>
      <c r="MXO21" s="9"/>
      <c r="MXP21" s="9"/>
      <c r="MXQ21" s="9"/>
      <c r="MXR21" s="9"/>
      <c r="MXS21" s="9"/>
      <c r="MXT21" s="9"/>
      <c r="MXU21" s="9"/>
      <c r="MXV21" s="9"/>
      <c r="MXW21" s="9"/>
      <c r="MXX21" s="9"/>
      <c r="MXY21" s="9"/>
      <c r="MXZ21" s="9"/>
      <c r="MYA21" s="9"/>
      <c r="MYB21" s="9"/>
      <c r="MYC21" s="9"/>
      <c r="MYD21" s="9"/>
      <c r="MYE21" s="9"/>
      <c r="MYF21" s="9"/>
      <c r="MYG21" s="9"/>
      <c r="MYH21" s="9"/>
      <c r="MYI21" s="9"/>
      <c r="MYJ21" s="9"/>
      <c r="MYK21" s="9"/>
      <c r="MYL21" s="9"/>
      <c r="MYM21" s="9"/>
      <c r="MYN21" s="9"/>
      <c r="MYO21" s="9"/>
      <c r="MYP21" s="9"/>
      <c r="MYQ21" s="9"/>
      <c r="MYR21" s="9"/>
      <c r="MYS21" s="9"/>
      <c r="MYT21" s="9"/>
      <c r="MYU21" s="9"/>
      <c r="MYV21" s="9"/>
      <c r="MYW21" s="9"/>
      <c r="MYX21" s="9"/>
      <c r="MYY21" s="9"/>
      <c r="MYZ21" s="9"/>
      <c r="MZA21" s="9"/>
      <c r="MZB21" s="9"/>
      <c r="MZC21" s="9"/>
      <c r="MZD21" s="9"/>
      <c r="MZE21" s="9"/>
      <c r="MZF21" s="9"/>
      <c r="MZG21" s="9"/>
      <c r="MZH21" s="9"/>
      <c r="MZI21" s="9"/>
      <c r="MZJ21" s="9"/>
      <c r="MZK21" s="9"/>
      <c r="MZL21" s="9"/>
      <c r="MZM21" s="9"/>
      <c r="MZN21" s="9"/>
      <c r="MZO21" s="9"/>
      <c r="MZP21" s="9"/>
      <c r="MZQ21" s="9"/>
      <c r="MZR21" s="9"/>
      <c r="MZS21" s="9"/>
      <c r="MZT21" s="9"/>
      <c r="MZU21" s="9"/>
      <c r="MZV21" s="9"/>
      <c r="MZW21" s="9"/>
      <c r="MZX21" s="9"/>
      <c r="MZY21" s="9"/>
      <c r="MZZ21" s="9"/>
      <c r="NAA21" s="9"/>
      <c r="NAB21" s="9"/>
      <c r="NAC21" s="9"/>
      <c r="NAD21" s="9"/>
      <c r="NAE21" s="9"/>
      <c r="NAF21" s="9"/>
      <c r="NAG21" s="9"/>
      <c r="NAH21" s="9"/>
      <c r="NAI21" s="9"/>
      <c r="NAJ21" s="9"/>
      <c r="NAK21" s="9"/>
      <c r="NAL21" s="9"/>
      <c r="NAM21" s="9"/>
      <c r="NAN21" s="9"/>
      <c r="NAO21" s="9"/>
      <c r="NAP21" s="9"/>
      <c r="NAQ21" s="9"/>
      <c r="NAR21" s="9"/>
      <c r="NAS21" s="9"/>
      <c r="NAT21" s="9"/>
      <c r="NAU21" s="9"/>
      <c r="NAV21" s="9"/>
      <c r="NAW21" s="9"/>
      <c r="NAX21" s="9"/>
      <c r="NAY21" s="9"/>
      <c r="NAZ21" s="9"/>
      <c r="NBA21" s="9"/>
      <c r="NBB21" s="9"/>
      <c r="NBC21" s="9"/>
      <c r="NBD21" s="9"/>
      <c r="NBE21" s="9"/>
      <c r="NBF21" s="9"/>
      <c r="NBG21" s="9"/>
      <c r="NBH21" s="9"/>
      <c r="NBI21" s="9"/>
      <c r="NBJ21" s="9"/>
      <c r="NBK21" s="9"/>
      <c r="NBL21" s="9"/>
      <c r="NBM21" s="9"/>
      <c r="NBN21" s="9"/>
      <c r="NBO21" s="9"/>
      <c r="NBP21" s="9"/>
      <c r="NBQ21" s="9"/>
      <c r="NBR21" s="9"/>
      <c r="NBS21" s="9"/>
      <c r="NBT21" s="9"/>
      <c r="NBU21" s="9"/>
      <c r="NBV21" s="9"/>
      <c r="NBW21" s="9"/>
      <c r="NBX21" s="9"/>
      <c r="NBY21" s="9"/>
      <c r="NBZ21" s="9"/>
      <c r="NCA21" s="9"/>
      <c r="NCB21" s="9"/>
      <c r="NCC21" s="9"/>
      <c r="NCD21" s="9"/>
      <c r="NCE21" s="9"/>
      <c r="NCF21" s="9"/>
      <c r="NCG21" s="9"/>
      <c r="NCH21" s="9"/>
      <c r="NCI21" s="9"/>
      <c r="NCJ21" s="9"/>
      <c r="NCK21" s="9"/>
      <c r="NCL21" s="9"/>
      <c r="NCM21" s="9"/>
      <c r="NCN21" s="9"/>
      <c r="NCO21" s="9"/>
      <c r="NCP21" s="9"/>
      <c r="NCQ21" s="9"/>
      <c r="NCR21" s="9"/>
      <c r="NCS21" s="9"/>
      <c r="NCT21" s="9"/>
      <c r="NCU21" s="9"/>
      <c r="NCV21" s="9"/>
      <c r="NCW21" s="9"/>
      <c r="NCX21" s="9"/>
      <c r="NCY21" s="9"/>
      <c r="NCZ21" s="9"/>
      <c r="NDA21" s="9"/>
      <c r="NDB21" s="9"/>
      <c r="NDC21" s="9"/>
      <c r="NDD21" s="9"/>
      <c r="NDE21" s="9"/>
      <c r="NDF21" s="9"/>
      <c r="NDG21" s="9"/>
      <c r="NDH21" s="9"/>
      <c r="NDI21" s="9"/>
      <c r="NDJ21" s="9"/>
      <c r="NDK21" s="9"/>
      <c r="NDL21" s="9"/>
      <c r="NDM21" s="9"/>
      <c r="NDN21" s="9"/>
      <c r="NDO21" s="9"/>
      <c r="NDP21" s="9"/>
      <c r="NDQ21" s="9"/>
      <c r="NDR21" s="9"/>
      <c r="NDS21" s="9"/>
      <c r="NDT21" s="9"/>
      <c r="NDU21" s="9"/>
      <c r="NDV21" s="9"/>
      <c r="NDW21" s="9"/>
      <c r="NDX21" s="9"/>
      <c r="NDY21" s="9"/>
      <c r="NDZ21" s="9"/>
      <c r="NEA21" s="9"/>
      <c r="NEB21" s="9"/>
      <c r="NEC21" s="9"/>
      <c r="NED21" s="9"/>
      <c r="NEE21" s="9"/>
      <c r="NEF21" s="9"/>
      <c r="NEG21" s="9"/>
      <c r="NEH21" s="9"/>
      <c r="NEI21" s="9"/>
      <c r="NEJ21" s="9"/>
      <c r="NEK21" s="9"/>
      <c r="NEL21" s="9"/>
      <c r="NEM21" s="9"/>
      <c r="NEN21" s="9"/>
      <c r="NEO21" s="9"/>
      <c r="NEP21" s="9"/>
      <c r="NEQ21" s="9"/>
      <c r="NER21" s="9"/>
      <c r="NES21" s="9"/>
      <c r="NET21" s="9"/>
      <c r="NEU21" s="9"/>
      <c r="NEV21" s="9"/>
      <c r="NEW21" s="9"/>
      <c r="NEX21" s="9"/>
      <c r="NEY21" s="9"/>
      <c r="NEZ21" s="9"/>
      <c r="NFA21" s="9"/>
      <c r="NFB21" s="9"/>
      <c r="NFC21" s="9"/>
      <c r="NFD21" s="9"/>
      <c r="NFE21" s="9"/>
      <c r="NFF21" s="9"/>
      <c r="NFG21" s="9"/>
      <c r="NFH21" s="9"/>
      <c r="NFI21" s="9"/>
      <c r="NFJ21" s="9"/>
      <c r="NFK21" s="9"/>
      <c r="NFL21" s="9"/>
      <c r="NFM21" s="9"/>
      <c r="NFN21" s="9"/>
      <c r="NFO21" s="9"/>
      <c r="NFP21" s="9"/>
      <c r="NFQ21" s="9"/>
      <c r="NFR21" s="9"/>
      <c r="NFS21" s="9"/>
      <c r="NFT21" s="9"/>
      <c r="NFU21" s="9"/>
      <c r="NFV21" s="9"/>
      <c r="NFW21" s="9"/>
      <c r="NFX21" s="9"/>
      <c r="NFY21" s="9"/>
      <c r="NFZ21" s="9"/>
      <c r="NGA21" s="9"/>
      <c r="NGB21" s="9"/>
      <c r="NGC21" s="9"/>
      <c r="NGD21" s="9"/>
      <c r="NGE21" s="9"/>
      <c r="NGF21" s="9"/>
      <c r="NGG21" s="9"/>
      <c r="NGH21" s="9"/>
      <c r="NGI21" s="9"/>
      <c r="NGJ21" s="9"/>
      <c r="NGK21" s="9"/>
      <c r="NGL21" s="9"/>
      <c r="NGM21" s="9"/>
      <c r="NGN21" s="9"/>
      <c r="NGO21" s="9"/>
      <c r="NGP21" s="9"/>
      <c r="NGQ21" s="9"/>
      <c r="NGR21" s="9"/>
      <c r="NGS21" s="9"/>
      <c r="NGT21" s="9"/>
      <c r="NGU21" s="9"/>
      <c r="NGV21" s="9"/>
      <c r="NGW21" s="9"/>
      <c r="NGX21" s="9"/>
      <c r="NGY21" s="9"/>
      <c r="NGZ21" s="9"/>
      <c r="NHA21" s="9"/>
      <c r="NHB21" s="9"/>
      <c r="NHC21" s="9"/>
      <c r="NHD21" s="9"/>
      <c r="NHE21" s="9"/>
      <c r="NHF21" s="9"/>
      <c r="NHG21" s="9"/>
      <c r="NHH21" s="9"/>
      <c r="NHI21" s="9"/>
      <c r="NHJ21" s="9"/>
      <c r="NHK21" s="9"/>
      <c r="NHL21" s="9"/>
      <c r="NHM21" s="9"/>
      <c r="NHN21" s="9"/>
      <c r="NHO21" s="9"/>
      <c r="NHP21" s="9"/>
      <c r="NHQ21" s="9"/>
      <c r="NHR21" s="9"/>
      <c r="NHS21" s="9"/>
      <c r="NHT21" s="9"/>
      <c r="NHU21" s="9"/>
      <c r="NHV21" s="9"/>
      <c r="NHW21" s="9"/>
      <c r="NHX21" s="9"/>
      <c r="NHY21" s="9"/>
      <c r="NHZ21" s="9"/>
      <c r="NIA21" s="9"/>
      <c r="NIB21" s="9"/>
      <c r="NIC21" s="9"/>
      <c r="NID21" s="9"/>
      <c r="NIE21" s="9"/>
      <c r="NIF21" s="9"/>
      <c r="NIG21" s="9"/>
      <c r="NIH21" s="9"/>
      <c r="NII21" s="9"/>
      <c r="NIJ21" s="9"/>
      <c r="NIK21" s="9"/>
      <c r="NIL21" s="9"/>
      <c r="NIM21" s="9"/>
      <c r="NIN21" s="9"/>
      <c r="NIO21" s="9"/>
      <c r="NIP21" s="9"/>
      <c r="NIQ21" s="9"/>
      <c r="NIR21" s="9"/>
      <c r="NIS21" s="9"/>
      <c r="NIT21" s="9"/>
      <c r="NIU21" s="9"/>
      <c r="NIV21" s="9"/>
      <c r="NIW21" s="9"/>
      <c r="NIX21" s="9"/>
      <c r="NIY21" s="9"/>
      <c r="NIZ21" s="9"/>
      <c r="NJA21" s="9"/>
      <c r="NJB21" s="9"/>
      <c r="NJC21" s="9"/>
      <c r="NJD21" s="9"/>
      <c r="NJE21" s="9"/>
      <c r="NJF21" s="9"/>
      <c r="NJG21" s="9"/>
      <c r="NJH21" s="9"/>
      <c r="NJI21" s="9"/>
      <c r="NJJ21" s="9"/>
      <c r="NJK21" s="9"/>
      <c r="NJL21" s="9"/>
      <c r="NJM21" s="9"/>
      <c r="NJN21" s="9"/>
      <c r="NJO21" s="9"/>
      <c r="NJP21" s="9"/>
      <c r="NJQ21" s="9"/>
      <c r="NJR21" s="9"/>
      <c r="NJS21" s="9"/>
      <c r="NJT21" s="9"/>
      <c r="NJU21" s="9"/>
      <c r="NJV21" s="9"/>
      <c r="NJW21" s="9"/>
      <c r="NJX21" s="9"/>
      <c r="NJY21" s="9"/>
      <c r="NJZ21" s="9"/>
      <c r="NKA21" s="9"/>
      <c r="NKB21" s="9"/>
      <c r="NKC21" s="9"/>
      <c r="NKD21" s="9"/>
      <c r="NKE21" s="9"/>
      <c r="NKF21" s="9"/>
      <c r="NKG21" s="9"/>
      <c r="NKH21" s="9"/>
      <c r="NKI21" s="9"/>
      <c r="NKJ21" s="9"/>
      <c r="NKK21" s="9"/>
      <c r="NKL21" s="9"/>
      <c r="NKM21" s="9"/>
      <c r="NKN21" s="9"/>
      <c r="NKO21" s="9"/>
      <c r="NKP21" s="9"/>
      <c r="NKQ21" s="9"/>
      <c r="NKR21" s="9"/>
      <c r="NKS21" s="9"/>
      <c r="NKT21" s="9"/>
      <c r="NKU21" s="9"/>
      <c r="NKV21" s="9"/>
      <c r="NKW21" s="9"/>
      <c r="NKX21" s="9"/>
      <c r="NKY21" s="9"/>
      <c r="NKZ21" s="9"/>
      <c r="NLA21" s="9"/>
      <c r="NLB21" s="9"/>
      <c r="NLC21" s="9"/>
      <c r="NLD21" s="9"/>
      <c r="NLE21" s="9"/>
      <c r="NLF21" s="9"/>
      <c r="NLG21" s="9"/>
      <c r="NLH21" s="9"/>
      <c r="NLI21" s="9"/>
      <c r="NLJ21" s="9"/>
      <c r="NLK21" s="9"/>
      <c r="NLL21" s="9"/>
      <c r="NLM21" s="9"/>
      <c r="NLN21" s="9"/>
      <c r="NLO21" s="9"/>
      <c r="NLP21" s="9"/>
      <c r="NLQ21" s="9"/>
      <c r="NLR21" s="9"/>
      <c r="NLS21" s="9"/>
      <c r="NLT21" s="9"/>
      <c r="NLU21" s="9"/>
      <c r="NLV21" s="9"/>
      <c r="NLW21" s="9"/>
      <c r="NLX21" s="9"/>
      <c r="NLY21" s="9"/>
      <c r="NLZ21" s="9"/>
      <c r="NMA21" s="9"/>
      <c r="NMB21" s="9"/>
      <c r="NMC21" s="9"/>
      <c r="NMD21" s="9"/>
      <c r="NME21" s="9"/>
      <c r="NMF21" s="9"/>
      <c r="NMG21" s="9"/>
      <c r="NMH21" s="9"/>
      <c r="NMI21" s="9"/>
      <c r="NMJ21" s="9"/>
      <c r="NMK21" s="9"/>
      <c r="NML21" s="9"/>
      <c r="NMM21" s="9"/>
      <c r="NMN21" s="9"/>
      <c r="NMO21" s="9"/>
      <c r="NMP21" s="9"/>
      <c r="NMQ21" s="9"/>
      <c r="NMR21" s="9"/>
      <c r="NMS21" s="9"/>
      <c r="NMT21" s="9"/>
      <c r="NMU21" s="9"/>
      <c r="NMV21" s="9"/>
      <c r="NMW21" s="9"/>
      <c r="NMX21" s="9"/>
      <c r="NMY21" s="9"/>
      <c r="NMZ21" s="9"/>
      <c r="NNA21" s="9"/>
      <c r="NNB21" s="9"/>
      <c r="NNC21" s="9"/>
      <c r="NND21" s="9"/>
      <c r="NNE21" s="9"/>
      <c r="NNF21" s="9"/>
      <c r="NNG21" s="9"/>
      <c r="NNH21" s="9"/>
      <c r="NNI21" s="9"/>
      <c r="NNJ21" s="9"/>
      <c r="NNK21" s="9"/>
      <c r="NNL21" s="9"/>
      <c r="NNM21" s="9"/>
      <c r="NNN21" s="9"/>
      <c r="NNO21" s="9"/>
      <c r="NNP21" s="9"/>
      <c r="NNQ21" s="9"/>
      <c r="NNR21" s="9"/>
      <c r="NNS21" s="9"/>
      <c r="NNT21" s="9"/>
      <c r="NNU21" s="9"/>
      <c r="NNV21" s="9"/>
      <c r="NNW21" s="9"/>
      <c r="NNX21" s="9"/>
      <c r="NNY21" s="9"/>
      <c r="NNZ21" s="9"/>
      <c r="NOA21" s="9"/>
      <c r="NOB21" s="9"/>
      <c r="NOC21" s="9"/>
      <c r="NOD21" s="9"/>
      <c r="NOE21" s="9"/>
      <c r="NOF21" s="9"/>
      <c r="NOG21" s="9"/>
      <c r="NOH21" s="9"/>
      <c r="NOI21" s="9"/>
      <c r="NOJ21" s="9"/>
      <c r="NOK21" s="9"/>
      <c r="NOL21" s="9"/>
      <c r="NOM21" s="9"/>
      <c r="NON21" s="9"/>
      <c r="NOO21" s="9"/>
      <c r="NOP21" s="9"/>
      <c r="NOQ21" s="9"/>
      <c r="NOR21" s="9"/>
      <c r="NOS21" s="9"/>
      <c r="NOT21" s="9"/>
      <c r="NOU21" s="9"/>
      <c r="NOV21" s="9"/>
      <c r="NOW21" s="9"/>
      <c r="NOX21" s="9"/>
      <c r="NOY21" s="9"/>
      <c r="NOZ21" s="9"/>
      <c r="NPA21" s="9"/>
      <c r="NPB21" s="9"/>
      <c r="NPC21" s="9"/>
      <c r="NPD21" s="9"/>
      <c r="NPE21" s="9"/>
      <c r="NPF21" s="9"/>
      <c r="NPG21" s="9"/>
      <c r="NPH21" s="9"/>
      <c r="NPI21" s="9"/>
      <c r="NPJ21" s="9"/>
      <c r="NPK21" s="9"/>
      <c r="NPL21" s="9"/>
      <c r="NPM21" s="9"/>
      <c r="NPN21" s="9"/>
      <c r="NPO21" s="9"/>
      <c r="NPP21" s="9"/>
      <c r="NPQ21" s="9"/>
      <c r="NPR21" s="9"/>
      <c r="NPS21" s="9"/>
      <c r="NPT21" s="9"/>
      <c r="NPU21" s="9"/>
      <c r="NPV21" s="9"/>
      <c r="NPW21" s="9"/>
      <c r="NPX21" s="9"/>
      <c r="NPY21" s="9"/>
      <c r="NPZ21" s="9"/>
      <c r="NQA21" s="9"/>
      <c r="NQB21" s="9"/>
      <c r="NQC21" s="9"/>
      <c r="NQD21" s="9"/>
      <c r="NQE21" s="9"/>
      <c r="NQF21" s="9"/>
      <c r="NQG21" s="9"/>
      <c r="NQH21" s="9"/>
      <c r="NQI21" s="9"/>
      <c r="NQJ21" s="9"/>
      <c r="NQK21" s="9"/>
      <c r="NQL21" s="9"/>
      <c r="NQM21" s="9"/>
      <c r="NQN21" s="9"/>
      <c r="NQO21" s="9"/>
      <c r="NQP21" s="9"/>
      <c r="NQQ21" s="9"/>
      <c r="NQR21" s="9"/>
      <c r="NQS21" s="9"/>
      <c r="NQT21" s="9"/>
      <c r="NQU21" s="9"/>
      <c r="NQV21" s="9"/>
      <c r="NQW21" s="9"/>
      <c r="NQX21" s="9"/>
      <c r="NQY21" s="9"/>
      <c r="NQZ21" s="9"/>
      <c r="NRA21" s="9"/>
      <c r="NRB21" s="9"/>
      <c r="NRC21" s="9"/>
      <c r="NRD21" s="9"/>
      <c r="NRE21" s="9"/>
      <c r="NRF21" s="9"/>
      <c r="NRG21" s="9"/>
      <c r="NRH21" s="9"/>
      <c r="NRI21" s="9"/>
      <c r="NRJ21" s="9"/>
      <c r="NRK21" s="9"/>
      <c r="NRL21" s="9"/>
      <c r="NRM21" s="9"/>
      <c r="NRN21" s="9"/>
      <c r="NRO21" s="9"/>
      <c r="NRP21" s="9"/>
      <c r="NRQ21" s="9"/>
      <c r="NRR21" s="9"/>
      <c r="NRS21" s="9"/>
      <c r="NRT21" s="9"/>
      <c r="NRU21" s="9"/>
      <c r="NRV21" s="9"/>
      <c r="NRW21" s="9"/>
      <c r="NRX21" s="9"/>
      <c r="NRY21" s="9"/>
      <c r="NRZ21" s="9"/>
      <c r="NSA21" s="9"/>
      <c r="NSB21" s="9"/>
      <c r="NSC21" s="9"/>
      <c r="NSD21" s="9"/>
      <c r="NSE21" s="9"/>
      <c r="NSF21" s="9"/>
      <c r="NSG21" s="9"/>
      <c r="NSH21" s="9"/>
      <c r="NSI21" s="9"/>
      <c r="NSJ21" s="9"/>
      <c r="NSK21" s="9"/>
      <c r="NSL21" s="9"/>
      <c r="NSM21" s="9"/>
      <c r="NSN21" s="9"/>
      <c r="NSO21" s="9"/>
      <c r="NSP21" s="9"/>
      <c r="NSQ21" s="9"/>
      <c r="NSR21" s="9"/>
      <c r="NSS21" s="9"/>
      <c r="NST21" s="9"/>
      <c r="NSU21" s="9"/>
      <c r="NSV21" s="9"/>
      <c r="NSW21" s="9"/>
      <c r="NSX21" s="9"/>
      <c r="NSY21" s="9"/>
      <c r="NSZ21" s="9"/>
      <c r="NTA21" s="9"/>
      <c r="NTB21" s="9"/>
      <c r="NTC21" s="9"/>
      <c r="NTD21" s="9"/>
      <c r="NTE21" s="9"/>
      <c r="NTF21" s="9"/>
      <c r="NTG21" s="9"/>
      <c r="NTH21" s="9"/>
      <c r="NTI21" s="9"/>
      <c r="NTJ21" s="9"/>
      <c r="NTK21" s="9"/>
      <c r="NTL21" s="9"/>
      <c r="NTM21" s="9"/>
      <c r="NTN21" s="9"/>
      <c r="NTO21" s="9"/>
      <c r="NTP21" s="9"/>
      <c r="NTQ21" s="9"/>
      <c r="NTR21" s="9"/>
      <c r="NTS21" s="9"/>
      <c r="NTT21" s="9"/>
      <c r="NTU21" s="9"/>
      <c r="NTV21" s="9"/>
      <c r="NTW21" s="9"/>
      <c r="NTX21" s="9"/>
      <c r="NTY21" s="9"/>
      <c r="NTZ21" s="9"/>
      <c r="NUA21" s="9"/>
      <c r="NUB21" s="9"/>
      <c r="NUC21" s="9"/>
      <c r="NUD21" s="9"/>
      <c r="NUE21" s="9"/>
      <c r="NUF21" s="9"/>
      <c r="NUG21" s="9"/>
      <c r="NUH21" s="9"/>
      <c r="NUI21" s="9"/>
      <c r="NUJ21" s="9"/>
      <c r="NUK21" s="9"/>
      <c r="NUL21" s="9"/>
      <c r="NUM21" s="9"/>
      <c r="NUN21" s="9"/>
      <c r="NUO21" s="9"/>
      <c r="NUP21" s="9"/>
      <c r="NUQ21" s="9"/>
      <c r="NUR21" s="9"/>
      <c r="NUS21" s="9"/>
      <c r="NUT21" s="9"/>
      <c r="NUU21" s="9"/>
      <c r="NUV21" s="9"/>
      <c r="NUW21" s="9"/>
      <c r="NUX21" s="9"/>
      <c r="NUY21" s="9"/>
      <c r="NUZ21" s="9"/>
      <c r="NVA21" s="9"/>
      <c r="NVB21" s="9"/>
      <c r="NVC21" s="9"/>
      <c r="NVD21" s="9"/>
      <c r="NVE21" s="9"/>
      <c r="NVF21" s="9"/>
      <c r="NVG21" s="9"/>
      <c r="NVH21" s="9"/>
      <c r="NVI21" s="9"/>
      <c r="NVJ21" s="9"/>
      <c r="NVK21" s="9"/>
      <c r="NVL21" s="9"/>
      <c r="NVM21" s="9"/>
      <c r="NVN21" s="9"/>
      <c r="NVO21" s="9"/>
      <c r="NVP21" s="9"/>
      <c r="NVQ21" s="9"/>
      <c r="NVR21" s="9"/>
      <c r="NVS21" s="9"/>
      <c r="NVT21" s="9"/>
      <c r="NVU21" s="9"/>
      <c r="NVV21" s="9"/>
      <c r="NVW21" s="9"/>
      <c r="NVX21" s="9"/>
      <c r="NVY21" s="9"/>
      <c r="NVZ21" s="9"/>
      <c r="NWA21" s="9"/>
      <c r="NWB21" s="9"/>
      <c r="NWC21" s="9"/>
      <c r="NWD21" s="9"/>
      <c r="NWE21" s="9"/>
      <c r="NWF21" s="9"/>
      <c r="NWG21" s="9"/>
      <c r="NWH21" s="9"/>
      <c r="NWI21" s="9"/>
      <c r="NWJ21" s="9"/>
      <c r="NWK21" s="9"/>
      <c r="NWL21" s="9"/>
      <c r="NWM21" s="9"/>
      <c r="NWN21" s="9"/>
      <c r="NWO21" s="9"/>
      <c r="NWP21" s="9"/>
      <c r="NWQ21" s="9"/>
      <c r="NWR21" s="9"/>
      <c r="NWS21" s="9"/>
      <c r="NWT21" s="9"/>
      <c r="NWU21" s="9"/>
      <c r="NWV21" s="9"/>
      <c r="NWW21" s="9"/>
      <c r="NWX21" s="9"/>
      <c r="NWY21" s="9"/>
      <c r="NWZ21" s="9"/>
      <c r="NXA21" s="9"/>
      <c r="NXB21" s="9"/>
      <c r="NXC21" s="9"/>
      <c r="NXD21" s="9"/>
      <c r="NXE21" s="9"/>
      <c r="NXF21" s="9"/>
      <c r="NXG21" s="9"/>
      <c r="NXH21" s="9"/>
      <c r="NXI21" s="9"/>
      <c r="NXJ21" s="9"/>
      <c r="NXK21" s="9"/>
      <c r="NXL21" s="9"/>
      <c r="NXM21" s="9"/>
      <c r="NXN21" s="9"/>
      <c r="NXO21" s="9"/>
      <c r="NXP21" s="9"/>
      <c r="NXQ21" s="9"/>
      <c r="NXR21" s="9"/>
      <c r="NXS21" s="9"/>
      <c r="NXT21" s="9"/>
      <c r="NXU21" s="9"/>
      <c r="NXV21" s="9"/>
      <c r="NXW21" s="9"/>
      <c r="NXX21" s="9"/>
      <c r="NXY21" s="9"/>
      <c r="NXZ21" s="9"/>
      <c r="NYA21" s="9"/>
      <c r="NYB21" s="9"/>
      <c r="NYC21" s="9"/>
      <c r="NYD21" s="9"/>
      <c r="NYE21" s="9"/>
      <c r="NYF21" s="9"/>
      <c r="NYG21" s="9"/>
      <c r="NYH21" s="9"/>
      <c r="NYI21" s="9"/>
      <c r="NYJ21" s="9"/>
      <c r="NYK21" s="9"/>
      <c r="NYL21" s="9"/>
      <c r="NYM21" s="9"/>
      <c r="NYN21" s="9"/>
      <c r="NYO21" s="9"/>
      <c r="NYP21" s="9"/>
      <c r="NYQ21" s="9"/>
      <c r="NYR21" s="9"/>
      <c r="NYS21" s="9"/>
      <c r="NYT21" s="9"/>
      <c r="NYU21" s="9"/>
      <c r="NYV21" s="9"/>
      <c r="NYW21" s="9"/>
      <c r="NYX21" s="9"/>
      <c r="NYY21" s="9"/>
      <c r="NYZ21" s="9"/>
      <c r="NZA21" s="9"/>
      <c r="NZB21" s="9"/>
      <c r="NZC21" s="9"/>
      <c r="NZD21" s="9"/>
      <c r="NZE21" s="9"/>
      <c r="NZF21" s="9"/>
      <c r="NZG21" s="9"/>
      <c r="NZH21" s="9"/>
      <c r="NZI21" s="9"/>
      <c r="NZJ21" s="9"/>
      <c r="NZK21" s="9"/>
      <c r="NZL21" s="9"/>
      <c r="NZM21" s="9"/>
      <c r="NZN21" s="9"/>
      <c r="NZO21" s="9"/>
      <c r="NZP21" s="9"/>
      <c r="NZQ21" s="9"/>
      <c r="NZR21" s="9"/>
      <c r="NZS21" s="9"/>
      <c r="NZT21" s="9"/>
      <c r="NZU21" s="9"/>
      <c r="NZV21" s="9"/>
      <c r="NZW21" s="9"/>
      <c r="NZX21" s="9"/>
      <c r="NZY21" s="9"/>
      <c r="NZZ21" s="9"/>
      <c r="OAA21" s="9"/>
      <c r="OAB21" s="9"/>
      <c r="OAC21" s="9"/>
      <c r="OAD21" s="9"/>
      <c r="OAE21" s="9"/>
      <c r="OAF21" s="9"/>
      <c r="OAG21" s="9"/>
      <c r="OAH21" s="9"/>
      <c r="OAI21" s="9"/>
      <c r="OAJ21" s="9"/>
      <c r="OAK21" s="9"/>
      <c r="OAL21" s="9"/>
      <c r="OAM21" s="9"/>
      <c r="OAN21" s="9"/>
      <c r="OAO21" s="9"/>
      <c r="OAP21" s="9"/>
      <c r="OAQ21" s="9"/>
      <c r="OAR21" s="9"/>
      <c r="OAS21" s="9"/>
      <c r="OAT21" s="9"/>
      <c r="OAU21" s="9"/>
      <c r="OAV21" s="9"/>
      <c r="OAW21" s="9"/>
      <c r="OAX21" s="9"/>
      <c r="OAY21" s="9"/>
      <c r="OAZ21" s="9"/>
      <c r="OBA21" s="9"/>
      <c r="OBB21" s="9"/>
      <c r="OBC21" s="9"/>
      <c r="OBD21" s="9"/>
      <c r="OBE21" s="9"/>
      <c r="OBF21" s="9"/>
      <c r="OBG21" s="9"/>
      <c r="OBH21" s="9"/>
      <c r="OBI21" s="9"/>
      <c r="OBJ21" s="9"/>
      <c r="OBK21" s="9"/>
      <c r="OBL21" s="9"/>
      <c r="OBM21" s="9"/>
      <c r="OBN21" s="9"/>
      <c r="OBO21" s="9"/>
      <c r="OBP21" s="9"/>
      <c r="OBQ21" s="9"/>
      <c r="OBR21" s="9"/>
      <c r="OBS21" s="9"/>
      <c r="OBT21" s="9"/>
      <c r="OBU21" s="9"/>
      <c r="OBV21" s="9"/>
      <c r="OBW21" s="9"/>
      <c r="OBX21" s="9"/>
      <c r="OBY21" s="9"/>
      <c r="OBZ21" s="9"/>
      <c r="OCA21" s="9"/>
      <c r="OCB21" s="9"/>
      <c r="OCC21" s="9"/>
      <c r="OCD21" s="9"/>
      <c r="OCE21" s="9"/>
      <c r="OCF21" s="9"/>
      <c r="OCG21" s="9"/>
      <c r="OCH21" s="9"/>
      <c r="OCI21" s="9"/>
      <c r="OCJ21" s="9"/>
      <c r="OCK21" s="9"/>
      <c r="OCL21" s="9"/>
      <c r="OCM21" s="9"/>
      <c r="OCN21" s="9"/>
      <c r="OCO21" s="9"/>
      <c r="OCP21" s="9"/>
      <c r="OCQ21" s="9"/>
      <c r="OCR21" s="9"/>
      <c r="OCS21" s="9"/>
      <c r="OCT21" s="9"/>
      <c r="OCU21" s="9"/>
      <c r="OCV21" s="9"/>
      <c r="OCW21" s="9"/>
      <c r="OCX21" s="9"/>
      <c r="OCY21" s="9"/>
      <c r="OCZ21" s="9"/>
      <c r="ODA21" s="9"/>
      <c r="ODB21" s="9"/>
      <c r="ODC21" s="9"/>
      <c r="ODD21" s="9"/>
      <c r="ODE21" s="9"/>
      <c r="ODF21" s="9"/>
      <c r="ODG21" s="9"/>
      <c r="ODH21" s="9"/>
      <c r="ODI21" s="9"/>
      <c r="ODJ21" s="9"/>
      <c r="ODK21" s="9"/>
      <c r="ODL21" s="9"/>
      <c r="ODM21" s="9"/>
      <c r="ODN21" s="9"/>
      <c r="ODO21" s="9"/>
      <c r="ODP21" s="9"/>
      <c r="ODQ21" s="9"/>
      <c r="ODR21" s="9"/>
      <c r="ODS21" s="9"/>
      <c r="ODT21" s="9"/>
      <c r="ODU21" s="9"/>
      <c r="ODV21" s="9"/>
      <c r="ODW21" s="9"/>
      <c r="ODX21" s="9"/>
      <c r="ODY21" s="9"/>
      <c r="ODZ21" s="9"/>
      <c r="OEA21" s="9"/>
      <c r="OEB21" s="9"/>
      <c r="OEC21" s="9"/>
      <c r="OED21" s="9"/>
      <c r="OEE21" s="9"/>
      <c r="OEF21" s="9"/>
      <c r="OEG21" s="9"/>
      <c r="OEH21" s="9"/>
      <c r="OEI21" s="9"/>
      <c r="OEJ21" s="9"/>
      <c r="OEK21" s="9"/>
      <c r="OEL21" s="9"/>
      <c r="OEM21" s="9"/>
      <c r="OEN21" s="9"/>
      <c r="OEO21" s="9"/>
      <c r="OEP21" s="9"/>
      <c r="OEQ21" s="9"/>
      <c r="OER21" s="9"/>
      <c r="OES21" s="9"/>
      <c r="OET21" s="9"/>
      <c r="OEU21" s="9"/>
      <c r="OEV21" s="9"/>
      <c r="OEW21" s="9"/>
      <c r="OEX21" s="9"/>
      <c r="OEY21" s="9"/>
      <c r="OEZ21" s="9"/>
      <c r="OFA21" s="9"/>
      <c r="OFB21" s="9"/>
      <c r="OFC21" s="9"/>
      <c r="OFD21" s="9"/>
      <c r="OFE21" s="9"/>
      <c r="OFF21" s="9"/>
      <c r="OFG21" s="9"/>
      <c r="OFH21" s="9"/>
      <c r="OFI21" s="9"/>
      <c r="OFJ21" s="9"/>
      <c r="OFK21" s="9"/>
      <c r="OFL21" s="9"/>
      <c r="OFM21" s="9"/>
      <c r="OFN21" s="9"/>
      <c r="OFO21" s="9"/>
      <c r="OFP21" s="9"/>
      <c r="OFQ21" s="9"/>
      <c r="OFR21" s="9"/>
      <c r="OFS21" s="9"/>
      <c r="OFT21" s="9"/>
      <c r="OFU21" s="9"/>
      <c r="OFV21" s="9"/>
      <c r="OFW21" s="9"/>
      <c r="OFX21" s="9"/>
      <c r="OFY21" s="9"/>
      <c r="OFZ21" s="9"/>
      <c r="OGA21" s="9"/>
      <c r="OGB21" s="9"/>
      <c r="OGC21" s="9"/>
      <c r="OGD21" s="9"/>
      <c r="OGE21" s="9"/>
      <c r="OGF21" s="9"/>
      <c r="OGG21" s="9"/>
      <c r="OGH21" s="9"/>
      <c r="OGI21" s="9"/>
      <c r="OGJ21" s="9"/>
      <c r="OGK21" s="9"/>
      <c r="OGL21" s="9"/>
      <c r="OGM21" s="9"/>
      <c r="OGN21" s="9"/>
      <c r="OGO21" s="9"/>
      <c r="OGP21" s="9"/>
      <c r="OGQ21" s="9"/>
      <c r="OGR21" s="9"/>
      <c r="OGS21" s="9"/>
      <c r="OGT21" s="9"/>
      <c r="OGU21" s="9"/>
      <c r="OGV21" s="9"/>
      <c r="OGW21" s="9"/>
      <c r="OGX21" s="9"/>
      <c r="OGY21" s="9"/>
      <c r="OGZ21" s="9"/>
      <c r="OHA21" s="9"/>
      <c r="OHB21" s="9"/>
      <c r="OHC21" s="9"/>
      <c r="OHD21" s="9"/>
      <c r="OHE21" s="9"/>
      <c r="OHF21" s="9"/>
      <c r="OHG21" s="9"/>
      <c r="OHH21" s="9"/>
      <c r="OHI21" s="9"/>
      <c r="OHJ21" s="9"/>
      <c r="OHK21" s="9"/>
      <c r="OHL21" s="9"/>
      <c r="OHM21" s="9"/>
      <c r="OHN21" s="9"/>
      <c r="OHO21" s="9"/>
      <c r="OHP21" s="9"/>
      <c r="OHQ21" s="9"/>
      <c r="OHR21" s="9"/>
      <c r="OHS21" s="9"/>
      <c r="OHT21" s="9"/>
      <c r="OHU21" s="9"/>
      <c r="OHV21" s="9"/>
      <c r="OHW21" s="9"/>
      <c r="OHX21" s="9"/>
      <c r="OHY21" s="9"/>
      <c r="OHZ21" s="9"/>
      <c r="OIA21" s="9"/>
      <c r="OIB21" s="9"/>
      <c r="OIC21" s="9"/>
      <c r="OID21" s="9"/>
      <c r="OIE21" s="9"/>
      <c r="OIF21" s="9"/>
      <c r="OIG21" s="9"/>
      <c r="OIH21" s="9"/>
      <c r="OII21" s="9"/>
      <c r="OIJ21" s="9"/>
      <c r="OIK21" s="9"/>
      <c r="OIL21" s="9"/>
      <c r="OIM21" s="9"/>
      <c r="OIN21" s="9"/>
      <c r="OIO21" s="9"/>
      <c r="OIP21" s="9"/>
      <c r="OIQ21" s="9"/>
      <c r="OIR21" s="9"/>
      <c r="OIS21" s="9"/>
      <c r="OIT21" s="9"/>
      <c r="OIU21" s="9"/>
      <c r="OIV21" s="9"/>
      <c r="OIW21" s="9"/>
      <c r="OIX21" s="9"/>
      <c r="OIY21" s="9"/>
      <c r="OIZ21" s="9"/>
      <c r="OJA21" s="9"/>
      <c r="OJB21" s="9"/>
      <c r="OJC21" s="9"/>
      <c r="OJD21" s="9"/>
      <c r="OJE21" s="9"/>
      <c r="OJF21" s="9"/>
      <c r="OJG21" s="9"/>
      <c r="OJH21" s="9"/>
      <c r="OJI21" s="9"/>
      <c r="OJJ21" s="9"/>
      <c r="OJK21" s="9"/>
      <c r="OJL21" s="9"/>
      <c r="OJM21" s="9"/>
      <c r="OJN21" s="9"/>
      <c r="OJO21" s="9"/>
      <c r="OJP21" s="9"/>
      <c r="OJQ21" s="9"/>
      <c r="OJR21" s="9"/>
      <c r="OJS21" s="9"/>
      <c r="OJT21" s="9"/>
      <c r="OJU21" s="9"/>
      <c r="OJV21" s="9"/>
      <c r="OJW21" s="9"/>
      <c r="OJX21" s="9"/>
      <c r="OJY21" s="9"/>
      <c r="OJZ21" s="9"/>
      <c r="OKA21" s="9"/>
      <c r="OKB21" s="9"/>
      <c r="OKC21" s="9"/>
      <c r="OKD21" s="9"/>
      <c r="OKE21" s="9"/>
      <c r="OKF21" s="9"/>
      <c r="OKG21" s="9"/>
      <c r="OKH21" s="9"/>
      <c r="OKI21" s="9"/>
      <c r="OKJ21" s="9"/>
      <c r="OKK21" s="9"/>
      <c r="OKL21" s="9"/>
      <c r="OKM21" s="9"/>
      <c r="OKN21" s="9"/>
      <c r="OKO21" s="9"/>
      <c r="OKP21" s="9"/>
      <c r="OKQ21" s="9"/>
      <c r="OKR21" s="9"/>
      <c r="OKS21" s="9"/>
      <c r="OKT21" s="9"/>
      <c r="OKU21" s="9"/>
      <c r="OKV21" s="9"/>
      <c r="OKW21" s="9"/>
      <c r="OKX21" s="9"/>
      <c r="OKY21" s="9"/>
      <c r="OKZ21" s="9"/>
      <c r="OLA21" s="9"/>
      <c r="OLB21" s="9"/>
      <c r="OLC21" s="9"/>
      <c r="OLD21" s="9"/>
      <c r="OLE21" s="9"/>
      <c r="OLF21" s="9"/>
      <c r="OLG21" s="9"/>
      <c r="OLH21" s="9"/>
      <c r="OLI21" s="9"/>
      <c r="OLJ21" s="9"/>
      <c r="OLK21" s="9"/>
      <c r="OLL21" s="9"/>
      <c r="OLM21" s="9"/>
      <c r="OLN21" s="9"/>
      <c r="OLO21" s="9"/>
      <c r="OLP21" s="9"/>
      <c r="OLQ21" s="9"/>
      <c r="OLR21" s="9"/>
      <c r="OLS21" s="9"/>
      <c r="OLT21" s="9"/>
      <c r="OLU21" s="9"/>
      <c r="OLV21" s="9"/>
      <c r="OLW21" s="9"/>
      <c r="OLX21" s="9"/>
      <c r="OLY21" s="9"/>
      <c r="OLZ21" s="9"/>
      <c r="OMA21" s="9"/>
      <c r="OMB21" s="9"/>
      <c r="OMC21" s="9"/>
      <c r="OMD21" s="9"/>
      <c r="OME21" s="9"/>
      <c r="OMF21" s="9"/>
      <c r="OMG21" s="9"/>
      <c r="OMH21" s="9"/>
      <c r="OMI21" s="9"/>
      <c r="OMJ21" s="9"/>
      <c r="OMK21" s="9"/>
      <c r="OML21" s="9"/>
      <c r="OMM21" s="9"/>
      <c r="OMN21" s="9"/>
      <c r="OMO21" s="9"/>
      <c r="OMP21" s="9"/>
      <c r="OMQ21" s="9"/>
      <c r="OMR21" s="9"/>
      <c r="OMS21" s="9"/>
      <c r="OMT21" s="9"/>
      <c r="OMU21" s="9"/>
      <c r="OMV21" s="9"/>
      <c r="OMW21" s="9"/>
      <c r="OMX21" s="9"/>
      <c r="OMY21" s="9"/>
      <c r="OMZ21" s="9"/>
      <c r="ONA21" s="9"/>
      <c r="ONB21" s="9"/>
      <c r="ONC21" s="9"/>
      <c r="OND21" s="9"/>
      <c r="ONE21" s="9"/>
      <c r="ONF21" s="9"/>
      <c r="ONG21" s="9"/>
      <c r="ONH21" s="9"/>
      <c r="ONI21" s="9"/>
      <c r="ONJ21" s="9"/>
      <c r="ONK21" s="9"/>
      <c r="ONL21" s="9"/>
      <c r="ONM21" s="9"/>
      <c r="ONN21" s="9"/>
      <c r="ONO21" s="9"/>
      <c r="ONP21" s="9"/>
      <c r="ONQ21" s="9"/>
      <c r="ONR21" s="9"/>
      <c r="ONS21" s="9"/>
      <c r="ONT21" s="9"/>
      <c r="ONU21" s="9"/>
      <c r="ONV21" s="9"/>
      <c r="ONW21" s="9"/>
      <c r="ONX21" s="9"/>
      <c r="ONY21" s="9"/>
      <c r="ONZ21" s="9"/>
      <c r="OOA21" s="9"/>
      <c r="OOB21" s="9"/>
      <c r="OOC21" s="9"/>
      <c r="OOD21" s="9"/>
      <c r="OOE21" s="9"/>
      <c r="OOF21" s="9"/>
      <c r="OOG21" s="9"/>
      <c r="OOH21" s="9"/>
      <c r="OOI21" s="9"/>
      <c r="OOJ21" s="9"/>
      <c r="OOK21" s="9"/>
      <c r="OOL21" s="9"/>
      <c r="OOM21" s="9"/>
      <c r="OON21" s="9"/>
      <c r="OOO21" s="9"/>
      <c r="OOP21" s="9"/>
      <c r="OOQ21" s="9"/>
      <c r="OOR21" s="9"/>
      <c r="OOS21" s="9"/>
      <c r="OOT21" s="9"/>
      <c r="OOU21" s="9"/>
      <c r="OOV21" s="9"/>
      <c r="OOW21" s="9"/>
      <c r="OOX21" s="9"/>
      <c r="OOY21" s="9"/>
      <c r="OOZ21" s="9"/>
      <c r="OPA21" s="9"/>
      <c r="OPB21" s="9"/>
      <c r="OPC21" s="9"/>
      <c r="OPD21" s="9"/>
      <c r="OPE21" s="9"/>
      <c r="OPF21" s="9"/>
      <c r="OPG21" s="9"/>
      <c r="OPH21" s="9"/>
      <c r="OPI21" s="9"/>
      <c r="OPJ21" s="9"/>
      <c r="OPK21" s="9"/>
      <c r="OPL21" s="9"/>
      <c r="OPM21" s="9"/>
      <c r="OPN21" s="9"/>
      <c r="OPO21" s="9"/>
      <c r="OPP21" s="9"/>
      <c r="OPQ21" s="9"/>
      <c r="OPR21" s="9"/>
      <c r="OPS21" s="9"/>
      <c r="OPT21" s="9"/>
      <c r="OPU21" s="9"/>
      <c r="OPV21" s="9"/>
      <c r="OPW21" s="9"/>
      <c r="OPX21" s="9"/>
      <c r="OPY21" s="9"/>
      <c r="OPZ21" s="9"/>
      <c r="OQA21" s="9"/>
      <c r="OQB21" s="9"/>
      <c r="OQC21" s="9"/>
      <c r="OQD21" s="9"/>
      <c r="OQE21" s="9"/>
      <c r="OQF21" s="9"/>
      <c r="OQG21" s="9"/>
      <c r="OQH21" s="9"/>
      <c r="OQI21" s="9"/>
      <c r="OQJ21" s="9"/>
      <c r="OQK21" s="9"/>
      <c r="OQL21" s="9"/>
      <c r="OQM21" s="9"/>
      <c r="OQN21" s="9"/>
      <c r="OQO21" s="9"/>
      <c r="OQP21" s="9"/>
      <c r="OQQ21" s="9"/>
      <c r="OQR21" s="9"/>
      <c r="OQS21" s="9"/>
      <c r="OQT21" s="9"/>
      <c r="OQU21" s="9"/>
      <c r="OQV21" s="9"/>
      <c r="OQW21" s="9"/>
      <c r="OQX21" s="9"/>
      <c r="OQY21" s="9"/>
      <c r="OQZ21" s="9"/>
      <c r="ORA21" s="9"/>
      <c r="ORB21" s="9"/>
      <c r="ORC21" s="9"/>
      <c r="ORD21" s="9"/>
      <c r="ORE21" s="9"/>
      <c r="ORF21" s="9"/>
      <c r="ORG21" s="9"/>
      <c r="ORH21" s="9"/>
      <c r="ORI21" s="9"/>
      <c r="ORJ21" s="9"/>
      <c r="ORK21" s="9"/>
      <c r="ORL21" s="9"/>
      <c r="ORM21" s="9"/>
      <c r="ORN21" s="9"/>
      <c r="ORO21" s="9"/>
      <c r="ORP21" s="9"/>
      <c r="ORQ21" s="9"/>
      <c r="ORR21" s="9"/>
      <c r="ORS21" s="9"/>
      <c r="ORT21" s="9"/>
      <c r="ORU21" s="9"/>
      <c r="ORV21" s="9"/>
      <c r="ORW21" s="9"/>
      <c r="ORX21" s="9"/>
      <c r="ORY21" s="9"/>
      <c r="ORZ21" s="9"/>
      <c r="OSA21" s="9"/>
      <c r="OSB21" s="9"/>
      <c r="OSC21" s="9"/>
      <c r="OSD21" s="9"/>
      <c r="OSE21" s="9"/>
      <c r="OSF21" s="9"/>
      <c r="OSG21" s="9"/>
      <c r="OSH21" s="9"/>
      <c r="OSI21" s="9"/>
      <c r="OSJ21" s="9"/>
      <c r="OSK21" s="9"/>
      <c r="OSL21" s="9"/>
      <c r="OSM21" s="9"/>
      <c r="OSN21" s="9"/>
      <c r="OSO21" s="9"/>
      <c r="OSP21" s="9"/>
      <c r="OSQ21" s="9"/>
      <c r="OSR21" s="9"/>
      <c r="OSS21" s="9"/>
      <c r="OST21" s="9"/>
      <c r="OSU21" s="9"/>
      <c r="OSV21" s="9"/>
      <c r="OSW21" s="9"/>
      <c r="OSX21" s="9"/>
      <c r="OSY21" s="9"/>
      <c r="OSZ21" s="9"/>
      <c r="OTA21" s="9"/>
      <c r="OTB21" s="9"/>
      <c r="OTC21" s="9"/>
      <c r="OTD21" s="9"/>
      <c r="OTE21" s="9"/>
      <c r="OTF21" s="9"/>
      <c r="OTG21" s="9"/>
      <c r="OTH21" s="9"/>
      <c r="OTI21" s="9"/>
      <c r="OTJ21" s="9"/>
      <c r="OTK21" s="9"/>
      <c r="OTL21" s="9"/>
      <c r="OTM21" s="9"/>
      <c r="OTN21" s="9"/>
      <c r="OTO21" s="9"/>
      <c r="OTP21" s="9"/>
      <c r="OTQ21" s="9"/>
      <c r="OTR21" s="9"/>
      <c r="OTS21" s="9"/>
      <c r="OTT21" s="9"/>
      <c r="OTU21" s="9"/>
      <c r="OTV21" s="9"/>
      <c r="OTW21" s="9"/>
      <c r="OTX21" s="9"/>
      <c r="OTY21" s="9"/>
      <c r="OTZ21" s="9"/>
      <c r="OUA21" s="9"/>
      <c r="OUB21" s="9"/>
      <c r="OUC21" s="9"/>
      <c r="OUD21" s="9"/>
      <c r="OUE21" s="9"/>
      <c r="OUF21" s="9"/>
      <c r="OUG21" s="9"/>
      <c r="OUH21" s="9"/>
      <c r="OUI21" s="9"/>
      <c r="OUJ21" s="9"/>
      <c r="OUK21" s="9"/>
      <c r="OUL21" s="9"/>
      <c r="OUM21" s="9"/>
      <c r="OUN21" s="9"/>
      <c r="OUO21" s="9"/>
      <c r="OUP21" s="9"/>
      <c r="OUQ21" s="9"/>
      <c r="OUR21" s="9"/>
      <c r="OUS21" s="9"/>
      <c r="OUT21" s="9"/>
      <c r="OUU21" s="9"/>
      <c r="OUV21" s="9"/>
      <c r="OUW21" s="9"/>
      <c r="OUX21" s="9"/>
      <c r="OUY21" s="9"/>
      <c r="OUZ21" s="9"/>
      <c r="OVA21" s="9"/>
      <c r="OVB21" s="9"/>
      <c r="OVC21" s="9"/>
      <c r="OVD21" s="9"/>
      <c r="OVE21" s="9"/>
      <c r="OVF21" s="9"/>
      <c r="OVG21" s="9"/>
      <c r="OVH21" s="9"/>
      <c r="OVI21" s="9"/>
      <c r="OVJ21" s="9"/>
      <c r="OVK21" s="9"/>
      <c r="OVL21" s="9"/>
      <c r="OVM21" s="9"/>
      <c r="OVN21" s="9"/>
      <c r="OVO21" s="9"/>
      <c r="OVP21" s="9"/>
      <c r="OVQ21" s="9"/>
      <c r="OVR21" s="9"/>
      <c r="OVS21" s="9"/>
      <c r="OVT21" s="9"/>
      <c r="OVU21" s="9"/>
      <c r="OVV21" s="9"/>
      <c r="OVW21" s="9"/>
      <c r="OVX21" s="9"/>
      <c r="OVY21" s="9"/>
      <c r="OVZ21" s="9"/>
      <c r="OWA21" s="9"/>
      <c r="OWB21" s="9"/>
      <c r="OWC21" s="9"/>
      <c r="OWD21" s="9"/>
      <c r="OWE21" s="9"/>
      <c r="OWF21" s="9"/>
      <c r="OWG21" s="9"/>
      <c r="OWH21" s="9"/>
      <c r="OWI21" s="9"/>
      <c r="OWJ21" s="9"/>
      <c r="OWK21" s="9"/>
      <c r="OWL21" s="9"/>
      <c r="OWM21" s="9"/>
      <c r="OWN21" s="9"/>
      <c r="OWO21" s="9"/>
      <c r="OWP21" s="9"/>
      <c r="OWQ21" s="9"/>
      <c r="OWR21" s="9"/>
      <c r="OWS21" s="9"/>
      <c r="OWT21" s="9"/>
      <c r="OWU21" s="9"/>
      <c r="OWV21" s="9"/>
      <c r="OWW21" s="9"/>
      <c r="OWX21" s="9"/>
      <c r="OWY21" s="9"/>
      <c r="OWZ21" s="9"/>
      <c r="OXA21" s="9"/>
      <c r="OXB21" s="9"/>
      <c r="OXC21" s="9"/>
      <c r="OXD21" s="9"/>
      <c r="OXE21" s="9"/>
      <c r="OXF21" s="9"/>
      <c r="OXG21" s="9"/>
      <c r="OXH21" s="9"/>
      <c r="OXI21" s="9"/>
      <c r="OXJ21" s="9"/>
      <c r="OXK21" s="9"/>
      <c r="OXL21" s="9"/>
      <c r="OXM21" s="9"/>
      <c r="OXN21" s="9"/>
      <c r="OXO21" s="9"/>
      <c r="OXP21" s="9"/>
      <c r="OXQ21" s="9"/>
      <c r="OXR21" s="9"/>
      <c r="OXS21" s="9"/>
      <c r="OXT21" s="9"/>
      <c r="OXU21" s="9"/>
      <c r="OXV21" s="9"/>
      <c r="OXW21" s="9"/>
      <c r="OXX21" s="9"/>
      <c r="OXY21" s="9"/>
      <c r="OXZ21" s="9"/>
      <c r="OYA21" s="9"/>
      <c r="OYB21" s="9"/>
      <c r="OYC21" s="9"/>
      <c r="OYD21" s="9"/>
      <c r="OYE21" s="9"/>
      <c r="OYF21" s="9"/>
      <c r="OYG21" s="9"/>
      <c r="OYH21" s="9"/>
      <c r="OYI21" s="9"/>
      <c r="OYJ21" s="9"/>
      <c r="OYK21" s="9"/>
      <c r="OYL21" s="9"/>
      <c r="OYM21" s="9"/>
      <c r="OYN21" s="9"/>
      <c r="OYO21" s="9"/>
      <c r="OYP21" s="9"/>
      <c r="OYQ21" s="9"/>
      <c r="OYR21" s="9"/>
      <c r="OYS21" s="9"/>
      <c r="OYT21" s="9"/>
      <c r="OYU21" s="9"/>
      <c r="OYV21" s="9"/>
      <c r="OYW21" s="9"/>
      <c r="OYX21" s="9"/>
      <c r="OYY21" s="9"/>
      <c r="OYZ21" s="9"/>
      <c r="OZA21" s="9"/>
      <c r="OZB21" s="9"/>
      <c r="OZC21" s="9"/>
      <c r="OZD21" s="9"/>
      <c r="OZE21" s="9"/>
      <c r="OZF21" s="9"/>
      <c r="OZG21" s="9"/>
      <c r="OZH21" s="9"/>
      <c r="OZI21" s="9"/>
      <c r="OZJ21" s="9"/>
      <c r="OZK21" s="9"/>
      <c r="OZL21" s="9"/>
      <c r="OZM21" s="9"/>
      <c r="OZN21" s="9"/>
      <c r="OZO21" s="9"/>
      <c r="OZP21" s="9"/>
      <c r="OZQ21" s="9"/>
      <c r="OZR21" s="9"/>
      <c r="OZS21" s="9"/>
      <c r="OZT21" s="9"/>
      <c r="OZU21" s="9"/>
      <c r="OZV21" s="9"/>
      <c r="OZW21" s="9"/>
      <c r="OZX21" s="9"/>
      <c r="OZY21" s="9"/>
      <c r="OZZ21" s="9"/>
      <c r="PAA21" s="9"/>
      <c r="PAB21" s="9"/>
      <c r="PAC21" s="9"/>
      <c r="PAD21" s="9"/>
      <c r="PAE21" s="9"/>
      <c r="PAF21" s="9"/>
      <c r="PAG21" s="9"/>
      <c r="PAH21" s="9"/>
      <c r="PAI21" s="9"/>
      <c r="PAJ21" s="9"/>
      <c r="PAK21" s="9"/>
      <c r="PAL21" s="9"/>
      <c r="PAM21" s="9"/>
      <c r="PAN21" s="9"/>
      <c r="PAO21" s="9"/>
      <c r="PAP21" s="9"/>
      <c r="PAQ21" s="9"/>
      <c r="PAR21" s="9"/>
      <c r="PAS21" s="9"/>
      <c r="PAT21" s="9"/>
      <c r="PAU21" s="9"/>
      <c r="PAV21" s="9"/>
      <c r="PAW21" s="9"/>
      <c r="PAX21" s="9"/>
      <c r="PAY21" s="9"/>
      <c r="PAZ21" s="9"/>
      <c r="PBA21" s="9"/>
      <c r="PBB21" s="9"/>
      <c r="PBC21" s="9"/>
      <c r="PBD21" s="9"/>
      <c r="PBE21" s="9"/>
      <c r="PBF21" s="9"/>
      <c r="PBG21" s="9"/>
      <c r="PBH21" s="9"/>
      <c r="PBI21" s="9"/>
      <c r="PBJ21" s="9"/>
      <c r="PBK21" s="9"/>
      <c r="PBL21" s="9"/>
      <c r="PBM21" s="9"/>
      <c r="PBN21" s="9"/>
      <c r="PBO21" s="9"/>
      <c r="PBP21" s="9"/>
      <c r="PBQ21" s="9"/>
      <c r="PBR21" s="9"/>
      <c r="PBS21" s="9"/>
      <c r="PBT21" s="9"/>
      <c r="PBU21" s="9"/>
      <c r="PBV21" s="9"/>
      <c r="PBW21" s="9"/>
      <c r="PBX21" s="9"/>
      <c r="PBY21" s="9"/>
      <c r="PBZ21" s="9"/>
      <c r="PCA21" s="9"/>
      <c r="PCB21" s="9"/>
      <c r="PCC21" s="9"/>
      <c r="PCD21" s="9"/>
      <c r="PCE21" s="9"/>
      <c r="PCF21" s="9"/>
      <c r="PCG21" s="9"/>
      <c r="PCH21" s="9"/>
      <c r="PCI21" s="9"/>
      <c r="PCJ21" s="9"/>
      <c r="PCK21" s="9"/>
      <c r="PCL21" s="9"/>
      <c r="PCM21" s="9"/>
      <c r="PCN21" s="9"/>
      <c r="PCO21" s="9"/>
      <c r="PCP21" s="9"/>
      <c r="PCQ21" s="9"/>
      <c r="PCR21" s="9"/>
      <c r="PCS21" s="9"/>
      <c r="PCT21" s="9"/>
      <c r="PCU21" s="9"/>
      <c r="PCV21" s="9"/>
      <c r="PCW21" s="9"/>
      <c r="PCX21" s="9"/>
      <c r="PCY21" s="9"/>
      <c r="PCZ21" s="9"/>
      <c r="PDA21" s="9"/>
      <c r="PDB21" s="9"/>
      <c r="PDC21" s="9"/>
      <c r="PDD21" s="9"/>
      <c r="PDE21" s="9"/>
      <c r="PDF21" s="9"/>
      <c r="PDG21" s="9"/>
      <c r="PDH21" s="9"/>
      <c r="PDI21" s="9"/>
      <c r="PDJ21" s="9"/>
      <c r="PDK21" s="9"/>
      <c r="PDL21" s="9"/>
      <c r="PDM21" s="9"/>
      <c r="PDN21" s="9"/>
      <c r="PDO21" s="9"/>
      <c r="PDP21" s="9"/>
      <c r="PDQ21" s="9"/>
      <c r="PDR21" s="9"/>
      <c r="PDS21" s="9"/>
      <c r="PDT21" s="9"/>
      <c r="PDU21" s="9"/>
      <c r="PDV21" s="9"/>
      <c r="PDW21" s="9"/>
      <c r="PDX21" s="9"/>
      <c r="PDY21" s="9"/>
      <c r="PDZ21" s="9"/>
      <c r="PEA21" s="9"/>
      <c r="PEB21" s="9"/>
      <c r="PEC21" s="9"/>
      <c r="PED21" s="9"/>
      <c r="PEE21" s="9"/>
      <c r="PEF21" s="9"/>
      <c r="PEG21" s="9"/>
      <c r="PEH21" s="9"/>
      <c r="PEI21" s="9"/>
      <c r="PEJ21" s="9"/>
      <c r="PEK21" s="9"/>
      <c r="PEL21" s="9"/>
      <c r="PEM21" s="9"/>
      <c r="PEN21" s="9"/>
      <c r="PEO21" s="9"/>
      <c r="PEP21" s="9"/>
      <c r="PEQ21" s="9"/>
      <c r="PER21" s="9"/>
      <c r="PES21" s="9"/>
      <c r="PET21" s="9"/>
      <c r="PEU21" s="9"/>
      <c r="PEV21" s="9"/>
      <c r="PEW21" s="9"/>
      <c r="PEX21" s="9"/>
      <c r="PEY21" s="9"/>
      <c r="PEZ21" s="9"/>
      <c r="PFA21" s="9"/>
      <c r="PFB21" s="9"/>
      <c r="PFC21" s="9"/>
      <c r="PFD21" s="9"/>
      <c r="PFE21" s="9"/>
      <c r="PFF21" s="9"/>
      <c r="PFG21" s="9"/>
      <c r="PFH21" s="9"/>
      <c r="PFI21" s="9"/>
      <c r="PFJ21" s="9"/>
      <c r="PFK21" s="9"/>
      <c r="PFL21" s="9"/>
      <c r="PFM21" s="9"/>
      <c r="PFN21" s="9"/>
      <c r="PFO21" s="9"/>
      <c r="PFP21" s="9"/>
      <c r="PFQ21" s="9"/>
      <c r="PFR21" s="9"/>
      <c r="PFS21" s="9"/>
      <c r="PFT21" s="9"/>
      <c r="PFU21" s="9"/>
      <c r="PFV21" s="9"/>
      <c r="PFW21" s="9"/>
      <c r="PFX21" s="9"/>
      <c r="PFY21" s="9"/>
      <c r="PFZ21" s="9"/>
      <c r="PGA21" s="9"/>
      <c r="PGB21" s="9"/>
      <c r="PGC21" s="9"/>
      <c r="PGD21" s="9"/>
      <c r="PGE21" s="9"/>
      <c r="PGF21" s="9"/>
      <c r="PGG21" s="9"/>
      <c r="PGH21" s="9"/>
      <c r="PGI21" s="9"/>
      <c r="PGJ21" s="9"/>
      <c r="PGK21" s="9"/>
      <c r="PGL21" s="9"/>
      <c r="PGM21" s="9"/>
      <c r="PGN21" s="9"/>
      <c r="PGO21" s="9"/>
      <c r="PGP21" s="9"/>
      <c r="PGQ21" s="9"/>
      <c r="PGR21" s="9"/>
      <c r="PGS21" s="9"/>
      <c r="PGT21" s="9"/>
      <c r="PGU21" s="9"/>
      <c r="PGV21" s="9"/>
      <c r="PGW21" s="9"/>
      <c r="PGX21" s="9"/>
      <c r="PGY21" s="9"/>
      <c r="PGZ21" s="9"/>
      <c r="PHA21" s="9"/>
      <c r="PHB21" s="9"/>
      <c r="PHC21" s="9"/>
      <c r="PHD21" s="9"/>
      <c r="PHE21" s="9"/>
      <c r="PHF21" s="9"/>
      <c r="PHG21" s="9"/>
      <c r="PHH21" s="9"/>
      <c r="PHI21" s="9"/>
      <c r="PHJ21" s="9"/>
      <c r="PHK21" s="9"/>
      <c r="PHL21" s="9"/>
      <c r="PHM21" s="9"/>
      <c r="PHN21" s="9"/>
      <c r="PHO21" s="9"/>
      <c r="PHP21" s="9"/>
      <c r="PHQ21" s="9"/>
      <c r="PHR21" s="9"/>
      <c r="PHS21" s="9"/>
      <c r="PHT21" s="9"/>
      <c r="PHU21" s="9"/>
      <c r="PHV21" s="9"/>
      <c r="PHW21" s="9"/>
      <c r="PHX21" s="9"/>
      <c r="PHY21" s="9"/>
      <c r="PHZ21" s="9"/>
      <c r="PIA21" s="9"/>
      <c r="PIB21" s="9"/>
      <c r="PIC21" s="9"/>
      <c r="PID21" s="9"/>
      <c r="PIE21" s="9"/>
      <c r="PIF21" s="9"/>
      <c r="PIG21" s="9"/>
      <c r="PIH21" s="9"/>
      <c r="PII21" s="9"/>
      <c r="PIJ21" s="9"/>
      <c r="PIK21" s="9"/>
      <c r="PIL21" s="9"/>
      <c r="PIM21" s="9"/>
      <c r="PIN21" s="9"/>
      <c r="PIO21" s="9"/>
      <c r="PIP21" s="9"/>
      <c r="PIQ21" s="9"/>
      <c r="PIR21" s="9"/>
      <c r="PIS21" s="9"/>
      <c r="PIT21" s="9"/>
      <c r="PIU21" s="9"/>
      <c r="PIV21" s="9"/>
      <c r="PIW21" s="9"/>
      <c r="PIX21" s="9"/>
      <c r="PIY21" s="9"/>
      <c r="PIZ21" s="9"/>
      <c r="PJA21" s="9"/>
      <c r="PJB21" s="9"/>
      <c r="PJC21" s="9"/>
      <c r="PJD21" s="9"/>
      <c r="PJE21" s="9"/>
      <c r="PJF21" s="9"/>
      <c r="PJG21" s="9"/>
      <c r="PJH21" s="9"/>
      <c r="PJI21" s="9"/>
      <c r="PJJ21" s="9"/>
      <c r="PJK21" s="9"/>
      <c r="PJL21" s="9"/>
      <c r="PJM21" s="9"/>
      <c r="PJN21" s="9"/>
      <c r="PJO21" s="9"/>
      <c r="PJP21" s="9"/>
      <c r="PJQ21" s="9"/>
      <c r="PJR21" s="9"/>
      <c r="PJS21" s="9"/>
      <c r="PJT21" s="9"/>
      <c r="PJU21" s="9"/>
      <c r="PJV21" s="9"/>
      <c r="PJW21" s="9"/>
      <c r="PJX21" s="9"/>
      <c r="PJY21" s="9"/>
      <c r="PJZ21" s="9"/>
      <c r="PKA21" s="9"/>
      <c r="PKB21" s="9"/>
      <c r="PKC21" s="9"/>
      <c r="PKD21" s="9"/>
      <c r="PKE21" s="9"/>
      <c r="PKF21" s="9"/>
      <c r="PKG21" s="9"/>
      <c r="PKH21" s="9"/>
      <c r="PKI21" s="9"/>
      <c r="PKJ21" s="9"/>
      <c r="PKK21" s="9"/>
      <c r="PKL21" s="9"/>
      <c r="PKM21" s="9"/>
      <c r="PKN21" s="9"/>
      <c r="PKO21" s="9"/>
      <c r="PKP21" s="9"/>
      <c r="PKQ21" s="9"/>
      <c r="PKR21" s="9"/>
      <c r="PKS21" s="9"/>
      <c r="PKT21" s="9"/>
      <c r="PKU21" s="9"/>
      <c r="PKV21" s="9"/>
      <c r="PKW21" s="9"/>
      <c r="PKX21" s="9"/>
      <c r="PKY21" s="9"/>
      <c r="PKZ21" s="9"/>
      <c r="PLA21" s="9"/>
      <c r="PLB21" s="9"/>
      <c r="PLC21" s="9"/>
      <c r="PLD21" s="9"/>
      <c r="PLE21" s="9"/>
      <c r="PLF21" s="9"/>
      <c r="PLG21" s="9"/>
      <c r="PLH21" s="9"/>
      <c r="PLI21" s="9"/>
      <c r="PLJ21" s="9"/>
      <c r="PLK21" s="9"/>
      <c r="PLL21" s="9"/>
      <c r="PLM21" s="9"/>
      <c r="PLN21" s="9"/>
      <c r="PLO21" s="9"/>
      <c r="PLP21" s="9"/>
      <c r="PLQ21" s="9"/>
      <c r="PLR21" s="9"/>
      <c r="PLS21" s="9"/>
      <c r="PLT21" s="9"/>
      <c r="PLU21" s="9"/>
      <c r="PLV21" s="9"/>
      <c r="PLW21" s="9"/>
      <c r="PLX21" s="9"/>
      <c r="PLY21" s="9"/>
      <c r="PLZ21" s="9"/>
      <c r="PMA21" s="9"/>
      <c r="PMB21" s="9"/>
      <c r="PMC21" s="9"/>
      <c r="PMD21" s="9"/>
      <c r="PME21" s="9"/>
      <c r="PMF21" s="9"/>
      <c r="PMG21" s="9"/>
      <c r="PMH21" s="9"/>
      <c r="PMI21" s="9"/>
      <c r="PMJ21" s="9"/>
      <c r="PMK21" s="9"/>
      <c r="PML21" s="9"/>
      <c r="PMM21" s="9"/>
      <c r="PMN21" s="9"/>
      <c r="PMO21" s="9"/>
      <c r="PMP21" s="9"/>
      <c r="PMQ21" s="9"/>
      <c r="PMR21" s="9"/>
      <c r="PMS21" s="9"/>
      <c r="PMT21" s="9"/>
      <c r="PMU21" s="9"/>
      <c r="PMV21" s="9"/>
      <c r="PMW21" s="9"/>
      <c r="PMX21" s="9"/>
      <c r="PMY21" s="9"/>
      <c r="PMZ21" s="9"/>
      <c r="PNA21" s="9"/>
      <c r="PNB21" s="9"/>
      <c r="PNC21" s="9"/>
      <c r="PND21" s="9"/>
      <c r="PNE21" s="9"/>
      <c r="PNF21" s="9"/>
      <c r="PNG21" s="9"/>
      <c r="PNH21" s="9"/>
      <c r="PNI21" s="9"/>
      <c r="PNJ21" s="9"/>
      <c r="PNK21" s="9"/>
      <c r="PNL21" s="9"/>
      <c r="PNM21" s="9"/>
      <c r="PNN21" s="9"/>
      <c r="PNO21" s="9"/>
      <c r="PNP21" s="9"/>
      <c r="PNQ21" s="9"/>
      <c r="PNR21" s="9"/>
      <c r="PNS21" s="9"/>
      <c r="PNT21" s="9"/>
      <c r="PNU21" s="9"/>
      <c r="PNV21" s="9"/>
      <c r="PNW21" s="9"/>
      <c r="PNX21" s="9"/>
      <c r="PNY21" s="9"/>
      <c r="PNZ21" s="9"/>
      <c r="POA21" s="9"/>
      <c r="POB21" s="9"/>
      <c r="POC21" s="9"/>
      <c r="POD21" s="9"/>
      <c r="POE21" s="9"/>
      <c r="POF21" s="9"/>
      <c r="POG21" s="9"/>
      <c r="POH21" s="9"/>
      <c r="POI21" s="9"/>
      <c r="POJ21" s="9"/>
      <c r="POK21" s="9"/>
      <c r="POL21" s="9"/>
      <c r="POM21" s="9"/>
      <c r="PON21" s="9"/>
      <c r="POO21" s="9"/>
      <c r="POP21" s="9"/>
      <c r="POQ21" s="9"/>
      <c r="POR21" s="9"/>
      <c r="POS21" s="9"/>
      <c r="POT21" s="9"/>
      <c r="POU21" s="9"/>
      <c r="POV21" s="9"/>
      <c r="POW21" s="9"/>
      <c r="POX21" s="9"/>
      <c r="POY21" s="9"/>
      <c r="POZ21" s="9"/>
      <c r="PPA21" s="9"/>
      <c r="PPB21" s="9"/>
      <c r="PPC21" s="9"/>
      <c r="PPD21" s="9"/>
      <c r="PPE21" s="9"/>
      <c r="PPF21" s="9"/>
      <c r="PPG21" s="9"/>
      <c r="PPH21" s="9"/>
      <c r="PPI21" s="9"/>
      <c r="PPJ21" s="9"/>
      <c r="PPK21" s="9"/>
      <c r="PPL21" s="9"/>
      <c r="PPM21" s="9"/>
      <c r="PPN21" s="9"/>
      <c r="PPO21" s="9"/>
      <c r="PPP21" s="9"/>
      <c r="PPQ21" s="9"/>
      <c r="PPR21" s="9"/>
      <c r="PPS21" s="9"/>
      <c r="PPT21" s="9"/>
      <c r="PPU21" s="9"/>
      <c r="PPV21" s="9"/>
      <c r="PPW21" s="9"/>
      <c r="PPX21" s="9"/>
      <c r="PPY21" s="9"/>
      <c r="PPZ21" s="9"/>
      <c r="PQA21" s="9"/>
      <c r="PQB21" s="9"/>
      <c r="PQC21" s="9"/>
      <c r="PQD21" s="9"/>
      <c r="PQE21" s="9"/>
      <c r="PQF21" s="9"/>
      <c r="PQG21" s="9"/>
      <c r="PQH21" s="9"/>
      <c r="PQI21" s="9"/>
      <c r="PQJ21" s="9"/>
      <c r="PQK21" s="9"/>
      <c r="PQL21" s="9"/>
      <c r="PQM21" s="9"/>
      <c r="PQN21" s="9"/>
      <c r="PQO21" s="9"/>
      <c r="PQP21" s="9"/>
      <c r="PQQ21" s="9"/>
      <c r="PQR21" s="9"/>
      <c r="PQS21" s="9"/>
      <c r="PQT21" s="9"/>
      <c r="PQU21" s="9"/>
      <c r="PQV21" s="9"/>
      <c r="PQW21" s="9"/>
      <c r="PQX21" s="9"/>
      <c r="PQY21" s="9"/>
      <c r="PQZ21" s="9"/>
      <c r="PRA21" s="9"/>
      <c r="PRB21" s="9"/>
      <c r="PRC21" s="9"/>
      <c r="PRD21" s="9"/>
      <c r="PRE21" s="9"/>
      <c r="PRF21" s="9"/>
      <c r="PRG21" s="9"/>
      <c r="PRH21" s="9"/>
      <c r="PRI21" s="9"/>
      <c r="PRJ21" s="9"/>
      <c r="PRK21" s="9"/>
      <c r="PRL21" s="9"/>
      <c r="PRM21" s="9"/>
      <c r="PRN21" s="9"/>
      <c r="PRO21" s="9"/>
      <c r="PRP21" s="9"/>
      <c r="PRQ21" s="9"/>
      <c r="PRR21" s="9"/>
      <c r="PRS21" s="9"/>
      <c r="PRT21" s="9"/>
      <c r="PRU21" s="9"/>
      <c r="PRV21" s="9"/>
      <c r="PRW21" s="9"/>
      <c r="PRX21" s="9"/>
      <c r="PRY21" s="9"/>
      <c r="PRZ21" s="9"/>
      <c r="PSA21" s="9"/>
      <c r="PSB21" s="9"/>
      <c r="PSC21" s="9"/>
      <c r="PSD21" s="9"/>
      <c r="PSE21" s="9"/>
      <c r="PSF21" s="9"/>
      <c r="PSG21" s="9"/>
      <c r="PSH21" s="9"/>
      <c r="PSI21" s="9"/>
      <c r="PSJ21" s="9"/>
      <c r="PSK21" s="9"/>
      <c r="PSL21" s="9"/>
      <c r="PSM21" s="9"/>
      <c r="PSN21" s="9"/>
      <c r="PSO21" s="9"/>
      <c r="PSP21" s="9"/>
      <c r="PSQ21" s="9"/>
      <c r="PSR21" s="9"/>
      <c r="PSS21" s="9"/>
      <c r="PST21" s="9"/>
      <c r="PSU21" s="9"/>
      <c r="PSV21" s="9"/>
      <c r="PSW21" s="9"/>
      <c r="PSX21" s="9"/>
      <c r="PSY21" s="9"/>
      <c r="PSZ21" s="9"/>
      <c r="PTA21" s="9"/>
      <c r="PTB21" s="9"/>
      <c r="PTC21" s="9"/>
      <c r="PTD21" s="9"/>
      <c r="PTE21" s="9"/>
      <c r="PTF21" s="9"/>
      <c r="PTG21" s="9"/>
      <c r="PTH21" s="9"/>
      <c r="PTI21" s="9"/>
      <c r="PTJ21" s="9"/>
      <c r="PTK21" s="9"/>
      <c r="PTL21" s="9"/>
      <c r="PTM21" s="9"/>
      <c r="PTN21" s="9"/>
      <c r="PTO21" s="9"/>
      <c r="PTP21" s="9"/>
      <c r="PTQ21" s="9"/>
      <c r="PTR21" s="9"/>
      <c r="PTS21" s="9"/>
      <c r="PTT21" s="9"/>
      <c r="PTU21" s="9"/>
      <c r="PTV21" s="9"/>
      <c r="PTW21" s="9"/>
      <c r="PTX21" s="9"/>
      <c r="PTY21" s="9"/>
      <c r="PTZ21" s="9"/>
      <c r="PUA21" s="9"/>
      <c r="PUB21" s="9"/>
      <c r="PUC21" s="9"/>
      <c r="PUD21" s="9"/>
      <c r="PUE21" s="9"/>
      <c r="PUF21" s="9"/>
      <c r="PUG21" s="9"/>
      <c r="PUH21" s="9"/>
      <c r="PUI21" s="9"/>
      <c r="PUJ21" s="9"/>
      <c r="PUK21" s="9"/>
      <c r="PUL21" s="9"/>
      <c r="PUM21" s="9"/>
      <c r="PUN21" s="9"/>
      <c r="PUO21" s="9"/>
      <c r="PUP21" s="9"/>
      <c r="PUQ21" s="9"/>
      <c r="PUR21" s="9"/>
      <c r="PUS21" s="9"/>
      <c r="PUT21" s="9"/>
      <c r="PUU21" s="9"/>
      <c r="PUV21" s="9"/>
      <c r="PUW21" s="9"/>
      <c r="PUX21" s="9"/>
      <c r="PUY21" s="9"/>
      <c r="PUZ21" s="9"/>
      <c r="PVA21" s="9"/>
      <c r="PVB21" s="9"/>
      <c r="PVC21" s="9"/>
      <c r="PVD21" s="9"/>
      <c r="PVE21" s="9"/>
      <c r="PVF21" s="9"/>
      <c r="PVG21" s="9"/>
      <c r="PVH21" s="9"/>
      <c r="PVI21" s="9"/>
      <c r="PVJ21" s="9"/>
      <c r="PVK21" s="9"/>
      <c r="PVL21" s="9"/>
      <c r="PVM21" s="9"/>
      <c r="PVN21" s="9"/>
      <c r="PVO21" s="9"/>
      <c r="PVP21" s="9"/>
      <c r="PVQ21" s="9"/>
      <c r="PVR21" s="9"/>
      <c r="PVS21" s="9"/>
      <c r="PVT21" s="9"/>
      <c r="PVU21" s="9"/>
      <c r="PVV21" s="9"/>
      <c r="PVW21" s="9"/>
      <c r="PVX21" s="9"/>
      <c r="PVY21" s="9"/>
      <c r="PVZ21" s="9"/>
      <c r="PWA21" s="9"/>
      <c r="PWB21" s="9"/>
      <c r="PWC21" s="9"/>
      <c r="PWD21" s="9"/>
      <c r="PWE21" s="9"/>
      <c r="PWF21" s="9"/>
      <c r="PWG21" s="9"/>
      <c r="PWH21" s="9"/>
      <c r="PWI21" s="9"/>
      <c r="PWJ21" s="9"/>
      <c r="PWK21" s="9"/>
      <c r="PWL21" s="9"/>
      <c r="PWM21" s="9"/>
      <c r="PWN21" s="9"/>
      <c r="PWO21" s="9"/>
      <c r="PWP21" s="9"/>
      <c r="PWQ21" s="9"/>
      <c r="PWR21" s="9"/>
      <c r="PWS21" s="9"/>
      <c r="PWT21" s="9"/>
      <c r="PWU21" s="9"/>
      <c r="PWV21" s="9"/>
      <c r="PWW21" s="9"/>
      <c r="PWX21" s="9"/>
      <c r="PWY21" s="9"/>
      <c r="PWZ21" s="9"/>
      <c r="PXA21" s="9"/>
      <c r="PXB21" s="9"/>
      <c r="PXC21" s="9"/>
      <c r="PXD21" s="9"/>
      <c r="PXE21" s="9"/>
      <c r="PXF21" s="9"/>
      <c r="PXG21" s="9"/>
      <c r="PXH21" s="9"/>
      <c r="PXI21" s="9"/>
      <c r="PXJ21" s="9"/>
      <c r="PXK21" s="9"/>
      <c r="PXL21" s="9"/>
      <c r="PXM21" s="9"/>
      <c r="PXN21" s="9"/>
      <c r="PXO21" s="9"/>
      <c r="PXP21" s="9"/>
      <c r="PXQ21" s="9"/>
      <c r="PXR21" s="9"/>
      <c r="PXS21" s="9"/>
      <c r="PXT21" s="9"/>
      <c r="PXU21" s="9"/>
      <c r="PXV21" s="9"/>
      <c r="PXW21" s="9"/>
      <c r="PXX21" s="9"/>
      <c r="PXY21" s="9"/>
      <c r="PXZ21" s="9"/>
      <c r="PYA21" s="9"/>
      <c r="PYB21" s="9"/>
      <c r="PYC21" s="9"/>
      <c r="PYD21" s="9"/>
      <c r="PYE21" s="9"/>
      <c r="PYF21" s="9"/>
      <c r="PYG21" s="9"/>
      <c r="PYH21" s="9"/>
      <c r="PYI21" s="9"/>
      <c r="PYJ21" s="9"/>
      <c r="PYK21" s="9"/>
      <c r="PYL21" s="9"/>
      <c r="PYM21" s="9"/>
      <c r="PYN21" s="9"/>
      <c r="PYO21" s="9"/>
      <c r="PYP21" s="9"/>
      <c r="PYQ21" s="9"/>
      <c r="PYR21" s="9"/>
      <c r="PYS21" s="9"/>
      <c r="PYT21" s="9"/>
      <c r="PYU21" s="9"/>
      <c r="PYV21" s="9"/>
      <c r="PYW21" s="9"/>
      <c r="PYX21" s="9"/>
      <c r="PYY21" s="9"/>
      <c r="PYZ21" s="9"/>
      <c r="PZA21" s="9"/>
      <c r="PZB21" s="9"/>
      <c r="PZC21" s="9"/>
      <c r="PZD21" s="9"/>
      <c r="PZE21" s="9"/>
      <c r="PZF21" s="9"/>
      <c r="PZG21" s="9"/>
      <c r="PZH21" s="9"/>
      <c r="PZI21" s="9"/>
      <c r="PZJ21" s="9"/>
      <c r="PZK21" s="9"/>
      <c r="PZL21" s="9"/>
      <c r="PZM21" s="9"/>
      <c r="PZN21" s="9"/>
      <c r="PZO21" s="9"/>
      <c r="PZP21" s="9"/>
      <c r="PZQ21" s="9"/>
      <c r="PZR21" s="9"/>
      <c r="PZS21" s="9"/>
      <c r="PZT21" s="9"/>
      <c r="PZU21" s="9"/>
      <c r="PZV21" s="9"/>
      <c r="PZW21" s="9"/>
      <c r="PZX21" s="9"/>
      <c r="PZY21" s="9"/>
      <c r="PZZ21" s="9"/>
      <c r="QAA21" s="9"/>
      <c r="QAB21" s="9"/>
      <c r="QAC21" s="9"/>
      <c r="QAD21" s="9"/>
      <c r="QAE21" s="9"/>
      <c r="QAF21" s="9"/>
      <c r="QAG21" s="9"/>
      <c r="QAH21" s="9"/>
      <c r="QAI21" s="9"/>
      <c r="QAJ21" s="9"/>
      <c r="QAK21" s="9"/>
      <c r="QAL21" s="9"/>
      <c r="QAM21" s="9"/>
      <c r="QAN21" s="9"/>
      <c r="QAO21" s="9"/>
      <c r="QAP21" s="9"/>
      <c r="QAQ21" s="9"/>
      <c r="QAR21" s="9"/>
      <c r="QAS21" s="9"/>
      <c r="QAT21" s="9"/>
      <c r="QAU21" s="9"/>
      <c r="QAV21" s="9"/>
      <c r="QAW21" s="9"/>
      <c r="QAX21" s="9"/>
      <c r="QAY21" s="9"/>
      <c r="QAZ21" s="9"/>
      <c r="QBA21" s="9"/>
      <c r="QBB21" s="9"/>
      <c r="QBC21" s="9"/>
      <c r="QBD21" s="9"/>
      <c r="QBE21" s="9"/>
      <c r="QBF21" s="9"/>
      <c r="QBG21" s="9"/>
      <c r="QBH21" s="9"/>
      <c r="QBI21" s="9"/>
      <c r="QBJ21" s="9"/>
      <c r="QBK21" s="9"/>
      <c r="QBL21" s="9"/>
      <c r="QBM21" s="9"/>
      <c r="QBN21" s="9"/>
      <c r="QBO21" s="9"/>
      <c r="QBP21" s="9"/>
      <c r="QBQ21" s="9"/>
      <c r="QBR21" s="9"/>
      <c r="QBS21" s="9"/>
      <c r="QBT21" s="9"/>
      <c r="QBU21" s="9"/>
      <c r="QBV21" s="9"/>
      <c r="QBW21" s="9"/>
      <c r="QBX21" s="9"/>
      <c r="QBY21" s="9"/>
      <c r="QBZ21" s="9"/>
      <c r="QCA21" s="9"/>
      <c r="QCB21" s="9"/>
      <c r="QCC21" s="9"/>
      <c r="QCD21" s="9"/>
      <c r="QCE21" s="9"/>
      <c r="QCF21" s="9"/>
      <c r="QCG21" s="9"/>
      <c r="QCH21" s="9"/>
      <c r="QCI21" s="9"/>
      <c r="QCJ21" s="9"/>
      <c r="QCK21" s="9"/>
      <c r="QCL21" s="9"/>
      <c r="QCM21" s="9"/>
      <c r="QCN21" s="9"/>
      <c r="QCO21" s="9"/>
      <c r="QCP21" s="9"/>
      <c r="QCQ21" s="9"/>
      <c r="QCR21" s="9"/>
      <c r="QCS21" s="9"/>
      <c r="QCT21" s="9"/>
      <c r="QCU21" s="9"/>
      <c r="QCV21" s="9"/>
      <c r="QCW21" s="9"/>
      <c r="QCX21" s="9"/>
      <c r="QCY21" s="9"/>
      <c r="QCZ21" s="9"/>
      <c r="QDA21" s="9"/>
      <c r="QDB21" s="9"/>
      <c r="QDC21" s="9"/>
      <c r="QDD21" s="9"/>
      <c r="QDE21" s="9"/>
      <c r="QDF21" s="9"/>
      <c r="QDG21" s="9"/>
      <c r="QDH21" s="9"/>
      <c r="QDI21" s="9"/>
      <c r="QDJ21" s="9"/>
      <c r="QDK21" s="9"/>
      <c r="QDL21" s="9"/>
      <c r="QDM21" s="9"/>
      <c r="QDN21" s="9"/>
      <c r="QDO21" s="9"/>
      <c r="QDP21" s="9"/>
      <c r="QDQ21" s="9"/>
      <c r="QDR21" s="9"/>
      <c r="QDS21" s="9"/>
      <c r="QDT21" s="9"/>
      <c r="QDU21" s="9"/>
      <c r="QDV21" s="9"/>
      <c r="QDW21" s="9"/>
      <c r="QDX21" s="9"/>
      <c r="QDY21" s="9"/>
      <c r="QDZ21" s="9"/>
      <c r="QEA21" s="9"/>
      <c r="QEB21" s="9"/>
      <c r="QEC21" s="9"/>
      <c r="QED21" s="9"/>
      <c r="QEE21" s="9"/>
      <c r="QEF21" s="9"/>
      <c r="QEG21" s="9"/>
      <c r="QEH21" s="9"/>
      <c r="QEI21" s="9"/>
      <c r="QEJ21" s="9"/>
      <c r="QEK21" s="9"/>
      <c r="QEL21" s="9"/>
      <c r="QEM21" s="9"/>
      <c r="QEN21" s="9"/>
      <c r="QEO21" s="9"/>
      <c r="QEP21" s="9"/>
      <c r="QEQ21" s="9"/>
      <c r="QER21" s="9"/>
      <c r="QES21" s="9"/>
      <c r="QET21" s="9"/>
      <c r="QEU21" s="9"/>
      <c r="QEV21" s="9"/>
      <c r="QEW21" s="9"/>
      <c r="QEX21" s="9"/>
      <c r="QEY21" s="9"/>
      <c r="QEZ21" s="9"/>
      <c r="QFA21" s="9"/>
      <c r="QFB21" s="9"/>
      <c r="QFC21" s="9"/>
      <c r="QFD21" s="9"/>
      <c r="QFE21" s="9"/>
      <c r="QFF21" s="9"/>
      <c r="QFG21" s="9"/>
      <c r="QFH21" s="9"/>
      <c r="QFI21" s="9"/>
      <c r="QFJ21" s="9"/>
      <c r="QFK21" s="9"/>
      <c r="QFL21" s="9"/>
      <c r="QFM21" s="9"/>
      <c r="QFN21" s="9"/>
      <c r="QFO21" s="9"/>
      <c r="QFP21" s="9"/>
      <c r="QFQ21" s="9"/>
      <c r="QFR21" s="9"/>
      <c r="QFS21" s="9"/>
      <c r="QFT21" s="9"/>
      <c r="QFU21" s="9"/>
      <c r="QFV21" s="9"/>
      <c r="QFW21" s="9"/>
      <c r="QFX21" s="9"/>
      <c r="QFY21" s="9"/>
      <c r="QFZ21" s="9"/>
      <c r="QGA21" s="9"/>
      <c r="QGB21" s="9"/>
      <c r="QGC21" s="9"/>
      <c r="QGD21" s="9"/>
      <c r="QGE21" s="9"/>
      <c r="QGF21" s="9"/>
      <c r="QGG21" s="9"/>
      <c r="QGH21" s="9"/>
      <c r="QGI21" s="9"/>
      <c r="QGJ21" s="9"/>
      <c r="QGK21" s="9"/>
      <c r="QGL21" s="9"/>
      <c r="QGM21" s="9"/>
      <c r="QGN21" s="9"/>
      <c r="QGO21" s="9"/>
      <c r="QGP21" s="9"/>
      <c r="QGQ21" s="9"/>
      <c r="QGR21" s="9"/>
      <c r="QGS21" s="9"/>
      <c r="QGT21" s="9"/>
      <c r="QGU21" s="9"/>
      <c r="QGV21" s="9"/>
      <c r="QGW21" s="9"/>
      <c r="QGX21" s="9"/>
      <c r="QGY21" s="9"/>
      <c r="QGZ21" s="9"/>
      <c r="QHA21" s="9"/>
      <c r="QHB21" s="9"/>
      <c r="QHC21" s="9"/>
      <c r="QHD21" s="9"/>
      <c r="QHE21" s="9"/>
      <c r="QHF21" s="9"/>
      <c r="QHG21" s="9"/>
      <c r="QHH21" s="9"/>
      <c r="QHI21" s="9"/>
      <c r="QHJ21" s="9"/>
      <c r="QHK21" s="9"/>
      <c r="QHL21" s="9"/>
      <c r="QHM21" s="9"/>
      <c r="QHN21" s="9"/>
      <c r="QHO21" s="9"/>
      <c r="QHP21" s="9"/>
      <c r="QHQ21" s="9"/>
      <c r="QHR21" s="9"/>
      <c r="QHS21" s="9"/>
      <c r="QHT21" s="9"/>
      <c r="QHU21" s="9"/>
      <c r="QHV21" s="9"/>
      <c r="QHW21" s="9"/>
      <c r="QHX21" s="9"/>
      <c r="QHY21" s="9"/>
      <c r="QHZ21" s="9"/>
      <c r="QIA21" s="9"/>
      <c r="QIB21" s="9"/>
      <c r="QIC21" s="9"/>
      <c r="QID21" s="9"/>
      <c r="QIE21" s="9"/>
      <c r="QIF21" s="9"/>
      <c r="QIG21" s="9"/>
      <c r="QIH21" s="9"/>
      <c r="QII21" s="9"/>
      <c r="QIJ21" s="9"/>
      <c r="QIK21" s="9"/>
      <c r="QIL21" s="9"/>
      <c r="QIM21" s="9"/>
      <c r="QIN21" s="9"/>
      <c r="QIO21" s="9"/>
      <c r="QIP21" s="9"/>
      <c r="QIQ21" s="9"/>
      <c r="QIR21" s="9"/>
      <c r="QIS21" s="9"/>
      <c r="QIT21" s="9"/>
      <c r="QIU21" s="9"/>
      <c r="QIV21" s="9"/>
      <c r="QIW21" s="9"/>
      <c r="QIX21" s="9"/>
      <c r="QIY21" s="9"/>
      <c r="QIZ21" s="9"/>
      <c r="QJA21" s="9"/>
      <c r="QJB21" s="9"/>
      <c r="QJC21" s="9"/>
      <c r="QJD21" s="9"/>
      <c r="QJE21" s="9"/>
      <c r="QJF21" s="9"/>
      <c r="QJG21" s="9"/>
      <c r="QJH21" s="9"/>
      <c r="QJI21" s="9"/>
      <c r="QJJ21" s="9"/>
      <c r="QJK21" s="9"/>
      <c r="QJL21" s="9"/>
      <c r="QJM21" s="9"/>
      <c r="QJN21" s="9"/>
      <c r="QJO21" s="9"/>
      <c r="QJP21" s="9"/>
      <c r="QJQ21" s="9"/>
      <c r="QJR21" s="9"/>
      <c r="QJS21" s="9"/>
      <c r="QJT21" s="9"/>
      <c r="QJU21" s="9"/>
      <c r="QJV21" s="9"/>
      <c r="QJW21" s="9"/>
      <c r="QJX21" s="9"/>
      <c r="QJY21" s="9"/>
      <c r="QJZ21" s="9"/>
      <c r="QKA21" s="9"/>
      <c r="QKB21" s="9"/>
      <c r="QKC21" s="9"/>
      <c r="QKD21" s="9"/>
      <c r="QKE21" s="9"/>
      <c r="QKF21" s="9"/>
      <c r="QKG21" s="9"/>
      <c r="QKH21" s="9"/>
      <c r="QKI21" s="9"/>
      <c r="QKJ21" s="9"/>
      <c r="QKK21" s="9"/>
      <c r="QKL21" s="9"/>
      <c r="QKM21" s="9"/>
      <c r="QKN21" s="9"/>
      <c r="QKO21" s="9"/>
      <c r="QKP21" s="9"/>
      <c r="QKQ21" s="9"/>
      <c r="QKR21" s="9"/>
      <c r="QKS21" s="9"/>
      <c r="QKT21" s="9"/>
      <c r="QKU21" s="9"/>
      <c r="QKV21" s="9"/>
      <c r="QKW21" s="9"/>
      <c r="QKX21" s="9"/>
      <c r="QKY21" s="9"/>
      <c r="QKZ21" s="9"/>
      <c r="QLA21" s="9"/>
      <c r="QLB21" s="9"/>
      <c r="QLC21" s="9"/>
      <c r="QLD21" s="9"/>
      <c r="QLE21" s="9"/>
      <c r="QLF21" s="9"/>
      <c r="QLG21" s="9"/>
      <c r="QLH21" s="9"/>
      <c r="QLI21" s="9"/>
      <c r="QLJ21" s="9"/>
      <c r="QLK21" s="9"/>
      <c r="QLL21" s="9"/>
      <c r="QLM21" s="9"/>
      <c r="QLN21" s="9"/>
      <c r="QLO21" s="9"/>
      <c r="QLP21" s="9"/>
      <c r="QLQ21" s="9"/>
      <c r="QLR21" s="9"/>
      <c r="QLS21" s="9"/>
      <c r="QLT21" s="9"/>
      <c r="QLU21" s="9"/>
      <c r="QLV21" s="9"/>
      <c r="QLW21" s="9"/>
      <c r="QLX21" s="9"/>
      <c r="QLY21" s="9"/>
      <c r="QLZ21" s="9"/>
      <c r="QMA21" s="9"/>
      <c r="QMB21" s="9"/>
      <c r="QMC21" s="9"/>
      <c r="QMD21" s="9"/>
      <c r="QME21" s="9"/>
      <c r="QMF21" s="9"/>
      <c r="QMG21" s="9"/>
      <c r="QMH21" s="9"/>
      <c r="QMI21" s="9"/>
      <c r="QMJ21" s="9"/>
      <c r="QMK21" s="9"/>
      <c r="QML21" s="9"/>
      <c r="QMM21" s="9"/>
      <c r="QMN21" s="9"/>
      <c r="QMO21" s="9"/>
      <c r="QMP21" s="9"/>
      <c r="QMQ21" s="9"/>
      <c r="QMR21" s="9"/>
      <c r="QMS21" s="9"/>
      <c r="QMT21" s="9"/>
      <c r="QMU21" s="9"/>
      <c r="QMV21" s="9"/>
      <c r="QMW21" s="9"/>
      <c r="QMX21" s="9"/>
      <c r="QMY21" s="9"/>
      <c r="QMZ21" s="9"/>
      <c r="QNA21" s="9"/>
      <c r="QNB21" s="9"/>
      <c r="QNC21" s="9"/>
      <c r="QND21" s="9"/>
      <c r="QNE21" s="9"/>
      <c r="QNF21" s="9"/>
      <c r="QNG21" s="9"/>
      <c r="QNH21" s="9"/>
      <c r="QNI21" s="9"/>
      <c r="QNJ21" s="9"/>
      <c r="QNK21" s="9"/>
      <c r="QNL21" s="9"/>
      <c r="QNM21" s="9"/>
      <c r="QNN21" s="9"/>
      <c r="QNO21" s="9"/>
      <c r="QNP21" s="9"/>
      <c r="QNQ21" s="9"/>
      <c r="QNR21" s="9"/>
      <c r="QNS21" s="9"/>
      <c r="QNT21" s="9"/>
      <c r="QNU21" s="9"/>
      <c r="QNV21" s="9"/>
      <c r="QNW21" s="9"/>
      <c r="QNX21" s="9"/>
      <c r="QNY21" s="9"/>
      <c r="QNZ21" s="9"/>
      <c r="QOA21" s="9"/>
      <c r="QOB21" s="9"/>
      <c r="QOC21" s="9"/>
      <c r="QOD21" s="9"/>
      <c r="QOE21" s="9"/>
      <c r="QOF21" s="9"/>
      <c r="QOG21" s="9"/>
      <c r="QOH21" s="9"/>
      <c r="QOI21" s="9"/>
      <c r="QOJ21" s="9"/>
      <c r="QOK21" s="9"/>
      <c r="QOL21" s="9"/>
      <c r="QOM21" s="9"/>
      <c r="QON21" s="9"/>
      <c r="QOO21" s="9"/>
      <c r="QOP21" s="9"/>
      <c r="QOQ21" s="9"/>
      <c r="QOR21" s="9"/>
      <c r="QOS21" s="9"/>
      <c r="QOT21" s="9"/>
      <c r="QOU21" s="9"/>
      <c r="QOV21" s="9"/>
      <c r="QOW21" s="9"/>
      <c r="QOX21" s="9"/>
      <c r="QOY21" s="9"/>
      <c r="QOZ21" s="9"/>
      <c r="QPA21" s="9"/>
      <c r="QPB21" s="9"/>
      <c r="QPC21" s="9"/>
      <c r="QPD21" s="9"/>
      <c r="QPE21" s="9"/>
      <c r="QPF21" s="9"/>
      <c r="QPG21" s="9"/>
      <c r="QPH21" s="9"/>
      <c r="QPI21" s="9"/>
      <c r="QPJ21" s="9"/>
      <c r="QPK21" s="9"/>
      <c r="QPL21" s="9"/>
      <c r="QPM21" s="9"/>
      <c r="QPN21" s="9"/>
      <c r="QPO21" s="9"/>
      <c r="QPP21" s="9"/>
      <c r="QPQ21" s="9"/>
      <c r="QPR21" s="9"/>
      <c r="QPS21" s="9"/>
      <c r="QPT21" s="9"/>
      <c r="QPU21" s="9"/>
      <c r="QPV21" s="9"/>
      <c r="QPW21" s="9"/>
      <c r="QPX21" s="9"/>
      <c r="QPY21" s="9"/>
      <c r="QPZ21" s="9"/>
      <c r="QQA21" s="9"/>
      <c r="QQB21" s="9"/>
      <c r="QQC21" s="9"/>
      <c r="QQD21" s="9"/>
      <c r="QQE21" s="9"/>
      <c r="QQF21" s="9"/>
      <c r="QQG21" s="9"/>
      <c r="QQH21" s="9"/>
      <c r="QQI21" s="9"/>
      <c r="QQJ21" s="9"/>
      <c r="QQK21" s="9"/>
      <c r="QQL21" s="9"/>
      <c r="QQM21" s="9"/>
      <c r="QQN21" s="9"/>
      <c r="QQO21" s="9"/>
      <c r="QQP21" s="9"/>
      <c r="QQQ21" s="9"/>
      <c r="QQR21" s="9"/>
      <c r="QQS21" s="9"/>
      <c r="QQT21" s="9"/>
      <c r="QQU21" s="9"/>
      <c r="QQV21" s="9"/>
      <c r="QQW21" s="9"/>
      <c r="QQX21" s="9"/>
      <c r="QQY21" s="9"/>
      <c r="QQZ21" s="9"/>
      <c r="QRA21" s="9"/>
      <c r="QRB21" s="9"/>
      <c r="QRC21" s="9"/>
      <c r="QRD21" s="9"/>
      <c r="QRE21" s="9"/>
      <c r="QRF21" s="9"/>
      <c r="QRG21" s="9"/>
      <c r="QRH21" s="9"/>
      <c r="QRI21" s="9"/>
      <c r="QRJ21" s="9"/>
      <c r="QRK21" s="9"/>
      <c r="QRL21" s="9"/>
      <c r="QRM21" s="9"/>
      <c r="QRN21" s="9"/>
      <c r="QRO21" s="9"/>
      <c r="QRP21" s="9"/>
      <c r="QRQ21" s="9"/>
      <c r="QRR21" s="9"/>
      <c r="QRS21" s="9"/>
      <c r="QRT21" s="9"/>
      <c r="QRU21" s="9"/>
      <c r="QRV21" s="9"/>
      <c r="QRW21" s="9"/>
      <c r="QRX21" s="9"/>
      <c r="QRY21" s="9"/>
      <c r="QRZ21" s="9"/>
      <c r="QSA21" s="9"/>
      <c r="QSB21" s="9"/>
      <c r="QSC21" s="9"/>
      <c r="QSD21" s="9"/>
      <c r="QSE21" s="9"/>
      <c r="QSF21" s="9"/>
      <c r="QSG21" s="9"/>
      <c r="QSH21" s="9"/>
      <c r="QSI21" s="9"/>
      <c r="QSJ21" s="9"/>
      <c r="QSK21" s="9"/>
      <c r="QSL21" s="9"/>
      <c r="QSM21" s="9"/>
      <c r="QSN21" s="9"/>
      <c r="QSO21" s="9"/>
      <c r="QSP21" s="9"/>
      <c r="QSQ21" s="9"/>
      <c r="QSR21" s="9"/>
      <c r="QSS21" s="9"/>
      <c r="QST21" s="9"/>
      <c r="QSU21" s="9"/>
      <c r="QSV21" s="9"/>
      <c r="QSW21" s="9"/>
      <c r="QSX21" s="9"/>
      <c r="QSY21" s="9"/>
      <c r="QSZ21" s="9"/>
      <c r="QTA21" s="9"/>
      <c r="QTB21" s="9"/>
      <c r="QTC21" s="9"/>
      <c r="QTD21" s="9"/>
      <c r="QTE21" s="9"/>
      <c r="QTF21" s="9"/>
      <c r="QTG21" s="9"/>
      <c r="QTH21" s="9"/>
      <c r="QTI21" s="9"/>
      <c r="QTJ21" s="9"/>
      <c r="QTK21" s="9"/>
      <c r="QTL21" s="9"/>
      <c r="QTM21" s="9"/>
      <c r="QTN21" s="9"/>
      <c r="QTO21" s="9"/>
      <c r="QTP21" s="9"/>
      <c r="QTQ21" s="9"/>
      <c r="QTR21" s="9"/>
      <c r="QTS21" s="9"/>
      <c r="QTT21" s="9"/>
      <c r="QTU21" s="9"/>
      <c r="QTV21" s="9"/>
      <c r="QTW21" s="9"/>
      <c r="QTX21" s="9"/>
      <c r="QTY21" s="9"/>
      <c r="QTZ21" s="9"/>
      <c r="QUA21" s="9"/>
      <c r="QUB21" s="9"/>
      <c r="QUC21" s="9"/>
      <c r="QUD21" s="9"/>
      <c r="QUE21" s="9"/>
      <c r="QUF21" s="9"/>
      <c r="QUG21" s="9"/>
      <c r="QUH21" s="9"/>
      <c r="QUI21" s="9"/>
      <c r="QUJ21" s="9"/>
      <c r="QUK21" s="9"/>
      <c r="QUL21" s="9"/>
      <c r="QUM21" s="9"/>
      <c r="QUN21" s="9"/>
      <c r="QUO21" s="9"/>
      <c r="QUP21" s="9"/>
      <c r="QUQ21" s="9"/>
      <c r="QUR21" s="9"/>
      <c r="QUS21" s="9"/>
      <c r="QUT21" s="9"/>
      <c r="QUU21" s="9"/>
      <c r="QUV21" s="9"/>
      <c r="QUW21" s="9"/>
      <c r="QUX21" s="9"/>
      <c r="QUY21" s="9"/>
      <c r="QUZ21" s="9"/>
      <c r="QVA21" s="9"/>
      <c r="QVB21" s="9"/>
      <c r="QVC21" s="9"/>
      <c r="QVD21" s="9"/>
      <c r="QVE21" s="9"/>
      <c r="QVF21" s="9"/>
      <c r="QVG21" s="9"/>
      <c r="QVH21" s="9"/>
      <c r="QVI21" s="9"/>
      <c r="QVJ21" s="9"/>
      <c r="QVK21" s="9"/>
      <c r="QVL21" s="9"/>
      <c r="QVM21" s="9"/>
      <c r="QVN21" s="9"/>
      <c r="QVO21" s="9"/>
      <c r="QVP21" s="9"/>
      <c r="QVQ21" s="9"/>
      <c r="QVR21" s="9"/>
      <c r="QVS21" s="9"/>
      <c r="QVT21" s="9"/>
      <c r="QVU21" s="9"/>
      <c r="QVV21" s="9"/>
      <c r="QVW21" s="9"/>
      <c r="QVX21" s="9"/>
      <c r="QVY21" s="9"/>
      <c r="QVZ21" s="9"/>
      <c r="QWA21" s="9"/>
      <c r="QWB21" s="9"/>
      <c r="QWC21" s="9"/>
      <c r="QWD21" s="9"/>
      <c r="QWE21" s="9"/>
      <c r="QWF21" s="9"/>
      <c r="QWG21" s="9"/>
      <c r="QWH21" s="9"/>
      <c r="QWI21" s="9"/>
      <c r="QWJ21" s="9"/>
      <c r="QWK21" s="9"/>
      <c r="QWL21" s="9"/>
      <c r="QWM21" s="9"/>
      <c r="QWN21" s="9"/>
      <c r="QWO21" s="9"/>
      <c r="QWP21" s="9"/>
      <c r="QWQ21" s="9"/>
      <c r="QWR21" s="9"/>
      <c r="QWS21" s="9"/>
      <c r="QWT21" s="9"/>
      <c r="QWU21" s="9"/>
      <c r="QWV21" s="9"/>
      <c r="QWW21" s="9"/>
      <c r="QWX21" s="9"/>
      <c r="QWY21" s="9"/>
      <c r="QWZ21" s="9"/>
      <c r="QXA21" s="9"/>
      <c r="QXB21" s="9"/>
      <c r="QXC21" s="9"/>
      <c r="QXD21" s="9"/>
      <c r="QXE21" s="9"/>
      <c r="QXF21" s="9"/>
      <c r="QXG21" s="9"/>
      <c r="QXH21" s="9"/>
      <c r="QXI21" s="9"/>
      <c r="QXJ21" s="9"/>
      <c r="QXK21" s="9"/>
      <c r="QXL21" s="9"/>
      <c r="QXM21" s="9"/>
      <c r="QXN21" s="9"/>
      <c r="QXO21" s="9"/>
      <c r="QXP21" s="9"/>
      <c r="QXQ21" s="9"/>
      <c r="QXR21" s="9"/>
      <c r="QXS21" s="9"/>
      <c r="QXT21" s="9"/>
      <c r="QXU21" s="9"/>
      <c r="QXV21" s="9"/>
      <c r="QXW21" s="9"/>
      <c r="QXX21" s="9"/>
      <c r="QXY21" s="9"/>
      <c r="QXZ21" s="9"/>
      <c r="QYA21" s="9"/>
      <c r="QYB21" s="9"/>
      <c r="QYC21" s="9"/>
      <c r="QYD21" s="9"/>
      <c r="QYE21" s="9"/>
      <c r="QYF21" s="9"/>
      <c r="QYG21" s="9"/>
      <c r="QYH21" s="9"/>
      <c r="QYI21" s="9"/>
      <c r="QYJ21" s="9"/>
      <c r="QYK21" s="9"/>
      <c r="QYL21" s="9"/>
      <c r="QYM21" s="9"/>
      <c r="QYN21" s="9"/>
      <c r="QYO21" s="9"/>
      <c r="QYP21" s="9"/>
      <c r="QYQ21" s="9"/>
      <c r="QYR21" s="9"/>
      <c r="QYS21" s="9"/>
      <c r="QYT21" s="9"/>
      <c r="QYU21" s="9"/>
      <c r="QYV21" s="9"/>
      <c r="QYW21" s="9"/>
      <c r="QYX21" s="9"/>
      <c r="QYY21" s="9"/>
      <c r="QYZ21" s="9"/>
      <c r="QZA21" s="9"/>
      <c r="QZB21" s="9"/>
      <c r="QZC21" s="9"/>
      <c r="QZD21" s="9"/>
      <c r="QZE21" s="9"/>
      <c r="QZF21" s="9"/>
      <c r="QZG21" s="9"/>
      <c r="QZH21" s="9"/>
      <c r="QZI21" s="9"/>
      <c r="QZJ21" s="9"/>
      <c r="QZK21" s="9"/>
      <c r="QZL21" s="9"/>
      <c r="QZM21" s="9"/>
      <c r="QZN21" s="9"/>
      <c r="QZO21" s="9"/>
      <c r="QZP21" s="9"/>
      <c r="QZQ21" s="9"/>
      <c r="QZR21" s="9"/>
      <c r="QZS21" s="9"/>
      <c r="QZT21" s="9"/>
      <c r="QZU21" s="9"/>
      <c r="QZV21" s="9"/>
      <c r="QZW21" s="9"/>
      <c r="QZX21" s="9"/>
      <c r="QZY21" s="9"/>
      <c r="QZZ21" s="9"/>
      <c r="RAA21" s="9"/>
      <c r="RAB21" s="9"/>
      <c r="RAC21" s="9"/>
      <c r="RAD21" s="9"/>
      <c r="RAE21" s="9"/>
      <c r="RAF21" s="9"/>
      <c r="RAG21" s="9"/>
      <c r="RAH21" s="9"/>
      <c r="RAI21" s="9"/>
      <c r="RAJ21" s="9"/>
      <c r="RAK21" s="9"/>
      <c r="RAL21" s="9"/>
      <c r="RAM21" s="9"/>
      <c r="RAN21" s="9"/>
      <c r="RAO21" s="9"/>
      <c r="RAP21" s="9"/>
      <c r="RAQ21" s="9"/>
      <c r="RAR21" s="9"/>
      <c r="RAS21" s="9"/>
      <c r="RAT21" s="9"/>
      <c r="RAU21" s="9"/>
      <c r="RAV21" s="9"/>
      <c r="RAW21" s="9"/>
      <c r="RAX21" s="9"/>
      <c r="RAY21" s="9"/>
      <c r="RAZ21" s="9"/>
      <c r="RBA21" s="9"/>
      <c r="RBB21" s="9"/>
      <c r="RBC21" s="9"/>
      <c r="RBD21" s="9"/>
      <c r="RBE21" s="9"/>
      <c r="RBF21" s="9"/>
      <c r="RBG21" s="9"/>
      <c r="RBH21" s="9"/>
      <c r="RBI21" s="9"/>
      <c r="RBJ21" s="9"/>
      <c r="RBK21" s="9"/>
      <c r="RBL21" s="9"/>
      <c r="RBM21" s="9"/>
      <c r="RBN21" s="9"/>
      <c r="RBO21" s="9"/>
      <c r="RBP21" s="9"/>
      <c r="RBQ21" s="9"/>
      <c r="RBR21" s="9"/>
      <c r="RBS21" s="9"/>
      <c r="RBT21" s="9"/>
      <c r="RBU21" s="9"/>
      <c r="RBV21" s="9"/>
      <c r="RBW21" s="9"/>
      <c r="RBX21" s="9"/>
      <c r="RBY21" s="9"/>
      <c r="RBZ21" s="9"/>
      <c r="RCA21" s="9"/>
      <c r="RCB21" s="9"/>
      <c r="RCC21" s="9"/>
      <c r="RCD21" s="9"/>
      <c r="RCE21" s="9"/>
      <c r="RCF21" s="9"/>
      <c r="RCG21" s="9"/>
      <c r="RCH21" s="9"/>
      <c r="RCI21" s="9"/>
      <c r="RCJ21" s="9"/>
      <c r="RCK21" s="9"/>
      <c r="RCL21" s="9"/>
      <c r="RCM21" s="9"/>
      <c r="RCN21" s="9"/>
      <c r="RCO21" s="9"/>
      <c r="RCP21" s="9"/>
      <c r="RCQ21" s="9"/>
      <c r="RCR21" s="9"/>
      <c r="RCS21" s="9"/>
      <c r="RCT21" s="9"/>
      <c r="RCU21" s="9"/>
      <c r="RCV21" s="9"/>
      <c r="RCW21" s="9"/>
      <c r="RCX21" s="9"/>
      <c r="RCY21" s="9"/>
      <c r="RCZ21" s="9"/>
      <c r="RDA21" s="9"/>
      <c r="RDB21" s="9"/>
      <c r="RDC21" s="9"/>
      <c r="RDD21" s="9"/>
      <c r="RDE21" s="9"/>
      <c r="RDF21" s="9"/>
      <c r="RDG21" s="9"/>
      <c r="RDH21" s="9"/>
      <c r="RDI21" s="9"/>
      <c r="RDJ21" s="9"/>
      <c r="RDK21" s="9"/>
      <c r="RDL21" s="9"/>
      <c r="RDM21" s="9"/>
      <c r="RDN21" s="9"/>
      <c r="RDO21" s="9"/>
      <c r="RDP21" s="9"/>
      <c r="RDQ21" s="9"/>
      <c r="RDR21" s="9"/>
      <c r="RDS21" s="9"/>
      <c r="RDT21" s="9"/>
      <c r="RDU21" s="9"/>
      <c r="RDV21" s="9"/>
      <c r="RDW21" s="9"/>
      <c r="RDX21" s="9"/>
      <c r="RDY21" s="9"/>
      <c r="RDZ21" s="9"/>
      <c r="REA21" s="9"/>
      <c r="REB21" s="9"/>
      <c r="REC21" s="9"/>
      <c r="RED21" s="9"/>
      <c r="REE21" s="9"/>
      <c r="REF21" s="9"/>
      <c r="REG21" s="9"/>
      <c r="REH21" s="9"/>
      <c r="REI21" s="9"/>
      <c r="REJ21" s="9"/>
      <c r="REK21" s="9"/>
      <c r="REL21" s="9"/>
      <c r="REM21" s="9"/>
      <c r="REN21" s="9"/>
      <c r="REO21" s="9"/>
      <c r="REP21" s="9"/>
      <c r="REQ21" s="9"/>
      <c r="RER21" s="9"/>
      <c r="RES21" s="9"/>
      <c r="RET21" s="9"/>
      <c r="REU21" s="9"/>
      <c r="REV21" s="9"/>
      <c r="REW21" s="9"/>
      <c r="REX21" s="9"/>
      <c r="REY21" s="9"/>
      <c r="REZ21" s="9"/>
      <c r="RFA21" s="9"/>
      <c r="RFB21" s="9"/>
      <c r="RFC21" s="9"/>
      <c r="RFD21" s="9"/>
      <c r="RFE21" s="9"/>
      <c r="RFF21" s="9"/>
      <c r="RFG21" s="9"/>
      <c r="RFH21" s="9"/>
      <c r="RFI21" s="9"/>
      <c r="RFJ21" s="9"/>
      <c r="RFK21" s="9"/>
      <c r="RFL21" s="9"/>
      <c r="RFM21" s="9"/>
      <c r="RFN21" s="9"/>
      <c r="RFO21" s="9"/>
      <c r="RFP21" s="9"/>
      <c r="RFQ21" s="9"/>
      <c r="RFR21" s="9"/>
      <c r="RFS21" s="9"/>
      <c r="RFT21" s="9"/>
      <c r="RFU21" s="9"/>
      <c r="RFV21" s="9"/>
      <c r="RFW21" s="9"/>
      <c r="RFX21" s="9"/>
      <c r="RFY21" s="9"/>
      <c r="RFZ21" s="9"/>
      <c r="RGA21" s="9"/>
      <c r="RGB21" s="9"/>
      <c r="RGC21" s="9"/>
      <c r="RGD21" s="9"/>
      <c r="RGE21" s="9"/>
      <c r="RGF21" s="9"/>
      <c r="RGG21" s="9"/>
      <c r="RGH21" s="9"/>
      <c r="RGI21" s="9"/>
      <c r="RGJ21" s="9"/>
      <c r="RGK21" s="9"/>
      <c r="RGL21" s="9"/>
      <c r="RGM21" s="9"/>
      <c r="RGN21" s="9"/>
      <c r="RGO21" s="9"/>
      <c r="RGP21" s="9"/>
      <c r="RGQ21" s="9"/>
      <c r="RGR21" s="9"/>
      <c r="RGS21" s="9"/>
      <c r="RGT21" s="9"/>
      <c r="RGU21" s="9"/>
      <c r="RGV21" s="9"/>
      <c r="RGW21" s="9"/>
      <c r="RGX21" s="9"/>
      <c r="RGY21" s="9"/>
      <c r="RGZ21" s="9"/>
      <c r="RHA21" s="9"/>
      <c r="RHB21" s="9"/>
      <c r="RHC21" s="9"/>
      <c r="RHD21" s="9"/>
      <c r="RHE21" s="9"/>
      <c r="RHF21" s="9"/>
      <c r="RHG21" s="9"/>
      <c r="RHH21" s="9"/>
      <c r="RHI21" s="9"/>
      <c r="RHJ21" s="9"/>
      <c r="RHK21" s="9"/>
      <c r="RHL21" s="9"/>
      <c r="RHM21" s="9"/>
      <c r="RHN21" s="9"/>
      <c r="RHO21" s="9"/>
      <c r="RHP21" s="9"/>
      <c r="RHQ21" s="9"/>
      <c r="RHR21" s="9"/>
      <c r="RHS21" s="9"/>
      <c r="RHT21" s="9"/>
      <c r="RHU21" s="9"/>
      <c r="RHV21" s="9"/>
      <c r="RHW21" s="9"/>
      <c r="RHX21" s="9"/>
      <c r="RHY21" s="9"/>
      <c r="RHZ21" s="9"/>
      <c r="RIA21" s="9"/>
      <c r="RIB21" s="9"/>
      <c r="RIC21" s="9"/>
      <c r="RID21" s="9"/>
      <c r="RIE21" s="9"/>
      <c r="RIF21" s="9"/>
      <c r="RIG21" s="9"/>
      <c r="RIH21" s="9"/>
      <c r="RII21" s="9"/>
      <c r="RIJ21" s="9"/>
      <c r="RIK21" s="9"/>
      <c r="RIL21" s="9"/>
      <c r="RIM21" s="9"/>
      <c r="RIN21" s="9"/>
      <c r="RIO21" s="9"/>
      <c r="RIP21" s="9"/>
      <c r="RIQ21" s="9"/>
      <c r="RIR21" s="9"/>
      <c r="RIS21" s="9"/>
      <c r="RIT21" s="9"/>
      <c r="RIU21" s="9"/>
      <c r="RIV21" s="9"/>
      <c r="RIW21" s="9"/>
      <c r="RIX21" s="9"/>
      <c r="RIY21" s="9"/>
      <c r="RIZ21" s="9"/>
      <c r="RJA21" s="9"/>
      <c r="RJB21" s="9"/>
      <c r="RJC21" s="9"/>
      <c r="RJD21" s="9"/>
      <c r="RJE21" s="9"/>
      <c r="RJF21" s="9"/>
      <c r="RJG21" s="9"/>
      <c r="RJH21" s="9"/>
      <c r="RJI21" s="9"/>
      <c r="RJJ21" s="9"/>
      <c r="RJK21" s="9"/>
      <c r="RJL21" s="9"/>
      <c r="RJM21" s="9"/>
      <c r="RJN21" s="9"/>
      <c r="RJO21" s="9"/>
      <c r="RJP21" s="9"/>
      <c r="RJQ21" s="9"/>
      <c r="RJR21" s="9"/>
      <c r="RJS21" s="9"/>
      <c r="RJT21" s="9"/>
      <c r="RJU21" s="9"/>
      <c r="RJV21" s="9"/>
      <c r="RJW21" s="9"/>
      <c r="RJX21" s="9"/>
      <c r="RJY21" s="9"/>
      <c r="RJZ21" s="9"/>
      <c r="RKA21" s="9"/>
      <c r="RKB21" s="9"/>
      <c r="RKC21" s="9"/>
      <c r="RKD21" s="9"/>
      <c r="RKE21" s="9"/>
      <c r="RKF21" s="9"/>
      <c r="RKG21" s="9"/>
      <c r="RKH21" s="9"/>
      <c r="RKI21" s="9"/>
      <c r="RKJ21" s="9"/>
      <c r="RKK21" s="9"/>
      <c r="RKL21" s="9"/>
      <c r="RKM21" s="9"/>
      <c r="RKN21" s="9"/>
      <c r="RKO21" s="9"/>
      <c r="RKP21" s="9"/>
      <c r="RKQ21" s="9"/>
      <c r="RKR21" s="9"/>
      <c r="RKS21" s="9"/>
      <c r="RKT21" s="9"/>
      <c r="RKU21" s="9"/>
      <c r="RKV21" s="9"/>
      <c r="RKW21" s="9"/>
      <c r="RKX21" s="9"/>
      <c r="RKY21" s="9"/>
      <c r="RKZ21" s="9"/>
      <c r="RLA21" s="9"/>
      <c r="RLB21" s="9"/>
      <c r="RLC21" s="9"/>
      <c r="RLD21" s="9"/>
      <c r="RLE21" s="9"/>
      <c r="RLF21" s="9"/>
      <c r="RLG21" s="9"/>
      <c r="RLH21" s="9"/>
      <c r="RLI21" s="9"/>
      <c r="RLJ21" s="9"/>
      <c r="RLK21" s="9"/>
      <c r="RLL21" s="9"/>
      <c r="RLM21" s="9"/>
      <c r="RLN21" s="9"/>
      <c r="RLO21" s="9"/>
      <c r="RLP21" s="9"/>
      <c r="RLQ21" s="9"/>
      <c r="RLR21" s="9"/>
      <c r="RLS21" s="9"/>
      <c r="RLT21" s="9"/>
      <c r="RLU21" s="9"/>
      <c r="RLV21" s="9"/>
      <c r="RLW21" s="9"/>
      <c r="RLX21" s="9"/>
      <c r="RLY21" s="9"/>
      <c r="RLZ21" s="9"/>
      <c r="RMA21" s="9"/>
      <c r="RMB21" s="9"/>
      <c r="RMC21" s="9"/>
      <c r="RMD21" s="9"/>
      <c r="RME21" s="9"/>
      <c r="RMF21" s="9"/>
      <c r="RMG21" s="9"/>
      <c r="RMH21" s="9"/>
      <c r="RMI21" s="9"/>
      <c r="RMJ21" s="9"/>
      <c r="RMK21" s="9"/>
      <c r="RML21" s="9"/>
      <c r="RMM21" s="9"/>
      <c r="RMN21" s="9"/>
      <c r="RMO21" s="9"/>
      <c r="RMP21" s="9"/>
      <c r="RMQ21" s="9"/>
      <c r="RMR21" s="9"/>
      <c r="RMS21" s="9"/>
      <c r="RMT21" s="9"/>
      <c r="RMU21" s="9"/>
      <c r="RMV21" s="9"/>
      <c r="RMW21" s="9"/>
      <c r="RMX21" s="9"/>
      <c r="RMY21" s="9"/>
      <c r="RMZ21" s="9"/>
      <c r="RNA21" s="9"/>
      <c r="RNB21" s="9"/>
      <c r="RNC21" s="9"/>
      <c r="RND21" s="9"/>
      <c r="RNE21" s="9"/>
      <c r="RNF21" s="9"/>
      <c r="RNG21" s="9"/>
      <c r="RNH21" s="9"/>
      <c r="RNI21" s="9"/>
      <c r="RNJ21" s="9"/>
      <c r="RNK21" s="9"/>
      <c r="RNL21" s="9"/>
      <c r="RNM21" s="9"/>
      <c r="RNN21" s="9"/>
      <c r="RNO21" s="9"/>
      <c r="RNP21" s="9"/>
      <c r="RNQ21" s="9"/>
      <c r="RNR21" s="9"/>
      <c r="RNS21" s="9"/>
      <c r="RNT21" s="9"/>
      <c r="RNU21" s="9"/>
      <c r="RNV21" s="9"/>
      <c r="RNW21" s="9"/>
      <c r="RNX21" s="9"/>
      <c r="RNY21" s="9"/>
      <c r="RNZ21" s="9"/>
      <c r="ROA21" s="9"/>
      <c r="ROB21" s="9"/>
      <c r="ROC21" s="9"/>
      <c r="ROD21" s="9"/>
      <c r="ROE21" s="9"/>
      <c r="ROF21" s="9"/>
      <c r="ROG21" s="9"/>
      <c r="ROH21" s="9"/>
      <c r="ROI21" s="9"/>
      <c r="ROJ21" s="9"/>
      <c r="ROK21" s="9"/>
      <c r="ROL21" s="9"/>
      <c r="ROM21" s="9"/>
      <c r="RON21" s="9"/>
      <c r="ROO21" s="9"/>
      <c r="ROP21" s="9"/>
      <c r="ROQ21" s="9"/>
      <c r="ROR21" s="9"/>
      <c r="ROS21" s="9"/>
      <c r="ROT21" s="9"/>
      <c r="ROU21" s="9"/>
      <c r="ROV21" s="9"/>
      <c r="ROW21" s="9"/>
      <c r="ROX21" s="9"/>
      <c r="ROY21" s="9"/>
      <c r="ROZ21" s="9"/>
      <c r="RPA21" s="9"/>
      <c r="RPB21" s="9"/>
      <c r="RPC21" s="9"/>
      <c r="RPD21" s="9"/>
      <c r="RPE21" s="9"/>
      <c r="RPF21" s="9"/>
      <c r="RPG21" s="9"/>
      <c r="RPH21" s="9"/>
      <c r="RPI21" s="9"/>
      <c r="RPJ21" s="9"/>
      <c r="RPK21" s="9"/>
      <c r="RPL21" s="9"/>
      <c r="RPM21" s="9"/>
      <c r="RPN21" s="9"/>
      <c r="RPO21" s="9"/>
      <c r="RPP21" s="9"/>
      <c r="RPQ21" s="9"/>
      <c r="RPR21" s="9"/>
      <c r="RPS21" s="9"/>
      <c r="RPT21" s="9"/>
      <c r="RPU21" s="9"/>
      <c r="RPV21" s="9"/>
      <c r="RPW21" s="9"/>
      <c r="RPX21" s="9"/>
      <c r="RPY21" s="9"/>
      <c r="RPZ21" s="9"/>
      <c r="RQA21" s="9"/>
      <c r="RQB21" s="9"/>
      <c r="RQC21" s="9"/>
      <c r="RQD21" s="9"/>
      <c r="RQE21" s="9"/>
      <c r="RQF21" s="9"/>
      <c r="RQG21" s="9"/>
      <c r="RQH21" s="9"/>
      <c r="RQI21" s="9"/>
      <c r="RQJ21" s="9"/>
      <c r="RQK21" s="9"/>
      <c r="RQL21" s="9"/>
      <c r="RQM21" s="9"/>
      <c r="RQN21" s="9"/>
      <c r="RQO21" s="9"/>
      <c r="RQP21" s="9"/>
      <c r="RQQ21" s="9"/>
      <c r="RQR21" s="9"/>
      <c r="RQS21" s="9"/>
      <c r="RQT21" s="9"/>
      <c r="RQU21" s="9"/>
      <c r="RQV21" s="9"/>
      <c r="RQW21" s="9"/>
      <c r="RQX21" s="9"/>
      <c r="RQY21" s="9"/>
      <c r="RQZ21" s="9"/>
      <c r="RRA21" s="9"/>
      <c r="RRB21" s="9"/>
      <c r="RRC21" s="9"/>
      <c r="RRD21" s="9"/>
      <c r="RRE21" s="9"/>
      <c r="RRF21" s="9"/>
      <c r="RRG21" s="9"/>
      <c r="RRH21" s="9"/>
      <c r="RRI21" s="9"/>
      <c r="RRJ21" s="9"/>
      <c r="RRK21" s="9"/>
      <c r="RRL21" s="9"/>
      <c r="RRM21" s="9"/>
      <c r="RRN21" s="9"/>
      <c r="RRO21" s="9"/>
      <c r="RRP21" s="9"/>
      <c r="RRQ21" s="9"/>
      <c r="RRR21" s="9"/>
      <c r="RRS21" s="9"/>
      <c r="RRT21" s="9"/>
      <c r="RRU21" s="9"/>
      <c r="RRV21" s="9"/>
      <c r="RRW21" s="9"/>
      <c r="RRX21" s="9"/>
      <c r="RRY21" s="9"/>
      <c r="RRZ21" s="9"/>
      <c r="RSA21" s="9"/>
      <c r="RSB21" s="9"/>
      <c r="RSC21" s="9"/>
      <c r="RSD21" s="9"/>
      <c r="RSE21" s="9"/>
      <c r="RSF21" s="9"/>
      <c r="RSG21" s="9"/>
      <c r="RSH21" s="9"/>
      <c r="RSI21" s="9"/>
      <c r="RSJ21" s="9"/>
      <c r="RSK21" s="9"/>
      <c r="RSL21" s="9"/>
      <c r="RSM21" s="9"/>
      <c r="RSN21" s="9"/>
      <c r="RSO21" s="9"/>
      <c r="RSP21" s="9"/>
      <c r="RSQ21" s="9"/>
      <c r="RSR21" s="9"/>
      <c r="RSS21" s="9"/>
      <c r="RST21" s="9"/>
      <c r="RSU21" s="9"/>
      <c r="RSV21" s="9"/>
      <c r="RSW21" s="9"/>
      <c r="RSX21" s="9"/>
      <c r="RSY21" s="9"/>
      <c r="RSZ21" s="9"/>
      <c r="RTA21" s="9"/>
      <c r="RTB21" s="9"/>
      <c r="RTC21" s="9"/>
      <c r="RTD21" s="9"/>
      <c r="RTE21" s="9"/>
      <c r="RTF21" s="9"/>
      <c r="RTG21" s="9"/>
      <c r="RTH21" s="9"/>
      <c r="RTI21" s="9"/>
      <c r="RTJ21" s="9"/>
      <c r="RTK21" s="9"/>
      <c r="RTL21" s="9"/>
      <c r="RTM21" s="9"/>
      <c r="RTN21" s="9"/>
      <c r="RTO21" s="9"/>
      <c r="RTP21" s="9"/>
      <c r="RTQ21" s="9"/>
      <c r="RTR21" s="9"/>
      <c r="RTS21" s="9"/>
      <c r="RTT21" s="9"/>
      <c r="RTU21" s="9"/>
      <c r="RTV21" s="9"/>
      <c r="RTW21" s="9"/>
      <c r="RTX21" s="9"/>
      <c r="RTY21" s="9"/>
      <c r="RTZ21" s="9"/>
      <c r="RUA21" s="9"/>
      <c r="RUB21" s="9"/>
      <c r="RUC21" s="9"/>
      <c r="RUD21" s="9"/>
      <c r="RUE21" s="9"/>
      <c r="RUF21" s="9"/>
      <c r="RUG21" s="9"/>
      <c r="RUH21" s="9"/>
      <c r="RUI21" s="9"/>
      <c r="RUJ21" s="9"/>
      <c r="RUK21" s="9"/>
      <c r="RUL21" s="9"/>
      <c r="RUM21" s="9"/>
      <c r="RUN21" s="9"/>
      <c r="RUO21" s="9"/>
      <c r="RUP21" s="9"/>
      <c r="RUQ21" s="9"/>
      <c r="RUR21" s="9"/>
      <c r="RUS21" s="9"/>
      <c r="RUT21" s="9"/>
      <c r="RUU21" s="9"/>
      <c r="RUV21" s="9"/>
      <c r="RUW21" s="9"/>
      <c r="RUX21" s="9"/>
      <c r="RUY21" s="9"/>
      <c r="RUZ21" s="9"/>
      <c r="RVA21" s="9"/>
      <c r="RVB21" s="9"/>
      <c r="RVC21" s="9"/>
      <c r="RVD21" s="9"/>
      <c r="RVE21" s="9"/>
      <c r="RVF21" s="9"/>
      <c r="RVG21" s="9"/>
      <c r="RVH21" s="9"/>
      <c r="RVI21" s="9"/>
      <c r="RVJ21" s="9"/>
      <c r="RVK21" s="9"/>
      <c r="RVL21" s="9"/>
      <c r="RVM21" s="9"/>
      <c r="RVN21" s="9"/>
      <c r="RVO21" s="9"/>
      <c r="RVP21" s="9"/>
      <c r="RVQ21" s="9"/>
      <c r="RVR21" s="9"/>
      <c r="RVS21" s="9"/>
      <c r="RVT21" s="9"/>
      <c r="RVU21" s="9"/>
      <c r="RVV21" s="9"/>
      <c r="RVW21" s="9"/>
      <c r="RVX21" s="9"/>
      <c r="RVY21" s="9"/>
      <c r="RVZ21" s="9"/>
      <c r="RWA21" s="9"/>
      <c r="RWB21" s="9"/>
      <c r="RWC21" s="9"/>
      <c r="RWD21" s="9"/>
      <c r="RWE21" s="9"/>
      <c r="RWF21" s="9"/>
      <c r="RWG21" s="9"/>
      <c r="RWH21" s="9"/>
      <c r="RWI21" s="9"/>
      <c r="RWJ21" s="9"/>
      <c r="RWK21" s="9"/>
      <c r="RWL21" s="9"/>
      <c r="RWM21" s="9"/>
      <c r="RWN21" s="9"/>
      <c r="RWO21" s="9"/>
      <c r="RWP21" s="9"/>
      <c r="RWQ21" s="9"/>
      <c r="RWR21" s="9"/>
      <c r="RWS21" s="9"/>
      <c r="RWT21" s="9"/>
      <c r="RWU21" s="9"/>
      <c r="RWV21" s="9"/>
      <c r="RWW21" s="9"/>
      <c r="RWX21" s="9"/>
      <c r="RWY21" s="9"/>
      <c r="RWZ21" s="9"/>
      <c r="RXA21" s="9"/>
      <c r="RXB21" s="9"/>
      <c r="RXC21" s="9"/>
      <c r="RXD21" s="9"/>
      <c r="RXE21" s="9"/>
      <c r="RXF21" s="9"/>
      <c r="RXG21" s="9"/>
      <c r="RXH21" s="9"/>
      <c r="RXI21" s="9"/>
      <c r="RXJ21" s="9"/>
      <c r="RXK21" s="9"/>
      <c r="RXL21" s="9"/>
      <c r="RXM21" s="9"/>
      <c r="RXN21" s="9"/>
      <c r="RXO21" s="9"/>
      <c r="RXP21" s="9"/>
      <c r="RXQ21" s="9"/>
      <c r="RXR21" s="9"/>
      <c r="RXS21" s="9"/>
      <c r="RXT21" s="9"/>
      <c r="RXU21" s="9"/>
      <c r="RXV21" s="9"/>
      <c r="RXW21" s="9"/>
      <c r="RXX21" s="9"/>
      <c r="RXY21" s="9"/>
      <c r="RXZ21" s="9"/>
      <c r="RYA21" s="9"/>
      <c r="RYB21" s="9"/>
      <c r="RYC21" s="9"/>
      <c r="RYD21" s="9"/>
      <c r="RYE21" s="9"/>
      <c r="RYF21" s="9"/>
      <c r="RYG21" s="9"/>
      <c r="RYH21" s="9"/>
      <c r="RYI21" s="9"/>
      <c r="RYJ21" s="9"/>
      <c r="RYK21" s="9"/>
      <c r="RYL21" s="9"/>
      <c r="RYM21" s="9"/>
      <c r="RYN21" s="9"/>
      <c r="RYO21" s="9"/>
      <c r="RYP21" s="9"/>
      <c r="RYQ21" s="9"/>
      <c r="RYR21" s="9"/>
      <c r="RYS21" s="9"/>
      <c r="RYT21" s="9"/>
      <c r="RYU21" s="9"/>
      <c r="RYV21" s="9"/>
      <c r="RYW21" s="9"/>
      <c r="RYX21" s="9"/>
      <c r="RYY21" s="9"/>
      <c r="RYZ21" s="9"/>
      <c r="RZA21" s="9"/>
      <c r="RZB21" s="9"/>
      <c r="RZC21" s="9"/>
      <c r="RZD21" s="9"/>
      <c r="RZE21" s="9"/>
      <c r="RZF21" s="9"/>
      <c r="RZG21" s="9"/>
      <c r="RZH21" s="9"/>
      <c r="RZI21" s="9"/>
      <c r="RZJ21" s="9"/>
      <c r="RZK21" s="9"/>
      <c r="RZL21" s="9"/>
      <c r="RZM21" s="9"/>
      <c r="RZN21" s="9"/>
      <c r="RZO21" s="9"/>
      <c r="RZP21" s="9"/>
      <c r="RZQ21" s="9"/>
      <c r="RZR21" s="9"/>
      <c r="RZS21" s="9"/>
      <c r="RZT21" s="9"/>
      <c r="RZU21" s="9"/>
      <c r="RZV21" s="9"/>
      <c r="RZW21" s="9"/>
      <c r="RZX21" s="9"/>
      <c r="RZY21" s="9"/>
      <c r="RZZ21" s="9"/>
      <c r="SAA21" s="9"/>
      <c r="SAB21" s="9"/>
      <c r="SAC21" s="9"/>
      <c r="SAD21" s="9"/>
      <c r="SAE21" s="9"/>
      <c r="SAF21" s="9"/>
      <c r="SAG21" s="9"/>
      <c r="SAH21" s="9"/>
      <c r="SAI21" s="9"/>
      <c r="SAJ21" s="9"/>
      <c r="SAK21" s="9"/>
      <c r="SAL21" s="9"/>
      <c r="SAM21" s="9"/>
      <c r="SAN21" s="9"/>
      <c r="SAO21" s="9"/>
      <c r="SAP21" s="9"/>
      <c r="SAQ21" s="9"/>
      <c r="SAR21" s="9"/>
      <c r="SAS21" s="9"/>
      <c r="SAT21" s="9"/>
      <c r="SAU21" s="9"/>
      <c r="SAV21" s="9"/>
      <c r="SAW21" s="9"/>
      <c r="SAX21" s="9"/>
      <c r="SAY21" s="9"/>
      <c r="SAZ21" s="9"/>
      <c r="SBA21" s="9"/>
      <c r="SBB21" s="9"/>
      <c r="SBC21" s="9"/>
      <c r="SBD21" s="9"/>
      <c r="SBE21" s="9"/>
      <c r="SBF21" s="9"/>
      <c r="SBG21" s="9"/>
      <c r="SBH21" s="9"/>
      <c r="SBI21" s="9"/>
      <c r="SBJ21" s="9"/>
      <c r="SBK21" s="9"/>
      <c r="SBL21" s="9"/>
      <c r="SBM21" s="9"/>
      <c r="SBN21" s="9"/>
      <c r="SBO21" s="9"/>
      <c r="SBP21" s="9"/>
      <c r="SBQ21" s="9"/>
      <c r="SBR21" s="9"/>
      <c r="SBS21" s="9"/>
      <c r="SBT21" s="9"/>
      <c r="SBU21" s="9"/>
      <c r="SBV21" s="9"/>
      <c r="SBW21" s="9"/>
      <c r="SBX21" s="9"/>
      <c r="SBY21" s="9"/>
      <c r="SBZ21" s="9"/>
      <c r="SCA21" s="9"/>
      <c r="SCB21" s="9"/>
      <c r="SCC21" s="9"/>
      <c r="SCD21" s="9"/>
      <c r="SCE21" s="9"/>
      <c r="SCF21" s="9"/>
      <c r="SCG21" s="9"/>
      <c r="SCH21" s="9"/>
      <c r="SCI21" s="9"/>
      <c r="SCJ21" s="9"/>
      <c r="SCK21" s="9"/>
      <c r="SCL21" s="9"/>
      <c r="SCM21" s="9"/>
      <c r="SCN21" s="9"/>
      <c r="SCO21" s="9"/>
      <c r="SCP21" s="9"/>
      <c r="SCQ21" s="9"/>
      <c r="SCR21" s="9"/>
      <c r="SCS21" s="9"/>
      <c r="SCT21" s="9"/>
      <c r="SCU21" s="9"/>
      <c r="SCV21" s="9"/>
      <c r="SCW21" s="9"/>
      <c r="SCX21" s="9"/>
      <c r="SCY21" s="9"/>
      <c r="SCZ21" s="9"/>
      <c r="SDA21" s="9"/>
      <c r="SDB21" s="9"/>
      <c r="SDC21" s="9"/>
      <c r="SDD21" s="9"/>
      <c r="SDE21" s="9"/>
      <c r="SDF21" s="9"/>
      <c r="SDG21" s="9"/>
      <c r="SDH21" s="9"/>
      <c r="SDI21" s="9"/>
      <c r="SDJ21" s="9"/>
      <c r="SDK21" s="9"/>
      <c r="SDL21" s="9"/>
      <c r="SDM21" s="9"/>
      <c r="SDN21" s="9"/>
      <c r="SDO21" s="9"/>
      <c r="SDP21" s="9"/>
      <c r="SDQ21" s="9"/>
      <c r="SDR21" s="9"/>
      <c r="SDS21" s="9"/>
      <c r="SDT21" s="9"/>
      <c r="SDU21" s="9"/>
      <c r="SDV21" s="9"/>
      <c r="SDW21" s="9"/>
      <c r="SDX21" s="9"/>
      <c r="SDY21" s="9"/>
      <c r="SDZ21" s="9"/>
      <c r="SEA21" s="9"/>
      <c r="SEB21" s="9"/>
      <c r="SEC21" s="9"/>
      <c r="SED21" s="9"/>
      <c r="SEE21" s="9"/>
      <c r="SEF21" s="9"/>
      <c r="SEG21" s="9"/>
      <c r="SEH21" s="9"/>
      <c r="SEI21" s="9"/>
      <c r="SEJ21" s="9"/>
      <c r="SEK21" s="9"/>
      <c r="SEL21" s="9"/>
      <c r="SEM21" s="9"/>
      <c r="SEN21" s="9"/>
      <c r="SEO21" s="9"/>
      <c r="SEP21" s="9"/>
      <c r="SEQ21" s="9"/>
      <c r="SER21" s="9"/>
      <c r="SES21" s="9"/>
      <c r="SET21" s="9"/>
      <c r="SEU21" s="9"/>
      <c r="SEV21" s="9"/>
      <c r="SEW21" s="9"/>
      <c r="SEX21" s="9"/>
      <c r="SEY21" s="9"/>
      <c r="SEZ21" s="9"/>
      <c r="SFA21" s="9"/>
      <c r="SFB21" s="9"/>
      <c r="SFC21" s="9"/>
      <c r="SFD21" s="9"/>
      <c r="SFE21" s="9"/>
      <c r="SFF21" s="9"/>
      <c r="SFG21" s="9"/>
      <c r="SFH21" s="9"/>
      <c r="SFI21" s="9"/>
      <c r="SFJ21" s="9"/>
      <c r="SFK21" s="9"/>
      <c r="SFL21" s="9"/>
      <c r="SFM21" s="9"/>
      <c r="SFN21" s="9"/>
      <c r="SFO21" s="9"/>
      <c r="SFP21" s="9"/>
      <c r="SFQ21" s="9"/>
      <c r="SFR21" s="9"/>
      <c r="SFS21" s="9"/>
      <c r="SFT21" s="9"/>
      <c r="SFU21" s="9"/>
      <c r="SFV21" s="9"/>
      <c r="SFW21" s="9"/>
      <c r="SFX21" s="9"/>
      <c r="SFY21" s="9"/>
      <c r="SFZ21" s="9"/>
      <c r="SGA21" s="9"/>
      <c r="SGB21" s="9"/>
      <c r="SGC21" s="9"/>
      <c r="SGD21" s="9"/>
      <c r="SGE21" s="9"/>
      <c r="SGF21" s="9"/>
      <c r="SGG21" s="9"/>
      <c r="SGH21" s="9"/>
      <c r="SGI21" s="9"/>
      <c r="SGJ21" s="9"/>
      <c r="SGK21" s="9"/>
      <c r="SGL21" s="9"/>
      <c r="SGM21" s="9"/>
      <c r="SGN21" s="9"/>
      <c r="SGO21" s="9"/>
      <c r="SGP21" s="9"/>
      <c r="SGQ21" s="9"/>
      <c r="SGR21" s="9"/>
      <c r="SGS21" s="9"/>
      <c r="SGT21" s="9"/>
      <c r="SGU21" s="9"/>
      <c r="SGV21" s="9"/>
      <c r="SGW21" s="9"/>
      <c r="SGX21" s="9"/>
      <c r="SGY21" s="9"/>
      <c r="SGZ21" s="9"/>
      <c r="SHA21" s="9"/>
      <c r="SHB21" s="9"/>
      <c r="SHC21" s="9"/>
      <c r="SHD21" s="9"/>
      <c r="SHE21" s="9"/>
      <c r="SHF21" s="9"/>
      <c r="SHG21" s="9"/>
      <c r="SHH21" s="9"/>
      <c r="SHI21" s="9"/>
      <c r="SHJ21" s="9"/>
      <c r="SHK21" s="9"/>
      <c r="SHL21" s="9"/>
      <c r="SHM21" s="9"/>
      <c r="SHN21" s="9"/>
      <c r="SHO21" s="9"/>
      <c r="SHP21" s="9"/>
      <c r="SHQ21" s="9"/>
      <c r="SHR21" s="9"/>
      <c r="SHS21" s="9"/>
      <c r="SHT21" s="9"/>
      <c r="SHU21" s="9"/>
      <c r="SHV21" s="9"/>
      <c r="SHW21" s="9"/>
      <c r="SHX21" s="9"/>
      <c r="SHY21" s="9"/>
      <c r="SHZ21" s="9"/>
      <c r="SIA21" s="9"/>
      <c r="SIB21" s="9"/>
      <c r="SIC21" s="9"/>
      <c r="SID21" s="9"/>
      <c r="SIE21" s="9"/>
      <c r="SIF21" s="9"/>
      <c r="SIG21" s="9"/>
      <c r="SIH21" s="9"/>
      <c r="SII21" s="9"/>
      <c r="SIJ21" s="9"/>
      <c r="SIK21" s="9"/>
      <c r="SIL21" s="9"/>
      <c r="SIM21" s="9"/>
      <c r="SIN21" s="9"/>
      <c r="SIO21" s="9"/>
      <c r="SIP21" s="9"/>
      <c r="SIQ21" s="9"/>
      <c r="SIR21" s="9"/>
      <c r="SIS21" s="9"/>
      <c r="SIT21" s="9"/>
      <c r="SIU21" s="9"/>
      <c r="SIV21" s="9"/>
      <c r="SIW21" s="9"/>
      <c r="SIX21" s="9"/>
      <c r="SIY21" s="9"/>
      <c r="SIZ21" s="9"/>
      <c r="SJA21" s="9"/>
      <c r="SJB21" s="9"/>
      <c r="SJC21" s="9"/>
      <c r="SJD21" s="9"/>
      <c r="SJE21" s="9"/>
      <c r="SJF21" s="9"/>
      <c r="SJG21" s="9"/>
      <c r="SJH21" s="9"/>
      <c r="SJI21" s="9"/>
      <c r="SJJ21" s="9"/>
      <c r="SJK21" s="9"/>
      <c r="SJL21" s="9"/>
      <c r="SJM21" s="9"/>
      <c r="SJN21" s="9"/>
      <c r="SJO21" s="9"/>
      <c r="SJP21" s="9"/>
      <c r="SJQ21" s="9"/>
      <c r="SJR21" s="9"/>
      <c r="SJS21" s="9"/>
      <c r="SJT21" s="9"/>
      <c r="SJU21" s="9"/>
      <c r="SJV21" s="9"/>
      <c r="SJW21" s="9"/>
      <c r="SJX21" s="9"/>
      <c r="SJY21" s="9"/>
      <c r="SJZ21" s="9"/>
      <c r="SKA21" s="9"/>
      <c r="SKB21" s="9"/>
      <c r="SKC21" s="9"/>
      <c r="SKD21" s="9"/>
      <c r="SKE21" s="9"/>
      <c r="SKF21" s="9"/>
      <c r="SKG21" s="9"/>
      <c r="SKH21" s="9"/>
      <c r="SKI21" s="9"/>
      <c r="SKJ21" s="9"/>
      <c r="SKK21" s="9"/>
      <c r="SKL21" s="9"/>
      <c r="SKM21" s="9"/>
      <c r="SKN21" s="9"/>
      <c r="SKO21" s="9"/>
      <c r="SKP21" s="9"/>
      <c r="SKQ21" s="9"/>
      <c r="SKR21" s="9"/>
      <c r="SKS21" s="9"/>
      <c r="SKT21" s="9"/>
      <c r="SKU21" s="9"/>
      <c r="SKV21" s="9"/>
      <c r="SKW21" s="9"/>
      <c r="SKX21" s="9"/>
      <c r="SKY21" s="9"/>
      <c r="SKZ21" s="9"/>
      <c r="SLA21" s="9"/>
      <c r="SLB21" s="9"/>
      <c r="SLC21" s="9"/>
      <c r="SLD21" s="9"/>
      <c r="SLE21" s="9"/>
      <c r="SLF21" s="9"/>
      <c r="SLG21" s="9"/>
      <c r="SLH21" s="9"/>
      <c r="SLI21" s="9"/>
      <c r="SLJ21" s="9"/>
      <c r="SLK21" s="9"/>
      <c r="SLL21" s="9"/>
      <c r="SLM21" s="9"/>
      <c r="SLN21" s="9"/>
      <c r="SLO21" s="9"/>
      <c r="SLP21" s="9"/>
      <c r="SLQ21" s="9"/>
      <c r="SLR21" s="9"/>
      <c r="SLS21" s="9"/>
      <c r="SLT21" s="9"/>
      <c r="SLU21" s="9"/>
      <c r="SLV21" s="9"/>
      <c r="SLW21" s="9"/>
      <c r="SLX21" s="9"/>
      <c r="SLY21" s="9"/>
      <c r="SLZ21" s="9"/>
      <c r="SMA21" s="9"/>
      <c r="SMB21" s="9"/>
      <c r="SMC21" s="9"/>
      <c r="SMD21" s="9"/>
      <c r="SME21" s="9"/>
      <c r="SMF21" s="9"/>
      <c r="SMG21" s="9"/>
      <c r="SMH21" s="9"/>
      <c r="SMI21" s="9"/>
      <c r="SMJ21" s="9"/>
      <c r="SMK21" s="9"/>
      <c r="SML21" s="9"/>
      <c r="SMM21" s="9"/>
      <c r="SMN21" s="9"/>
      <c r="SMO21" s="9"/>
      <c r="SMP21" s="9"/>
      <c r="SMQ21" s="9"/>
      <c r="SMR21" s="9"/>
      <c r="SMS21" s="9"/>
      <c r="SMT21" s="9"/>
      <c r="SMU21" s="9"/>
      <c r="SMV21" s="9"/>
      <c r="SMW21" s="9"/>
      <c r="SMX21" s="9"/>
      <c r="SMY21" s="9"/>
      <c r="SMZ21" s="9"/>
      <c r="SNA21" s="9"/>
      <c r="SNB21" s="9"/>
      <c r="SNC21" s="9"/>
      <c r="SND21" s="9"/>
      <c r="SNE21" s="9"/>
      <c r="SNF21" s="9"/>
      <c r="SNG21" s="9"/>
      <c r="SNH21" s="9"/>
      <c r="SNI21" s="9"/>
      <c r="SNJ21" s="9"/>
      <c r="SNK21" s="9"/>
      <c r="SNL21" s="9"/>
      <c r="SNM21" s="9"/>
      <c r="SNN21" s="9"/>
      <c r="SNO21" s="9"/>
      <c r="SNP21" s="9"/>
      <c r="SNQ21" s="9"/>
      <c r="SNR21" s="9"/>
      <c r="SNS21" s="9"/>
      <c r="SNT21" s="9"/>
      <c r="SNU21" s="9"/>
      <c r="SNV21" s="9"/>
      <c r="SNW21" s="9"/>
      <c r="SNX21" s="9"/>
      <c r="SNY21" s="9"/>
      <c r="SNZ21" s="9"/>
      <c r="SOA21" s="9"/>
      <c r="SOB21" s="9"/>
      <c r="SOC21" s="9"/>
      <c r="SOD21" s="9"/>
      <c r="SOE21" s="9"/>
      <c r="SOF21" s="9"/>
      <c r="SOG21" s="9"/>
      <c r="SOH21" s="9"/>
      <c r="SOI21" s="9"/>
      <c r="SOJ21" s="9"/>
      <c r="SOK21" s="9"/>
      <c r="SOL21" s="9"/>
      <c r="SOM21" s="9"/>
      <c r="SON21" s="9"/>
      <c r="SOO21" s="9"/>
      <c r="SOP21" s="9"/>
      <c r="SOQ21" s="9"/>
      <c r="SOR21" s="9"/>
      <c r="SOS21" s="9"/>
      <c r="SOT21" s="9"/>
      <c r="SOU21" s="9"/>
      <c r="SOV21" s="9"/>
      <c r="SOW21" s="9"/>
      <c r="SOX21" s="9"/>
      <c r="SOY21" s="9"/>
      <c r="SOZ21" s="9"/>
      <c r="SPA21" s="9"/>
      <c r="SPB21" s="9"/>
      <c r="SPC21" s="9"/>
      <c r="SPD21" s="9"/>
      <c r="SPE21" s="9"/>
      <c r="SPF21" s="9"/>
      <c r="SPG21" s="9"/>
      <c r="SPH21" s="9"/>
      <c r="SPI21" s="9"/>
      <c r="SPJ21" s="9"/>
      <c r="SPK21" s="9"/>
      <c r="SPL21" s="9"/>
      <c r="SPM21" s="9"/>
      <c r="SPN21" s="9"/>
      <c r="SPO21" s="9"/>
      <c r="SPP21" s="9"/>
      <c r="SPQ21" s="9"/>
      <c r="SPR21" s="9"/>
      <c r="SPS21" s="9"/>
      <c r="SPT21" s="9"/>
      <c r="SPU21" s="9"/>
      <c r="SPV21" s="9"/>
      <c r="SPW21" s="9"/>
      <c r="SPX21" s="9"/>
      <c r="SPY21" s="9"/>
      <c r="SPZ21" s="9"/>
      <c r="SQA21" s="9"/>
      <c r="SQB21" s="9"/>
      <c r="SQC21" s="9"/>
      <c r="SQD21" s="9"/>
      <c r="SQE21" s="9"/>
      <c r="SQF21" s="9"/>
      <c r="SQG21" s="9"/>
      <c r="SQH21" s="9"/>
      <c r="SQI21" s="9"/>
      <c r="SQJ21" s="9"/>
      <c r="SQK21" s="9"/>
      <c r="SQL21" s="9"/>
      <c r="SQM21" s="9"/>
      <c r="SQN21" s="9"/>
      <c r="SQO21" s="9"/>
      <c r="SQP21" s="9"/>
      <c r="SQQ21" s="9"/>
      <c r="SQR21" s="9"/>
      <c r="SQS21" s="9"/>
      <c r="SQT21" s="9"/>
      <c r="SQU21" s="9"/>
      <c r="SQV21" s="9"/>
      <c r="SQW21" s="9"/>
      <c r="SQX21" s="9"/>
      <c r="SQY21" s="9"/>
      <c r="SQZ21" s="9"/>
      <c r="SRA21" s="9"/>
      <c r="SRB21" s="9"/>
      <c r="SRC21" s="9"/>
      <c r="SRD21" s="9"/>
      <c r="SRE21" s="9"/>
      <c r="SRF21" s="9"/>
      <c r="SRG21" s="9"/>
      <c r="SRH21" s="9"/>
      <c r="SRI21" s="9"/>
      <c r="SRJ21" s="9"/>
      <c r="SRK21" s="9"/>
      <c r="SRL21" s="9"/>
      <c r="SRM21" s="9"/>
      <c r="SRN21" s="9"/>
      <c r="SRO21" s="9"/>
      <c r="SRP21" s="9"/>
      <c r="SRQ21" s="9"/>
      <c r="SRR21" s="9"/>
      <c r="SRS21" s="9"/>
      <c r="SRT21" s="9"/>
      <c r="SRU21" s="9"/>
      <c r="SRV21" s="9"/>
      <c r="SRW21" s="9"/>
      <c r="SRX21" s="9"/>
      <c r="SRY21" s="9"/>
      <c r="SRZ21" s="9"/>
      <c r="SSA21" s="9"/>
      <c r="SSB21" s="9"/>
      <c r="SSC21" s="9"/>
      <c r="SSD21" s="9"/>
      <c r="SSE21" s="9"/>
      <c r="SSF21" s="9"/>
      <c r="SSG21" s="9"/>
      <c r="SSH21" s="9"/>
      <c r="SSI21" s="9"/>
      <c r="SSJ21" s="9"/>
      <c r="SSK21" s="9"/>
      <c r="SSL21" s="9"/>
      <c r="SSM21" s="9"/>
      <c r="SSN21" s="9"/>
      <c r="SSO21" s="9"/>
      <c r="SSP21" s="9"/>
      <c r="SSQ21" s="9"/>
      <c r="SSR21" s="9"/>
      <c r="SSS21" s="9"/>
      <c r="SST21" s="9"/>
      <c r="SSU21" s="9"/>
      <c r="SSV21" s="9"/>
      <c r="SSW21" s="9"/>
      <c r="SSX21" s="9"/>
      <c r="SSY21" s="9"/>
      <c r="SSZ21" s="9"/>
      <c r="STA21" s="9"/>
      <c r="STB21" s="9"/>
      <c r="STC21" s="9"/>
      <c r="STD21" s="9"/>
      <c r="STE21" s="9"/>
      <c r="STF21" s="9"/>
      <c r="STG21" s="9"/>
      <c r="STH21" s="9"/>
      <c r="STI21" s="9"/>
      <c r="STJ21" s="9"/>
      <c r="STK21" s="9"/>
      <c r="STL21" s="9"/>
      <c r="STM21" s="9"/>
      <c r="STN21" s="9"/>
      <c r="STO21" s="9"/>
      <c r="STP21" s="9"/>
      <c r="STQ21" s="9"/>
      <c r="STR21" s="9"/>
      <c r="STS21" s="9"/>
      <c r="STT21" s="9"/>
      <c r="STU21" s="9"/>
      <c r="STV21" s="9"/>
      <c r="STW21" s="9"/>
      <c r="STX21" s="9"/>
      <c r="STY21" s="9"/>
      <c r="STZ21" s="9"/>
      <c r="SUA21" s="9"/>
      <c r="SUB21" s="9"/>
      <c r="SUC21" s="9"/>
      <c r="SUD21" s="9"/>
      <c r="SUE21" s="9"/>
      <c r="SUF21" s="9"/>
      <c r="SUG21" s="9"/>
      <c r="SUH21" s="9"/>
      <c r="SUI21" s="9"/>
      <c r="SUJ21" s="9"/>
      <c r="SUK21" s="9"/>
      <c r="SUL21" s="9"/>
      <c r="SUM21" s="9"/>
      <c r="SUN21" s="9"/>
      <c r="SUO21" s="9"/>
      <c r="SUP21" s="9"/>
      <c r="SUQ21" s="9"/>
      <c r="SUR21" s="9"/>
      <c r="SUS21" s="9"/>
      <c r="SUT21" s="9"/>
      <c r="SUU21" s="9"/>
      <c r="SUV21" s="9"/>
      <c r="SUW21" s="9"/>
      <c r="SUX21" s="9"/>
      <c r="SUY21" s="9"/>
      <c r="SUZ21" s="9"/>
      <c r="SVA21" s="9"/>
      <c r="SVB21" s="9"/>
      <c r="SVC21" s="9"/>
      <c r="SVD21" s="9"/>
      <c r="SVE21" s="9"/>
      <c r="SVF21" s="9"/>
      <c r="SVG21" s="9"/>
      <c r="SVH21" s="9"/>
      <c r="SVI21" s="9"/>
      <c r="SVJ21" s="9"/>
      <c r="SVK21" s="9"/>
      <c r="SVL21" s="9"/>
      <c r="SVM21" s="9"/>
      <c r="SVN21" s="9"/>
      <c r="SVO21" s="9"/>
      <c r="SVP21" s="9"/>
      <c r="SVQ21" s="9"/>
      <c r="SVR21" s="9"/>
      <c r="SVS21" s="9"/>
      <c r="SVT21" s="9"/>
      <c r="SVU21" s="9"/>
      <c r="SVV21" s="9"/>
      <c r="SVW21" s="9"/>
      <c r="SVX21" s="9"/>
      <c r="SVY21" s="9"/>
      <c r="SVZ21" s="9"/>
      <c r="SWA21" s="9"/>
      <c r="SWB21" s="9"/>
      <c r="SWC21" s="9"/>
      <c r="SWD21" s="9"/>
      <c r="SWE21" s="9"/>
      <c r="SWF21" s="9"/>
      <c r="SWG21" s="9"/>
      <c r="SWH21" s="9"/>
      <c r="SWI21" s="9"/>
      <c r="SWJ21" s="9"/>
      <c r="SWK21" s="9"/>
      <c r="SWL21" s="9"/>
      <c r="SWM21" s="9"/>
      <c r="SWN21" s="9"/>
      <c r="SWO21" s="9"/>
      <c r="SWP21" s="9"/>
      <c r="SWQ21" s="9"/>
      <c r="SWR21" s="9"/>
      <c r="SWS21" s="9"/>
      <c r="SWT21" s="9"/>
      <c r="SWU21" s="9"/>
      <c r="SWV21" s="9"/>
      <c r="SWW21" s="9"/>
      <c r="SWX21" s="9"/>
      <c r="SWY21" s="9"/>
      <c r="SWZ21" s="9"/>
      <c r="SXA21" s="9"/>
      <c r="SXB21" s="9"/>
      <c r="SXC21" s="9"/>
      <c r="SXD21" s="9"/>
      <c r="SXE21" s="9"/>
      <c r="SXF21" s="9"/>
      <c r="SXG21" s="9"/>
      <c r="SXH21" s="9"/>
      <c r="SXI21" s="9"/>
      <c r="SXJ21" s="9"/>
      <c r="SXK21" s="9"/>
      <c r="SXL21" s="9"/>
      <c r="SXM21" s="9"/>
      <c r="SXN21" s="9"/>
      <c r="SXO21" s="9"/>
      <c r="SXP21" s="9"/>
      <c r="SXQ21" s="9"/>
      <c r="SXR21" s="9"/>
      <c r="SXS21" s="9"/>
      <c r="SXT21" s="9"/>
      <c r="SXU21" s="9"/>
      <c r="SXV21" s="9"/>
      <c r="SXW21" s="9"/>
      <c r="SXX21" s="9"/>
      <c r="SXY21" s="9"/>
      <c r="SXZ21" s="9"/>
      <c r="SYA21" s="9"/>
      <c r="SYB21" s="9"/>
      <c r="SYC21" s="9"/>
      <c r="SYD21" s="9"/>
      <c r="SYE21" s="9"/>
      <c r="SYF21" s="9"/>
      <c r="SYG21" s="9"/>
      <c r="SYH21" s="9"/>
      <c r="SYI21" s="9"/>
      <c r="SYJ21" s="9"/>
      <c r="SYK21" s="9"/>
      <c r="SYL21" s="9"/>
      <c r="SYM21" s="9"/>
      <c r="SYN21" s="9"/>
      <c r="SYO21" s="9"/>
      <c r="SYP21" s="9"/>
      <c r="SYQ21" s="9"/>
      <c r="SYR21" s="9"/>
      <c r="SYS21" s="9"/>
      <c r="SYT21" s="9"/>
      <c r="SYU21" s="9"/>
      <c r="SYV21" s="9"/>
      <c r="SYW21" s="9"/>
      <c r="SYX21" s="9"/>
      <c r="SYY21" s="9"/>
      <c r="SYZ21" s="9"/>
      <c r="SZA21" s="9"/>
      <c r="SZB21" s="9"/>
      <c r="SZC21" s="9"/>
      <c r="SZD21" s="9"/>
      <c r="SZE21" s="9"/>
      <c r="SZF21" s="9"/>
      <c r="SZG21" s="9"/>
      <c r="SZH21" s="9"/>
      <c r="SZI21" s="9"/>
      <c r="SZJ21" s="9"/>
      <c r="SZK21" s="9"/>
      <c r="SZL21" s="9"/>
      <c r="SZM21" s="9"/>
      <c r="SZN21" s="9"/>
      <c r="SZO21" s="9"/>
      <c r="SZP21" s="9"/>
      <c r="SZQ21" s="9"/>
      <c r="SZR21" s="9"/>
      <c r="SZS21" s="9"/>
      <c r="SZT21" s="9"/>
      <c r="SZU21" s="9"/>
      <c r="SZV21" s="9"/>
      <c r="SZW21" s="9"/>
      <c r="SZX21" s="9"/>
      <c r="SZY21" s="9"/>
      <c r="SZZ21" s="9"/>
      <c r="TAA21" s="9"/>
      <c r="TAB21" s="9"/>
      <c r="TAC21" s="9"/>
      <c r="TAD21" s="9"/>
      <c r="TAE21" s="9"/>
      <c r="TAF21" s="9"/>
      <c r="TAG21" s="9"/>
      <c r="TAH21" s="9"/>
      <c r="TAI21" s="9"/>
      <c r="TAJ21" s="9"/>
      <c r="TAK21" s="9"/>
      <c r="TAL21" s="9"/>
      <c r="TAM21" s="9"/>
      <c r="TAN21" s="9"/>
      <c r="TAO21" s="9"/>
      <c r="TAP21" s="9"/>
      <c r="TAQ21" s="9"/>
      <c r="TAR21" s="9"/>
      <c r="TAS21" s="9"/>
      <c r="TAT21" s="9"/>
      <c r="TAU21" s="9"/>
      <c r="TAV21" s="9"/>
      <c r="TAW21" s="9"/>
      <c r="TAX21" s="9"/>
      <c r="TAY21" s="9"/>
      <c r="TAZ21" s="9"/>
      <c r="TBA21" s="9"/>
      <c r="TBB21" s="9"/>
      <c r="TBC21" s="9"/>
      <c r="TBD21" s="9"/>
      <c r="TBE21" s="9"/>
      <c r="TBF21" s="9"/>
      <c r="TBG21" s="9"/>
      <c r="TBH21" s="9"/>
      <c r="TBI21" s="9"/>
      <c r="TBJ21" s="9"/>
      <c r="TBK21" s="9"/>
      <c r="TBL21" s="9"/>
      <c r="TBM21" s="9"/>
      <c r="TBN21" s="9"/>
      <c r="TBO21" s="9"/>
      <c r="TBP21" s="9"/>
      <c r="TBQ21" s="9"/>
      <c r="TBR21" s="9"/>
      <c r="TBS21" s="9"/>
      <c r="TBT21" s="9"/>
      <c r="TBU21" s="9"/>
      <c r="TBV21" s="9"/>
      <c r="TBW21" s="9"/>
      <c r="TBX21" s="9"/>
      <c r="TBY21" s="9"/>
      <c r="TBZ21" s="9"/>
      <c r="TCA21" s="9"/>
      <c r="TCB21" s="9"/>
      <c r="TCC21" s="9"/>
      <c r="TCD21" s="9"/>
      <c r="TCE21" s="9"/>
      <c r="TCF21" s="9"/>
      <c r="TCG21" s="9"/>
      <c r="TCH21" s="9"/>
      <c r="TCI21" s="9"/>
      <c r="TCJ21" s="9"/>
      <c r="TCK21" s="9"/>
      <c r="TCL21" s="9"/>
      <c r="TCM21" s="9"/>
      <c r="TCN21" s="9"/>
      <c r="TCO21" s="9"/>
      <c r="TCP21" s="9"/>
      <c r="TCQ21" s="9"/>
      <c r="TCR21" s="9"/>
      <c r="TCS21" s="9"/>
      <c r="TCT21" s="9"/>
      <c r="TCU21" s="9"/>
      <c r="TCV21" s="9"/>
      <c r="TCW21" s="9"/>
      <c r="TCX21" s="9"/>
      <c r="TCY21" s="9"/>
      <c r="TCZ21" s="9"/>
      <c r="TDA21" s="9"/>
      <c r="TDB21" s="9"/>
      <c r="TDC21" s="9"/>
      <c r="TDD21" s="9"/>
      <c r="TDE21" s="9"/>
      <c r="TDF21" s="9"/>
      <c r="TDG21" s="9"/>
      <c r="TDH21" s="9"/>
      <c r="TDI21" s="9"/>
      <c r="TDJ21" s="9"/>
      <c r="TDK21" s="9"/>
      <c r="TDL21" s="9"/>
      <c r="TDM21" s="9"/>
      <c r="TDN21" s="9"/>
      <c r="TDO21" s="9"/>
      <c r="TDP21" s="9"/>
      <c r="TDQ21" s="9"/>
      <c r="TDR21" s="9"/>
      <c r="TDS21" s="9"/>
      <c r="TDT21" s="9"/>
      <c r="TDU21" s="9"/>
      <c r="TDV21" s="9"/>
      <c r="TDW21" s="9"/>
      <c r="TDX21" s="9"/>
      <c r="TDY21" s="9"/>
      <c r="TDZ21" s="9"/>
      <c r="TEA21" s="9"/>
      <c r="TEB21" s="9"/>
      <c r="TEC21" s="9"/>
      <c r="TED21" s="9"/>
      <c r="TEE21" s="9"/>
      <c r="TEF21" s="9"/>
      <c r="TEG21" s="9"/>
      <c r="TEH21" s="9"/>
      <c r="TEI21" s="9"/>
      <c r="TEJ21" s="9"/>
      <c r="TEK21" s="9"/>
      <c r="TEL21" s="9"/>
      <c r="TEM21" s="9"/>
      <c r="TEN21" s="9"/>
      <c r="TEO21" s="9"/>
      <c r="TEP21" s="9"/>
      <c r="TEQ21" s="9"/>
      <c r="TER21" s="9"/>
      <c r="TES21" s="9"/>
      <c r="TET21" s="9"/>
      <c r="TEU21" s="9"/>
      <c r="TEV21" s="9"/>
      <c r="TEW21" s="9"/>
      <c r="TEX21" s="9"/>
      <c r="TEY21" s="9"/>
      <c r="TEZ21" s="9"/>
      <c r="TFA21" s="9"/>
      <c r="TFB21" s="9"/>
      <c r="TFC21" s="9"/>
      <c r="TFD21" s="9"/>
      <c r="TFE21" s="9"/>
      <c r="TFF21" s="9"/>
      <c r="TFG21" s="9"/>
      <c r="TFH21" s="9"/>
      <c r="TFI21" s="9"/>
      <c r="TFJ21" s="9"/>
      <c r="TFK21" s="9"/>
      <c r="TFL21" s="9"/>
      <c r="TFM21" s="9"/>
      <c r="TFN21" s="9"/>
      <c r="TFO21" s="9"/>
      <c r="TFP21" s="9"/>
      <c r="TFQ21" s="9"/>
      <c r="TFR21" s="9"/>
      <c r="TFS21" s="9"/>
      <c r="TFT21" s="9"/>
      <c r="TFU21" s="9"/>
      <c r="TFV21" s="9"/>
      <c r="TFW21" s="9"/>
      <c r="TFX21" s="9"/>
      <c r="TFY21" s="9"/>
      <c r="TFZ21" s="9"/>
      <c r="TGA21" s="9"/>
      <c r="TGB21" s="9"/>
      <c r="TGC21" s="9"/>
      <c r="TGD21" s="9"/>
      <c r="TGE21" s="9"/>
      <c r="TGF21" s="9"/>
      <c r="TGG21" s="9"/>
      <c r="TGH21" s="9"/>
      <c r="TGI21" s="9"/>
      <c r="TGJ21" s="9"/>
      <c r="TGK21" s="9"/>
      <c r="TGL21" s="9"/>
      <c r="TGM21" s="9"/>
      <c r="TGN21" s="9"/>
      <c r="TGO21" s="9"/>
      <c r="TGP21" s="9"/>
      <c r="TGQ21" s="9"/>
      <c r="TGR21" s="9"/>
      <c r="TGS21" s="9"/>
      <c r="TGT21" s="9"/>
      <c r="TGU21" s="9"/>
      <c r="TGV21" s="9"/>
      <c r="TGW21" s="9"/>
      <c r="TGX21" s="9"/>
      <c r="TGY21" s="9"/>
      <c r="TGZ21" s="9"/>
      <c r="THA21" s="9"/>
      <c r="THB21" s="9"/>
      <c r="THC21" s="9"/>
      <c r="THD21" s="9"/>
      <c r="THE21" s="9"/>
      <c r="THF21" s="9"/>
      <c r="THG21" s="9"/>
      <c r="THH21" s="9"/>
      <c r="THI21" s="9"/>
      <c r="THJ21" s="9"/>
      <c r="THK21" s="9"/>
      <c r="THL21" s="9"/>
      <c r="THM21" s="9"/>
      <c r="THN21" s="9"/>
      <c r="THO21" s="9"/>
      <c r="THP21" s="9"/>
      <c r="THQ21" s="9"/>
      <c r="THR21" s="9"/>
      <c r="THS21" s="9"/>
      <c r="THT21" s="9"/>
      <c r="THU21" s="9"/>
      <c r="THV21" s="9"/>
      <c r="THW21" s="9"/>
      <c r="THX21" s="9"/>
      <c r="THY21" s="9"/>
      <c r="THZ21" s="9"/>
      <c r="TIA21" s="9"/>
      <c r="TIB21" s="9"/>
      <c r="TIC21" s="9"/>
      <c r="TID21" s="9"/>
      <c r="TIE21" s="9"/>
      <c r="TIF21" s="9"/>
      <c r="TIG21" s="9"/>
      <c r="TIH21" s="9"/>
      <c r="TII21" s="9"/>
      <c r="TIJ21" s="9"/>
      <c r="TIK21" s="9"/>
      <c r="TIL21" s="9"/>
      <c r="TIM21" s="9"/>
      <c r="TIN21" s="9"/>
      <c r="TIO21" s="9"/>
      <c r="TIP21" s="9"/>
      <c r="TIQ21" s="9"/>
      <c r="TIR21" s="9"/>
      <c r="TIS21" s="9"/>
      <c r="TIT21" s="9"/>
      <c r="TIU21" s="9"/>
      <c r="TIV21" s="9"/>
      <c r="TIW21" s="9"/>
      <c r="TIX21" s="9"/>
      <c r="TIY21" s="9"/>
      <c r="TIZ21" s="9"/>
      <c r="TJA21" s="9"/>
      <c r="TJB21" s="9"/>
      <c r="TJC21" s="9"/>
      <c r="TJD21" s="9"/>
      <c r="TJE21" s="9"/>
      <c r="TJF21" s="9"/>
      <c r="TJG21" s="9"/>
      <c r="TJH21" s="9"/>
      <c r="TJI21" s="9"/>
      <c r="TJJ21" s="9"/>
      <c r="TJK21" s="9"/>
      <c r="TJL21" s="9"/>
      <c r="TJM21" s="9"/>
      <c r="TJN21" s="9"/>
      <c r="TJO21" s="9"/>
      <c r="TJP21" s="9"/>
      <c r="TJQ21" s="9"/>
      <c r="TJR21" s="9"/>
      <c r="TJS21" s="9"/>
      <c r="TJT21" s="9"/>
      <c r="TJU21" s="9"/>
      <c r="TJV21" s="9"/>
      <c r="TJW21" s="9"/>
      <c r="TJX21" s="9"/>
      <c r="TJY21" s="9"/>
      <c r="TJZ21" s="9"/>
      <c r="TKA21" s="9"/>
      <c r="TKB21" s="9"/>
      <c r="TKC21" s="9"/>
      <c r="TKD21" s="9"/>
      <c r="TKE21" s="9"/>
      <c r="TKF21" s="9"/>
      <c r="TKG21" s="9"/>
      <c r="TKH21" s="9"/>
      <c r="TKI21" s="9"/>
      <c r="TKJ21" s="9"/>
      <c r="TKK21" s="9"/>
      <c r="TKL21" s="9"/>
      <c r="TKM21" s="9"/>
      <c r="TKN21" s="9"/>
      <c r="TKO21" s="9"/>
      <c r="TKP21" s="9"/>
      <c r="TKQ21" s="9"/>
      <c r="TKR21" s="9"/>
      <c r="TKS21" s="9"/>
      <c r="TKT21" s="9"/>
      <c r="TKU21" s="9"/>
      <c r="TKV21" s="9"/>
      <c r="TKW21" s="9"/>
      <c r="TKX21" s="9"/>
      <c r="TKY21" s="9"/>
      <c r="TKZ21" s="9"/>
      <c r="TLA21" s="9"/>
      <c r="TLB21" s="9"/>
      <c r="TLC21" s="9"/>
      <c r="TLD21" s="9"/>
      <c r="TLE21" s="9"/>
      <c r="TLF21" s="9"/>
      <c r="TLG21" s="9"/>
      <c r="TLH21" s="9"/>
      <c r="TLI21" s="9"/>
      <c r="TLJ21" s="9"/>
      <c r="TLK21" s="9"/>
      <c r="TLL21" s="9"/>
      <c r="TLM21" s="9"/>
      <c r="TLN21" s="9"/>
      <c r="TLO21" s="9"/>
      <c r="TLP21" s="9"/>
      <c r="TLQ21" s="9"/>
      <c r="TLR21" s="9"/>
      <c r="TLS21" s="9"/>
      <c r="TLT21" s="9"/>
      <c r="TLU21" s="9"/>
      <c r="TLV21" s="9"/>
      <c r="TLW21" s="9"/>
      <c r="TLX21" s="9"/>
      <c r="TLY21" s="9"/>
      <c r="TLZ21" s="9"/>
      <c r="TMA21" s="9"/>
      <c r="TMB21" s="9"/>
      <c r="TMC21" s="9"/>
      <c r="TMD21" s="9"/>
      <c r="TME21" s="9"/>
      <c r="TMF21" s="9"/>
      <c r="TMG21" s="9"/>
      <c r="TMH21" s="9"/>
      <c r="TMI21" s="9"/>
      <c r="TMJ21" s="9"/>
      <c r="TMK21" s="9"/>
      <c r="TML21" s="9"/>
      <c r="TMM21" s="9"/>
      <c r="TMN21" s="9"/>
      <c r="TMO21" s="9"/>
      <c r="TMP21" s="9"/>
      <c r="TMQ21" s="9"/>
      <c r="TMR21" s="9"/>
      <c r="TMS21" s="9"/>
      <c r="TMT21" s="9"/>
      <c r="TMU21" s="9"/>
      <c r="TMV21" s="9"/>
      <c r="TMW21" s="9"/>
      <c r="TMX21" s="9"/>
      <c r="TMY21" s="9"/>
      <c r="TMZ21" s="9"/>
      <c r="TNA21" s="9"/>
      <c r="TNB21" s="9"/>
      <c r="TNC21" s="9"/>
      <c r="TND21" s="9"/>
      <c r="TNE21" s="9"/>
      <c r="TNF21" s="9"/>
      <c r="TNG21" s="9"/>
      <c r="TNH21" s="9"/>
      <c r="TNI21" s="9"/>
      <c r="TNJ21" s="9"/>
      <c r="TNK21" s="9"/>
      <c r="TNL21" s="9"/>
      <c r="TNM21" s="9"/>
      <c r="TNN21" s="9"/>
      <c r="TNO21" s="9"/>
      <c r="TNP21" s="9"/>
      <c r="TNQ21" s="9"/>
      <c r="TNR21" s="9"/>
      <c r="TNS21" s="9"/>
      <c r="TNT21" s="9"/>
      <c r="TNU21" s="9"/>
      <c r="TNV21" s="9"/>
      <c r="TNW21" s="9"/>
      <c r="TNX21" s="9"/>
      <c r="TNY21" s="9"/>
      <c r="TNZ21" s="9"/>
      <c r="TOA21" s="9"/>
      <c r="TOB21" s="9"/>
      <c r="TOC21" s="9"/>
      <c r="TOD21" s="9"/>
      <c r="TOE21" s="9"/>
      <c r="TOF21" s="9"/>
      <c r="TOG21" s="9"/>
      <c r="TOH21" s="9"/>
      <c r="TOI21" s="9"/>
      <c r="TOJ21" s="9"/>
      <c r="TOK21" s="9"/>
      <c r="TOL21" s="9"/>
      <c r="TOM21" s="9"/>
      <c r="TON21" s="9"/>
      <c r="TOO21" s="9"/>
      <c r="TOP21" s="9"/>
      <c r="TOQ21" s="9"/>
      <c r="TOR21" s="9"/>
      <c r="TOS21" s="9"/>
      <c r="TOT21" s="9"/>
      <c r="TOU21" s="9"/>
      <c r="TOV21" s="9"/>
      <c r="TOW21" s="9"/>
      <c r="TOX21" s="9"/>
      <c r="TOY21" s="9"/>
      <c r="TOZ21" s="9"/>
      <c r="TPA21" s="9"/>
      <c r="TPB21" s="9"/>
      <c r="TPC21" s="9"/>
      <c r="TPD21" s="9"/>
      <c r="TPE21" s="9"/>
      <c r="TPF21" s="9"/>
      <c r="TPG21" s="9"/>
      <c r="TPH21" s="9"/>
      <c r="TPI21" s="9"/>
      <c r="TPJ21" s="9"/>
      <c r="TPK21" s="9"/>
      <c r="TPL21" s="9"/>
      <c r="TPM21" s="9"/>
      <c r="TPN21" s="9"/>
      <c r="TPO21" s="9"/>
      <c r="TPP21" s="9"/>
      <c r="TPQ21" s="9"/>
      <c r="TPR21" s="9"/>
      <c r="TPS21" s="9"/>
      <c r="TPT21" s="9"/>
      <c r="TPU21" s="9"/>
      <c r="TPV21" s="9"/>
      <c r="TPW21" s="9"/>
      <c r="TPX21" s="9"/>
      <c r="TPY21" s="9"/>
      <c r="TPZ21" s="9"/>
      <c r="TQA21" s="9"/>
      <c r="TQB21" s="9"/>
      <c r="TQC21" s="9"/>
      <c r="TQD21" s="9"/>
      <c r="TQE21" s="9"/>
      <c r="TQF21" s="9"/>
      <c r="TQG21" s="9"/>
      <c r="TQH21" s="9"/>
      <c r="TQI21" s="9"/>
      <c r="TQJ21" s="9"/>
      <c r="TQK21" s="9"/>
      <c r="TQL21" s="9"/>
      <c r="TQM21" s="9"/>
      <c r="TQN21" s="9"/>
      <c r="TQO21" s="9"/>
      <c r="TQP21" s="9"/>
      <c r="TQQ21" s="9"/>
      <c r="TQR21" s="9"/>
      <c r="TQS21" s="9"/>
      <c r="TQT21" s="9"/>
      <c r="TQU21" s="9"/>
      <c r="TQV21" s="9"/>
      <c r="TQW21" s="9"/>
      <c r="TQX21" s="9"/>
      <c r="TQY21" s="9"/>
      <c r="TQZ21" s="9"/>
      <c r="TRA21" s="9"/>
      <c r="TRB21" s="9"/>
      <c r="TRC21" s="9"/>
      <c r="TRD21" s="9"/>
      <c r="TRE21" s="9"/>
      <c r="TRF21" s="9"/>
      <c r="TRG21" s="9"/>
      <c r="TRH21" s="9"/>
      <c r="TRI21" s="9"/>
      <c r="TRJ21" s="9"/>
      <c r="TRK21" s="9"/>
      <c r="TRL21" s="9"/>
      <c r="TRM21" s="9"/>
      <c r="TRN21" s="9"/>
      <c r="TRO21" s="9"/>
      <c r="TRP21" s="9"/>
      <c r="TRQ21" s="9"/>
      <c r="TRR21" s="9"/>
      <c r="TRS21" s="9"/>
      <c r="TRT21" s="9"/>
      <c r="TRU21" s="9"/>
      <c r="TRV21" s="9"/>
      <c r="TRW21" s="9"/>
      <c r="TRX21" s="9"/>
      <c r="TRY21" s="9"/>
      <c r="TRZ21" s="9"/>
      <c r="TSA21" s="9"/>
      <c r="TSB21" s="9"/>
      <c r="TSC21" s="9"/>
      <c r="TSD21" s="9"/>
      <c r="TSE21" s="9"/>
      <c r="TSF21" s="9"/>
      <c r="TSG21" s="9"/>
      <c r="TSH21" s="9"/>
      <c r="TSI21" s="9"/>
      <c r="TSJ21" s="9"/>
      <c r="TSK21" s="9"/>
      <c r="TSL21" s="9"/>
      <c r="TSM21" s="9"/>
      <c r="TSN21" s="9"/>
      <c r="TSO21" s="9"/>
      <c r="TSP21" s="9"/>
      <c r="TSQ21" s="9"/>
      <c r="TSR21" s="9"/>
      <c r="TSS21" s="9"/>
      <c r="TST21" s="9"/>
      <c r="TSU21" s="9"/>
      <c r="TSV21" s="9"/>
      <c r="TSW21" s="9"/>
      <c r="TSX21" s="9"/>
      <c r="TSY21" s="9"/>
      <c r="TSZ21" s="9"/>
      <c r="TTA21" s="9"/>
      <c r="TTB21" s="9"/>
      <c r="TTC21" s="9"/>
      <c r="TTD21" s="9"/>
      <c r="TTE21" s="9"/>
      <c r="TTF21" s="9"/>
      <c r="TTG21" s="9"/>
      <c r="TTH21" s="9"/>
      <c r="TTI21" s="9"/>
      <c r="TTJ21" s="9"/>
      <c r="TTK21" s="9"/>
      <c r="TTL21" s="9"/>
      <c r="TTM21" s="9"/>
      <c r="TTN21" s="9"/>
      <c r="TTO21" s="9"/>
      <c r="TTP21" s="9"/>
      <c r="TTQ21" s="9"/>
      <c r="TTR21" s="9"/>
      <c r="TTS21" s="9"/>
      <c r="TTT21" s="9"/>
      <c r="TTU21" s="9"/>
      <c r="TTV21" s="9"/>
      <c r="TTW21" s="9"/>
      <c r="TTX21" s="9"/>
      <c r="TTY21" s="9"/>
      <c r="TTZ21" s="9"/>
      <c r="TUA21" s="9"/>
      <c r="TUB21" s="9"/>
      <c r="TUC21" s="9"/>
      <c r="TUD21" s="9"/>
      <c r="TUE21" s="9"/>
      <c r="TUF21" s="9"/>
      <c r="TUG21" s="9"/>
      <c r="TUH21" s="9"/>
      <c r="TUI21" s="9"/>
      <c r="TUJ21" s="9"/>
      <c r="TUK21" s="9"/>
      <c r="TUL21" s="9"/>
      <c r="TUM21" s="9"/>
      <c r="TUN21" s="9"/>
      <c r="TUO21" s="9"/>
      <c r="TUP21" s="9"/>
      <c r="TUQ21" s="9"/>
      <c r="TUR21" s="9"/>
      <c r="TUS21" s="9"/>
      <c r="TUT21" s="9"/>
      <c r="TUU21" s="9"/>
      <c r="TUV21" s="9"/>
      <c r="TUW21" s="9"/>
      <c r="TUX21" s="9"/>
      <c r="TUY21" s="9"/>
      <c r="TUZ21" s="9"/>
      <c r="TVA21" s="9"/>
      <c r="TVB21" s="9"/>
      <c r="TVC21" s="9"/>
      <c r="TVD21" s="9"/>
      <c r="TVE21" s="9"/>
      <c r="TVF21" s="9"/>
      <c r="TVG21" s="9"/>
      <c r="TVH21" s="9"/>
      <c r="TVI21" s="9"/>
      <c r="TVJ21" s="9"/>
      <c r="TVK21" s="9"/>
      <c r="TVL21" s="9"/>
      <c r="TVM21" s="9"/>
      <c r="TVN21" s="9"/>
      <c r="TVO21" s="9"/>
      <c r="TVP21" s="9"/>
      <c r="TVQ21" s="9"/>
      <c r="TVR21" s="9"/>
      <c r="TVS21" s="9"/>
      <c r="TVT21" s="9"/>
      <c r="TVU21" s="9"/>
      <c r="TVV21" s="9"/>
      <c r="TVW21" s="9"/>
      <c r="TVX21" s="9"/>
      <c r="TVY21" s="9"/>
      <c r="TVZ21" s="9"/>
      <c r="TWA21" s="9"/>
      <c r="TWB21" s="9"/>
      <c r="TWC21" s="9"/>
      <c r="TWD21" s="9"/>
      <c r="TWE21" s="9"/>
      <c r="TWF21" s="9"/>
      <c r="TWG21" s="9"/>
      <c r="TWH21" s="9"/>
      <c r="TWI21" s="9"/>
      <c r="TWJ21" s="9"/>
      <c r="TWK21" s="9"/>
      <c r="TWL21" s="9"/>
      <c r="TWM21" s="9"/>
      <c r="TWN21" s="9"/>
      <c r="TWO21" s="9"/>
      <c r="TWP21" s="9"/>
      <c r="TWQ21" s="9"/>
      <c r="TWR21" s="9"/>
      <c r="TWS21" s="9"/>
      <c r="TWT21" s="9"/>
      <c r="TWU21" s="9"/>
      <c r="TWV21" s="9"/>
      <c r="TWW21" s="9"/>
      <c r="TWX21" s="9"/>
      <c r="TWY21" s="9"/>
      <c r="TWZ21" s="9"/>
      <c r="TXA21" s="9"/>
      <c r="TXB21" s="9"/>
      <c r="TXC21" s="9"/>
      <c r="TXD21" s="9"/>
      <c r="TXE21" s="9"/>
      <c r="TXF21" s="9"/>
      <c r="TXG21" s="9"/>
      <c r="TXH21" s="9"/>
      <c r="TXI21" s="9"/>
      <c r="TXJ21" s="9"/>
      <c r="TXK21" s="9"/>
      <c r="TXL21" s="9"/>
      <c r="TXM21" s="9"/>
      <c r="TXN21" s="9"/>
      <c r="TXO21" s="9"/>
      <c r="TXP21" s="9"/>
      <c r="TXQ21" s="9"/>
      <c r="TXR21" s="9"/>
      <c r="TXS21" s="9"/>
      <c r="TXT21" s="9"/>
      <c r="TXU21" s="9"/>
      <c r="TXV21" s="9"/>
      <c r="TXW21" s="9"/>
      <c r="TXX21" s="9"/>
      <c r="TXY21" s="9"/>
      <c r="TXZ21" s="9"/>
      <c r="TYA21" s="9"/>
      <c r="TYB21" s="9"/>
      <c r="TYC21" s="9"/>
      <c r="TYD21" s="9"/>
      <c r="TYE21" s="9"/>
      <c r="TYF21" s="9"/>
      <c r="TYG21" s="9"/>
      <c r="TYH21" s="9"/>
      <c r="TYI21" s="9"/>
      <c r="TYJ21" s="9"/>
      <c r="TYK21" s="9"/>
      <c r="TYL21" s="9"/>
      <c r="TYM21" s="9"/>
      <c r="TYN21" s="9"/>
      <c r="TYO21" s="9"/>
      <c r="TYP21" s="9"/>
      <c r="TYQ21" s="9"/>
      <c r="TYR21" s="9"/>
      <c r="TYS21" s="9"/>
      <c r="TYT21" s="9"/>
      <c r="TYU21" s="9"/>
      <c r="TYV21" s="9"/>
      <c r="TYW21" s="9"/>
      <c r="TYX21" s="9"/>
      <c r="TYY21" s="9"/>
      <c r="TYZ21" s="9"/>
      <c r="TZA21" s="9"/>
      <c r="TZB21" s="9"/>
      <c r="TZC21" s="9"/>
      <c r="TZD21" s="9"/>
      <c r="TZE21" s="9"/>
      <c r="TZF21" s="9"/>
      <c r="TZG21" s="9"/>
      <c r="TZH21" s="9"/>
      <c r="TZI21" s="9"/>
      <c r="TZJ21" s="9"/>
      <c r="TZK21" s="9"/>
      <c r="TZL21" s="9"/>
      <c r="TZM21" s="9"/>
      <c r="TZN21" s="9"/>
      <c r="TZO21" s="9"/>
      <c r="TZP21" s="9"/>
      <c r="TZQ21" s="9"/>
      <c r="TZR21" s="9"/>
      <c r="TZS21" s="9"/>
      <c r="TZT21" s="9"/>
      <c r="TZU21" s="9"/>
      <c r="TZV21" s="9"/>
      <c r="TZW21" s="9"/>
      <c r="TZX21" s="9"/>
      <c r="TZY21" s="9"/>
      <c r="TZZ21" s="9"/>
      <c r="UAA21" s="9"/>
      <c r="UAB21" s="9"/>
      <c r="UAC21" s="9"/>
      <c r="UAD21" s="9"/>
      <c r="UAE21" s="9"/>
      <c r="UAF21" s="9"/>
      <c r="UAG21" s="9"/>
      <c r="UAH21" s="9"/>
      <c r="UAI21" s="9"/>
      <c r="UAJ21" s="9"/>
      <c r="UAK21" s="9"/>
      <c r="UAL21" s="9"/>
      <c r="UAM21" s="9"/>
      <c r="UAN21" s="9"/>
      <c r="UAO21" s="9"/>
      <c r="UAP21" s="9"/>
      <c r="UAQ21" s="9"/>
      <c r="UAR21" s="9"/>
      <c r="UAS21" s="9"/>
      <c r="UAT21" s="9"/>
      <c r="UAU21" s="9"/>
      <c r="UAV21" s="9"/>
      <c r="UAW21" s="9"/>
      <c r="UAX21" s="9"/>
      <c r="UAY21" s="9"/>
      <c r="UAZ21" s="9"/>
      <c r="UBA21" s="9"/>
      <c r="UBB21" s="9"/>
      <c r="UBC21" s="9"/>
      <c r="UBD21" s="9"/>
      <c r="UBE21" s="9"/>
      <c r="UBF21" s="9"/>
      <c r="UBG21" s="9"/>
      <c r="UBH21" s="9"/>
      <c r="UBI21" s="9"/>
      <c r="UBJ21" s="9"/>
      <c r="UBK21" s="9"/>
      <c r="UBL21" s="9"/>
      <c r="UBM21" s="9"/>
      <c r="UBN21" s="9"/>
      <c r="UBO21" s="9"/>
      <c r="UBP21" s="9"/>
      <c r="UBQ21" s="9"/>
      <c r="UBR21" s="9"/>
      <c r="UBS21" s="9"/>
      <c r="UBT21" s="9"/>
      <c r="UBU21" s="9"/>
      <c r="UBV21" s="9"/>
      <c r="UBW21" s="9"/>
      <c r="UBX21" s="9"/>
      <c r="UBY21" s="9"/>
      <c r="UBZ21" s="9"/>
      <c r="UCA21" s="9"/>
      <c r="UCB21" s="9"/>
      <c r="UCC21" s="9"/>
      <c r="UCD21" s="9"/>
      <c r="UCE21" s="9"/>
      <c r="UCF21" s="9"/>
      <c r="UCG21" s="9"/>
      <c r="UCH21" s="9"/>
      <c r="UCI21" s="9"/>
      <c r="UCJ21" s="9"/>
      <c r="UCK21" s="9"/>
      <c r="UCL21" s="9"/>
      <c r="UCM21" s="9"/>
      <c r="UCN21" s="9"/>
      <c r="UCO21" s="9"/>
      <c r="UCP21" s="9"/>
      <c r="UCQ21" s="9"/>
      <c r="UCR21" s="9"/>
      <c r="UCS21" s="9"/>
      <c r="UCT21" s="9"/>
      <c r="UCU21" s="9"/>
      <c r="UCV21" s="9"/>
      <c r="UCW21" s="9"/>
      <c r="UCX21" s="9"/>
      <c r="UCY21" s="9"/>
      <c r="UCZ21" s="9"/>
      <c r="UDA21" s="9"/>
      <c r="UDB21" s="9"/>
      <c r="UDC21" s="9"/>
      <c r="UDD21" s="9"/>
      <c r="UDE21" s="9"/>
      <c r="UDF21" s="9"/>
      <c r="UDG21" s="9"/>
      <c r="UDH21" s="9"/>
      <c r="UDI21" s="9"/>
      <c r="UDJ21" s="9"/>
      <c r="UDK21" s="9"/>
      <c r="UDL21" s="9"/>
      <c r="UDM21" s="9"/>
      <c r="UDN21" s="9"/>
      <c r="UDO21" s="9"/>
      <c r="UDP21" s="9"/>
      <c r="UDQ21" s="9"/>
      <c r="UDR21" s="9"/>
      <c r="UDS21" s="9"/>
      <c r="UDT21" s="9"/>
      <c r="UDU21" s="9"/>
      <c r="UDV21" s="9"/>
      <c r="UDW21" s="9"/>
      <c r="UDX21" s="9"/>
      <c r="UDY21" s="9"/>
      <c r="UDZ21" s="9"/>
      <c r="UEA21" s="9"/>
      <c r="UEB21" s="9"/>
      <c r="UEC21" s="9"/>
      <c r="UED21" s="9"/>
      <c r="UEE21" s="9"/>
      <c r="UEF21" s="9"/>
      <c r="UEG21" s="9"/>
      <c r="UEH21" s="9"/>
      <c r="UEI21" s="9"/>
      <c r="UEJ21" s="9"/>
      <c r="UEK21" s="9"/>
      <c r="UEL21" s="9"/>
      <c r="UEM21" s="9"/>
      <c r="UEN21" s="9"/>
      <c r="UEO21" s="9"/>
      <c r="UEP21" s="9"/>
      <c r="UEQ21" s="9"/>
      <c r="UER21" s="9"/>
      <c r="UES21" s="9"/>
      <c r="UET21" s="9"/>
      <c r="UEU21" s="9"/>
      <c r="UEV21" s="9"/>
      <c r="UEW21" s="9"/>
      <c r="UEX21" s="9"/>
      <c r="UEY21" s="9"/>
      <c r="UEZ21" s="9"/>
      <c r="UFA21" s="9"/>
      <c r="UFB21" s="9"/>
      <c r="UFC21" s="9"/>
      <c r="UFD21" s="9"/>
      <c r="UFE21" s="9"/>
      <c r="UFF21" s="9"/>
      <c r="UFG21" s="9"/>
      <c r="UFH21" s="9"/>
      <c r="UFI21" s="9"/>
      <c r="UFJ21" s="9"/>
      <c r="UFK21" s="9"/>
      <c r="UFL21" s="9"/>
      <c r="UFM21" s="9"/>
      <c r="UFN21" s="9"/>
      <c r="UFO21" s="9"/>
      <c r="UFP21" s="9"/>
      <c r="UFQ21" s="9"/>
      <c r="UFR21" s="9"/>
      <c r="UFS21" s="9"/>
      <c r="UFT21" s="9"/>
      <c r="UFU21" s="9"/>
      <c r="UFV21" s="9"/>
      <c r="UFW21" s="9"/>
      <c r="UFX21" s="9"/>
      <c r="UFY21" s="9"/>
      <c r="UFZ21" s="9"/>
      <c r="UGA21" s="9"/>
      <c r="UGB21" s="9"/>
      <c r="UGC21" s="9"/>
      <c r="UGD21" s="9"/>
      <c r="UGE21" s="9"/>
      <c r="UGF21" s="9"/>
      <c r="UGG21" s="9"/>
      <c r="UGH21" s="9"/>
      <c r="UGI21" s="9"/>
      <c r="UGJ21" s="9"/>
      <c r="UGK21" s="9"/>
      <c r="UGL21" s="9"/>
      <c r="UGM21" s="9"/>
      <c r="UGN21" s="9"/>
      <c r="UGO21" s="9"/>
      <c r="UGP21" s="9"/>
      <c r="UGQ21" s="9"/>
      <c r="UGR21" s="9"/>
      <c r="UGS21" s="9"/>
      <c r="UGT21" s="9"/>
      <c r="UGU21" s="9"/>
      <c r="UGV21" s="9"/>
      <c r="UGW21" s="9"/>
      <c r="UGX21" s="9"/>
      <c r="UGY21" s="9"/>
      <c r="UGZ21" s="9"/>
      <c r="UHA21" s="9"/>
      <c r="UHB21" s="9"/>
      <c r="UHC21" s="9"/>
      <c r="UHD21" s="9"/>
      <c r="UHE21" s="9"/>
      <c r="UHF21" s="9"/>
      <c r="UHG21" s="9"/>
      <c r="UHH21" s="9"/>
      <c r="UHI21" s="9"/>
      <c r="UHJ21" s="9"/>
      <c r="UHK21" s="9"/>
      <c r="UHL21" s="9"/>
      <c r="UHM21" s="9"/>
      <c r="UHN21" s="9"/>
      <c r="UHO21" s="9"/>
      <c r="UHP21" s="9"/>
      <c r="UHQ21" s="9"/>
      <c r="UHR21" s="9"/>
      <c r="UHS21" s="9"/>
      <c r="UHT21" s="9"/>
      <c r="UHU21" s="9"/>
      <c r="UHV21" s="9"/>
      <c r="UHW21" s="9"/>
      <c r="UHX21" s="9"/>
      <c r="UHY21" s="9"/>
      <c r="UHZ21" s="9"/>
      <c r="UIA21" s="9"/>
      <c r="UIB21" s="9"/>
      <c r="UIC21" s="9"/>
      <c r="UID21" s="9"/>
      <c r="UIE21" s="9"/>
      <c r="UIF21" s="9"/>
      <c r="UIG21" s="9"/>
      <c r="UIH21" s="9"/>
      <c r="UII21" s="9"/>
      <c r="UIJ21" s="9"/>
      <c r="UIK21" s="9"/>
      <c r="UIL21" s="9"/>
      <c r="UIM21" s="9"/>
      <c r="UIN21" s="9"/>
      <c r="UIO21" s="9"/>
      <c r="UIP21" s="9"/>
      <c r="UIQ21" s="9"/>
      <c r="UIR21" s="9"/>
      <c r="UIS21" s="9"/>
      <c r="UIT21" s="9"/>
      <c r="UIU21" s="9"/>
      <c r="UIV21" s="9"/>
      <c r="UIW21" s="9"/>
      <c r="UIX21" s="9"/>
      <c r="UIY21" s="9"/>
      <c r="UIZ21" s="9"/>
      <c r="UJA21" s="9"/>
      <c r="UJB21" s="9"/>
      <c r="UJC21" s="9"/>
      <c r="UJD21" s="9"/>
      <c r="UJE21" s="9"/>
      <c r="UJF21" s="9"/>
      <c r="UJG21" s="9"/>
      <c r="UJH21" s="9"/>
      <c r="UJI21" s="9"/>
      <c r="UJJ21" s="9"/>
      <c r="UJK21" s="9"/>
      <c r="UJL21" s="9"/>
      <c r="UJM21" s="9"/>
      <c r="UJN21" s="9"/>
      <c r="UJO21" s="9"/>
      <c r="UJP21" s="9"/>
      <c r="UJQ21" s="9"/>
      <c r="UJR21" s="9"/>
      <c r="UJS21" s="9"/>
      <c r="UJT21" s="9"/>
      <c r="UJU21" s="9"/>
      <c r="UJV21" s="9"/>
      <c r="UJW21" s="9"/>
      <c r="UJX21" s="9"/>
      <c r="UJY21" s="9"/>
      <c r="UJZ21" s="9"/>
      <c r="UKA21" s="9"/>
      <c r="UKB21" s="9"/>
      <c r="UKC21" s="9"/>
      <c r="UKD21" s="9"/>
      <c r="UKE21" s="9"/>
      <c r="UKF21" s="9"/>
      <c r="UKG21" s="9"/>
      <c r="UKH21" s="9"/>
      <c r="UKI21" s="9"/>
      <c r="UKJ21" s="9"/>
      <c r="UKK21" s="9"/>
      <c r="UKL21" s="9"/>
      <c r="UKM21" s="9"/>
      <c r="UKN21" s="9"/>
      <c r="UKO21" s="9"/>
      <c r="UKP21" s="9"/>
      <c r="UKQ21" s="9"/>
      <c r="UKR21" s="9"/>
      <c r="UKS21" s="9"/>
      <c r="UKT21" s="9"/>
      <c r="UKU21" s="9"/>
      <c r="UKV21" s="9"/>
      <c r="UKW21" s="9"/>
      <c r="UKX21" s="9"/>
      <c r="UKY21" s="9"/>
      <c r="UKZ21" s="9"/>
      <c r="ULA21" s="9"/>
      <c r="ULB21" s="9"/>
      <c r="ULC21" s="9"/>
      <c r="ULD21" s="9"/>
      <c r="ULE21" s="9"/>
      <c r="ULF21" s="9"/>
      <c r="ULG21" s="9"/>
      <c r="ULH21" s="9"/>
      <c r="ULI21" s="9"/>
      <c r="ULJ21" s="9"/>
      <c r="ULK21" s="9"/>
      <c r="ULL21" s="9"/>
      <c r="ULM21" s="9"/>
      <c r="ULN21" s="9"/>
      <c r="ULO21" s="9"/>
      <c r="ULP21" s="9"/>
      <c r="ULQ21" s="9"/>
      <c r="ULR21" s="9"/>
      <c r="ULS21" s="9"/>
      <c r="ULT21" s="9"/>
      <c r="ULU21" s="9"/>
      <c r="ULV21" s="9"/>
      <c r="ULW21" s="9"/>
      <c r="ULX21" s="9"/>
      <c r="ULY21" s="9"/>
      <c r="ULZ21" s="9"/>
      <c r="UMA21" s="9"/>
      <c r="UMB21" s="9"/>
      <c r="UMC21" s="9"/>
      <c r="UMD21" s="9"/>
      <c r="UME21" s="9"/>
      <c r="UMF21" s="9"/>
      <c r="UMG21" s="9"/>
      <c r="UMH21" s="9"/>
      <c r="UMI21" s="9"/>
      <c r="UMJ21" s="9"/>
      <c r="UMK21" s="9"/>
      <c r="UML21" s="9"/>
      <c r="UMM21" s="9"/>
      <c r="UMN21" s="9"/>
      <c r="UMO21" s="9"/>
      <c r="UMP21" s="9"/>
      <c r="UMQ21" s="9"/>
      <c r="UMR21" s="9"/>
      <c r="UMS21" s="9"/>
      <c r="UMT21" s="9"/>
      <c r="UMU21" s="9"/>
      <c r="UMV21" s="9"/>
      <c r="UMW21" s="9"/>
      <c r="UMX21" s="9"/>
      <c r="UMY21" s="9"/>
      <c r="UMZ21" s="9"/>
      <c r="UNA21" s="9"/>
      <c r="UNB21" s="9"/>
      <c r="UNC21" s="9"/>
      <c r="UND21" s="9"/>
      <c r="UNE21" s="9"/>
      <c r="UNF21" s="9"/>
      <c r="UNG21" s="9"/>
      <c r="UNH21" s="9"/>
      <c r="UNI21" s="9"/>
      <c r="UNJ21" s="9"/>
      <c r="UNK21" s="9"/>
      <c r="UNL21" s="9"/>
      <c r="UNM21" s="9"/>
      <c r="UNN21" s="9"/>
      <c r="UNO21" s="9"/>
      <c r="UNP21" s="9"/>
      <c r="UNQ21" s="9"/>
      <c r="UNR21" s="9"/>
      <c r="UNS21" s="9"/>
      <c r="UNT21" s="9"/>
      <c r="UNU21" s="9"/>
      <c r="UNV21" s="9"/>
      <c r="UNW21" s="9"/>
      <c r="UNX21" s="9"/>
      <c r="UNY21" s="9"/>
      <c r="UNZ21" s="9"/>
      <c r="UOA21" s="9"/>
      <c r="UOB21" s="9"/>
      <c r="UOC21" s="9"/>
      <c r="UOD21" s="9"/>
      <c r="UOE21" s="9"/>
      <c r="UOF21" s="9"/>
      <c r="UOG21" s="9"/>
      <c r="UOH21" s="9"/>
      <c r="UOI21" s="9"/>
      <c r="UOJ21" s="9"/>
      <c r="UOK21" s="9"/>
      <c r="UOL21" s="9"/>
      <c r="UOM21" s="9"/>
      <c r="UON21" s="9"/>
      <c r="UOO21" s="9"/>
      <c r="UOP21" s="9"/>
      <c r="UOQ21" s="9"/>
      <c r="UOR21" s="9"/>
      <c r="UOS21" s="9"/>
      <c r="UOT21" s="9"/>
      <c r="UOU21" s="9"/>
      <c r="UOV21" s="9"/>
      <c r="UOW21" s="9"/>
      <c r="UOX21" s="9"/>
      <c r="UOY21" s="9"/>
      <c r="UOZ21" s="9"/>
      <c r="UPA21" s="9"/>
      <c r="UPB21" s="9"/>
      <c r="UPC21" s="9"/>
      <c r="UPD21" s="9"/>
      <c r="UPE21" s="9"/>
      <c r="UPF21" s="9"/>
      <c r="UPG21" s="9"/>
      <c r="UPH21" s="9"/>
      <c r="UPI21" s="9"/>
      <c r="UPJ21" s="9"/>
      <c r="UPK21" s="9"/>
      <c r="UPL21" s="9"/>
      <c r="UPM21" s="9"/>
      <c r="UPN21" s="9"/>
      <c r="UPO21" s="9"/>
      <c r="UPP21" s="9"/>
      <c r="UPQ21" s="9"/>
      <c r="UPR21" s="9"/>
      <c r="UPS21" s="9"/>
      <c r="UPT21" s="9"/>
      <c r="UPU21" s="9"/>
      <c r="UPV21" s="9"/>
      <c r="UPW21" s="9"/>
      <c r="UPX21" s="9"/>
      <c r="UPY21" s="9"/>
      <c r="UPZ21" s="9"/>
      <c r="UQA21" s="9"/>
      <c r="UQB21" s="9"/>
      <c r="UQC21" s="9"/>
      <c r="UQD21" s="9"/>
      <c r="UQE21" s="9"/>
      <c r="UQF21" s="9"/>
      <c r="UQG21" s="9"/>
      <c r="UQH21" s="9"/>
      <c r="UQI21" s="9"/>
      <c r="UQJ21" s="9"/>
      <c r="UQK21" s="9"/>
      <c r="UQL21" s="9"/>
      <c r="UQM21" s="9"/>
      <c r="UQN21" s="9"/>
      <c r="UQO21" s="9"/>
      <c r="UQP21" s="9"/>
      <c r="UQQ21" s="9"/>
      <c r="UQR21" s="9"/>
      <c r="UQS21" s="9"/>
      <c r="UQT21" s="9"/>
      <c r="UQU21" s="9"/>
      <c r="UQV21" s="9"/>
      <c r="UQW21" s="9"/>
      <c r="UQX21" s="9"/>
      <c r="UQY21" s="9"/>
      <c r="UQZ21" s="9"/>
      <c r="URA21" s="9"/>
      <c r="URB21" s="9"/>
      <c r="URC21" s="9"/>
      <c r="URD21" s="9"/>
      <c r="URE21" s="9"/>
      <c r="URF21" s="9"/>
      <c r="URG21" s="9"/>
      <c r="URH21" s="9"/>
      <c r="URI21" s="9"/>
      <c r="URJ21" s="9"/>
      <c r="URK21" s="9"/>
      <c r="URL21" s="9"/>
      <c r="URM21" s="9"/>
      <c r="URN21" s="9"/>
      <c r="URO21" s="9"/>
      <c r="URP21" s="9"/>
      <c r="URQ21" s="9"/>
      <c r="URR21" s="9"/>
      <c r="URS21" s="9"/>
      <c r="URT21" s="9"/>
      <c r="URU21" s="9"/>
      <c r="URV21" s="9"/>
      <c r="URW21" s="9"/>
      <c r="URX21" s="9"/>
      <c r="URY21" s="9"/>
      <c r="URZ21" s="9"/>
      <c r="USA21" s="9"/>
      <c r="USB21" s="9"/>
      <c r="USC21" s="9"/>
      <c r="USD21" s="9"/>
      <c r="USE21" s="9"/>
      <c r="USF21" s="9"/>
      <c r="USG21" s="9"/>
      <c r="USH21" s="9"/>
      <c r="USI21" s="9"/>
      <c r="USJ21" s="9"/>
      <c r="USK21" s="9"/>
      <c r="USL21" s="9"/>
      <c r="USM21" s="9"/>
      <c r="USN21" s="9"/>
      <c r="USO21" s="9"/>
      <c r="USP21" s="9"/>
      <c r="USQ21" s="9"/>
      <c r="USR21" s="9"/>
      <c r="USS21" s="9"/>
      <c r="UST21" s="9"/>
      <c r="USU21" s="9"/>
      <c r="USV21" s="9"/>
      <c r="USW21" s="9"/>
      <c r="USX21" s="9"/>
      <c r="USY21" s="9"/>
      <c r="USZ21" s="9"/>
      <c r="UTA21" s="9"/>
      <c r="UTB21" s="9"/>
      <c r="UTC21" s="9"/>
      <c r="UTD21" s="9"/>
      <c r="UTE21" s="9"/>
      <c r="UTF21" s="9"/>
      <c r="UTG21" s="9"/>
      <c r="UTH21" s="9"/>
      <c r="UTI21" s="9"/>
      <c r="UTJ21" s="9"/>
      <c r="UTK21" s="9"/>
      <c r="UTL21" s="9"/>
      <c r="UTM21" s="9"/>
      <c r="UTN21" s="9"/>
      <c r="UTO21" s="9"/>
      <c r="UTP21" s="9"/>
      <c r="UTQ21" s="9"/>
      <c r="UTR21" s="9"/>
      <c r="UTS21" s="9"/>
      <c r="UTT21" s="9"/>
      <c r="UTU21" s="9"/>
      <c r="UTV21" s="9"/>
      <c r="UTW21" s="9"/>
      <c r="UTX21" s="9"/>
      <c r="UTY21" s="9"/>
      <c r="UTZ21" s="9"/>
      <c r="UUA21" s="9"/>
      <c r="UUB21" s="9"/>
      <c r="UUC21" s="9"/>
      <c r="UUD21" s="9"/>
      <c r="UUE21" s="9"/>
      <c r="UUF21" s="9"/>
      <c r="UUG21" s="9"/>
      <c r="UUH21" s="9"/>
      <c r="UUI21" s="9"/>
      <c r="UUJ21" s="9"/>
      <c r="UUK21" s="9"/>
      <c r="UUL21" s="9"/>
      <c r="UUM21" s="9"/>
      <c r="UUN21" s="9"/>
      <c r="UUO21" s="9"/>
      <c r="UUP21" s="9"/>
      <c r="UUQ21" s="9"/>
      <c r="UUR21" s="9"/>
      <c r="UUS21" s="9"/>
      <c r="UUT21" s="9"/>
      <c r="UUU21" s="9"/>
      <c r="UUV21" s="9"/>
      <c r="UUW21" s="9"/>
      <c r="UUX21" s="9"/>
      <c r="UUY21" s="9"/>
      <c r="UUZ21" s="9"/>
      <c r="UVA21" s="9"/>
      <c r="UVB21" s="9"/>
      <c r="UVC21" s="9"/>
      <c r="UVD21" s="9"/>
      <c r="UVE21" s="9"/>
      <c r="UVF21" s="9"/>
      <c r="UVG21" s="9"/>
      <c r="UVH21" s="9"/>
      <c r="UVI21" s="9"/>
      <c r="UVJ21" s="9"/>
      <c r="UVK21" s="9"/>
      <c r="UVL21" s="9"/>
      <c r="UVM21" s="9"/>
      <c r="UVN21" s="9"/>
      <c r="UVO21" s="9"/>
      <c r="UVP21" s="9"/>
      <c r="UVQ21" s="9"/>
      <c r="UVR21" s="9"/>
      <c r="UVS21" s="9"/>
      <c r="UVT21" s="9"/>
      <c r="UVU21" s="9"/>
      <c r="UVV21" s="9"/>
      <c r="UVW21" s="9"/>
      <c r="UVX21" s="9"/>
      <c r="UVY21" s="9"/>
      <c r="UVZ21" s="9"/>
      <c r="UWA21" s="9"/>
      <c r="UWB21" s="9"/>
      <c r="UWC21" s="9"/>
      <c r="UWD21" s="9"/>
      <c r="UWE21" s="9"/>
      <c r="UWF21" s="9"/>
      <c r="UWG21" s="9"/>
      <c r="UWH21" s="9"/>
      <c r="UWI21" s="9"/>
      <c r="UWJ21" s="9"/>
      <c r="UWK21" s="9"/>
      <c r="UWL21" s="9"/>
      <c r="UWM21" s="9"/>
      <c r="UWN21" s="9"/>
      <c r="UWO21" s="9"/>
      <c r="UWP21" s="9"/>
      <c r="UWQ21" s="9"/>
      <c r="UWR21" s="9"/>
      <c r="UWS21" s="9"/>
      <c r="UWT21" s="9"/>
      <c r="UWU21" s="9"/>
      <c r="UWV21" s="9"/>
      <c r="UWW21" s="9"/>
      <c r="UWX21" s="9"/>
      <c r="UWY21" s="9"/>
      <c r="UWZ21" s="9"/>
      <c r="UXA21" s="9"/>
      <c r="UXB21" s="9"/>
      <c r="UXC21" s="9"/>
      <c r="UXD21" s="9"/>
      <c r="UXE21" s="9"/>
      <c r="UXF21" s="9"/>
      <c r="UXG21" s="9"/>
      <c r="UXH21" s="9"/>
      <c r="UXI21" s="9"/>
      <c r="UXJ21" s="9"/>
      <c r="UXK21" s="9"/>
      <c r="UXL21" s="9"/>
      <c r="UXM21" s="9"/>
      <c r="UXN21" s="9"/>
      <c r="UXO21" s="9"/>
      <c r="UXP21" s="9"/>
      <c r="UXQ21" s="9"/>
      <c r="UXR21" s="9"/>
      <c r="UXS21" s="9"/>
      <c r="UXT21" s="9"/>
      <c r="UXU21" s="9"/>
      <c r="UXV21" s="9"/>
      <c r="UXW21" s="9"/>
      <c r="UXX21" s="9"/>
      <c r="UXY21" s="9"/>
      <c r="UXZ21" s="9"/>
      <c r="UYA21" s="9"/>
      <c r="UYB21" s="9"/>
      <c r="UYC21" s="9"/>
      <c r="UYD21" s="9"/>
      <c r="UYE21" s="9"/>
      <c r="UYF21" s="9"/>
      <c r="UYG21" s="9"/>
      <c r="UYH21" s="9"/>
      <c r="UYI21" s="9"/>
      <c r="UYJ21" s="9"/>
      <c r="UYK21" s="9"/>
      <c r="UYL21" s="9"/>
      <c r="UYM21" s="9"/>
      <c r="UYN21" s="9"/>
      <c r="UYO21" s="9"/>
      <c r="UYP21" s="9"/>
      <c r="UYQ21" s="9"/>
      <c r="UYR21" s="9"/>
      <c r="UYS21" s="9"/>
      <c r="UYT21" s="9"/>
      <c r="UYU21" s="9"/>
      <c r="UYV21" s="9"/>
      <c r="UYW21" s="9"/>
      <c r="UYX21" s="9"/>
      <c r="UYY21" s="9"/>
      <c r="UYZ21" s="9"/>
      <c r="UZA21" s="9"/>
      <c r="UZB21" s="9"/>
      <c r="UZC21" s="9"/>
      <c r="UZD21" s="9"/>
      <c r="UZE21" s="9"/>
      <c r="UZF21" s="9"/>
      <c r="UZG21" s="9"/>
      <c r="UZH21" s="9"/>
      <c r="UZI21" s="9"/>
      <c r="UZJ21" s="9"/>
      <c r="UZK21" s="9"/>
      <c r="UZL21" s="9"/>
      <c r="UZM21" s="9"/>
      <c r="UZN21" s="9"/>
      <c r="UZO21" s="9"/>
      <c r="UZP21" s="9"/>
      <c r="UZQ21" s="9"/>
      <c r="UZR21" s="9"/>
      <c r="UZS21" s="9"/>
      <c r="UZT21" s="9"/>
      <c r="UZU21" s="9"/>
      <c r="UZV21" s="9"/>
      <c r="UZW21" s="9"/>
      <c r="UZX21" s="9"/>
      <c r="UZY21" s="9"/>
      <c r="UZZ21" s="9"/>
      <c r="VAA21" s="9"/>
      <c r="VAB21" s="9"/>
      <c r="VAC21" s="9"/>
      <c r="VAD21" s="9"/>
      <c r="VAE21" s="9"/>
      <c r="VAF21" s="9"/>
      <c r="VAG21" s="9"/>
      <c r="VAH21" s="9"/>
      <c r="VAI21" s="9"/>
      <c r="VAJ21" s="9"/>
      <c r="VAK21" s="9"/>
      <c r="VAL21" s="9"/>
      <c r="VAM21" s="9"/>
      <c r="VAN21" s="9"/>
      <c r="VAO21" s="9"/>
      <c r="VAP21" s="9"/>
      <c r="VAQ21" s="9"/>
      <c r="VAR21" s="9"/>
      <c r="VAS21" s="9"/>
      <c r="VAT21" s="9"/>
      <c r="VAU21" s="9"/>
      <c r="VAV21" s="9"/>
      <c r="VAW21" s="9"/>
      <c r="VAX21" s="9"/>
      <c r="VAY21" s="9"/>
      <c r="VAZ21" s="9"/>
      <c r="VBA21" s="9"/>
      <c r="VBB21" s="9"/>
      <c r="VBC21" s="9"/>
      <c r="VBD21" s="9"/>
      <c r="VBE21" s="9"/>
      <c r="VBF21" s="9"/>
      <c r="VBG21" s="9"/>
      <c r="VBH21" s="9"/>
      <c r="VBI21" s="9"/>
      <c r="VBJ21" s="9"/>
      <c r="VBK21" s="9"/>
      <c r="VBL21" s="9"/>
      <c r="VBM21" s="9"/>
      <c r="VBN21" s="9"/>
      <c r="VBO21" s="9"/>
      <c r="VBP21" s="9"/>
      <c r="VBQ21" s="9"/>
      <c r="VBR21" s="9"/>
      <c r="VBS21" s="9"/>
      <c r="VBT21" s="9"/>
      <c r="VBU21" s="9"/>
      <c r="VBV21" s="9"/>
      <c r="VBW21" s="9"/>
      <c r="VBX21" s="9"/>
      <c r="VBY21" s="9"/>
      <c r="VBZ21" s="9"/>
      <c r="VCA21" s="9"/>
      <c r="VCB21" s="9"/>
      <c r="VCC21" s="9"/>
      <c r="VCD21" s="9"/>
      <c r="VCE21" s="9"/>
      <c r="VCF21" s="9"/>
      <c r="VCG21" s="9"/>
      <c r="VCH21" s="9"/>
      <c r="VCI21" s="9"/>
      <c r="VCJ21" s="9"/>
      <c r="VCK21" s="9"/>
      <c r="VCL21" s="9"/>
      <c r="VCM21" s="9"/>
      <c r="VCN21" s="9"/>
      <c r="VCO21" s="9"/>
      <c r="VCP21" s="9"/>
      <c r="VCQ21" s="9"/>
      <c r="VCR21" s="9"/>
      <c r="VCS21" s="9"/>
      <c r="VCT21" s="9"/>
      <c r="VCU21" s="9"/>
      <c r="VCV21" s="9"/>
      <c r="VCW21" s="9"/>
      <c r="VCX21" s="9"/>
      <c r="VCY21" s="9"/>
      <c r="VCZ21" s="9"/>
      <c r="VDA21" s="9"/>
      <c r="VDB21" s="9"/>
      <c r="VDC21" s="9"/>
      <c r="VDD21" s="9"/>
      <c r="VDE21" s="9"/>
      <c r="VDF21" s="9"/>
      <c r="VDG21" s="9"/>
      <c r="VDH21" s="9"/>
      <c r="VDI21" s="9"/>
      <c r="VDJ21" s="9"/>
      <c r="VDK21" s="9"/>
      <c r="VDL21" s="9"/>
      <c r="VDM21" s="9"/>
      <c r="VDN21" s="9"/>
      <c r="VDO21" s="9"/>
      <c r="VDP21" s="9"/>
      <c r="VDQ21" s="9"/>
      <c r="VDR21" s="9"/>
      <c r="VDS21" s="9"/>
      <c r="VDT21" s="9"/>
      <c r="VDU21" s="9"/>
      <c r="VDV21" s="9"/>
      <c r="VDW21" s="9"/>
      <c r="VDX21" s="9"/>
      <c r="VDY21" s="9"/>
      <c r="VDZ21" s="9"/>
      <c r="VEA21" s="9"/>
      <c r="VEB21" s="9"/>
      <c r="VEC21" s="9"/>
      <c r="VED21" s="9"/>
      <c r="VEE21" s="9"/>
      <c r="VEF21" s="9"/>
      <c r="VEG21" s="9"/>
      <c r="VEH21" s="9"/>
      <c r="VEI21" s="9"/>
      <c r="VEJ21" s="9"/>
      <c r="VEK21" s="9"/>
      <c r="VEL21" s="9"/>
      <c r="VEM21" s="9"/>
      <c r="VEN21" s="9"/>
      <c r="VEO21" s="9"/>
      <c r="VEP21" s="9"/>
      <c r="VEQ21" s="9"/>
      <c r="VER21" s="9"/>
      <c r="VES21" s="9"/>
      <c r="VET21" s="9"/>
      <c r="VEU21" s="9"/>
      <c r="VEV21" s="9"/>
      <c r="VEW21" s="9"/>
      <c r="VEX21" s="9"/>
      <c r="VEY21" s="9"/>
      <c r="VEZ21" s="9"/>
      <c r="VFA21" s="9"/>
      <c r="VFB21" s="9"/>
      <c r="VFC21" s="9"/>
      <c r="VFD21" s="9"/>
      <c r="VFE21" s="9"/>
      <c r="VFF21" s="9"/>
      <c r="VFG21" s="9"/>
      <c r="VFH21" s="9"/>
      <c r="VFI21" s="9"/>
      <c r="VFJ21" s="9"/>
      <c r="VFK21" s="9"/>
      <c r="VFL21" s="9"/>
      <c r="VFM21" s="9"/>
      <c r="VFN21" s="9"/>
      <c r="VFO21" s="9"/>
      <c r="VFP21" s="9"/>
      <c r="VFQ21" s="9"/>
      <c r="VFR21" s="9"/>
      <c r="VFS21" s="9"/>
      <c r="VFT21" s="9"/>
      <c r="VFU21" s="9"/>
      <c r="VFV21" s="9"/>
      <c r="VFW21" s="9"/>
      <c r="VFX21" s="9"/>
      <c r="VFY21" s="9"/>
      <c r="VFZ21" s="9"/>
      <c r="VGA21" s="9"/>
      <c r="VGB21" s="9"/>
      <c r="VGC21" s="9"/>
      <c r="VGD21" s="9"/>
      <c r="VGE21" s="9"/>
      <c r="VGF21" s="9"/>
      <c r="VGG21" s="9"/>
      <c r="VGH21" s="9"/>
      <c r="VGI21" s="9"/>
      <c r="VGJ21" s="9"/>
      <c r="VGK21" s="9"/>
      <c r="VGL21" s="9"/>
      <c r="VGM21" s="9"/>
      <c r="VGN21" s="9"/>
      <c r="VGO21" s="9"/>
      <c r="VGP21" s="9"/>
      <c r="VGQ21" s="9"/>
      <c r="VGR21" s="9"/>
      <c r="VGS21" s="9"/>
      <c r="VGT21" s="9"/>
      <c r="VGU21" s="9"/>
      <c r="VGV21" s="9"/>
      <c r="VGW21" s="9"/>
      <c r="VGX21" s="9"/>
      <c r="VGY21" s="9"/>
      <c r="VGZ21" s="9"/>
      <c r="VHA21" s="9"/>
      <c r="VHB21" s="9"/>
      <c r="VHC21" s="9"/>
      <c r="VHD21" s="9"/>
      <c r="VHE21" s="9"/>
      <c r="VHF21" s="9"/>
      <c r="VHG21" s="9"/>
      <c r="VHH21" s="9"/>
      <c r="VHI21" s="9"/>
      <c r="VHJ21" s="9"/>
      <c r="VHK21" s="9"/>
      <c r="VHL21" s="9"/>
      <c r="VHM21" s="9"/>
      <c r="VHN21" s="9"/>
      <c r="VHO21" s="9"/>
      <c r="VHP21" s="9"/>
      <c r="VHQ21" s="9"/>
      <c r="VHR21" s="9"/>
      <c r="VHS21" s="9"/>
      <c r="VHT21" s="9"/>
      <c r="VHU21" s="9"/>
      <c r="VHV21" s="9"/>
      <c r="VHW21" s="9"/>
      <c r="VHX21" s="9"/>
      <c r="VHY21" s="9"/>
      <c r="VHZ21" s="9"/>
      <c r="VIA21" s="9"/>
      <c r="VIB21" s="9"/>
      <c r="VIC21" s="9"/>
      <c r="VID21" s="9"/>
      <c r="VIE21" s="9"/>
      <c r="VIF21" s="9"/>
      <c r="VIG21" s="9"/>
      <c r="VIH21" s="9"/>
      <c r="VII21" s="9"/>
      <c r="VIJ21" s="9"/>
      <c r="VIK21" s="9"/>
      <c r="VIL21" s="9"/>
      <c r="VIM21" s="9"/>
      <c r="VIN21" s="9"/>
      <c r="VIO21" s="9"/>
      <c r="VIP21" s="9"/>
      <c r="VIQ21" s="9"/>
      <c r="VIR21" s="9"/>
      <c r="VIS21" s="9"/>
      <c r="VIT21" s="9"/>
      <c r="VIU21" s="9"/>
      <c r="VIV21" s="9"/>
      <c r="VIW21" s="9"/>
      <c r="VIX21" s="9"/>
      <c r="VIY21" s="9"/>
      <c r="VIZ21" s="9"/>
      <c r="VJA21" s="9"/>
      <c r="VJB21" s="9"/>
      <c r="VJC21" s="9"/>
      <c r="VJD21" s="9"/>
      <c r="VJE21" s="9"/>
      <c r="VJF21" s="9"/>
      <c r="VJG21" s="9"/>
      <c r="VJH21" s="9"/>
      <c r="VJI21" s="9"/>
      <c r="VJJ21" s="9"/>
      <c r="VJK21" s="9"/>
      <c r="VJL21" s="9"/>
      <c r="VJM21" s="9"/>
      <c r="VJN21" s="9"/>
      <c r="VJO21" s="9"/>
      <c r="VJP21" s="9"/>
      <c r="VJQ21" s="9"/>
      <c r="VJR21" s="9"/>
      <c r="VJS21" s="9"/>
      <c r="VJT21" s="9"/>
      <c r="VJU21" s="9"/>
      <c r="VJV21" s="9"/>
      <c r="VJW21" s="9"/>
      <c r="VJX21" s="9"/>
      <c r="VJY21" s="9"/>
      <c r="VJZ21" s="9"/>
      <c r="VKA21" s="9"/>
      <c r="VKB21" s="9"/>
      <c r="VKC21" s="9"/>
      <c r="VKD21" s="9"/>
      <c r="VKE21" s="9"/>
      <c r="VKF21" s="9"/>
      <c r="VKG21" s="9"/>
      <c r="VKH21" s="9"/>
      <c r="VKI21" s="9"/>
      <c r="VKJ21" s="9"/>
      <c r="VKK21" s="9"/>
      <c r="VKL21" s="9"/>
      <c r="VKM21" s="9"/>
      <c r="VKN21" s="9"/>
      <c r="VKO21" s="9"/>
      <c r="VKP21" s="9"/>
      <c r="VKQ21" s="9"/>
      <c r="VKR21" s="9"/>
      <c r="VKS21" s="9"/>
      <c r="VKT21" s="9"/>
      <c r="VKU21" s="9"/>
      <c r="VKV21" s="9"/>
      <c r="VKW21" s="9"/>
      <c r="VKX21" s="9"/>
      <c r="VKY21" s="9"/>
      <c r="VKZ21" s="9"/>
      <c r="VLA21" s="9"/>
      <c r="VLB21" s="9"/>
      <c r="VLC21" s="9"/>
      <c r="VLD21" s="9"/>
      <c r="VLE21" s="9"/>
      <c r="VLF21" s="9"/>
      <c r="VLG21" s="9"/>
      <c r="VLH21" s="9"/>
      <c r="VLI21" s="9"/>
      <c r="VLJ21" s="9"/>
      <c r="VLK21" s="9"/>
      <c r="VLL21" s="9"/>
      <c r="VLM21" s="9"/>
      <c r="VLN21" s="9"/>
      <c r="VLO21" s="9"/>
      <c r="VLP21" s="9"/>
      <c r="VLQ21" s="9"/>
      <c r="VLR21" s="9"/>
      <c r="VLS21" s="9"/>
      <c r="VLT21" s="9"/>
      <c r="VLU21" s="9"/>
      <c r="VLV21" s="9"/>
      <c r="VLW21" s="9"/>
      <c r="VLX21" s="9"/>
      <c r="VLY21" s="9"/>
      <c r="VLZ21" s="9"/>
      <c r="VMA21" s="9"/>
      <c r="VMB21" s="9"/>
      <c r="VMC21" s="9"/>
      <c r="VMD21" s="9"/>
      <c r="VME21" s="9"/>
      <c r="VMF21" s="9"/>
      <c r="VMG21" s="9"/>
      <c r="VMH21" s="9"/>
      <c r="VMI21" s="9"/>
      <c r="VMJ21" s="9"/>
      <c r="VMK21" s="9"/>
      <c r="VML21" s="9"/>
      <c r="VMM21" s="9"/>
      <c r="VMN21" s="9"/>
      <c r="VMO21" s="9"/>
      <c r="VMP21" s="9"/>
      <c r="VMQ21" s="9"/>
      <c r="VMR21" s="9"/>
      <c r="VMS21" s="9"/>
      <c r="VMT21" s="9"/>
      <c r="VMU21" s="9"/>
      <c r="VMV21" s="9"/>
      <c r="VMW21" s="9"/>
      <c r="VMX21" s="9"/>
      <c r="VMY21" s="9"/>
      <c r="VMZ21" s="9"/>
      <c r="VNA21" s="9"/>
      <c r="VNB21" s="9"/>
      <c r="VNC21" s="9"/>
      <c r="VND21" s="9"/>
      <c r="VNE21" s="9"/>
      <c r="VNF21" s="9"/>
      <c r="VNG21" s="9"/>
      <c r="VNH21" s="9"/>
      <c r="VNI21" s="9"/>
      <c r="VNJ21" s="9"/>
      <c r="VNK21" s="9"/>
      <c r="VNL21" s="9"/>
      <c r="VNM21" s="9"/>
      <c r="VNN21" s="9"/>
      <c r="VNO21" s="9"/>
      <c r="VNP21" s="9"/>
      <c r="VNQ21" s="9"/>
      <c r="VNR21" s="9"/>
      <c r="VNS21" s="9"/>
      <c r="VNT21" s="9"/>
      <c r="VNU21" s="9"/>
      <c r="VNV21" s="9"/>
      <c r="VNW21" s="9"/>
      <c r="VNX21" s="9"/>
      <c r="VNY21" s="9"/>
      <c r="VNZ21" s="9"/>
      <c r="VOA21" s="9"/>
      <c r="VOB21" s="9"/>
      <c r="VOC21" s="9"/>
      <c r="VOD21" s="9"/>
      <c r="VOE21" s="9"/>
      <c r="VOF21" s="9"/>
      <c r="VOG21" s="9"/>
      <c r="VOH21" s="9"/>
      <c r="VOI21" s="9"/>
      <c r="VOJ21" s="9"/>
      <c r="VOK21" s="9"/>
      <c r="VOL21" s="9"/>
      <c r="VOM21" s="9"/>
      <c r="VON21" s="9"/>
      <c r="VOO21" s="9"/>
      <c r="VOP21" s="9"/>
      <c r="VOQ21" s="9"/>
      <c r="VOR21" s="9"/>
      <c r="VOS21" s="9"/>
      <c r="VOT21" s="9"/>
      <c r="VOU21" s="9"/>
      <c r="VOV21" s="9"/>
      <c r="VOW21" s="9"/>
      <c r="VOX21" s="9"/>
      <c r="VOY21" s="9"/>
      <c r="VOZ21" s="9"/>
      <c r="VPA21" s="9"/>
      <c r="VPB21" s="9"/>
      <c r="VPC21" s="9"/>
      <c r="VPD21" s="9"/>
      <c r="VPE21" s="9"/>
      <c r="VPF21" s="9"/>
      <c r="VPG21" s="9"/>
      <c r="VPH21" s="9"/>
      <c r="VPI21" s="9"/>
      <c r="VPJ21" s="9"/>
      <c r="VPK21" s="9"/>
      <c r="VPL21" s="9"/>
      <c r="VPM21" s="9"/>
      <c r="VPN21" s="9"/>
      <c r="VPO21" s="9"/>
      <c r="VPP21" s="9"/>
      <c r="VPQ21" s="9"/>
      <c r="VPR21" s="9"/>
      <c r="VPS21" s="9"/>
      <c r="VPT21" s="9"/>
      <c r="VPU21" s="9"/>
      <c r="VPV21" s="9"/>
      <c r="VPW21" s="9"/>
      <c r="VPX21" s="9"/>
      <c r="VPY21" s="9"/>
      <c r="VPZ21" s="9"/>
      <c r="VQA21" s="9"/>
      <c r="VQB21" s="9"/>
      <c r="VQC21" s="9"/>
      <c r="VQD21" s="9"/>
      <c r="VQE21" s="9"/>
      <c r="VQF21" s="9"/>
      <c r="VQG21" s="9"/>
      <c r="VQH21" s="9"/>
      <c r="VQI21" s="9"/>
      <c r="VQJ21" s="9"/>
      <c r="VQK21" s="9"/>
      <c r="VQL21" s="9"/>
      <c r="VQM21" s="9"/>
      <c r="VQN21" s="9"/>
      <c r="VQO21" s="9"/>
      <c r="VQP21" s="9"/>
      <c r="VQQ21" s="9"/>
      <c r="VQR21" s="9"/>
      <c r="VQS21" s="9"/>
      <c r="VQT21" s="9"/>
      <c r="VQU21" s="9"/>
      <c r="VQV21" s="9"/>
      <c r="VQW21" s="9"/>
      <c r="VQX21" s="9"/>
      <c r="VQY21" s="9"/>
      <c r="VQZ21" s="9"/>
      <c r="VRA21" s="9"/>
      <c r="VRB21" s="9"/>
      <c r="VRC21" s="9"/>
      <c r="VRD21" s="9"/>
      <c r="VRE21" s="9"/>
      <c r="VRF21" s="9"/>
      <c r="VRG21" s="9"/>
      <c r="VRH21" s="9"/>
      <c r="VRI21" s="9"/>
      <c r="VRJ21" s="9"/>
      <c r="VRK21" s="9"/>
      <c r="VRL21" s="9"/>
      <c r="VRM21" s="9"/>
      <c r="VRN21" s="9"/>
      <c r="VRO21" s="9"/>
      <c r="VRP21" s="9"/>
      <c r="VRQ21" s="9"/>
      <c r="VRR21" s="9"/>
      <c r="VRS21" s="9"/>
      <c r="VRT21" s="9"/>
      <c r="VRU21" s="9"/>
      <c r="VRV21" s="9"/>
      <c r="VRW21" s="9"/>
      <c r="VRX21" s="9"/>
      <c r="VRY21" s="9"/>
      <c r="VRZ21" s="9"/>
      <c r="VSA21" s="9"/>
      <c r="VSB21" s="9"/>
      <c r="VSC21" s="9"/>
      <c r="VSD21" s="9"/>
      <c r="VSE21" s="9"/>
      <c r="VSF21" s="9"/>
      <c r="VSG21" s="9"/>
      <c r="VSH21" s="9"/>
      <c r="VSI21" s="9"/>
      <c r="VSJ21" s="9"/>
      <c r="VSK21" s="9"/>
      <c r="VSL21" s="9"/>
      <c r="VSM21" s="9"/>
      <c r="VSN21" s="9"/>
      <c r="VSO21" s="9"/>
      <c r="VSP21" s="9"/>
      <c r="VSQ21" s="9"/>
      <c r="VSR21" s="9"/>
      <c r="VSS21" s="9"/>
      <c r="VST21" s="9"/>
      <c r="VSU21" s="9"/>
      <c r="VSV21" s="9"/>
      <c r="VSW21" s="9"/>
      <c r="VSX21" s="9"/>
      <c r="VSY21" s="9"/>
      <c r="VSZ21" s="9"/>
      <c r="VTA21" s="9"/>
      <c r="VTB21" s="9"/>
      <c r="VTC21" s="9"/>
      <c r="VTD21" s="9"/>
      <c r="VTE21" s="9"/>
      <c r="VTF21" s="9"/>
      <c r="VTG21" s="9"/>
      <c r="VTH21" s="9"/>
      <c r="VTI21" s="9"/>
      <c r="VTJ21" s="9"/>
      <c r="VTK21" s="9"/>
      <c r="VTL21" s="9"/>
      <c r="VTM21" s="9"/>
      <c r="VTN21" s="9"/>
      <c r="VTO21" s="9"/>
      <c r="VTP21" s="9"/>
      <c r="VTQ21" s="9"/>
      <c r="VTR21" s="9"/>
      <c r="VTS21" s="9"/>
      <c r="VTT21" s="9"/>
      <c r="VTU21" s="9"/>
      <c r="VTV21" s="9"/>
      <c r="VTW21" s="9"/>
      <c r="VTX21" s="9"/>
      <c r="VTY21" s="9"/>
      <c r="VTZ21" s="9"/>
      <c r="VUA21" s="9"/>
      <c r="VUB21" s="9"/>
      <c r="VUC21" s="9"/>
      <c r="VUD21" s="9"/>
      <c r="VUE21" s="9"/>
      <c r="VUF21" s="9"/>
      <c r="VUG21" s="9"/>
      <c r="VUH21" s="9"/>
      <c r="VUI21" s="9"/>
      <c r="VUJ21" s="9"/>
      <c r="VUK21" s="9"/>
      <c r="VUL21" s="9"/>
      <c r="VUM21" s="9"/>
      <c r="VUN21" s="9"/>
      <c r="VUO21" s="9"/>
      <c r="VUP21" s="9"/>
      <c r="VUQ21" s="9"/>
      <c r="VUR21" s="9"/>
      <c r="VUS21" s="9"/>
      <c r="VUT21" s="9"/>
      <c r="VUU21" s="9"/>
      <c r="VUV21" s="9"/>
      <c r="VUW21" s="9"/>
      <c r="VUX21" s="9"/>
      <c r="VUY21" s="9"/>
      <c r="VUZ21" s="9"/>
      <c r="VVA21" s="9"/>
      <c r="VVB21" s="9"/>
      <c r="VVC21" s="9"/>
      <c r="VVD21" s="9"/>
      <c r="VVE21" s="9"/>
      <c r="VVF21" s="9"/>
      <c r="VVG21" s="9"/>
      <c r="VVH21" s="9"/>
      <c r="VVI21" s="9"/>
      <c r="VVJ21" s="9"/>
      <c r="VVK21" s="9"/>
      <c r="VVL21" s="9"/>
      <c r="VVM21" s="9"/>
      <c r="VVN21" s="9"/>
      <c r="VVO21" s="9"/>
      <c r="VVP21" s="9"/>
      <c r="VVQ21" s="9"/>
      <c r="VVR21" s="9"/>
      <c r="VVS21" s="9"/>
      <c r="VVT21" s="9"/>
      <c r="VVU21" s="9"/>
      <c r="VVV21" s="9"/>
      <c r="VVW21" s="9"/>
      <c r="VVX21" s="9"/>
      <c r="VVY21" s="9"/>
      <c r="VVZ21" s="9"/>
      <c r="VWA21" s="9"/>
      <c r="VWB21" s="9"/>
      <c r="VWC21" s="9"/>
      <c r="VWD21" s="9"/>
      <c r="VWE21" s="9"/>
      <c r="VWF21" s="9"/>
      <c r="VWG21" s="9"/>
      <c r="VWH21" s="9"/>
      <c r="VWI21" s="9"/>
      <c r="VWJ21" s="9"/>
      <c r="VWK21" s="9"/>
      <c r="VWL21" s="9"/>
      <c r="VWM21" s="9"/>
      <c r="VWN21" s="9"/>
      <c r="VWO21" s="9"/>
      <c r="VWP21" s="9"/>
      <c r="VWQ21" s="9"/>
      <c r="VWR21" s="9"/>
      <c r="VWS21" s="9"/>
      <c r="VWT21" s="9"/>
      <c r="VWU21" s="9"/>
      <c r="VWV21" s="9"/>
      <c r="VWW21" s="9"/>
      <c r="VWX21" s="9"/>
      <c r="VWY21" s="9"/>
      <c r="VWZ21" s="9"/>
      <c r="VXA21" s="9"/>
      <c r="VXB21" s="9"/>
      <c r="VXC21" s="9"/>
      <c r="VXD21" s="9"/>
      <c r="VXE21" s="9"/>
      <c r="VXF21" s="9"/>
      <c r="VXG21" s="9"/>
      <c r="VXH21" s="9"/>
      <c r="VXI21" s="9"/>
      <c r="VXJ21" s="9"/>
      <c r="VXK21" s="9"/>
      <c r="VXL21" s="9"/>
      <c r="VXM21" s="9"/>
      <c r="VXN21" s="9"/>
      <c r="VXO21" s="9"/>
      <c r="VXP21" s="9"/>
      <c r="VXQ21" s="9"/>
      <c r="VXR21" s="9"/>
      <c r="VXS21" s="9"/>
      <c r="VXT21" s="9"/>
      <c r="VXU21" s="9"/>
      <c r="VXV21" s="9"/>
      <c r="VXW21" s="9"/>
      <c r="VXX21" s="9"/>
      <c r="VXY21" s="9"/>
      <c r="VXZ21" s="9"/>
      <c r="VYA21" s="9"/>
      <c r="VYB21" s="9"/>
      <c r="VYC21" s="9"/>
      <c r="VYD21" s="9"/>
      <c r="VYE21" s="9"/>
      <c r="VYF21" s="9"/>
      <c r="VYG21" s="9"/>
      <c r="VYH21" s="9"/>
      <c r="VYI21" s="9"/>
      <c r="VYJ21" s="9"/>
      <c r="VYK21" s="9"/>
      <c r="VYL21" s="9"/>
      <c r="VYM21" s="9"/>
      <c r="VYN21" s="9"/>
      <c r="VYO21" s="9"/>
      <c r="VYP21" s="9"/>
      <c r="VYQ21" s="9"/>
      <c r="VYR21" s="9"/>
      <c r="VYS21" s="9"/>
      <c r="VYT21" s="9"/>
      <c r="VYU21" s="9"/>
      <c r="VYV21" s="9"/>
      <c r="VYW21" s="9"/>
      <c r="VYX21" s="9"/>
      <c r="VYY21" s="9"/>
      <c r="VYZ21" s="9"/>
      <c r="VZA21" s="9"/>
      <c r="VZB21" s="9"/>
      <c r="VZC21" s="9"/>
      <c r="VZD21" s="9"/>
      <c r="VZE21" s="9"/>
      <c r="VZF21" s="9"/>
      <c r="VZG21" s="9"/>
      <c r="VZH21" s="9"/>
      <c r="VZI21" s="9"/>
      <c r="VZJ21" s="9"/>
      <c r="VZK21" s="9"/>
      <c r="VZL21" s="9"/>
      <c r="VZM21" s="9"/>
      <c r="VZN21" s="9"/>
      <c r="VZO21" s="9"/>
      <c r="VZP21" s="9"/>
      <c r="VZQ21" s="9"/>
      <c r="VZR21" s="9"/>
      <c r="VZS21" s="9"/>
      <c r="VZT21" s="9"/>
      <c r="VZU21" s="9"/>
      <c r="VZV21" s="9"/>
      <c r="VZW21" s="9"/>
      <c r="VZX21" s="9"/>
      <c r="VZY21" s="9"/>
      <c r="VZZ21" s="9"/>
      <c r="WAA21" s="9"/>
      <c r="WAB21" s="9"/>
      <c r="WAC21" s="9"/>
      <c r="WAD21" s="9"/>
      <c r="WAE21" s="9"/>
      <c r="WAF21" s="9"/>
      <c r="WAG21" s="9"/>
      <c r="WAH21" s="9"/>
      <c r="WAI21" s="9"/>
      <c r="WAJ21" s="9"/>
      <c r="WAK21" s="9"/>
      <c r="WAL21" s="9"/>
      <c r="WAM21" s="9"/>
      <c r="WAN21" s="9"/>
      <c r="WAO21" s="9"/>
      <c r="WAP21" s="9"/>
      <c r="WAQ21" s="9"/>
      <c r="WAR21" s="9"/>
      <c r="WAS21" s="9"/>
      <c r="WAT21" s="9"/>
      <c r="WAU21" s="9"/>
      <c r="WAV21" s="9"/>
      <c r="WAW21" s="9"/>
      <c r="WAX21" s="9"/>
      <c r="WAY21" s="9"/>
      <c r="WAZ21" s="9"/>
      <c r="WBA21" s="9"/>
      <c r="WBB21" s="9"/>
      <c r="WBC21" s="9"/>
      <c r="WBD21" s="9"/>
      <c r="WBE21" s="9"/>
      <c r="WBF21" s="9"/>
      <c r="WBG21" s="9"/>
      <c r="WBH21" s="9"/>
      <c r="WBI21" s="9"/>
      <c r="WBJ21" s="9"/>
      <c r="WBK21" s="9"/>
      <c r="WBL21" s="9"/>
      <c r="WBM21" s="9"/>
      <c r="WBN21" s="9"/>
      <c r="WBO21" s="9"/>
      <c r="WBP21" s="9"/>
      <c r="WBQ21" s="9"/>
      <c r="WBR21" s="9"/>
      <c r="WBS21" s="9"/>
      <c r="WBT21" s="9"/>
      <c r="WBU21" s="9"/>
      <c r="WBV21" s="9"/>
      <c r="WBW21" s="9"/>
      <c r="WBX21" s="9"/>
      <c r="WBY21" s="9"/>
      <c r="WBZ21" s="9"/>
      <c r="WCA21" s="9"/>
      <c r="WCB21" s="9"/>
      <c r="WCC21" s="9"/>
      <c r="WCD21" s="9"/>
      <c r="WCE21" s="9"/>
      <c r="WCF21" s="9"/>
      <c r="WCG21" s="9"/>
      <c r="WCH21" s="9"/>
      <c r="WCI21" s="9"/>
      <c r="WCJ21" s="9"/>
      <c r="WCK21" s="9"/>
      <c r="WCL21" s="9"/>
      <c r="WCM21" s="9"/>
      <c r="WCN21" s="9"/>
      <c r="WCO21" s="9"/>
      <c r="WCP21" s="9"/>
      <c r="WCQ21" s="9"/>
      <c r="WCR21" s="9"/>
      <c r="WCS21" s="9"/>
      <c r="WCT21" s="9"/>
      <c r="WCU21" s="9"/>
      <c r="WCV21" s="9"/>
      <c r="WCW21" s="9"/>
      <c r="WCX21" s="9"/>
      <c r="WCY21" s="9"/>
      <c r="WCZ21" s="9"/>
      <c r="WDA21" s="9"/>
      <c r="WDB21" s="9"/>
      <c r="WDC21" s="9"/>
      <c r="WDD21" s="9"/>
      <c r="WDE21" s="9"/>
      <c r="WDF21" s="9"/>
      <c r="WDG21" s="9"/>
      <c r="WDH21" s="9"/>
      <c r="WDI21" s="9"/>
      <c r="WDJ21" s="9"/>
      <c r="WDK21" s="9"/>
      <c r="WDL21" s="9"/>
      <c r="WDM21" s="9"/>
      <c r="WDN21" s="9"/>
      <c r="WDO21" s="9"/>
      <c r="WDP21" s="9"/>
      <c r="WDQ21" s="9"/>
      <c r="WDR21" s="9"/>
      <c r="WDS21" s="9"/>
      <c r="WDT21" s="9"/>
      <c r="WDU21" s="9"/>
      <c r="WDV21" s="9"/>
      <c r="WDW21" s="9"/>
      <c r="WDX21" s="9"/>
      <c r="WDY21" s="9"/>
      <c r="WDZ21" s="9"/>
      <c r="WEA21" s="9"/>
      <c r="WEB21" s="9"/>
      <c r="WEC21" s="9"/>
      <c r="WED21" s="9"/>
      <c r="WEE21" s="9"/>
      <c r="WEF21" s="9"/>
      <c r="WEG21" s="9"/>
      <c r="WEH21" s="9"/>
      <c r="WEI21" s="9"/>
      <c r="WEJ21" s="9"/>
      <c r="WEK21" s="9"/>
      <c r="WEL21" s="9"/>
      <c r="WEM21" s="9"/>
      <c r="WEN21" s="9"/>
      <c r="WEO21" s="9"/>
      <c r="WEP21" s="9"/>
      <c r="WEQ21" s="9"/>
      <c r="WER21" s="9"/>
      <c r="WES21" s="9"/>
      <c r="WET21" s="9"/>
      <c r="WEU21" s="9"/>
      <c r="WEV21" s="9"/>
      <c r="WEW21" s="9"/>
      <c r="WEX21" s="9"/>
      <c r="WEY21" s="9"/>
      <c r="WEZ21" s="9"/>
      <c r="WFA21" s="9"/>
      <c r="WFB21" s="9"/>
      <c r="WFC21" s="9"/>
      <c r="WFD21" s="9"/>
      <c r="WFE21" s="9"/>
      <c r="WFF21" s="9"/>
      <c r="WFG21" s="9"/>
      <c r="WFH21" s="9"/>
      <c r="WFI21" s="9"/>
      <c r="WFJ21" s="9"/>
      <c r="WFK21" s="9"/>
      <c r="WFL21" s="9"/>
      <c r="WFM21" s="9"/>
      <c r="WFN21" s="9"/>
      <c r="WFO21" s="9"/>
      <c r="WFP21" s="9"/>
      <c r="WFQ21" s="9"/>
      <c r="WFR21" s="9"/>
      <c r="WFS21" s="9"/>
      <c r="WFT21" s="9"/>
      <c r="WFU21" s="9"/>
      <c r="WFV21" s="9"/>
      <c r="WFW21" s="9"/>
      <c r="WFX21" s="9"/>
      <c r="WFY21" s="9"/>
      <c r="WFZ21" s="9"/>
      <c r="WGA21" s="9"/>
      <c r="WGB21" s="9"/>
      <c r="WGC21" s="9"/>
      <c r="WGD21" s="9"/>
      <c r="WGE21" s="9"/>
      <c r="WGF21" s="9"/>
      <c r="WGG21" s="9"/>
      <c r="WGH21" s="9"/>
      <c r="WGI21" s="9"/>
      <c r="WGJ21" s="9"/>
      <c r="WGK21" s="9"/>
      <c r="WGL21" s="9"/>
      <c r="WGM21" s="9"/>
      <c r="WGN21" s="9"/>
      <c r="WGO21" s="9"/>
      <c r="WGP21" s="9"/>
      <c r="WGQ21" s="9"/>
      <c r="WGR21" s="9"/>
      <c r="WGS21" s="9"/>
      <c r="WGT21" s="9"/>
      <c r="WGU21" s="9"/>
      <c r="WGV21" s="9"/>
      <c r="WGW21" s="9"/>
      <c r="WGX21" s="9"/>
      <c r="WGY21" s="9"/>
      <c r="WGZ21" s="9"/>
      <c r="WHA21" s="9"/>
      <c r="WHB21" s="9"/>
      <c r="WHC21" s="9"/>
      <c r="WHD21" s="9"/>
      <c r="WHE21" s="9"/>
      <c r="WHF21" s="9"/>
      <c r="WHG21" s="9"/>
      <c r="WHH21" s="9"/>
      <c r="WHI21" s="9"/>
      <c r="WHJ21" s="9"/>
      <c r="WHK21" s="9"/>
      <c r="WHL21" s="9"/>
      <c r="WHM21" s="9"/>
      <c r="WHN21" s="9"/>
      <c r="WHO21" s="9"/>
      <c r="WHP21" s="9"/>
      <c r="WHQ21" s="9"/>
      <c r="WHR21" s="9"/>
      <c r="WHS21" s="9"/>
      <c r="WHT21" s="9"/>
      <c r="WHU21" s="9"/>
      <c r="WHV21" s="9"/>
      <c r="WHW21" s="9"/>
      <c r="WHX21" s="9"/>
      <c r="WHY21" s="9"/>
      <c r="WHZ21" s="9"/>
      <c r="WIA21" s="9"/>
      <c r="WIB21" s="9"/>
      <c r="WIC21" s="9"/>
      <c r="WID21" s="9"/>
      <c r="WIE21" s="9"/>
      <c r="WIF21" s="9"/>
      <c r="WIG21" s="9"/>
      <c r="WIH21" s="9"/>
      <c r="WII21" s="9"/>
      <c r="WIJ21" s="9"/>
      <c r="WIK21" s="9"/>
      <c r="WIL21" s="9"/>
      <c r="WIM21" s="9"/>
      <c r="WIN21" s="9"/>
      <c r="WIO21" s="9"/>
      <c r="WIP21" s="9"/>
      <c r="WIQ21" s="9"/>
      <c r="WIR21" s="9"/>
      <c r="WIS21" s="9"/>
      <c r="WIT21" s="9"/>
      <c r="WIU21" s="9"/>
      <c r="WIV21" s="9"/>
      <c r="WIW21" s="9"/>
      <c r="WIX21" s="9"/>
      <c r="WIY21" s="9"/>
      <c r="WIZ21" s="9"/>
      <c r="WJA21" s="9"/>
      <c r="WJB21" s="9"/>
      <c r="WJC21" s="9"/>
      <c r="WJD21" s="9"/>
      <c r="WJE21" s="9"/>
      <c r="WJF21" s="9"/>
      <c r="WJG21" s="9"/>
      <c r="WJH21" s="9"/>
      <c r="WJI21" s="9"/>
      <c r="WJJ21" s="9"/>
      <c r="WJK21" s="9"/>
      <c r="WJL21" s="9"/>
      <c r="WJM21" s="9"/>
      <c r="WJN21" s="9"/>
      <c r="WJO21" s="9"/>
      <c r="WJP21" s="9"/>
      <c r="WJQ21" s="9"/>
      <c r="WJR21" s="9"/>
      <c r="WJS21" s="9"/>
      <c r="WJT21" s="9"/>
      <c r="WJU21" s="9"/>
      <c r="WJV21" s="9"/>
      <c r="WJW21" s="9"/>
      <c r="WJX21" s="9"/>
      <c r="WJY21" s="9"/>
      <c r="WJZ21" s="9"/>
      <c r="WKA21" s="9"/>
      <c r="WKB21" s="9"/>
      <c r="WKC21" s="9"/>
      <c r="WKD21" s="9"/>
      <c r="WKE21" s="9"/>
      <c r="WKF21" s="9"/>
      <c r="WKG21" s="9"/>
      <c r="WKH21" s="9"/>
      <c r="WKI21" s="9"/>
      <c r="WKJ21" s="9"/>
      <c r="WKK21" s="9"/>
      <c r="WKL21" s="9"/>
      <c r="WKM21" s="9"/>
      <c r="WKN21" s="9"/>
      <c r="WKO21" s="9"/>
      <c r="WKP21" s="9"/>
      <c r="WKQ21" s="9"/>
      <c r="WKR21" s="9"/>
      <c r="WKS21" s="9"/>
      <c r="WKT21" s="9"/>
      <c r="WKU21" s="9"/>
      <c r="WKV21" s="9"/>
      <c r="WKW21" s="9"/>
      <c r="WKX21" s="9"/>
      <c r="WKY21" s="9"/>
      <c r="WKZ21" s="9"/>
      <c r="WLA21" s="9"/>
      <c r="WLB21" s="9"/>
      <c r="WLC21" s="9"/>
      <c r="WLD21" s="9"/>
      <c r="WLE21" s="9"/>
      <c r="WLF21" s="9"/>
      <c r="WLG21" s="9"/>
      <c r="WLH21" s="9"/>
      <c r="WLI21" s="9"/>
      <c r="WLJ21" s="9"/>
      <c r="WLK21" s="9"/>
      <c r="WLL21" s="9"/>
      <c r="WLM21" s="9"/>
      <c r="WLN21" s="9"/>
      <c r="WLO21" s="9"/>
      <c r="WLP21" s="9"/>
      <c r="WLQ21" s="9"/>
      <c r="WLR21" s="9"/>
      <c r="WLS21" s="9"/>
      <c r="WLT21" s="9"/>
      <c r="WLU21" s="9"/>
      <c r="WLV21" s="9"/>
      <c r="WLW21" s="9"/>
      <c r="WLX21" s="9"/>
      <c r="WLY21" s="9"/>
      <c r="WLZ21" s="9"/>
      <c r="WMA21" s="9"/>
      <c r="WMB21" s="9"/>
      <c r="WMC21" s="9"/>
      <c r="WMD21" s="9"/>
      <c r="WME21" s="9"/>
      <c r="WMF21" s="9"/>
      <c r="WMG21" s="9"/>
      <c r="WMH21" s="9"/>
      <c r="WMI21" s="9"/>
      <c r="WMJ21" s="9"/>
      <c r="WMK21" s="9"/>
      <c r="WML21" s="9"/>
      <c r="WMM21" s="9"/>
      <c r="WMN21" s="9"/>
      <c r="WMO21" s="9"/>
      <c r="WMP21" s="9"/>
      <c r="WMQ21" s="9"/>
      <c r="WMR21" s="9"/>
      <c r="WMS21" s="9"/>
      <c r="WMT21" s="9"/>
      <c r="WMU21" s="9"/>
      <c r="WMV21" s="9"/>
      <c r="WMW21" s="9"/>
      <c r="WMX21" s="9"/>
      <c r="WMY21" s="9"/>
      <c r="WMZ21" s="9"/>
      <c r="WNA21" s="9"/>
      <c r="WNB21" s="9"/>
      <c r="WNC21" s="9"/>
      <c r="WND21" s="9"/>
      <c r="WNE21" s="9"/>
      <c r="WNF21" s="9"/>
      <c r="WNG21" s="9"/>
      <c r="WNH21" s="9"/>
      <c r="WNI21" s="9"/>
      <c r="WNJ21" s="9"/>
      <c r="WNK21" s="9"/>
      <c r="WNL21" s="9"/>
      <c r="WNM21" s="9"/>
      <c r="WNN21" s="9"/>
      <c r="WNO21" s="9"/>
      <c r="WNP21" s="9"/>
      <c r="WNQ21" s="9"/>
      <c r="WNR21" s="9"/>
      <c r="WNS21" s="9"/>
      <c r="WNT21" s="9"/>
      <c r="WNU21" s="9"/>
      <c r="WNV21" s="9"/>
      <c r="WNW21" s="9"/>
      <c r="WNX21" s="9"/>
      <c r="WNY21" s="9"/>
      <c r="WNZ21" s="9"/>
      <c r="WOA21" s="9"/>
      <c r="WOB21" s="9"/>
      <c r="WOC21" s="9"/>
      <c r="WOD21" s="9"/>
      <c r="WOE21" s="9"/>
      <c r="WOF21" s="9"/>
      <c r="WOG21" s="9"/>
      <c r="WOH21" s="9"/>
      <c r="WOI21" s="9"/>
      <c r="WOJ21" s="9"/>
      <c r="WOK21" s="9"/>
      <c r="WOL21" s="9"/>
      <c r="WOM21" s="9"/>
      <c r="WON21" s="9"/>
      <c r="WOO21" s="9"/>
      <c r="WOP21" s="9"/>
      <c r="WOQ21" s="9"/>
      <c r="WOR21" s="9"/>
      <c r="WOS21" s="9"/>
      <c r="WOT21" s="9"/>
      <c r="WOU21" s="9"/>
      <c r="WOV21" s="9"/>
      <c r="WOW21" s="9"/>
      <c r="WOX21" s="9"/>
      <c r="WOY21" s="9"/>
      <c r="WOZ21" s="9"/>
      <c r="WPA21" s="9"/>
      <c r="WPB21" s="9"/>
      <c r="WPC21" s="9"/>
      <c r="WPD21" s="9"/>
      <c r="WPE21" s="9"/>
      <c r="WPF21" s="9"/>
      <c r="WPG21" s="9"/>
      <c r="WPH21" s="9"/>
      <c r="WPI21" s="9"/>
      <c r="WPJ21" s="9"/>
      <c r="WPK21" s="9"/>
      <c r="WPL21" s="9"/>
      <c r="WPM21" s="9"/>
      <c r="WPN21" s="9"/>
      <c r="WPO21" s="9"/>
      <c r="WPP21" s="9"/>
      <c r="WPQ21" s="9"/>
      <c r="WPR21" s="9"/>
      <c r="WPS21" s="9"/>
      <c r="WPT21" s="9"/>
      <c r="WPU21" s="9"/>
      <c r="WPV21" s="9"/>
      <c r="WPW21" s="9"/>
      <c r="WPX21" s="9"/>
      <c r="WPY21" s="9"/>
      <c r="WPZ21" s="9"/>
      <c r="WQA21" s="9"/>
      <c r="WQB21" s="9"/>
      <c r="WQC21" s="9"/>
      <c r="WQD21" s="9"/>
      <c r="WQE21" s="9"/>
      <c r="WQF21" s="9"/>
      <c r="WQG21" s="9"/>
      <c r="WQH21" s="9"/>
      <c r="WQI21" s="9"/>
      <c r="WQJ21" s="9"/>
      <c r="WQK21" s="9"/>
      <c r="WQL21" s="9"/>
      <c r="WQM21" s="9"/>
      <c r="WQN21" s="9"/>
      <c r="WQO21" s="9"/>
      <c r="WQP21" s="9"/>
      <c r="WQQ21" s="9"/>
      <c r="WQR21" s="9"/>
      <c r="WQS21" s="9"/>
      <c r="WQT21" s="9"/>
      <c r="WQU21" s="9"/>
      <c r="WQV21" s="9"/>
      <c r="WQW21" s="9"/>
      <c r="WQX21" s="9"/>
      <c r="WQY21" s="9"/>
      <c r="WQZ21" s="9"/>
      <c r="WRA21" s="9"/>
      <c r="WRB21" s="9"/>
      <c r="WRC21" s="9"/>
      <c r="WRD21" s="9"/>
      <c r="WRE21" s="9"/>
      <c r="WRF21" s="9"/>
      <c r="WRG21" s="9"/>
      <c r="WRH21" s="9"/>
      <c r="WRI21" s="9"/>
      <c r="WRJ21" s="9"/>
      <c r="WRK21" s="9"/>
      <c r="WRL21" s="9"/>
      <c r="WRM21" s="9"/>
      <c r="WRN21" s="9"/>
      <c r="WRO21" s="9"/>
      <c r="WRP21" s="9"/>
      <c r="WRQ21" s="9"/>
      <c r="WRR21" s="9"/>
      <c r="WRS21" s="9"/>
      <c r="WRT21" s="9"/>
      <c r="WRU21" s="9"/>
      <c r="WRV21" s="9"/>
      <c r="WRW21" s="9"/>
      <c r="WRX21" s="9"/>
      <c r="WRY21" s="9"/>
      <c r="WRZ21" s="9"/>
      <c r="WSA21" s="9"/>
      <c r="WSB21" s="9"/>
      <c r="WSC21" s="9"/>
      <c r="WSD21" s="9"/>
      <c r="WSE21" s="9"/>
      <c r="WSF21" s="9"/>
      <c r="WSG21" s="9"/>
      <c r="WSH21" s="9"/>
      <c r="WSI21" s="9"/>
      <c r="WSJ21" s="9"/>
      <c r="WSK21" s="9"/>
      <c r="WSL21" s="9"/>
      <c r="WSM21" s="9"/>
      <c r="WSN21" s="9"/>
      <c r="WSO21" s="9"/>
      <c r="WSP21" s="9"/>
      <c r="WSQ21" s="9"/>
      <c r="WSR21" s="9"/>
      <c r="WSS21" s="9"/>
      <c r="WST21" s="9"/>
      <c r="WSU21" s="9"/>
      <c r="WSV21" s="9"/>
      <c r="WSW21" s="9"/>
      <c r="WSX21" s="9"/>
      <c r="WSY21" s="9"/>
      <c r="WSZ21" s="9"/>
      <c r="WTA21" s="9"/>
      <c r="WTB21" s="9"/>
      <c r="WTC21" s="9"/>
      <c r="WTD21" s="9"/>
      <c r="WTE21" s="9"/>
      <c r="WTF21" s="9"/>
      <c r="WTG21" s="9"/>
      <c r="WTH21" s="9"/>
      <c r="WTI21" s="9"/>
      <c r="WTJ21" s="9"/>
      <c r="WTK21" s="9"/>
      <c r="WTL21" s="9"/>
      <c r="WTM21" s="9"/>
      <c r="WTN21" s="9"/>
      <c r="WTO21" s="9"/>
      <c r="WTP21" s="9"/>
      <c r="WTQ21" s="9"/>
      <c r="WTR21" s="9"/>
      <c r="WTS21" s="9"/>
      <c r="WTT21" s="9"/>
      <c r="WTU21" s="9"/>
      <c r="WTV21" s="9"/>
      <c r="WTW21" s="9"/>
      <c r="WTX21" s="9"/>
      <c r="WTY21" s="9"/>
      <c r="WTZ21" s="9"/>
      <c r="WUA21" s="9"/>
      <c r="WUB21" s="9"/>
      <c r="WUC21" s="9"/>
      <c r="WUD21" s="9"/>
      <c r="WUE21" s="9"/>
      <c r="WUF21" s="9"/>
      <c r="WUG21" s="9"/>
      <c r="WUH21" s="9"/>
      <c r="WUI21" s="9"/>
      <c r="WUJ21" s="9"/>
      <c r="WUK21" s="9"/>
      <c r="WUL21" s="9"/>
      <c r="WUM21" s="9"/>
      <c r="WUN21" s="9"/>
      <c r="WUO21" s="9"/>
      <c r="WUP21" s="9"/>
      <c r="WUQ21" s="9"/>
      <c r="WUR21" s="9"/>
      <c r="WUS21" s="9"/>
      <c r="WUT21" s="9"/>
      <c r="WUU21" s="9"/>
      <c r="WUV21" s="9"/>
      <c r="WUW21" s="9"/>
      <c r="WUX21" s="9"/>
      <c r="WUY21" s="9"/>
      <c r="WUZ21" s="9"/>
      <c r="WVA21" s="9"/>
      <c r="WVB21" s="9"/>
      <c r="WVC21" s="9"/>
      <c r="WVD21" s="9"/>
      <c r="WVE21" s="9"/>
      <c r="WVF21" s="9"/>
      <c r="WVG21" s="9"/>
      <c r="WVH21" s="9"/>
      <c r="WVI21" s="9"/>
      <c r="WVJ21" s="9"/>
      <c r="WVK21" s="9"/>
      <c r="WVL21" s="9"/>
      <c r="WVM21" s="9"/>
      <c r="WVN21" s="9"/>
      <c r="WVO21" s="9"/>
      <c r="WVP21" s="9"/>
      <c r="WVQ21" s="9"/>
      <c r="WVR21" s="9"/>
      <c r="WVS21" s="9"/>
      <c r="WVT21" s="9"/>
      <c r="WVU21" s="9"/>
      <c r="WVV21" s="9"/>
      <c r="WVW21" s="9"/>
      <c r="WVX21" s="9"/>
      <c r="WVY21" s="9"/>
      <c r="WVZ21" s="9"/>
      <c r="WWA21" s="9"/>
      <c r="WWB21" s="9"/>
      <c r="WWC21" s="9"/>
      <c r="WWD21" s="9"/>
      <c r="WWE21" s="9"/>
      <c r="WWF21" s="9"/>
      <c r="WWG21" s="9"/>
      <c r="WWH21" s="9"/>
      <c r="WWI21" s="9"/>
      <c r="WWJ21" s="9"/>
      <c r="WWK21" s="9"/>
      <c r="WWL21" s="9"/>
      <c r="WWM21" s="9"/>
      <c r="WWN21" s="9"/>
      <c r="WWO21" s="9"/>
      <c r="WWP21" s="9"/>
      <c r="WWQ21" s="9"/>
      <c r="WWR21" s="9"/>
      <c r="WWS21" s="9"/>
      <c r="WWT21" s="9"/>
      <c r="WWU21" s="9"/>
      <c r="WWV21" s="9"/>
      <c r="WWW21" s="9"/>
      <c r="WWX21" s="9"/>
      <c r="WWY21" s="9"/>
      <c r="WWZ21" s="9"/>
      <c r="WXA21" s="9"/>
      <c r="WXB21" s="9"/>
      <c r="WXC21" s="9"/>
      <c r="WXD21" s="9"/>
      <c r="WXE21" s="9"/>
      <c r="WXF21" s="9"/>
      <c r="WXG21" s="9"/>
      <c r="WXH21" s="9"/>
      <c r="WXI21" s="9"/>
      <c r="WXJ21" s="9"/>
      <c r="WXK21" s="9"/>
      <c r="WXL21" s="9"/>
      <c r="WXM21" s="9"/>
      <c r="WXN21" s="9"/>
      <c r="WXO21" s="9"/>
      <c r="WXP21" s="9"/>
      <c r="WXQ21" s="9"/>
      <c r="WXR21" s="9"/>
      <c r="WXS21" s="9"/>
      <c r="WXT21" s="9"/>
      <c r="WXU21" s="9"/>
      <c r="WXV21" s="9"/>
      <c r="WXW21" s="9"/>
      <c r="WXX21" s="9"/>
      <c r="WXY21" s="9"/>
      <c r="WXZ21" s="9"/>
      <c r="WYA21" s="9"/>
      <c r="WYB21" s="9"/>
      <c r="WYC21" s="9"/>
      <c r="WYD21" s="9"/>
      <c r="WYE21" s="9"/>
      <c r="WYF21" s="9"/>
      <c r="WYG21" s="9"/>
      <c r="WYH21" s="9"/>
      <c r="WYI21" s="9"/>
      <c r="WYJ21" s="9"/>
      <c r="WYK21" s="9"/>
      <c r="WYL21" s="9"/>
      <c r="WYM21" s="9"/>
      <c r="WYN21" s="9"/>
      <c r="WYO21" s="9"/>
      <c r="WYP21" s="9"/>
      <c r="WYQ21" s="9"/>
      <c r="WYR21" s="9"/>
      <c r="WYS21" s="9"/>
      <c r="WYT21" s="9"/>
      <c r="WYU21" s="9"/>
      <c r="WYV21" s="9"/>
      <c r="WYW21" s="9"/>
      <c r="WYX21" s="9"/>
      <c r="WYY21" s="9"/>
      <c r="WYZ21" s="9"/>
      <c r="WZA21" s="9"/>
      <c r="WZB21" s="9"/>
      <c r="WZC21" s="9"/>
      <c r="WZD21" s="9"/>
      <c r="WZE21" s="9"/>
      <c r="WZF21" s="9"/>
      <c r="WZG21" s="9"/>
      <c r="WZH21" s="9"/>
      <c r="WZI21" s="9"/>
      <c r="WZJ21" s="9"/>
      <c r="WZK21" s="9"/>
      <c r="WZL21" s="9"/>
      <c r="WZM21" s="9"/>
      <c r="WZN21" s="9"/>
      <c r="WZO21" s="9"/>
      <c r="WZP21" s="9"/>
      <c r="WZQ21" s="9"/>
      <c r="WZR21" s="9"/>
      <c r="WZS21" s="9"/>
      <c r="WZT21" s="9"/>
      <c r="WZU21" s="9"/>
      <c r="WZV21" s="9"/>
      <c r="WZW21" s="9"/>
      <c r="WZX21" s="9"/>
      <c r="WZY21" s="9"/>
      <c r="WZZ21" s="9"/>
      <c r="XAA21" s="9"/>
      <c r="XAB21" s="9"/>
      <c r="XAC21" s="9"/>
      <c r="XAD21" s="9"/>
      <c r="XAE21" s="9"/>
      <c r="XAF21" s="9"/>
      <c r="XAG21" s="9"/>
      <c r="XAH21" s="9"/>
      <c r="XAI21" s="9"/>
      <c r="XAJ21" s="9"/>
      <c r="XAK21" s="9"/>
      <c r="XAL21" s="9"/>
      <c r="XAM21" s="9"/>
      <c r="XAN21" s="9"/>
      <c r="XAO21" s="9"/>
      <c r="XAP21" s="9"/>
      <c r="XAQ21" s="9"/>
      <c r="XAR21" s="9"/>
      <c r="XAS21" s="9"/>
      <c r="XAT21" s="9"/>
      <c r="XAU21" s="9"/>
      <c r="XAV21" s="9"/>
      <c r="XAW21" s="9"/>
      <c r="XAX21" s="9"/>
      <c r="XAY21" s="9"/>
      <c r="XAZ21" s="9"/>
      <c r="XBA21" s="9"/>
      <c r="XBB21" s="9"/>
      <c r="XBC21" s="9"/>
      <c r="XBD21" s="9"/>
      <c r="XBE21" s="9"/>
      <c r="XBF21" s="9"/>
      <c r="XBG21" s="9"/>
      <c r="XBH21" s="9"/>
      <c r="XBI21" s="9"/>
      <c r="XBJ21" s="9"/>
      <c r="XBK21" s="9"/>
      <c r="XBL21" s="9"/>
      <c r="XBM21" s="9"/>
      <c r="XBN21" s="9"/>
      <c r="XBO21" s="9"/>
      <c r="XBP21" s="9"/>
      <c r="XBQ21" s="9"/>
      <c r="XBR21" s="9"/>
      <c r="XBS21" s="9"/>
      <c r="XBT21" s="9"/>
      <c r="XBU21" s="9"/>
      <c r="XBV21" s="9"/>
      <c r="XBW21" s="9"/>
      <c r="XBX21" s="9"/>
      <c r="XBY21" s="9"/>
      <c r="XBZ21" s="9"/>
      <c r="XCA21" s="9"/>
      <c r="XCB21" s="9"/>
      <c r="XCC21" s="9"/>
      <c r="XCD21" s="9"/>
      <c r="XCE21" s="9"/>
      <c r="XCF21" s="9"/>
      <c r="XCG21" s="9"/>
      <c r="XCH21" s="9"/>
      <c r="XCI21" s="9"/>
      <c r="XCJ21" s="9"/>
      <c r="XCK21" s="9"/>
      <c r="XCL21" s="9"/>
      <c r="XCM21" s="9"/>
      <c r="XCN21" s="9"/>
      <c r="XCO21" s="9"/>
      <c r="XCP21" s="9"/>
      <c r="XCQ21" s="9"/>
      <c r="XCR21" s="9"/>
      <c r="XCS21" s="9"/>
      <c r="XCT21" s="9"/>
      <c r="XCU21" s="9"/>
      <c r="XCV21" s="9"/>
      <c r="XCW21" s="9"/>
      <c r="XCX21" s="9"/>
      <c r="XCY21" s="9"/>
      <c r="XCZ21" s="9"/>
      <c r="XDA21" s="9"/>
      <c r="XDB21" s="9"/>
      <c r="XDC21" s="9"/>
      <c r="XDD21" s="9"/>
      <c r="XDE21" s="9"/>
      <c r="XDF21" s="9"/>
      <c r="XDG21" s="9"/>
      <c r="XDH21" s="9"/>
      <c r="XDI21" s="9"/>
      <c r="XDJ21" s="9"/>
      <c r="XDK21" s="9"/>
      <c r="XDL21" s="9"/>
      <c r="XDM21" s="9"/>
      <c r="XDN21" s="9"/>
      <c r="XDO21" s="9"/>
      <c r="XDP21" s="9"/>
      <c r="XDQ21" s="9"/>
      <c r="XDR21" s="9"/>
      <c r="XDS21" s="9"/>
      <c r="XDT21" s="9"/>
      <c r="XDU21" s="9"/>
      <c r="XDV21" s="9"/>
      <c r="XDW21" s="9"/>
      <c r="XDX21" s="9"/>
      <c r="XDY21" s="9"/>
      <c r="XDZ21" s="9"/>
      <c r="XEA21" s="9"/>
      <c r="XEB21" s="9"/>
      <c r="XEC21" s="9"/>
      <c r="XED21" s="9"/>
      <c r="XEE21" s="9"/>
      <c r="XEF21" s="9"/>
      <c r="XEG21" s="9"/>
      <c r="XEH21" s="9"/>
      <c r="XEI21" s="9"/>
      <c r="XEJ21" s="9"/>
      <c r="XEK21" s="9"/>
      <c r="XEL21" s="9"/>
      <c r="XEM21" s="9"/>
      <c r="XEN21" s="9"/>
      <c r="XEO21" s="9"/>
      <c r="XEP21" s="9"/>
      <c r="XEQ21" s="9"/>
      <c r="XER21" s="9"/>
      <c r="XES21" s="9"/>
      <c r="XET21" s="9"/>
      <c r="XEU21" s="9"/>
    </row>
    <row r="22" spans="1:16375" s="9" customFormat="1" ht="409.5">
      <c r="B22" s="31">
        <v>45537</v>
      </c>
      <c r="C22" s="11" t="s">
        <v>694</v>
      </c>
      <c r="D22" s="2" t="s">
        <v>288</v>
      </c>
      <c r="E22" s="11" t="s">
        <v>290</v>
      </c>
      <c r="F22" s="30" t="s">
        <v>44</v>
      </c>
      <c r="G22" s="30" t="s">
        <v>289</v>
      </c>
      <c r="H22" s="16" t="s">
        <v>668</v>
      </c>
      <c r="I22"/>
      <c r="J22" s="16"/>
      <c r="K22" s="16"/>
      <c r="L22" s="16"/>
      <c r="M22" s="16"/>
      <c r="N22" s="16"/>
      <c r="O22" s="16"/>
      <c r="P22" s="7" t="s">
        <v>22</v>
      </c>
      <c r="Q22" s="15" t="s">
        <v>551</v>
      </c>
      <c r="R22" s="20">
        <v>45614</v>
      </c>
      <c r="S22" s="20">
        <v>45671</v>
      </c>
      <c r="T22" s="4" t="s">
        <v>803</v>
      </c>
      <c r="U22"/>
      <c r="V22" s="30" t="s">
        <v>54</v>
      </c>
      <c r="W22" s="8">
        <v>45687</v>
      </c>
      <c r="X22" s="10"/>
      <c r="Y22" s="22">
        <v>189779.04</v>
      </c>
      <c r="Z22" s="21"/>
      <c r="AA22" s="21"/>
      <c r="AB22" s="21"/>
      <c r="AC22" s="45"/>
      <c r="AD22" s="16"/>
    </row>
    <row r="23" spans="1:16375" s="9" customFormat="1" ht="150">
      <c r="B23" s="31">
        <v>45477</v>
      </c>
      <c r="C23" s="11" t="s">
        <v>27</v>
      </c>
      <c r="D23" s="2" t="s">
        <v>207</v>
      </c>
      <c r="E23" s="11" t="s">
        <v>208</v>
      </c>
      <c r="F23" s="30" t="s">
        <v>74</v>
      </c>
      <c r="G23" s="30" t="s">
        <v>250</v>
      </c>
      <c r="H23" s="16">
        <v>45656</v>
      </c>
      <c r="I23"/>
      <c r="J23" s="16"/>
      <c r="K23" s="16"/>
      <c r="L23" s="16"/>
      <c r="M23" s="16"/>
      <c r="N23" s="16"/>
      <c r="O23" s="16"/>
      <c r="P23" s="7" t="s">
        <v>22</v>
      </c>
      <c r="Q23" s="2" t="s">
        <v>536</v>
      </c>
      <c r="R23" s="16">
        <v>45598</v>
      </c>
      <c r="S23" s="16">
        <v>45625</v>
      </c>
      <c r="T23" s="24" t="s">
        <v>697</v>
      </c>
      <c r="U23" s="100"/>
      <c r="V23" s="30" t="s">
        <v>54</v>
      </c>
      <c r="W23" s="8">
        <v>46021</v>
      </c>
      <c r="X23" s="10"/>
      <c r="Y23" s="10"/>
      <c r="Z23" s="21"/>
      <c r="AA23" s="22">
        <v>638141.48</v>
      </c>
      <c r="AB23" s="21"/>
      <c r="AC23" s="45"/>
      <c r="AD23" s="16"/>
    </row>
    <row r="24" spans="1:16375" s="9" customFormat="1" ht="206.25">
      <c r="B24" s="31">
        <v>45632</v>
      </c>
      <c r="C24" s="11" t="s">
        <v>27</v>
      </c>
      <c r="D24" s="2" t="s">
        <v>554</v>
      </c>
      <c r="E24" s="11" t="s">
        <v>555</v>
      </c>
      <c r="F24" s="30" t="s">
        <v>556</v>
      </c>
      <c r="G24" s="30" t="s">
        <v>557</v>
      </c>
      <c r="H24" s="16">
        <v>45687</v>
      </c>
      <c r="I24"/>
      <c r="J24" s="115"/>
      <c r="K24" s="115"/>
      <c r="L24" s="115"/>
      <c r="M24" s="115"/>
      <c r="N24" s="115"/>
      <c r="O24" s="115"/>
      <c r="P24" s="7" t="s">
        <v>20</v>
      </c>
      <c r="Q24" s="2" t="s">
        <v>70</v>
      </c>
      <c r="R24" s="16">
        <v>45665</v>
      </c>
      <c r="S24" s="16">
        <v>45675</v>
      </c>
      <c r="T24" s="27" t="s">
        <v>827</v>
      </c>
      <c r="U24"/>
      <c r="V24" s="30" t="s">
        <v>61</v>
      </c>
      <c r="W24" s="8">
        <v>45639</v>
      </c>
      <c r="X24" s="10"/>
      <c r="Y24" s="22">
        <v>570.96</v>
      </c>
      <c r="Z24" s="21"/>
      <c r="AA24" s="21"/>
      <c r="AB24" s="21"/>
      <c r="AC24" s="45"/>
      <c r="AD24" s="23"/>
    </row>
    <row r="25" spans="1:16375" s="9" customFormat="1" ht="243.75">
      <c r="B25" s="31">
        <v>45534</v>
      </c>
      <c r="C25" s="11" t="s">
        <v>27</v>
      </c>
      <c r="D25" s="2" t="s">
        <v>335</v>
      </c>
      <c r="E25" s="11" t="s">
        <v>336</v>
      </c>
      <c r="F25" s="30" t="s">
        <v>73</v>
      </c>
      <c r="G25" s="30" t="s">
        <v>414</v>
      </c>
      <c r="H25" s="16">
        <v>45656</v>
      </c>
      <c r="I25"/>
      <c r="J25" s="115"/>
      <c r="K25" s="115"/>
      <c r="L25" s="115"/>
      <c r="M25" s="115"/>
      <c r="N25" s="115"/>
      <c r="O25" s="115"/>
      <c r="P25" s="7" t="s">
        <v>22</v>
      </c>
      <c r="Q25" s="2" t="s">
        <v>542</v>
      </c>
      <c r="R25" s="16">
        <v>45638</v>
      </c>
      <c r="S25" s="16">
        <v>45641</v>
      </c>
      <c r="T25" s="24" t="s">
        <v>786</v>
      </c>
      <c r="U25"/>
      <c r="V25" s="30" t="s">
        <v>33</v>
      </c>
      <c r="W25" s="8">
        <v>45695</v>
      </c>
      <c r="X25" s="70"/>
      <c r="Y25" s="10"/>
      <c r="Z25" s="21"/>
      <c r="AA25" s="22">
        <v>243740.79</v>
      </c>
      <c r="AB25" s="21"/>
      <c r="AC25" s="45"/>
      <c r="AD25" s="16"/>
    </row>
    <row r="26" spans="1:16375" s="9" customFormat="1" ht="168.75">
      <c r="B26" s="31">
        <v>45546</v>
      </c>
      <c r="C26" s="11" t="s">
        <v>27</v>
      </c>
      <c r="D26" s="2" t="s">
        <v>308</v>
      </c>
      <c r="E26" s="11" t="s">
        <v>307</v>
      </c>
      <c r="F26" s="30" t="s">
        <v>73</v>
      </c>
      <c r="G26" s="30" t="s">
        <v>460</v>
      </c>
      <c r="H26" s="16">
        <v>45658</v>
      </c>
      <c r="I26"/>
      <c r="J26" s="115"/>
      <c r="K26" s="115"/>
      <c r="L26" s="115"/>
      <c r="M26" s="115"/>
      <c r="N26" s="115"/>
      <c r="O26" s="115"/>
      <c r="P26" s="7" t="s">
        <v>22</v>
      </c>
      <c r="Q26" s="2" t="s">
        <v>542</v>
      </c>
      <c r="R26" s="16">
        <v>45638</v>
      </c>
      <c r="S26" s="16">
        <v>45641</v>
      </c>
      <c r="T26" s="4" t="s">
        <v>785</v>
      </c>
      <c r="U26"/>
      <c r="V26" s="30" t="s">
        <v>54</v>
      </c>
      <c r="W26" s="8">
        <v>45695</v>
      </c>
      <c r="X26" s="10"/>
      <c r="Y26" s="10"/>
      <c r="Z26" s="21"/>
      <c r="AA26" s="22">
        <v>486244</v>
      </c>
      <c r="AB26" s="21"/>
      <c r="AC26" s="45"/>
      <c r="AD26" s="16"/>
    </row>
    <row r="27" spans="1:16375" s="9" customFormat="1" ht="141.75" customHeight="1">
      <c r="B27" s="31">
        <v>45281</v>
      </c>
      <c r="C27" s="11" t="s">
        <v>24</v>
      </c>
      <c r="D27" s="2" t="s">
        <v>122</v>
      </c>
      <c r="E27" s="11" t="s">
        <v>123</v>
      </c>
      <c r="F27" s="30" t="s">
        <v>36</v>
      </c>
      <c r="G27" s="47" t="s">
        <v>164</v>
      </c>
      <c r="H27" s="16">
        <v>45468</v>
      </c>
      <c r="I27"/>
      <c r="J27" s="115"/>
      <c r="K27" s="115"/>
      <c r="L27" s="115"/>
      <c r="M27" s="115"/>
      <c r="N27" s="115"/>
      <c r="O27" s="115"/>
      <c r="P27" s="115"/>
      <c r="Q27" s="115"/>
      <c r="R27" s="7" t="s">
        <v>30</v>
      </c>
      <c r="S27" s="2" t="s">
        <v>179</v>
      </c>
      <c r="T27" s="16" t="s">
        <v>180</v>
      </c>
      <c r="U27" s="16" t="s">
        <v>181</v>
      </c>
      <c r="V27" s="56" t="s">
        <v>231</v>
      </c>
      <c r="W27"/>
      <c r="X27" s="30" t="s">
        <v>119</v>
      </c>
      <c r="Y27" s="8">
        <v>45494</v>
      </c>
      <c r="Z27" s="22">
        <v>15147.03</v>
      </c>
      <c r="AA27" s="23"/>
      <c r="AB27" s="21"/>
      <c r="AC27" s="21"/>
      <c r="AD27" s="21"/>
      <c r="AE27" s="45"/>
      <c r="AF27" s="16"/>
    </row>
    <row r="28" spans="1:16375" s="9" customFormat="1" ht="243.75">
      <c r="B28" s="31">
        <v>45281</v>
      </c>
      <c r="C28" s="11" t="s">
        <v>24</v>
      </c>
      <c r="D28" s="2" t="s">
        <v>122</v>
      </c>
      <c r="E28" s="11" t="s">
        <v>123</v>
      </c>
      <c r="F28" s="30" t="s">
        <v>36</v>
      </c>
      <c r="G28" s="47" t="s">
        <v>175</v>
      </c>
      <c r="H28" s="16" t="s">
        <v>225</v>
      </c>
      <c r="I28"/>
      <c r="J28" s="115"/>
      <c r="K28" s="115"/>
      <c r="L28" s="115"/>
      <c r="M28" s="115"/>
      <c r="N28" s="115"/>
      <c r="O28" s="115"/>
      <c r="P28" s="115"/>
      <c r="Q28" s="115"/>
      <c r="R28" s="7" t="s">
        <v>30</v>
      </c>
      <c r="S28" s="2" t="s">
        <v>317</v>
      </c>
      <c r="T28" s="16">
        <v>45501</v>
      </c>
      <c r="U28" s="16">
        <v>45510</v>
      </c>
      <c r="V28" s="56" t="s">
        <v>315</v>
      </c>
      <c r="W28"/>
      <c r="X28" s="30" t="s">
        <v>119</v>
      </c>
      <c r="Y28" s="8">
        <v>45542</v>
      </c>
      <c r="Z28" s="22">
        <v>16831.16</v>
      </c>
      <c r="AA28" s="23"/>
      <c r="AB28" s="21"/>
      <c r="AC28" s="21"/>
      <c r="AD28" s="21"/>
      <c r="AE28" s="45"/>
      <c r="AF28" s="16"/>
    </row>
    <row r="29" spans="1:16375" s="9" customFormat="1" ht="219.75" customHeight="1">
      <c r="B29" s="31">
        <v>45516</v>
      </c>
      <c r="C29" s="11" t="s">
        <v>24</v>
      </c>
      <c r="D29" s="2" t="s">
        <v>261</v>
      </c>
      <c r="E29" s="11" t="s">
        <v>262</v>
      </c>
      <c r="F29" s="30" t="s">
        <v>36</v>
      </c>
      <c r="G29" s="30" t="s">
        <v>413</v>
      </c>
      <c r="H29" s="16">
        <v>45597</v>
      </c>
      <c r="I29"/>
      <c r="J29" s="115"/>
      <c r="K29" s="115"/>
      <c r="L29" s="115"/>
      <c r="M29" s="115"/>
      <c r="N29" s="115"/>
      <c r="O29" s="115"/>
      <c r="P29" s="115"/>
      <c r="Q29" s="115"/>
      <c r="R29" s="7" t="s">
        <v>30</v>
      </c>
      <c r="S29" s="2" t="s">
        <v>333</v>
      </c>
      <c r="T29" s="16">
        <v>45582</v>
      </c>
      <c r="U29" s="16">
        <v>45587</v>
      </c>
      <c r="V29" s="17" t="s">
        <v>535</v>
      </c>
      <c r="W29"/>
      <c r="X29" s="3" t="s">
        <v>113</v>
      </c>
      <c r="Y29" s="8">
        <v>45618</v>
      </c>
      <c r="Z29" s="22">
        <v>943702.41</v>
      </c>
      <c r="AA29" s="10"/>
      <c r="AB29" s="21"/>
      <c r="AC29" s="21"/>
      <c r="AD29" s="21"/>
      <c r="AE29" s="45"/>
      <c r="AF29" s="16"/>
    </row>
    <row r="30" spans="1:16375" s="9" customFormat="1" ht="159" customHeight="1">
      <c r="B30" s="31">
        <v>45516</v>
      </c>
      <c r="C30" s="11" t="s">
        <v>24</v>
      </c>
      <c r="D30" s="2" t="s">
        <v>261</v>
      </c>
      <c r="E30" s="11" t="s">
        <v>262</v>
      </c>
      <c r="F30" s="30" t="s">
        <v>36</v>
      </c>
      <c r="G30" s="30" t="s">
        <v>487</v>
      </c>
      <c r="H30" s="16">
        <v>45656</v>
      </c>
      <c r="I30"/>
      <c r="J30" s="115"/>
      <c r="K30" s="115"/>
      <c r="L30" s="115"/>
      <c r="M30" s="115"/>
      <c r="N30" s="115"/>
      <c r="O30" s="115"/>
      <c r="P30" s="115"/>
      <c r="Q30" s="115"/>
      <c r="R30" s="7" t="s">
        <v>30</v>
      </c>
      <c r="S30" s="2" t="s">
        <v>484</v>
      </c>
      <c r="T30" s="28">
        <v>45616</v>
      </c>
      <c r="U30" s="16">
        <v>45623</v>
      </c>
      <c r="V30" s="17" t="s">
        <v>647</v>
      </c>
      <c r="W30"/>
      <c r="X30" s="3" t="s">
        <v>113</v>
      </c>
      <c r="Y30" s="8">
        <v>45655</v>
      </c>
      <c r="Z30" s="22">
        <v>97546.81</v>
      </c>
      <c r="AA30" s="10"/>
      <c r="AB30" s="21"/>
      <c r="AC30" s="21"/>
      <c r="AD30" s="21"/>
      <c r="AE30" s="45"/>
      <c r="AF30" s="16"/>
    </row>
    <row r="31" spans="1:16375" s="9" customFormat="1" ht="262.5">
      <c r="B31" s="31">
        <v>45516</v>
      </c>
      <c r="C31" s="11" t="s">
        <v>24</v>
      </c>
      <c r="D31" s="2" t="s">
        <v>259</v>
      </c>
      <c r="E31" s="11" t="s">
        <v>260</v>
      </c>
      <c r="F31" s="30" t="s">
        <v>36</v>
      </c>
      <c r="G31" s="30" t="s">
        <v>489</v>
      </c>
      <c r="H31" s="16">
        <v>45627</v>
      </c>
      <c r="I31"/>
      <c r="J31" s="115"/>
      <c r="K31" s="115"/>
      <c r="L31" s="115"/>
      <c r="M31" s="115"/>
      <c r="N31" s="115"/>
      <c r="O31" s="115"/>
      <c r="P31" s="115"/>
      <c r="Q31" s="115"/>
      <c r="R31" s="7" t="s">
        <v>30</v>
      </c>
      <c r="S31" s="2" t="s">
        <v>484</v>
      </c>
      <c r="T31" s="28">
        <v>45616</v>
      </c>
      <c r="U31" s="16">
        <v>45623</v>
      </c>
      <c r="V31" s="17" t="s">
        <v>648</v>
      </c>
      <c r="W31"/>
      <c r="X31" s="30" t="s">
        <v>113</v>
      </c>
      <c r="Y31" s="8">
        <v>45655</v>
      </c>
      <c r="Z31" s="22">
        <v>589617.4</v>
      </c>
      <c r="AA31" s="10"/>
      <c r="AB31" s="21"/>
      <c r="AC31" s="21"/>
      <c r="AD31" s="21"/>
      <c r="AE31" s="45"/>
      <c r="AF31" s="16"/>
    </row>
    <row r="32" spans="1:16375" s="9" customFormat="1" ht="131.25">
      <c r="A32"/>
      <c r="B32" s="31">
        <v>45464</v>
      </c>
      <c r="C32" s="11" t="s">
        <v>27</v>
      </c>
      <c r="D32" s="2" t="s">
        <v>196</v>
      </c>
      <c r="E32" s="11" t="s">
        <v>197</v>
      </c>
      <c r="F32" s="30" t="s">
        <v>73</v>
      </c>
      <c r="G32" s="30" t="s">
        <v>405</v>
      </c>
      <c r="H32" s="16">
        <v>45687</v>
      </c>
      <c r="I32"/>
      <c r="J32" s="115"/>
      <c r="K32" s="115"/>
      <c r="L32" s="115"/>
      <c r="M32" s="115"/>
      <c r="N32" s="115"/>
      <c r="O32" s="115"/>
      <c r="P32" s="115"/>
      <c r="Q32" s="6"/>
      <c r="R32" s="7" t="s">
        <v>22</v>
      </c>
      <c r="S32" s="2" t="s">
        <v>495</v>
      </c>
      <c r="T32" s="16">
        <v>45604</v>
      </c>
      <c r="U32" s="16">
        <v>45646</v>
      </c>
      <c r="V32" s="24" t="s">
        <v>838</v>
      </c>
      <c r="W32" s="30" t="s">
        <v>195</v>
      </c>
      <c r="X32" s="8">
        <v>45672</v>
      </c>
      <c r="Y32" s="65"/>
      <c r="Z32" s="10"/>
      <c r="AA32" s="21"/>
      <c r="AB32" s="22">
        <v>6110083.0700000003</v>
      </c>
      <c r="AC32" s="21"/>
      <c r="AD32" s="45"/>
      <c r="AE32" s="16"/>
    </row>
    <row r="33" spans="2:32" s="9" customFormat="1" ht="142.5" customHeight="1">
      <c r="B33" s="31">
        <v>45477</v>
      </c>
      <c r="C33" s="11" t="s">
        <v>694</v>
      </c>
      <c r="D33" s="2" t="s">
        <v>218</v>
      </c>
      <c r="E33" s="11" t="s">
        <v>219</v>
      </c>
      <c r="F33" s="30" t="s">
        <v>41</v>
      </c>
      <c r="G33" s="30" t="s">
        <v>42</v>
      </c>
      <c r="H33" s="16" t="s">
        <v>627</v>
      </c>
      <c r="I33"/>
      <c r="J33" s="115"/>
      <c r="K33" s="115"/>
      <c r="L33" s="115"/>
      <c r="M33" s="115"/>
      <c r="N33" s="115"/>
      <c r="O33" s="115"/>
      <c r="P33" s="115"/>
      <c r="Q33" s="115"/>
      <c r="R33" s="7" t="s">
        <v>28</v>
      </c>
      <c r="S33" s="2"/>
      <c r="T33" s="16"/>
      <c r="U33" s="16"/>
      <c r="V33" s="4" t="s">
        <v>780</v>
      </c>
      <c r="W33"/>
      <c r="X33" s="30" t="s">
        <v>32</v>
      </c>
      <c r="Y33" s="8">
        <v>45569</v>
      </c>
      <c r="Z33" s="22">
        <v>28315.57</v>
      </c>
      <c r="AA33" s="10"/>
      <c r="AB33" s="21"/>
      <c r="AC33" s="21"/>
      <c r="AD33" s="21"/>
      <c r="AE33" s="45"/>
      <c r="AF33" s="16"/>
    </row>
    <row r="34" spans="2:32" s="9" customFormat="1" ht="150">
      <c r="B34" s="31">
        <v>45477</v>
      </c>
      <c r="C34" s="11" t="s">
        <v>694</v>
      </c>
      <c r="D34" s="2" t="s">
        <v>218</v>
      </c>
      <c r="E34" s="11" t="s">
        <v>219</v>
      </c>
      <c r="F34" s="30" t="s">
        <v>41</v>
      </c>
      <c r="G34" s="30" t="s">
        <v>42</v>
      </c>
      <c r="H34" s="16" t="s">
        <v>627</v>
      </c>
      <c r="I34"/>
      <c r="J34" s="115"/>
      <c r="K34" s="115"/>
      <c r="L34" s="115"/>
      <c r="M34" s="115"/>
      <c r="N34" s="115"/>
      <c r="O34" s="115"/>
      <c r="P34" s="115"/>
      <c r="Q34" s="115"/>
      <c r="R34" s="7" t="s">
        <v>28</v>
      </c>
      <c r="S34" s="2" t="s">
        <v>626</v>
      </c>
      <c r="T34" s="16">
        <v>45589</v>
      </c>
      <c r="U34" s="16" t="s">
        <v>699</v>
      </c>
      <c r="V34" s="4" t="s">
        <v>854</v>
      </c>
      <c r="W34"/>
      <c r="X34" s="30" t="s">
        <v>150</v>
      </c>
      <c r="Y34" s="8">
        <v>45634</v>
      </c>
      <c r="Z34" s="22">
        <v>28449.74</v>
      </c>
      <c r="AA34" s="10"/>
      <c r="AB34" s="21"/>
      <c r="AC34" s="21"/>
      <c r="AD34" s="21"/>
      <c r="AE34" s="45"/>
      <c r="AF34" s="16"/>
    </row>
    <row r="35" spans="2:32" s="9" customFormat="1" ht="185.25" customHeight="1">
      <c r="B35" s="31">
        <v>45511</v>
      </c>
      <c r="C35" s="2" t="s">
        <v>24</v>
      </c>
      <c r="D35" s="2" t="s">
        <v>263</v>
      </c>
      <c r="E35" s="11" t="s">
        <v>264</v>
      </c>
      <c r="F35" s="30" t="s">
        <v>177</v>
      </c>
      <c r="G35" s="30" t="s">
        <v>59</v>
      </c>
      <c r="H35" s="16">
        <v>45627</v>
      </c>
      <c r="I35"/>
      <c r="J35" s="115"/>
      <c r="K35" s="115"/>
      <c r="L35" s="115"/>
      <c r="M35" s="115"/>
      <c r="N35" s="115"/>
      <c r="O35" s="115"/>
      <c r="P35" s="115"/>
      <c r="Q35" s="115"/>
      <c r="R35" s="7" t="s">
        <v>22</v>
      </c>
      <c r="S35" s="2" t="s">
        <v>578</v>
      </c>
      <c r="T35" s="16">
        <v>45633</v>
      </c>
      <c r="U35" s="16">
        <v>45673</v>
      </c>
      <c r="V35" s="24" t="s">
        <v>866</v>
      </c>
      <c r="W35"/>
      <c r="X35" s="30" t="s">
        <v>265</v>
      </c>
      <c r="Y35" s="8">
        <v>45695</v>
      </c>
      <c r="Z35" s="61"/>
      <c r="AA35" s="22">
        <v>25560</v>
      </c>
      <c r="AB35" s="21"/>
      <c r="AC35" s="21"/>
      <c r="AD35" s="21"/>
      <c r="AE35" s="45"/>
      <c r="AF35" s="2">
        <v>25560</v>
      </c>
    </row>
    <row r="36" spans="2:32" s="9" customFormat="1" ht="175.5" customHeight="1">
      <c r="B36" s="31">
        <v>45516</v>
      </c>
      <c r="C36" s="2" t="s">
        <v>24</v>
      </c>
      <c r="D36" s="2" t="s">
        <v>252</v>
      </c>
      <c r="E36" s="11" t="s">
        <v>253</v>
      </c>
      <c r="F36" s="30" t="s">
        <v>62</v>
      </c>
      <c r="G36" s="30" t="s">
        <v>254</v>
      </c>
      <c r="H36" s="16">
        <v>45646</v>
      </c>
      <c r="I36"/>
      <c r="J36" s="115"/>
      <c r="K36" s="115"/>
      <c r="L36" s="115"/>
      <c r="M36" s="115"/>
      <c r="N36" s="115"/>
      <c r="O36" s="115"/>
      <c r="P36" s="115"/>
      <c r="Q36" s="115"/>
      <c r="R36" s="7" t="s">
        <v>20</v>
      </c>
      <c r="S36" s="2" t="s">
        <v>410</v>
      </c>
      <c r="T36" s="16">
        <v>45618</v>
      </c>
      <c r="U36" s="16">
        <v>45619</v>
      </c>
      <c r="V36" s="24" t="s">
        <v>867</v>
      </c>
      <c r="W36"/>
      <c r="X36" s="30" t="s">
        <v>26</v>
      </c>
      <c r="Y36" s="8">
        <v>45700</v>
      </c>
      <c r="Z36" s="10"/>
      <c r="AA36" s="22">
        <v>3878.72</v>
      </c>
      <c r="AB36" s="21"/>
      <c r="AC36" s="21"/>
      <c r="AD36" s="21"/>
      <c r="AE36" s="45"/>
      <c r="AF36" s="10">
        <v>3878.72</v>
      </c>
    </row>
    <row r="37" spans="2:32" s="9" customFormat="1" ht="195" customHeight="1">
      <c r="B37" s="31">
        <v>45538</v>
      </c>
      <c r="C37" s="2" t="s">
        <v>24</v>
      </c>
      <c r="D37" s="2" t="s">
        <v>282</v>
      </c>
      <c r="E37" s="11" t="s">
        <v>283</v>
      </c>
      <c r="F37" s="30" t="s">
        <v>155</v>
      </c>
      <c r="G37" s="30" t="s">
        <v>284</v>
      </c>
      <c r="H37" s="16">
        <v>45687</v>
      </c>
      <c r="J37" s="115"/>
      <c r="K37" s="115"/>
      <c r="L37" s="115"/>
      <c r="M37" s="115"/>
      <c r="N37" s="115"/>
      <c r="O37" s="115"/>
      <c r="P37" s="115"/>
      <c r="Q37" s="115"/>
      <c r="R37" s="7" t="s">
        <v>20</v>
      </c>
      <c r="S37" s="2" t="s">
        <v>645</v>
      </c>
      <c r="T37" s="31">
        <v>45638</v>
      </c>
      <c r="U37" s="16">
        <v>45667</v>
      </c>
      <c r="V37" s="17" t="s">
        <v>868</v>
      </c>
      <c r="X37" s="30" t="s">
        <v>33</v>
      </c>
      <c r="Y37" s="8">
        <v>45699</v>
      </c>
      <c r="Z37" s="10"/>
      <c r="AA37" s="22">
        <v>144674.70000000001</v>
      </c>
      <c r="AB37" s="10"/>
      <c r="AC37" s="10"/>
      <c r="AD37" s="21"/>
      <c r="AE37" s="45"/>
      <c r="AF37" s="10">
        <v>144784.70000000001</v>
      </c>
    </row>
    <row r="38" spans="2:32" s="9" customFormat="1" ht="218.25" customHeight="1">
      <c r="B38" s="31">
        <v>45537</v>
      </c>
      <c r="C38" s="11" t="s">
        <v>694</v>
      </c>
      <c r="D38" s="2" t="s">
        <v>270</v>
      </c>
      <c r="E38" s="11" t="s">
        <v>271</v>
      </c>
      <c r="F38" s="30" t="s">
        <v>242</v>
      </c>
      <c r="G38" s="30" t="s">
        <v>272</v>
      </c>
      <c r="H38" s="16" t="s">
        <v>643</v>
      </c>
      <c r="J38" s="115"/>
      <c r="K38" s="115"/>
      <c r="L38" s="115"/>
      <c r="M38" s="115"/>
      <c r="N38" s="115"/>
      <c r="O38" s="115"/>
      <c r="P38" s="115"/>
      <c r="Q38" s="115"/>
      <c r="R38" s="7" t="s">
        <v>20</v>
      </c>
      <c r="S38" s="2" t="s">
        <v>416</v>
      </c>
      <c r="T38" s="31">
        <v>45612</v>
      </c>
      <c r="U38" s="31">
        <v>45639</v>
      </c>
      <c r="V38" s="24" t="s">
        <v>876</v>
      </c>
      <c r="X38" s="30" t="s">
        <v>33</v>
      </c>
      <c r="Y38" s="8">
        <v>45688</v>
      </c>
      <c r="Z38" s="10"/>
      <c r="AA38" s="22">
        <v>34618.01</v>
      </c>
      <c r="AB38" s="10"/>
      <c r="AC38" s="10"/>
      <c r="AD38" s="21"/>
      <c r="AE38" s="45"/>
      <c r="AF38" s="16"/>
    </row>
    <row r="39" spans="2:32" s="9" customFormat="1" ht="204.75" customHeight="1">
      <c r="B39" s="31">
        <v>45537</v>
      </c>
      <c r="C39" s="11" t="s">
        <v>694</v>
      </c>
      <c r="D39" s="2" t="s">
        <v>273</v>
      </c>
      <c r="E39" s="11" t="s">
        <v>274</v>
      </c>
      <c r="F39" s="30" t="s">
        <v>242</v>
      </c>
      <c r="G39" s="30" t="s">
        <v>272</v>
      </c>
      <c r="H39" s="16">
        <v>45646</v>
      </c>
      <c r="J39" s="115"/>
      <c r="K39" s="115"/>
      <c r="L39" s="115"/>
      <c r="M39" s="115"/>
      <c r="N39" s="115"/>
      <c r="O39" s="115"/>
      <c r="P39" s="115"/>
      <c r="Q39" s="115"/>
      <c r="R39" s="7" t="s">
        <v>20</v>
      </c>
      <c r="S39" s="2" t="s">
        <v>471</v>
      </c>
      <c r="T39" s="31">
        <v>45614</v>
      </c>
      <c r="U39" s="31">
        <v>45643</v>
      </c>
      <c r="V39" s="24" t="s">
        <v>877</v>
      </c>
      <c r="X39" s="30" t="s">
        <v>33</v>
      </c>
      <c r="Y39" s="8">
        <v>45688</v>
      </c>
      <c r="Z39" s="10"/>
      <c r="AA39" s="22">
        <v>34419.18</v>
      </c>
      <c r="AB39" s="10"/>
      <c r="AC39" s="10"/>
      <c r="AD39" s="21"/>
      <c r="AE39" s="45"/>
      <c r="AF39" s="16"/>
    </row>
    <row r="40" spans="2:32" s="9" customFormat="1" ht="129.75" customHeight="1">
      <c r="B40" s="31">
        <v>45464</v>
      </c>
      <c r="C40" s="11" t="s">
        <v>27</v>
      </c>
      <c r="D40" s="2" t="s">
        <v>191</v>
      </c>
      <c r="E40" s="11" t="s">
        <v>192</v>
      </c>
      <c r="F40" s="30" t="s">
        <v>74</v>
      </c>
      <c r="G40" s="30" t="s">
        <v>818</v>
      </c>
      <c r="H40" s="16">
        <v>45687</v>
      </c>
      <c r="I40"/>
      <c r="J40" s="115"/>
      <c r="K40" s="115"/>
      <c r="L40" s="115"/>
      <c r="M40" s="115"/>
      <c r="N40" s="115"/>
      <c r="O40" s="115"/>
      <c r="P40" s="115"/>
      <c r="Q40" s="6" t="s">
        <v>851</v>
      </c>
      <c r="R40" s="7" t="s">
        <v>22</v>
      </c>
      <c r="S40" s="2" t="s">
        <v>541</v>
      </c>
      <c r="T40" s="16">
        <v>45633</v>
      </c>
      <c r="U40" s="16">
        <v>45663</v>
      </c>
      <c r="V40" s="25" t="s">
        <v>895</v>
      </c>
      <c r="W40" s="100"/>
      <c r="X40" s="30" t="s">
        <v>190</v>
      </c>
      <c r="Y40" s="8">
        <v>45695</v>
      </c>
      <c r="Z40" s="65"/>
      <c r="AA40" s="10"/>
      <c r="AB40" s="21"/>
      <c r="AC40" s="22">
        <v>2204679.64</v>
      </c>
      <c r="AD40" s="21"/>
      <c r="AE40" s="45"/>
      <c r="AF40" s="10">
        <f>2122479.6+1277.5+2060.75+75005.85+660+804.64+2391.3</f>
        <v>2204679.64</v>
      </c>
    </row>
    <row r="41" spans="2:32" s="9" customFormat="1" ht="150.75" customHeight="1">
      <c r="B41" s="31">
        <v>45593</v>
      </c>
      <c r="C41" s="11" t="s">
        <v>694</v>
      </c>
      <c r="D41" s="2" t="s">
        <v>397</v>
      </c>
      <c r="E41" s="11" t="s">
        <v>398</v>
      </c>
      <c r="F41" s="30" t="s">
        <v>87</v>
      </c>
      <c r="G41" s="30" t="s">
        <v>120</v>
      </c>
      <c r="H41" s="16" t="s">
        <v>692</v>
      </c>
      <c r="I41" s="115"/>
      <c r="J41" s="115"/>
      <c r="K41" s="115"/>
      <c r="L41" s="115"/>
      <c r="M41" s="115"/>
      <c r="N41" s="115"/>
      <c r="O41" s="115"/>
      <c r="P41" s="115">
        <v>45701</v>
      </c>
      <c r="Q41" s="7" t="s">
        <v>20</v>
      </c>
      <c r="R41" s="34" t="s">
        <v>691</v>
      </c>
      <c r="S41" s="16">
        <v>45649</v>
      </c>
      <c r="T41" s="16">
        <v>45685</v>
      </c>
      <c r="U41" s="24" t="s">
        <v>1008</v>
      </c>
      <c r="V41" s="100"/>
      <c r="W41" s="30" t="s">
        <v>33</v>
      </c>
      <c r="X41" s="8">
        <v>45705</v>
      </c>
      <c r="Y41" s="10"/>
      <c r="Z41" s="22">
        <v>72639.58</v>
      </c>
      <c r="AA41" s="21"/>
      <c r="AB41" s="21"/>
      <c r="AC41" s="21"/>
      <c r="AD41" s="45"/>
      <c r="AE41" s="23"/>
    </row>
    <row r="42" spans="2:32" s="9" customFormat="1" ht="93.75">
      <c r="B42" s="31">
        <v>45649</v>
      </c>
      <c r="C42" s="2" t="s">
        <v>24</v>
      </c>
      <c r="D42" s="2" t="s">
        <v>628</v>
      </c>
      <c r="E42" s="11" t="s">
        <v>629</v>
      </c>
      <c r="F42" s="30" t="s">
        <v>295</v>
      </c>
      <c r="G42" s="30" t="s">
        <v>630</v>
      </c>
      <c r="H42" s="16">
        <v>45667</v>
      </c>
      <c r="I42" s="115"/>
      <c r="J42" s="115"/>
      <c r="K42" s="115"/>
      <c r="L42" s="115"/>
      <c r="M42" s="115"/>
      <c r="N42" s="115"/>
      <c r="O42" s="115"/>
      <c r="P42" s="115" t="s">
        <v>904</v>
      </c>
      <c r="Q42" s="7" t="s">
        <v>22</v>
      </c>
      <c r="R42" s="2" t="s">
        <v>632</v>
      </c>
      <c r="S42" s="16" t="s">
        <v>631</v>
      </c>
      <c r="T42" s="16" t="s">
        <v>684</v>
      </c>
      <c r="U42" s="4" t="s">
        <v>1012</v>
      </c>
      <c r="V42" s="100"/>
      <c r="W42" s="30" t="s">
        <v>29</v>
      </c>
      <c r="X42" s="8">
        <v>45705</v>
      </c>
      <c r="Y42" s="10"/>
      <c r="Z42" s="22">
        <v>61236</v>
      </c>
      <c r="AA42" s="21"/>
      <c r="AB42" s="21"/>
      <c r="AC42" s="21"/>
      <c r="AD42" s="45"/>
      <c r="AE42" s="23"/>
    </row>
    <row r="43" spans="2:32" s="9" customFormat="1" ht="93.75">
      <c r="B43" s="31">
        <v>45649</v>
      </c>
      <c r="C43" s="2" t="s">
        <v>24</v>
      </c>
      <c r="D43" s="2" t="s">
        <v>633</v>
      </c>
      <c r="E43" s="11" t="s">
        <v>634</v>
      </c>
      <c r="F43" s="30" t="s">
        <v>98</v>
      </c>
      <c r="G43" s="30" t="s">
        <v>112</v>
      </c>
      <c r="H43" s="16" t="s">
        <v>636</v>
      </c>
      <c r="I43" s="115"/>
      <c r="J43" s="115"/>
      <c r="K43" s="115"/>
      <c r="L43" s="115"/>
      <c r="M43" s="115"/>
      <c r="N43" s="115"/>
      <c r="O43" s="115"/>
      <c r="P43" s="115" t="s">
        <v>904</v>
      </c>
      <c r="Q43" s="7" t="s">
        <v>22</v>
      </c>
      <c r="R43" s="2" t="s">
        <v>635</v>
      </c>
      <c r="S43" s="16" t="s">
        <v>596</v>
      </c>
      <c r="T43" s="16" t="s">
        <v>683</v>
      </c>
      <c r="U43" s="4" t="s">
        <v>1013</v>
      </c>
      <c r="V43" s="100"/>
      <c r="W43" s="30" t="s">
        <v>50</v>
      </c>
      <c r="X43" s="8">
        <v>45708</v>
      </c>
      <c r="Y43" s="22">
        <v>63000</v>
      </c>
      <c r="Z43" s="10"/>
      <c r="AA43" s="21"/>
      <c r="AB43" s="21"/>
      <c r="AC43" s="21"/>
      <c r="AD43" s="45"/>
      <c r="AE43" s="23"/>
    </row>
    <row r="44" spans="2:32" s="9" customFormat="1" ht="112.5">
      <c r="B44" s="31">
        <v>45376</v>
      </c>
      <c r="C44" s="11" t="s">
        <v>27</v>
      </c>
      <c r="D44" s="34" t="s">
        <v>134</v>
      </c>
      <c r="E44" s="11" t="s">
        <v>135</v>
      </c>
      <c r="F44" s="30" t="s">
        <v>74</v>
      </c>
      <c r="G44" s="30" t="s">
        <v>423</v>
      </c>
      <c r="H44" s="18">
        <v>45687</v>
      </c>
      <c r="I44" s="117"/>
      <c r="J44" s="117"/>
      <c r="K44" s="117"/>
      <c r="L44" s="117"/>
      <c r="M44" s="117"/>
      <c r="N44" s="117"/>
      <c r="O44" s="117"/>
      <c r="P44" s="6" t="s">
        <v>851</v>
      </c>
      <c r="Q44" s="7" t="s">
        <v>22</v>
      </c>
      <c r="R44" s="2" t="s">
        <v>541</v>
      </c>
      <c r="S44" s="16">
        <v>45633</v>
      </c>
      <c r="T44" s="16">
        <v>45663</v>
      </c>
      <c r="U44" s="27" t="s">
        <v>1016</v>
      </c>
      <c r="V44" s="100"/>
      <c r="W44" s="30" t="s">
        <v>33</v>
      </c>
      <c r="X44" s="8">
        <v>45695</v>
      </c>
      <c r="Y44" s="10"/>
      <c r="Z44" s="10"/>
      <c r="AA44" s="21"/>
      <c r="AB44" s="22">
        <v>1050576.5900000001</v>
      </c>
      <c r="AC44" s="21"/>
      <c r="AD44" s="45"/>
      <c r="AE44" s="18"/>
    </row>
    <row r="45" spans="2:32" s="9" customFormat="1" ht="56.25">
      <c r="B45" s="31">
        <v>45376</v>
      </c>
      <c r="C45" s="11" t="s">
        <v>27</v>
      </c>
      <c r="D45" s="2" t="s">
        <v>136</v>
      </c>
      <c r="E45" s="11" t="s">
        <v>137</v>
      </c>
      <c r="F45" s="30" t="s">
        <v>74</v>
      </c>
      <c r="G45" s="30" t="s">
        <v>285</v>
      </c>
      <c r="H45" s="18">
        <v>45687</v>
      </c>
      <c r="I45" s="117"/>
      <c r="J45" s="117"/>
      <c r="K45" s="117"/>
      <c r="L45" s="117"/>
      <c r="M45" s="117"/>
      <c r="N45" s="117"/>
      <c r="O45" s="117"/>
      <c r="P45" s="6" t="s">
        <v>851</v>
      </c>
      <c r="Q45" s="7" t="s">
        <v>22</v>
      </c>
      <c r="R45" s="2" t="s">
        <v>541</v>
      </c>
      <c r="S45" s="16">
        <v>45633</v>
      </c>
      <c r="T45" s="16">
        <v>45663</v>
      </c>
      <c r="U45" s="24" t="s">
        <v>894</v>
      </c>
      <c r="V45" s="100"/>
      <c r="W45" s="30" t="s">
        <v>54</v>
      </c>
      <c r="X45" s="8">
        <v>45695</v>
      </c>
      <c r="Y45" s="10"/>
      <c r="Z45" s="10"/>
      <c r="AA45" s="21"/>
      <c r="AB45" s="22">
        <v>1080795.5900000001</v>
      </c>
      <c r="AC45" s="21"/>
      <c r="AD45" s="45"/>
      <c r="AE45" s="21">
        <v>1080795.5900000001</v>
      </c>
    </row>
    <row r="46" spans="2:32" s="9" customFormat="1" ht="75">
      <c r="B46" s="31">
        <v>45433</v>
      </c>
      <c r="C46" s="11" t="s">
        <v>27</v>
      </c>
      <c r="D46" s="2" t="s">
        <v>162</v>
      </c>
      <c r="E46" s="11" t="s">
        <v>163</v>
      </c>
      <c r="F46" s="30" t="s">
        <v>74</v>
      </c>
      <c r="G46" s="30" t="s">
        <v>537</v>
      </c>
      <c r="H46" s="16">
        <v>45656</v>
      </c>
      <c r="I46" s="115"/>
      <c r="J46" s="115"/>
      <c r="K46" s="115"/>
      <c r="L46" s="115"/>
      <c r="M46" s="115"/>
      <c r="N46" s="115"/>
      <c r="O46" s="115"/>
      <c r="P46" s="6" t="s">
        <v>851</v>
      </c>
      <c r="Q46" s="7" t="s">
        <v>22</v>
      </c>
      <c r="R46" s="2" t="s">
        <v>536</v>
      </c>
      <c r="S46" s="16">
        <v>45598</v>
      </c>
      <c r="T46" s="16">
        <v>45625</v>
      </c>
      <c r="U46" s="24" t="s">
        <v>1017</v>
      </c>
      <c r="V46" s="100"/>
      <c r="W46" s="30" t="s">
        <v>33</v>
      </c>
      <c r="X46" s="8">
        <v>45656</v>
      </c>
      <c r="Y46" s="10"/>
      <c r="Z46" s="10"/>
      <c r="AA46" s="21"/>
      <c r="AB46" s="22">
        <v>1920298.94</v>
      </c>
      <c r="AC46" s="21"/>
      <c r="AD46" s="45"/>
      <c r="AE46" s="10"/>
    </row>
    <row r="47" spans="2:32" s="9" customFormat="1" ht="93.75">
      <c r="B47" s="31">
        <v>45464</v>
      </c>
      <c r="C47" s="11" t="s">
        <v>27</v>
      </c>
      <c r="D47" s="2" t="s">
        <v>188</v>
      </c>
      <c r="E47" s="11" t="s">
        <v>189</v>
      </c>
      <c r="F47" s="30" t="s">
        <v>74</v>
      </c>
      <c r="G47" s="30" t="s">
        <v>784</v>
      </c>
      <c r="H47" s="16">
        <v>45687</v>
      </c>
      <c r="I47" s="115"/>
      <c r="J47" s="115"/>
      <c r="K47" s="115"/>
      <c r="L47" s="115"/>
      <c r="M47" s="115"/>
      <c r="N47" s="115"/>
      <c r="O47" s="115"/>
      <c r="P47" s="6" t="s">
        <v>851</v>
      </c>
      <c r="Q47" s="7" t="s">
        <v>22</v>
      </c>
      <c r="R47" s="2" t="s">
        <v>541</v>
      </c>
      <c r="S47" s="16">
        <v>45633</v>
      </c>
      <c r="T47" s="16">
        <v>45663</v>
      </c>
      <c r="U47" s="24" t="s">
        <v>1018</v>
      </c>
      <c r="V47" s="100"/>
      <c r="W47" s="30" t="s">
        <v>190</v>
      </c>
      <c r="X47" s="8">
        <v>45695</v>
      </c>
      <c r="Y47" s="65"/>
      <c r="Z47" s="10"/>
      <c r="AA47" s="21"/>
      <c r="AB47" s="22">
        <v>539207</v>
      </c>
      <c r="AC47" s="21"/>
      <c r="AD47" s="45"/>
      <c r="AE47" s="10">
        <f>+(1150*230.31+1220*205.77)+23311.37</f>
        <v>539207.27</v>
      </c>
    </row>
    <row r="48" spans="2:32" s="9" customFormat="1" ht="131.25">
      <c r="B48" s="31">
        <v>45546</v>
      </c>
      <c r="C48" s="11" t="s">
        <v>40</v>
      </c>
      <c r="D48" s="2" t="s">
        <v>305</v>
      </c>
      <c r="E48" s="11" t="s">
        <v>306</v>
      </c>
      <c r="F48" s="30" t="s">
        <v>74</v>
      </c>
      <c r="G48" s="30" t="s">
        <v>248</v>
      </c>
      <c r="H48" s="16">
        <v>45654</v>
      </c>
      <c r="I48" s="115"/>
      <c r="J48" s="115"/>
      <c r="K48" s="115"/>
      <c r="L48" s="115"/>
      <c r="M48" s="115"/>
      <c r="N48" s="115"/>
      <c r="O48" s="115"/>
      <c r="P48" s="6" t="s">
        <v>851</v>
      </c>
      <c r="Q48" s="7" t="s">
        <v>22</v>
      </c>
      <c r="R48" s="2" t="s">
        <v>536</v>
      </c>
      <c r="S48" s="16">
        <v>45598</v>
      </c>
      <c r="T48" s="16">
        <v>45625</v>
      </c>
      <c r="U48" s="4" t="s">
        <v>1019</v>
      </c>
      <c r="V48" s="100"/>
      <c r="W48" s="30" t="s">
        <v>54</v>
      </c>
      <c r="X48" s="8">
        <v>45656</v>
      </c>
      <c r="Y48" s="10"/>
      <c r="Z48" s="10"/>
      <c r="AA48" s="21"/>
      <c r="AB48" s="22">
        <v>905420.85</v>
      </c>
      <c r="AC48" s="21"/>
      <c r="AD48" s="45"/>
      <c r="AE48" s="16"/>
    </row>
    <row r="49" spans="2:33" s="9" customFormat="1" ht="104.25" customHeight="1">
      <c r="B49" s="31">
        <v>45534</v>
      </c>
      <c r="C49" s="11" t="s">
        <v>27</v>
      </c>
      <c r="D49" s="2" t="s">
        <v>276</v>
      </c>
      <c r="E49" s="11" t="s">
        <v>275</v>
      </c>
      <c r="F49" s="30" t="s">
        <v>74</v>
      </c>
      <c r="G49" s="30" t="s">
        <v>538</v>
      </c>
      <c r="H49" s="16">
        <v>45656</v>
      </c>
      <c r="I49" s="115"/>
      <c r="J49" s="115"/>
      <c r="K49" s="115"/>
      <c r="L49" s="115"/>
      <c r="M49" s="115"/>
      <c r="N49" s="115"/>
      <c r="O49" s="115"/>
      <c r="P49" s="6" t="s">
        <v>851</v>
      </c>
      <c r="Q49" s="7" t="s">
        <v>22</v>
      </c>
      <c r="R49" s="2" t="s">
        <v>536</v>
      </c>
      <c r="S49" s="31">
        <v>45598</v>
      </c>
      <c r="T49" s="31">
        <v>45625</v>
      </c>
      <c r="U49" s="24" t="s">
        <v>896</v>
      </c>
      <c r="W49" s="30" t="s">
        <v>33</v>
      </c>
      <c r="X49" s="8">
        <v>45656</v>
      </c>
      <c r="Y49" s="10"/>
      <c r="Z49" s="10"/>
      <c r="AA49" s="10"/>
      <c r="AB49" s="22">
        <v>262603.63</v>
      </c>
      <c r="AC49" s="21"/>
      <c r="AD49" s="45"/>
      <c r="AE49" s="116">
        <f>262603.63+1598353.25</f>
        <v>1860956.88</v>
      </c>
    </row>
    <row r="50" spans="2:33" s="9" customFormat="1" ht="93.75">
      <c r="B50" s="31">
        <v>45433</v>
      </c>
      <c r="C50" s="11" t="s">
        <v>27</v>
      </c>
      <c r="D50" s="2" t="s">
        <v>159</v>
      </c>
      <c r="E50" s="11" t="s">
        <v>158</v>
      </c>
      <c r="F50" s="30" t="s">
        <v>73</v>
      </c>
      <c r="G50" s="30" t="s">
        <v>424</v>
      </c>
      <c r="H50" s="16">
        <v>45687</v>
      </c>
      <c r="I50" s="115"/>
      <c r="J50" s="115"/>
      <c r="K50" s="115"/>
      <c r="L50" s="115"/>
      <c r="M50" s="115"/>
      <c r="N50" s="115"/>
      <c r="O50" s="115"/>
      <c r="P50" s="6"/>
      <c r="Q50" s="7" t="s">
        <v>22</v>
      </c>
      <c r="R50" s="2" t="s">
        <v>542</v>
      </c>
      <c r="S50" s="16">
        <v>45638</v>
      </c>
      <c r="T50" s="16">
        <v>45641</v>
      </c>
      <c r="U50" s="24" t="s">
        <v>1023</v>
      </c>
      <c r="V50" s="100"/>
      <c r="W50" s="30" t="s">
        <v>33</v>
      </c>
      <c r="X50" s="8">
        <v>45707</v>
      </c>
      <c r="Y50" s="10"/>
      <c r="Z50" s="10"/>
      <c r="AA50" s="21"/>
      <c r="AB50" s="135">
        <v>2217226.02</v>
      </c>
      <c r="AC50" s="21"/>
      <c r="AD50" s="45"/>
      <c r="AE50" s="16"/>
    </row>
    <row r="51" spans="2:33" s="9" customFormat="1" ht="56.25">
      <c r="B51" s="31">
        <v>45446</v>
      </c>
      <c r="C51" s="11" t="s">
        <v>27</v>
      </c>
      <c r="D51" s="2" t="s">
        <v>171</v>
      </c>
      <c r="E51" s="11" t="s">
        <v>172</v>
      </c>
      <c r="F51" s="30" t="s">
        <v>73</v>
      </c>
      <c r="G51" s="30" t="s">
        <v>656</v>
      </c>
      <c r="H51" s="16">
        <v>45687</v>
      </c>
      <c r="I51" s="115"/>
      <c r="J51" s="115"/>
      <c r="K51" s="115"/>
      <c r="L51" s="115"/>
      <c r="M51" s="115"/>
      <c r="N51" s="115"/>
      <c r="O51" s="115"/>
      <c r="P51" s="6"/>
      <c r="Q51" s="7" t="s">
        <v>22</v>
      </c>
      <c r="R51" s="94" t="s">
        <v>542</v>
      </c>
      <c r="S51" s="16">
        <v>45638</v>
      </c>
      <c r="T51" s="16">
        <v>45641</v>
      </c>
      <c r="U51" s="24" t="s">
        <v>897</v>
      </c>
      <c r="W51" s="30" t="s">
        <v>33</v>
      </c>
      <c r="X51" s="8">
        <v>45695</v>
      </c>
      <c r="Y51" s="10"/>
      <c r="Z51" s="69"/>
      <c r="AA51" s="10"/>
      <c r="AB51" s="29">
        <v>1671639.87</v>
      </c>
      <c r="AC51" s="21"/>
      <c r="AD51" s="45"/>
      <c r="AE51" s="10">
        <v>1671639.87</v>
      </c>
      <c r="AF51" s="9">
        <v>532312</v>
      </c>
      <c r="AG51" s="113">
        <f>+AF51-AE51</f>
        <v>-1139327.8700000001</v>
      </c>
    </row>
    <row r="52" spans="2:33" s="9" customFormat="1" ht="131.25">
      <c r="B52" s="31">
        <v>45464</v>
      </c>
      <c r="C52" s="11" t="s">
        <v>27</v>
      </c>
      <c r="D52" s="2" t="s">
        <v>193</v>
      </c>
      <c r="E52" s="11" t="s">
        <v>194</v>
      </c>
      <c r="F52" s="30" t="s">
        <v>73</v>
      </c>
      <c r="G52" s="30" t="s">
        <v>249</v>
      </c>
      <c r="H52" s="16">
        <v>45656</v>
      </c>
      <c r="I52" s="115"/>
      <c r="J52" s="115"/>
      <c r="K52" s="115"/>
      <c r="L52" s="115"/>
      <c r="M52" s="115"/>
      <c r="N52" s="115"/>
      <c r="O52" s="115"/>
      <c r="P52" s="6"/>
      <c r="Q52" s="7" t="s">
        <v>22</v>
      </c>
      <c r="R52" s="83" t="s">
        <v>495</v>
      </c>
      <c r="S52" s="16">
        <v>45638</v>
      </c>
      <c r="T52" s="16">
        <v>45646</v>
      </c>
      <c r="U52" s="24" t="s">
        <v>898</v>
      </c>
      <c r="V52" s="100"/>
      <c r="W52" s="30" t="s">
        <v>195</v>
      </c>
      <c r="X52" s="8">
        <v>45695</v>
      </c>
      <c r="Y52" s="65"/>
      <c r="Z52" s="10"/>
      <c r="AA52" s="21"/>
      <c r="AB52" s="22">
        <v>1211573.3500000001</v>
      </c>
      <c r="AC52" s="21"/>
      <c r="AD52" s="45"/>
      <c r="AE52" s="10">
        <f>1145016+2060.75+350+64146.6</f>
        <v>1211573.3500000001</v>
      </c>
    </row>
    <row r="53" spans="2:33" s="9" customFormat="1" ht="168.75">
      <c r="B53" s="31">
        <v>45516</v>
      </c>
      <c r="C53" s="11" t="s">
        <v>24</v>
      </c>
      <c r="D53" s="2" t="s">
        <v>261</v>
      </c>
      <c r="E53" s="11" t="s">
        <v>262</v>
      </c>
      <c r="F53" s="30" t="s">
        <v>36</v>
      </c>
      <c r="G53" s="47" t="s">
        <v>488</v>
      </c>
      <c r="H53" s="16">
        <v>45687</v>
      </c>
      <c r="I53" s="115"/>
      <c r="J53" s="115"/>
      <c r="K53" s="115"/>
      <c r="L53" s="115"/>
      <c r="M53" s="115"/>
      <c r="N53" s="115"/>
      <c r="O53" s="115"/>
      <c r="P53" s="115"/>
      <c r="Q53" s="7" t="s">
        <v>30</v>
      </c>
      <c r="R53" s="2" t="s">
        <v>654</v>
      </c>
      <c r="S53" s="16">
        <v>45660</v>
      </c>
      <c r="T53" s="16">
        <v>45665</v>
      </c>
      <c r="U53" s="14" t="s">
        <v>1036</v>
      </c>
      <c r="V53" s="100"/>
      <c r="W53" s="3" t="s">
        <v>113</v>
      </c>
      <c r="X53" s="8">
        <v>45698</v>
      </c>
      <c r="Y53" s="22">
        <v>6275.68</v>
      </c>
      <c r="Z53" s="10"/>
      <c r="AA53" s="21"/>
      <c r="AB53" s="21"/>
      <c r="AC53" s="21"/>
      <c r="AD53" s="45"/>
      <c r="AE53" s="23">
        <v>6275.68</v>
      </c>
    </row>
    <row r="54" spans="2:33" s="9" customFormat="1" ht="112.5">
      <c r="B54" s="31">
        <v>45516</v>
      </c>
      <c r="C54" s="11" t="s">
        <v>24</v>
      </c>
      <c r="D54" s="2" t="s">
        <v>259</v>
      </c>
      <c r="E54" s="11" t="s">
        <v>260</v>
      </c>
      <c r="F54" s="30" t="s">
        <v>36</v>
      </c>
      <c r="G54" s="30" t="s">
        <v>490</v>
      </c>
      <c r="H54" s="16">
        <v>45687</v>
      </c>
      <c r="I54" s="115"/>
      <c r="J54" s="115"/>
      <c r="K54" s="115"/>
      <c r="L54" s="115"/>
      <c r="M54" s="115"/>
      <c r="N54" s="115"/>
      <c r="O54" s="115"/>
      <c r="P54" s="115"/>
      <c r="Q54" s="7" t="s">
        <v>30</v>
      </c>
      <c r="R54" s="2" t="s">
        <v>654</v>
      </c>
      <c r="S54" s="16">
        <v>45659</v>
      </c>
      <c r="T54" s="16">
        <v>45667</v>
      </c>
      <c r="U54" s="114" t="s">
        <v>1034</v>
      </c>
      <c r="V54" s="100"/>
      <c r="W54" s="30" t="s">
        <v>113</v>
      </c>
      <c r="X54" s="8">
        <v>45698</v>
      </c>
      <c r="Y54" s="22">
        <v>42917.25</v>
      </c>
      <c r="Z54" s="10"/>
      <c r="AA54" s="21"/>
      <c r="AB54" s="21"/>
      <c r="AC54" s="21"/>
      <c r="AD54" s="45"/>
      <c r="AE54" s="23">
        <v>42917.25</v>
      </c>
    </row>
    <row r="55" spans="2:33" s="9" customFormat="1" ht="318" customHeight="1">
      <c r="B55" s="31">
        <v>45545</v>
      </c>
      <c r="C55" s="11" t="s">
        <v>24</v>
      </c>
      <c r="D55" s="2" t="s">
        <v>303</v>
      </c>
      <c r="E55" s="11" t="s">
        <v>304</v>
      </c>
      <c r="F55" s="30" t="s">
        <v>36</v>
      </c>
      <c r="G55" s="30" t="s">
        <v>881</v>
      </c>
      <c r="H55" s="16">
        <v>45687</v>
      </c>
      <c r="I55" s="115"/>
      <c r="J55" s="115"/>
      <c r="K55" s="115"/>
      <c r="L55" s="115"/>
      <c r="M55" s="115"/>
      <c r="N55" s="115"/>
      <c r="O55" s="115"/>
      <c r="P55" s="115"/>
      <c r="Q55" s="7" t="s">
        <v>30</v>
      </c>
      <c r="R55" s="2" t="s">
        <v>654</v>
      </c>
      <c r="S55" s="16">
        <v>45659</v>
      </c>
      <c r="T55" s="16">
        <v>45667</v>
      </c>
      <c r="U55" s="4" t="s">
        <v>1035</v>
      </c>
      <c r="V55" s="100"/>
      <c r="W55" s="30" t="s">
        <v>113</v>
      </c>
      <c r="X55" s="8">
        <v>45698</v>
      </c>
      <c r="Y55" s="22">
        <v>1323761.8600000001</v>
      </c>
      <c r="Z55" s="10"/>
      <c r="AA55" s="21"/>
      <c r="AB55" s="21"/>
      <c r="AC55" s="21"/>
      <c r="AD55" s="45"/>
      <c r="AE55" s="23">
        <v>1323761.8600000001</v>
      </c>
    </row>
    <row r="56" spans="2:33" s="9" customFormat="1" ht="56.25">
      <c r="B56" s="31">
        <v>45545</v>
      </c>
      <c r="C56" s="11" t="s">
        <v>24</v>
      </c>
      <c r="D56" s="2" t="s">
        <v>303</v>
      </c>
      <c r="E56" s="11" t="s">
        <v>304</v>
      </c>
      <c r="F56" s="30" t="s">
        <v>36</v>
      </c>
      <c r="G56" s="30" t="s">
        <v>910</v>
      </c>
      <c r="H56" s="16">
        <v>45687</v>
      </c>
      <c r="I56" s="115"/>
      <c r="J56" s="115"/>
      <c r="K56" s="115"/>
      <c r="L56" s="115"/>
      <c r="M56" s="115"/>
      <c r="N56" s="115"/>
      <c r="O56" s="115"/>
      <c r="P56" s="115"/>
      <c r="Q56" s="7" t="s">
        <v>30</v>
      </c>
      <c r="R56" s="2" t="s">
        <v>912</v>
      </c>
      <c r="S56" s="16">
        <v>45688</v>
      </c>
      <c r="T56" s="16">
        <v>45693</v>
      </c>
      <c r="U56" s="4" t="s">
        <v>1037</v>
      </c>
      <c r="V56" s="100"/>
      <c r="W56" s="30" t="s">
        <v>113</v>
      </c>
      <c r="X56" s="8">
        <v>45698</v>
      </c>
      <c r="Y56" s="22">
        <v>1201.8699999999999</v>
      </c>
      <c r="Z56" s="10"/>
      <c r="AA56" s="21"/>
      <c r="AB56" s="21"/>
      <c r="AC56" s="21"/>
      <c r="AD56" s="45"/>
      <c r="AE56" s="10">
        <v>1201.8699999999999</v>
      </c>
    </row>
    <row r="57" spans="2:33" s="9" customFormat="1" ht="177" customHeight="1">
      <c r="B57" s="31">
        <v>45583</v>
      </c>
      <c r="C57" s="11" t="s">
        <v>24</v>
      </c>
      <c r="D57" s="2" t="s">
        <v>363</v>
      </c>
      <c r="E57" s="11" t="s">
        <v>364</v>
      </c>
      <c r="F57" s="30" t="s">
        <v>36</v>
      </c>
      <c r="G57" s="30" t="s">
        <v>365</v>
      </c>
      <c r="H57" s="16">
        <v>45687</v>
      </c>
      <c r="I57" s="115"/>
      <c r="J57" s="115"/>
      <c r="K57" s="115"/>
      <c r="L57" s="115"/>
      <c r="M57" s="115"/>
      <c r="N57" s="115"/>
      <c r="O57" s="115"/>
      <c r="P57" s="115"/>
      <c r="Q57" s="7" t="s">
        <v>30</v>
      </c>
      <c r="R57" s="16" t="s">
        <v>912</v>
      </c>
      <c r="S57" s="16">
        <v>45688</v>
      </c>
      <c r="T57" s="16">
        <v>45693</v>
      </c>
      <c r="U57" s="17" t="s">
        <v>1038</v>
      </c>
      <c r="V57" s="100"/>
      <c r="W57" s="30" t="s">
        <v>52</v>
      </c>
      <c r="X57" s="8">
        <v>45726</v>
      </c>
      <c r="Y57" s="10">
        <v>1054719</v>
      </c>
      <c r="Z57" s="10"/>
      <c r="AA57" s="21"/>
      <c r="AB57" s="21"/>
      <c r="AC57" s="21"/>
      <c r="AD57" s="45"/>
      <c r="AE57" s="16"/>
    </row>
    <row r="58" spans="2:33" s="9" customFormat="1" ht="112.5">
      <c r="B58" s="31">
        <v>45281</v>
      </c>
      <c r="C58" s="11" t="s">
        <v>24</v>
      </c>
      <c r="D58" s="2" t="s">
        <v>122</v>
      </c>
      <c r="E58" s="11" t="s">
        <v>123</v>
      </c>
      <c r="F58" s="30" t="s">
        <v>36</v>
      </c>
      <c r="G58" s="47" t="s">
        <v>174</v>
      </c>
      <c r="H58" s="16">
        <v>45345</v>
      </c>
      <c r="I58" s="115"/>
      <c r="J58" s="115"/>
      <c r="K58" s="115"/>
      <c r="L58" s="16"/>
      <c r="M58" s="16"/>
      <c r="N58" s="16"/>
      <c r="O58" s="16"/>
      <c r="P58" s="16"/>
      <c r="Q58" s="7" t="s">
        <v>30</v>
      </c>
      <c r="R58" s="2"/>
      <c r="S58" s="16"/>
      <c r="T58" s="16"/>
      <c r="U58" s="56" t="s">
        <v>865</v>
      </c>
      <c r="V58" s="100"/>
      <c r="W58" s="30" t="s">
        <v>119</v>
      </c>
      <c r="X58" s="8">
        <v>45731</v>
      </c>
      <c r="Y58" s="23">
        <v>12000</v>
      </c>
      <c r="Z58" s="23"/>
      <c r="AA58" s="21"/>
      <c r="AB58" s="21"/>
      <c r="AC58" s="21"/>
      <c r="AD58" s="45"/>
      <c r="AE58" s="16"/>
    </row>
    <row r="59" spans="2:33" s="9" customFormat="1" ht="93.75">
      <c r="B59" s="31">
        <v>45632</v>
      </c>
      <c r="C59" s="11" t="s">
        <v>24</v>
      </c>
      <c r="D59" s="2" t="s">
        <v>729</v>
      </c>
      <c r="E59" s="11" t="s">
        <v>730</v>
      </c>
      <c r="F59" s="30" t="s">
        <v>36</v>
      </c>
      <c r="G59" s="30" t="s">
        <v>882</v>
      </c>
      <c r="H59" s="16">
        <v>45740</v>
      </c>
      <c r="I59" s="115"/>
      <c r="J59" s="115"/>
      <c r="K59" s="115"/>
      <c r="L59" s="115"/>
      <c r="M59" s="115"/>
      <c r="N59" s="115"/>
      <c r="O59" s="115"/>
      <c r="P59" s="115">
        <v>45713</v>
      </c>
      <c r="Q59" s="7" t="s">
        <v>30</v>
      </c>
      <c r="R59" s="2" t="s">
        <v>654</v>
      </c>
      <c r="S59" s="16">
        <v>45659</v>
      </c>
      <c r="T59" s="16">
        <v>45667</v>
      </c>
      <c r="U59" s="17" t="s">
        <v>1040</v>
      </c>
      <c r="V59" s="100"/>
      <c r="W59" s="30" t="s">
        <v>113</v>
      </c>
      <c r="X59" s="8">
        <v>45695</v>
      </c>
      <c r="Y59" s="22">
        <v>10776.93</v>
      </c>
      <c r="Z59" s="23"/>
      <c r="AA59" s="21"/>
      <c r="AB59" s="21"/>
      <c r="AC59" s="21"/>
      <c r="AD59" s="45"/>
      <c r="AE59" s="23">
        <v>10776.93</v>
      </c>
    </row>
    <row r="60" spans="2:33" s="9" customFormat="1" ht="112.5">
      <c r="B60" s="31">
        <v>45638</v>
      </c>
      <c r="C60" s="2" t="s">
        <v>24</v>
      </c>
      <c r="D60" s="2" t="s">
        <v>602</v>
      </c>
      <c r="E60" s="11" t="s">
        <v>594</v>
      </c>
      <c r="F60" s="30" t="s">
        <v>95</v>
      </c>
      <c r="G60" s="30" t="s">
        <v>603</v>
      </c>
      <c r="H60" s="16">
        <v>45657</v>
      </c>
      <c r="I60" s="115"/>
      <c r="J60" s="115"/>
      <c r="K60" s="115"/>
      <c r="L60" s="115"/>
      <c r="M60" s="115"/>
      <c r="N60" s="115"/>
      <c r="O60" s="115"/>
      <c r="P60" s="115">
        <v>45631</v>
      </c>
      <c r="Q60" s="7" t="s">
        <v>22</v>
      </c>
      <c r="R60" s="2" t="s">
        <v>605</v>
      </c>
      <c r="S60" s="16" t="s">
        <v>606</v>
      </c>
      <c r="T60" s="16" t="s">
        <v>638</v>
      </c>
      <c r="U60" s="4" t="s">
        <v>1044</v>
      </c>
      <c r="V60" s="100"/>
      <c r="W60" s="30" t="s">
        <v>604</v>
      </c>
      <c r="X60" s="8">
        <v>45674</v>
      </c>
      <c r="Y60" s="10"/>
      <c r="Z60" s="22">
        <v>154285.82999999999</v>
      </c>
      <c r="AA60" s="21"/>
      <c r="AB60" s="21"/>
      <c r="AC60" s="21"/>
      <c r="AD60" s="45"/>
      <c r="AE60" s="23">
        <v>154285.82999999999</v>
      </c>
    </row>
    <row r="61" spans="2:33" s="9" customFormat="1" ht="56.25">
      <c r="B61" s="31">
        <v>45666</v>
      </c>
      <c r="C61" s="2" t="s">
        <v>24</v>
      </c>
      <c r="D61" s="2" t="s">
        <v>672</v>
      </c>
      <c r="E61" s="11" t="s">
        <v>673</v>
      </c>
      <c r="F61" s="30" t="s">
        <v>95</v>
      </c>
      <c r="G61" s="30" t="s">
        <v>674</v>
      </c>
      <c r="H61" s="16">
        <v>45691</v>
      </c>
      <c r="I61" s="115"/>
      <c r="J61" s="115"/>
      <c r="K61" s="115"/>
      <c r="L61" s="115"/>
      <c r="M61" s="115"/>
      <c r="N61" s="115"/>
      <c r="O61" s="115"/>
      <c r="P61" s="115">
        <v>45705</v>
      </c>
      <c r="Q61" s="7" t="s">
        <v>22</v>
      </c>
      <c r="R61" s="2" t="s">
        <v>675</v>
      </c>
      <c r="S61" s="16" t="s">
        <v>676</v>
      </c>
      <c r="T61" s="16" t="s">
        <v>677</v>
      </c>
      <c r="U61" s="4" t="s">
        <v>1045</v>
      </c>
      <c r="V61" s="100"/>
      <c r="W61" s="30" t="s">
        <v>54</v>
      </c>
      <c r="X61" s="8">
        <v>45711</v>
      </c>
      <c r="Y61" s="10"/>
      <c r="Z61" s="22">
        <v>64914.39</v>
      </c>
      <c r="AA61" s="21"/>
      <c r="AB61" s="21"/>
      <c r="AC61" s="21"/>
      <c r="AD61" s="45"/>
      <c r="AE61" s="23"/>
    </row>
    <row r="62" spans="2:33" s="9" customFormat="1" ht="75">
      <c r="B62" s="31">
        <v>45688</v>
      </c>
      <c r="C62" s="11" t="s">
        <v>24</v>
      </c>
      <c r="D62" s="2" t="s">
        <v>771</v>
      </c>
      <c r="E62" s="11" t="s">
        <v>772</v>
      </c>
      <c r="F62" s="30" t="s">
        <v>773</v>
      </c>
      <c r="G62" s="30" t="s">
        <v>774</v>
      </c>
      <c r="H62" s="16">
        <v>45736</v>
      </c>
      <c r="I62" s="115"/>
      <c r="J62" s="115"/>
      <c r="K62" s="115"/>
      <c r="L62" s="115"/>
      <c r="M62" s="115"/>
      <c r="N62" s="115"/>
      <c r="O62" s="115"/>
      <c r="P62" s="115">
        <v>45713</v>
      </c>
      <c r="Q62" s="7" t="s">
        <v>25</v>
      </c>
      <c r="R62" s="2" t="s">
        <v>70</v>
      </c>
      <c r="S62" s="16">
        <v>45704</v>
      </c>
      <c r="T62" s="16">
        <v>45704</v>
      </c>
      <c r="U62" s="24" t="s">
        <v>1041</v>
      </c>
      <c r="V62" s="100"/>
      <c r="W62" s="30" t="s">
        <v>61</v>
      </c>
      <c r="X62" s="8">
        <v>45693</v>
      </c>
      <c r="Y62" s="10"/>
      <c r="Z62" s="22">
        <v>23950</v>
      </c>
      <c r="AA62" s="21"/>
      <c r="AB62" s="21"/>
      <c r="AC62" s="21"/>
      <c r="AD62" s="45"/>
      <c r="AE62" s="16"/>
    </row>
    <row r="63" spans="2:33" s="9" customFormat="1" ht="56.25">
      <c r="B63" s="31">
        <v>45678</v>
      </c>
      <c r="C63" s="11" t="s">
        <v>24</v>
      </c>
      <c r="D63" s="2" t="s">
        <v>720</v>
      </c>
      <c r="E63" s="11" t="s">
        <v>721</v>
      </c>
      <c r="F63" s="30" t="s">
        <v>467</v>
      </c>
      <c r="G63" s="30" t="s">
        <v>722</v>
      </c>
      <c r="H63" s="16">
        <v>45778</v>
      </c>
      <c r="I63" s="115"/>
      <c r="J63" s="115"/>
      <c r="K63" s="115"/>
      <c r="L63" s="115"/>
      <c r="M63" s="16" t="s">
        <v>870</v>
      </c>
      <c r="N63" s="16"/>
      <c r="O63" s="16"/>
      <c r="P63" s="16"/>
      <c r="Q63" s="7" t="s">
        <v>18</v>
      </c>
      <c r="R63" s="2"/>
      <c r="S63" s="16" t="s">
        <v>870</v>
      </c>
      <c r="T63" s="16" t="s">
        <v>871</v>
      </c>
      <c r="U63" s="103" t="s">
        <v>1014</v>
      </c>
      <c r="V63" s="100"/>
      <c r="W63" s="30" t="s">
        <v>324</v>
      </c>
      <c r="X63" s="8">
        <v>45796</v>
      </c>
      <c r="Y63" s="10">
        <v>17664</v>
      </c>
      <c r="Z63" s="10"/>
      <c r="AA63" s="21"/>
      <c r="AB63" s="21"/>
      <c r="AC63" s="21"/>
      <c r="AD63" s="45"/>
      <c r="AE63" s="23"/>
    </row>
    <row r="64" spans="2:33" s="9" customFormat="1" ht="131.25">
      <c r="B64" s="31">
        <v>45477</v>
      </c>
      <c r="C64" s="11" t="s">
        <v>27</v>
      </c>
      <c r="D64" s="2" t="s">
        <v>209</v>
      </c>
      <c r="E64" s="11" t="s">
        <v>210</v>
      </c>
      <c r="F64" s="30" t="s">
        <v>211</v>
      </c>
      <c r="G64" s="30" t="s">
        <v>403</v>
      </c>
      <c r="H64" s="16">
        <v>45656</v>
      </c>
      <c r="I64" s="115"/>
      <c r="J64" s="115"/>
      <c r="K64" s="115"/>
      <c r="L64" s="115"/>
      <c r="M64" s="115"/>
      <c r="N64" s="115"/>
      <c r="O64" s="115"/>
      <c r="P64" s="6"/>
      <c r="Q64" s="7" t="s">
        <v>22</v>
      </c>
      <c r="R64" s="2" t="s">
        <v>542</v>
      </c>
      <c r="S64" s="16">
        <v>45638</v>
      </c>
      <c r="T64" s="16">
        <v>45641</v>
      </c>
      <c r="U64" s="24" t="s">
        <v>1027</v>
      </c>
      <c r="V64" s="100"/>
      <c r="W64" s="30" t="s">
        <v>212</v>
      </c>
      <c r="X64" s="8">
        <v>45695</v>
      </c>
      <c r="Y64" s="10"/>
      <c r="Z64" s="10"/>
      <c r="AA64" s="21"/>
      <c r="AB64" s="22">
        <v>1118153.8700000001</v>
      </c>
      <c r="AC64" s="21"/>
      <c r="AD64" s="45"/>
      <c r="AE64" s="10">
        <v>1118153.8700000001</v>
      </c>
    </row>
    <row r="65" spans="2:31" s="9" customFormat="1" ht="75">
      <c r="B65" s="31">
        <v>45477</v>
      </c>
      <c r="C65" s="11" t="s">
        <v>27</v>
      </c>
      <c r="D65" s="2" t="s">
        <v>209</v>
      </c>
      <c r="E65" s="11" t="s">
        <v>210</v>
      </c>
      <c r="F65" s="30" t="s">
        <v>211</v>
      </c>
      <c r="G65" s="30" t="s">
        <v>404</v>
      </c>
      <c r="H65" s="16">
        <v>45687</v>
      </c>
      <c r="I65" s="115"/>
      <c r="J65" s="115"/>
      <c r="K65" s="115"/>
      <c r="L65" s="115"/>
      <c r="M65" s="115"/>
      <c r="N65" s="115"/>
      <c r="O65" s="115"/>
      <c r="P65" s="6"/>
      <c r="Q65" s="7" t="s">
        <v>22</v>
      </c>
      <c r="R65" s="2" t="s">
        <v>495</v>
      </c>
      <c r="S65" s="16">
        <v>45605</v>
      </c>
      <c r="T65" s="16">
        <v>45646</v>
      </c>
      <c r="U65" s="24" t="s">
        <v>1028</v>
      </c>
      <c r="V65" s="100"/>
      <c r="W65" s="30" t="s">
        <v>212</v>
      </c>
      <c r="X65" s="8">
        <v>45695</v>
      </c>
      <c r="Y65" s="10"/>
      <c r="Z65" s="10"/>
      <c r="AA65" s="21"/>
      <c r="AB65" s="22">
        <v>6643897.7000000002</v>
      </c>
      <c r="AC65" s="21"/>
      <c r="AD65" s="45"/>
      <c r="AE65" s="10">
        <v>6643897.7000000002</v>
      </c>
    </row>
    <row r="66" spans="2:31" s="9" customFormat="1" ht="131.25">
      <c r="B66" s="31">
        <v>45531</v>
      </c>
      <c r="C66" s="11" t="s">
        <v>40</v>
      </c>
      <c r="D66" s="2" t="s">
        <v>277</v>
      </c>
      <c r="E66" s="11" t="s">
        <v>278</v>
      </c>
      <c r="F66" s="30" t="s">
        <v>73</v>
      </c>
      <c r="G66" s="30" t="s">
        <v>657</v>
      </c>
      <c r="H66" s="16">
        <v>45687</v>
      </c>
      <c r="I66" s="115"/>
      <c r="J66" s="115"/>
      <c r="K66" s="115"/>
      <c r="L66" s="115"/>
      <c r="M66" s="115"/>
      <c r="N66" s="115"/>
      <c r="O66" s="115"/>
      <c r="P66" s="6"/>
      <c r="Q66" s="7" t="s">
        <v>22</v>
      </c>
      <c r="R66" s="2" t="s">
        <v>542</v>
      </c>
      <c r="S66" s="31">
        <v>45638</v>
      </c>
      <c r="T66" s="31">
        <v>45641</v>
      </c>
      <c r="U66" s="24" t="s">
        <v>899</v>
      </c>
      <c r="W66" s="30" t="s">
        <v>33</v>
      </c>
      <c r="X66" s="8">
        <v>45695</v>
      </c>
      <c r="Y66" s="10"/>
      <c r="Z66" s="10"/>
      <c r="AA66" s="10"/>
      <c r="AB66" s="22">
        <v>3898351</v>
      </c>
      <c r="AC66" s="21"/>
      <c r="AD66" s="45"/>
      <c r="AE66" s="10">
        <v>3898351</v>
      </c>
    </row>
    <row r="67" spans="2:31" s="9" customFormat="1" ht="131.25">
      <c r="B67" s="31">
        <v>45551</v>
      </c>
      <c r="C67" s="11" t="s">
        <v>27</v>
      </c>
      <c r="D67" s="2" t="s">
        <v>309</v>
      </c>
      <c r="E67" s="11" t="s">
        <v>310</v>
      </c>
      <c r="F67" s="30" t="s">
        <v>73</v>
      </c>
      <c r="G67" s="30" t="s">
        <v>543</v>
      </c>
      <c r="H67" s="16">
        <v>45687</v>
      </c>
      <c r="I67" s="115"/>
      <c r="J67" s="115"/>
      <c r="K67" s="115"/>
      <c r="L67" s="115"/>
      <c r="M67" s="115"/>
      <c r="N67" s="115"/>
      <c r="O67" s="115"/>
      <c r="P67" s="6"/>
      <c r="Q67" s="7" t="s">
        <v>22</v>
      </c>
      <c r="R67" s="2" t="s">
        <v>542</v>
      </c>
      <c r="S67" s="16">
        <v>45638</v>
      </c>
      <c r="T67" s="16">
        <v>45641</v>
      </c>
      <c r="U67" s="24" t="s">
        <v>885</v>
      </c>
      <c r="V67" s="100"/>
      <c r="W67" s="30" t="s">
        <v>33</v>
      </c>
      <c r="X67" s="8">
        <v>45708</v>
      </c>
      <c r="Y67" s="10"/>
      <c r="Z67" s="10"/>
      <c r="AA67" s="21"/>
      <c r="AB67" s="22">
        <v>559237.23</v>
      </c>
      <c r="AC67" s="21"/>
      <c r="AD67" s="45"/>
      <c r="AE67" s="16"/>
    </row>
    <row r="68" spans="2:31" s="9" customFormat="1" ht="131.25">
      <c r="B68" s="31">
        <v>45551</v>
      </c>
      <c r="C68" s="11" t="s">
        <v>27</v>
      </c>
      <c r="D68" s="2" t="s">
        <v>309</v>
      </c>
      <c r="E68" s="11" t="s">
        <v>310</v>
      </c>
      <c r="F68" s="30" t="s">
        <v>73</v>
      </c>
      <c r="G68" s="30" t="s">
        <v>544</v>
      </c>
      <c r="H68" s="16">
        <v>45687</v>
      </c>
      <c r="I68" s="115"/>
      <c r="J68" s="115"/>
      <c r="K68" s="115"/>
      <c r="L68" s="115"/>
      <c r="M68" s="115"/>
      <c r="N68" s="115"/>
      <c r="O68" s="115"/>
      <c r="P68" s="6"/>
      <c r="Q68" s="7" t="s">
        <v>22</v>
      </c>
      <c r="R68" s="2" t="s">
        <v>654</v>
      </c>
      <c r="S68" s="16">
        <v>45646</v>
      </c>
      <c r="T68" s="16">
        <v>45669</v>
      </c>
      <c r="U68" s="24" t="s">
        <v>886</v>
      </c>
      <c r="V68" s="100"/>
      <c r="W68" s="30" t="s">
        <v>33</v>
      </c>
      <c r="X68" s="8">
        <v>45716</v>
      </c>
      <c r="Y68" s="10"/>
      <c r="Z68" s="10"/>
      <c r="AA68" s="21"/>
      <c r="AB68" s="22">
        <v>4377045</v>
      </c>
      <c r="AC68" s="21"/>
      <c r="AD68" s="45"/>
      <c r="AE68" s="16"/>
    </row>
    <row r="69" spans="2:31" s="9" customFormat="1" ht="56.25">
      <c r="B69" s="31">
        <v>45572</v>
      </c>
      <c r="C69" s="11" t="s">
        <v>27</v>
      </c>
      <c r="D69" s="2" t="s">
        <v>422</v>
      </c>
      <c r="E69" s="11" t="s">
        <v>339</v>
      </c>
      <c r="F69" s="30" t="s">
        <v>340</v>
      </c>
      <c r="G69" s="30" t="s">
        <v>420</v>
      </c>
      <c r="H69" s="16">
        <v>45626</v>
      </c>
      <c r="I69" s="115"/>
      <c r="J69" s="115"/>
      <c r="K69" s="115"/>
      <c r="L69" s="115"/>
      <c r="M69" s="115"/>
      <c r="N69" s="115"/>
      <c r="O69" s="115"/>
      <c r="P69" s="6"/>
      <c r="Q69" s="7" t="s">
        <v>28</v>
      </c>
      <c r="R69" s="16" t="s">
        <v>111</v>
      </c>
      <c r="S69" s="16">
        <v>45614</v>
      </c>
      <c r="T69" s="16">
        <v>45620</v>
      </c>
      <c r="U69" s="24" t="s">
        <v>901</v>
      </c>
      <c r="V69" s="100"/>
      <c r="W69" s="30" t="s">
        <v>341</v>
      </c>
      <c r="X69" s="8">
        <v>45708</v>
      </c>
      <c r="Y69" s="10"/>
      <c r="Z69" s="22">
        <v>5400</v>
      </c>
      <c r="AA69" s="21"/>
      <c r="AB69" s="21"/>
      <c r="AC69" s="21"/>
      <c r="AD69" s="45"/>
      <c r="AE69" s="16"/>
    </row>
    <row r="70" spans="2:31" s="9" customFormat="1" ht="75">
      <c r="B70" s="31">
        <v>45572</v>
      </c>
      <c r="C70" s="11" t="s">
        <v>27</v>
      </c>
      <c r="D70" s="2" t="s">
        <v>338</v>
      </c>
      <c r="E70" s="11" t="s">
        <v>339</v>
      </c>
      <c r="F70" s="30" t="s">
        <v>340</v>
      </c>
      <c r="G70" s="30" t="s">
        <v>419</v>
      </c>
      <c r="H70" s="16" t="s">
        <v>421</v>
      </c>
      <c r="I70" s="115"/>
      <c r="J70" s="115"/>
      <c r="K70" s="115"/>
      <c r="L70" s="115"/>
      <c r="M70" s="115"/>
      <c r="N70" s="115"/>
      <c r="O70" s="115"/>
      <c r="P70" s="6"/>
      <c r="Q70" s="7" t="s">
        <v>28</v>
      </c>
      <c r="R70" s="16" t="s">
        <v>370</v>
      </c>
      <c r="S70" s="16">
        <v>45603</v>
      </c>
      <c r="T70" s="16">
        <v>45629</v>
      </c>
      <c r="U70" s="24" t="s">
        <v>902</v>
      </c>
      <c r="V70" s="100"/>
      <c r="W70" s="30" t="s">
        <v>341</v>
      </c>
      <c r="X70" s="8">
        <v>45686</v>
      </c>
      <c r="Y70" s="10"/>
      <c r="Z70" s="22">
        <v>24000</v>
      </c>
      <c r="AA70" s="21"/>
      <c r="AB70" s="21"/>
      <c r="AC70" s="21"/>
      <c r="AD70" s="45"/>
      <c r="AE70" s="16"/>
    </row>
    <row r="71" spans="2:31" s="9" customFormat="1" ht="131.25">
      <c r="B71" s="31">
        <v>45579</v>
      </c>
      <c r="C71" s="11" t="s">
        <v>27</v>
      </c>
      <c r="D71" s="2" t="s">
        <v>358</v>
      </c>
      <c r="E71" s="11" t="s">
        <v>359</v>
      </c>
      <c r="F71" s="30" t="s">
        <v>79</v>
      </c>
      <c r="G71" s="30" t="s">
        <v>90</v>
      </c>
      <c r="H71" s="16">
        <v>45656</v>
      </c>
      <c r="I71" s="115"/>
      <c r="J71" s="115"/>
      <c r="K71" s="115"/>
      <c r="L71" s="115"/>
      <c r="M71" s="115"/>
      <c r="N71" s="115"/>
      <c r="O71" s="115"/>
      <c r="P71" s="6"/>
      <c r="Q71" s="7" t="s">
        <v>20</v>
      </c>
      <c r="R71" s="16" t="s">
        <v>553</v>
      </c>
      <c r="S71" s="79">
        <v>45609</v>
      </c>
      <c r="T71" s="81">
        <v>45636</v>
      </c>
      <c r="U71" s="27" t="s">
        <v>900</v>
      </c>
      <c r="W71" s="30" t="s">
        <v>103</v>
      </c>
      <c r="X71" s="8">
        <v>45700</v>
      </c>
      <c r="Y71" s="10"/>
      <c r="Z71" s="22">
        <v>36087.800000000003</v>
      </c>
      <c r="AA71" s="10"/>
      <c r="AB71" s="10"/>
      <c r="AC71" s="21"/>
      <c r="AD71" s="45"/>
      <c r="AE71" s="10">
        <v>36087.800000000003</v>
      </c>
    </row>
    <row r="72" spans="2:31" s="9" customFormat="1" ht="93.75" customHeight="1">
      <c r="B72" s="31">
        <v>45632</v>
      </c>
      <c r="C72" s="11" t="s">
        <v>27</v>
      </c>
      <c r="D72" s="2" t="s">
        <v>545</v>
      </c>
      <c r="E72" s="11" t="s">
        <v>546</v>
      </c>
      <c r="F72" s="30" t="s">
        <v>547</v>
      </c>
      <c r="G72" s="30" t="s">
        <v>548</v>
      </c>
      <c r="H72" s="16"/>
      <c r="I72" s="115"/>
      <c r="J72" s="115"/>
      <c r="K72" s="115"/>
      <c r="L72" s="115"/>
      <c r="M72" s="115"/>
      <c r="N72" s="115"/>
      <c r="O72" s="115"/>
      <c r="P72" s="6"/>
      <c r="Q72" s="7"/>
      <c r="R72" s="2"/>
      <c r="S72" s="16"/>
      <c r="T72" s="16">
        <v>45692</v>
      </c>
      <c r="U72" s="25" t="s">
        <v>817</v>
      </c>
      <c r="W72" s="30" t="s">
        <v>549</v>
      </c>
      <c r="X72" s="8">
        <v>45635</v>
      </c>
      <c r="Y72" s="10"/>
      <c r="Z72" s="10"/>
      <c r="AA72" s="10"/>
      <c r="AB72" s="22">
        <v>40338</v>
      </c>
      <c r="AC72" s="21"/>
      <c r="AD72" s="45"/>
      <c r="AE72" s="23"/>
    </row>
    <row r="73" spans="2:31" s="9" customFormat="1" ht="56.25">
      <c r="B73" s="31">
        <v>45632</v>
      </c>
      <c r="C73" s="11" t="s">
        <v>27</v>
      </c>
      <c r="D73" s="2" t="s">
        <v>545</v>
      </c>
      <c r="E73" s="11" t="s">
        <v>546</v>
      </c>
      <c r="F73" s="30" t="s">
        <v>547</v>
      </c>
      <c r="G73" s="30" t="s">
        <v>548</v>
      </c>
      <c r="H73" s="16" t="s">
        <v>849</v>
      </c>
      <c r="I73" s="115"/>
      <c r="J73" s="115"/>
      <c r="K73" s="115"/>
      <c r="L73" s="115"/>
      <c r="M73" s="115"/>
      <c r="N73" s="115"/>
      <c r="O73" s="115"/>
      <c r="P73" s="6"/>
      <c r="Q73" s="84" t="s">
        <v>329</v>
      </c>
      <c r="R73" s="2" t="s">
        <v>690</v>
      </c>
      <c r="S73" s="16">
        <v>45682</v>
      </c>
      <c r="T73" s="16">
        <v>45692</v>
      </c>
      <c r="U73" s="24" t="s">
        <v>837</v>
      </c>
      <c r="W73" s="30" t="s">
        <v>109</v>
      </c>
      <c r="X73" s="8">
        <v>45684</v>
      </c>
      <c r="Y73" s="10"/>
      <c r="Z73" s="10"/>
      <c r="AA73" s="10"/>
      <c r="AB73" s="22">
        <v>40338</v>
      </c>
      <c r="AC73" s="21"/>
      <c r="AD73" s="45"/>
      <c r="AE73" s="23"/>
    </row>
    <row r="74" spans="2:31" s="9" customFormat="1" ht="168.75">
      <c r="B74" s="31">
        <v>45559</v>
      </c>
      <c r="C74" s="11" t="s">
        <v>24</v>
      </c>
      <c r="D74" s="2" t="s">
        <v>321</v>
      </c>
      <c r="E74" s="11" t="s">
        <v>322</v>
      </c>
      <c r="F74" s="30" t="s">
        <v>467</v>
      </c>
      <c r="G74" s="30" t="s">
        <v>323</v>
      </c>
      <c r="H74" s="16">
        <v>45716</v>
      </c>
      <c r="I74" s="115"/>
      <c r="J74" s="115"/>
      <c r="K74" s="115"/>
      <c r="L74" s="115"/>
      <c r="M74" s="115"/>
      <c r="N74" s="115"/>
      <c r="O74" s="115"/>
      <c r="P74" s="115" t="s">
        <v>677</v>
      </c>
      <c r="Q74" s="7" t="s">
        <v>18</v>
      </c>
      <c r="R74" s="2" t="s">
        <v>779</v>
      </c>
      <c r="S74" s="16">
        <v>45674</v>
      </c>
      <c r="T74" s="16">
        <v>45696</v>
      </c>
      <c r="U74" s="4" t="s">
        <v>1071</v>
      </c>
      <c r="V74" s="100"/>
      <c r="W74" s="30" t="s">
        <v>324</v>
      </c>
      <c r="X74" s="8">
        <v>45716</v>
      </c>
      <c r="Y74" s="22">
        <v>36376.15</v>
      </c>
      <c r="Z74" s="10"/>
      <c r="AA74" s="21"/>
      <c r="AB74" s="21"/>
      <c r="AC74" s="21"/>
      <c r="AD74" s="45"/>
      <c r="AE74" s="23">
        <f>(1302*23)+6430.15</f>
        <v>36376.15</v>
      </c>
    </row>
    <row r="75" spans="2:31" s="9" customFormat="1" ht="262.5">
      <c r="B75" s="31">
        <v>45506</v>
      </c>
      <c r="C75" s="2" t="s">
        <v>24</v>
      </c>
      <c r="D75" s="2" t="s">
        <v>233</v>
      </c>
      <c r="E75" s="11" t="s">
        <v>234</v>
      </c>
      <c r="F75" s="30" t="s">
        <v>177</v>
      </c>
      <c r="G75" s="30" t="s">
        <v>765</v>
      </c>
      <c r="H75" s="16" t="s">
        <v>862</v>
      </c>
      <c r="I75" s="115"/>
      <c r="J75" s="115"/>
      <c r="K75" s="115"/>
      <c r="L75" s="115"/>
      <c r="M75" s="115"/>
      <c r="N75" s="115"/>
      <c r="O75" s="115"/>
      <c r="P75" s="115">
        <v>45672</v>
      </c>
      <c r="Q75" s="7" t="s">
        <v>22</v>
      </c>
      <c r="R75" s="2" t="s">
        <v>517</v>
      </c>
      <c r="S75" s="16">
        <v>45614</v>
      </c>
      <c r="T75" s="16">
        <v>45643</v>
      </c>
      <c r="U75" s="4" t="s">
        <v>1076</v>
      </c>
      <c r="V75" s="100"/>
      <c r="W75" s="30" t="s">
        <v>182</v>
      </c>
      <c r="X75" s="8">
        <v>45687</v>
      </c>
      <c r="Y75" s="10"/>
      <c r="Z75" s="22">
        <v>47180</v>
      </c>
      <c r="AA75" s="21"/>
      <c r="AB75" s="21"/>
      <c r="AC75" s="21"/>
      <c r="AD75" s="45"/>
      <c r="AE75" s="23">
        <v>47180</v>
      </c>
    </row>
    <row r="76" spans="2:31" s="9" customFormat="1" ht="112.5">
      <c r="B76" s="31">
        <v>45579</v>
      </c>
      <c r="C76" s="11" t="s">
        <v>27</v>
      </c>
      <c r="D76" s="2" t="s">
        <v>361</v>
      </c>
      <c r="E76" s="11" t="s">
        <v>360</v>
      </c>
      <c r="F76" s="30" t="s">
        <v>79</v>
      </c>
      <c r="G76" s="30" t="s">
        <v>90</v>
      </c>
      <c r="H76" s="16">
        <v>45687</v>
      </c>
      <c r="I76" s="115"/>
      <c r="J76" s="115"/>
      <c r="K76" s="115"/>
      <c r="L76" s="115"/>
      <c r="M76" s="115"/>
      <c r="N76" s="115"/>
      <c r="O76" s="115"/>
      <c r="P76" s="6"/>
      <c r="Q76" s="7" t="s">
        <v>20</v>
      </c>
      <c r="R76" s="16" t="s">
        <v>551</v>
      </c>
      <c r="S76" s="62">
        <v>45633</v>
      </c>
      <c r="T76" s="81">
        <v>45667</v>
      </c>
      <c r="U76" s="27" t="s">
        <v>1060</v>
      </c>
      <c r="W76" s="30" t="s">
        <v>103</v>
      </c>
      <c r="X76" s="8">
        <v>45714</v>
      </c>
      <c r="Y76" s="10"/>
      <c r="Z76" s="22">
        <v>28305.200000000001</v>
      </c>
      <c r="AA76" s="10"/>
      <c r="AB76" s="10"/>
      <c r="AC76" s="21"/>
      <c r="AD76" s="45"/>
      <c r="AE76" s="10">
        <v>28305.200000000001</v>
      </c>
    </row>
    <row r="77" spans="2:31" s="9" customFormat="1" ht="37.5">
      <c r="B77" s="31">
        <v>45433</v>
      </c>
      <c r="C77" s="11" t="s">
        <v>27</v>
      </c>
      <c r="D77" s="2" t="s">
        <v>162</v>
      </c>
      <c r="E77" s="11" t="s">
        <v>163</v>
      </c>
      <c r="F77" s="30" t="s">
        <v>74</v>
      </c>
      <c r="G77" s="30" t="s">
        <v>251</v>
      </c>
      <c r="H77" s="16">
        <v>45687</v>
      </c>
      <c r="I77" s="115"/>
      <c r="J77" s="115"/>
      <c r="K77" s="115"/>
      <c r="L77" s="115"/>
      <c r="M77" s="115"/>
      <c r="N77" s="115"/>
      <c r="O77" s="115"/>
      <c r="P77" s="6" t="s">
        <v>851</v>
      </c>
      <c r="Q77" s="7" t="s">
        <v>22</v>
      </c>
      <c r="R77" s="2" t="s">
        <v>698</v>
      </c>
      <c r="S77" s="16">
        <v>45661</v>
      </c>
      <c r="T77" s="16">
        <v>45689</v>
      </c>
      <c r="U77" s="24" t="s">
        <v>1099</v>
      </c>
      <c r="V77" s="100"/>
      <c r="W77" s="30" t="s">
        <v>33</v>
      </c>
      <c r="X77" s="8">
        <v>45716</v>
      </c>
      <c r="Y77" s="10"/>
      <c r="Z77" s="10"/>
      <c r="AA77" s="21"/>
      <c r="AB77" s="22">
        <v>310719</v>
      </c>
      <c r="AC77" s="21"/>
      <c r="AD77" s="45"/>
      <c r="AE77" s="10">
        <v>310719</v>
      </c>
    </row>
    <row r="78" spans="2:31" s="9" customFormat="1" ht="37.5">
      <c r="B78" s="31">
        <v>45546</v>
      </c>
      <c r="C78" s="11" t="s">
        <v>40</v>
      </c>
      <c r="D78" s="2" t="s">
        <v>305</v>
      </c>
      <c r="E78" s="11" t="s">
        <v>306</v>
      </c>
      <c r="F78" s="30" t="s">
        <v>74</v>
      </c>
      <c r="G78" s="30" t="s">
        <v>251</v>
      </c>
      <c r="H78" s="16">
        <v>45627</v>
      </c>
      <c r="I78" s="115"/>
      <c r="J78" s="115"/>
      <c r="K78" s="115"/>
      <c r="L78" s="115"/>
      <c r="M78" s="115"/>
      <c r="N78" s="115"/>
      <c r="O78" s="115"/>
      <c r="P78" s="6" t="s">
        <v>851</v>
      </c>
      <c r="Q78" s="7" t="s">
        <v>22</v>
      </c>
      <c r="R78" s="2" t="s">
        <v>698</v>
      </c>
      <c r="S78" s="16">
        <v>45661</v>
      </c>
      <c r="T78" s="16">
        <v>45689</v>
      </c>
      <c r="U78" s="24" t="s">
        <v>1020</v>
      </c>
      <c r="V78" s="100"/>
      <c r="W78" s="30" t="s">
        <v>54</v>
      </c>
      <c r="X78" s="8">
        <v>45715</v>
      </c>
      <c r="Y78" s="10"/>
      <c r="Z78" s="10"/>
      <c r="AA78" s="21"/>
      <c r="AB78" s="22">
        <v>395886.82</v>
      </c>
      <c r="AC78" s="21"/>
      <c r="AD78" s="45"/>
      <c r="AE78" s="16"/>
    </row>
    <row r="79" spans="2:31" s="9" customFormat="1" ht="75">
      <c r="B79" s="31">
        <v>45579</v>
      </c>
      <c r="C79" s="11" t="s">
        <v>27</v>
      </c>
      <c r="D79" s="2" t="s">
        <v>354</v>
      </c>
      <c r="E79" s="11" t="s">
        <v>355</v>
      </c>
      <c r="F79" s="30" t="s">
        <v>74</v>
      </c>
      <c r="G79" s="30" t="s">
        <v>110</v>
      </c>
      <c r="H79" s="16">
        <v>45689</v>
      </c>
      <c r="I79" s="115"/>
      <c r="J79" s="115"/>
      <c r="K79" s="115"/>
      <c r="L79" s="115"/>
      <c r="M79" s="115"/>
      <c r="N79" s="115"/>
      <c r="O79" s="115"/>
      <c r="P79" s="6" t="s">
        <v>851</v>
      </c>
      <c r="Q79" s="7" t="s">
        <v>22</v>
      </c>
      <c r="R79" s="16" t="s">
        <v>698</v>
      </c>
      <c r="S79" s="16">
        <v>45661</v>
      </c>
      <c r="T79" s="16">
        <v>45689</v>
      </c>
      <c r="U79" s="24" t="s">
        <v>1100</v>
      </c>
      <c r="V79" s="100"/>
      <c r="W79" s="30" t="s">
        <v>33</v>
      </c>
      <c r="X79" s="8">
        <v>45716</v>
      </c>
      <c r="Y79" s="10"/>
      <c r="Z79" s="10"/>
      <c r="AA79" s="21"/>
      <c r="AB79" s="22">
        <v>993175.29</v>
      </c>
      <c r="AC79" s="21"/>
      <c r="AD79" s="45"/>
      <c r="AE79" s="10">
        <v>993175.29</v>
      </c>
    </row>
    <row r="80" spans="2:31" s="9" customFormat="1" ht="68.25" customHeight="1">
      <c r="B80" s="31">
        <v>45614</v>
      </c>
      <c r="C80" s="11" t="s">
        <v>27</v>
      </c>
      <c r="D80" s="2" t="s">
        <v>492</v>
      </c>
      <c r="E80" s="11" t="s">
        <v>493</v>
      </c>
      <c r="F80" s="30" t="s">
        <v>74</v>
      </c>
      <c r="G80" s="30" t="s">
        <v>110</v>
      </c>
      <c r="H80" s="16">
        <v>45717</v>
      </c>
      <c r="I80" s="115"/>
      <c r="J80" s="115"/>
      <c r="K80" s="115"/>
      <c r="L80" s="115"/>
      <c r="M80" s="115"/>
      <c r="N80" s="115"/>
      <c r="O80" s="115"/>
      <c r="P80" s="6" t="s">
        <v>851</v>
      </c>
      <c r="Q80" s="7" t="s">
        <v>22</v>
      </c>
      <c r="R80" s="2" t="s">
        <v>698</v>
      </c>
      <c r="S80" s="16">
        <v>45661</v>
      </c>
      <c r="T80" s="16">
        <v>45689</v>
      </c>
      <c r="U80" s="24" t="s">
        <v>1101</v>
      </c>
      <c r="W80" s="30" t="s">
        <v>54</v>
      </c>
      <c r="X80" s="8">
        <v>45716</v>
      </c>
      <c r="Y80" s="10"/>
      <c r="Z80" s="10"/>
      <c r="AA80" s="10"/>
      <c r="AB80" s="22">
        <v>352100.16</v>
      </c>
      <c r="AC80" s="21"/>
      <c r="AD80" s="45"/>
      <c r="AE80" s="23">
        <v>352100.16</v>
      </c>
    </row>
    <row r="81" spans="2:31" s="9" customFormat="1" ht="122.25" customHeight="1">
      <c r="B81" s="31">
        <v>45433</v>
      </c>
      <c r="C81" s="11" t="s">
        <v>27</v>
      </c>
      <c r="D81" s="2" t="s">
        <v>159</v>
      </c>
      <c r="E81" s="11" t="s">
        <v>158</v>
      </c>
      <c r="F81" s="30" t="s">
        <v>73</v>
      </c>
      <c r="G81" s="30" t="s">
        <v>424</v>
      </c>
      <c r="H81" s="16">
        <v>45498</v>
      </c>
      <c r="I81" s="115"/>
      <c r="J81" s="115"/>
      <c r="K81" s="115"/>
      <c r="L81" s="115"/>
      <c r="M81" s="115"/>
      <c r="N81" s="115"/>
      <c r="O81" s="115"/>
      <c r="P81" s="6"/>
      <c r="Q81" s="7" t="s">
        <v>22</v>
      </c>
      <c r="R81" s="2" t="s">
        <v>654</v>
      </c>
      <c r="S81" s="16">
        <v>45655</v>
      </c>
      <c r="T81" s="16">
        <v>45669</v>
      </c>
      <c r="U81" s="24" t="s">
        <v>1022</v>
      </c>
      <c r="V81" s="100"/>
      <c r="W81" s="30" t="s">
        <v>33</v>
      </c>
      <c r="X81" s="8">
        <v>45716</v>
      </c>
      <c r="Y81" s="10"/>
      <c r="Z81" s="10"/>
      <c r="AA81" s="21"/>
      <c r="AB81" s="135">
        <v>566374.29</v>
      </c>
      <c r="AC81" s="21"/>
      <c r="AD81" s="45"/>
      <c r="AE81" s="16"/>
    </row>
    <row r="82" spans="2:31" s="9" customFormat="1" ht="122.25" customHeight="1">
      <c r="B82" s="31">
        <v>45446</v>
      </c>
      <c r="C82" s="11" t="s">
        <v>27</v>
      </c>
      <c r="D82" s="2" t="s">
        <v>171</v>
      </c>
      <c r="E82" s="11" t="s">
        <v>172</v>
      </c>
      <c r="F82" s="30" t="s">
        <v>73</v>
      </c>
      <c r="G82" s="30" t="s">
        <v>494</v>
      </c>
      <c r="H82" s="16">
        <v>45529</v>
      </c>
      <c r="I82" s="115"/>
      <c r="J82" s="115"/>
      <c r="K82" s="115"/>
      <c r="L82" s="115"/>
      <c r="M82" s="115"/>
      <c r="N82" s="115"/>
      <c r="O82" s="115"/>
      <c r="P82" s="6"/>
      <c r="Q82" s="7" t="s">
        <v>22</v>
      </c>
      <c r="R82" s="2" t="s">
        <v>654</v>
      </c>
      <c r="S82" s="16">
        <v>45655</v>
      </c>
      <c r="T82" s="16">
        <v>45669</v>
      </c>
      <c r="U82" s="24" t="s">
        <v>1024</v>
      </c>
      <c r="W82" s="30" t="s">
        <v>33</v>
      </c>
      <c r="X82" s="8">
        <v>45715</v>
      </c>
      <c r="Y82" s="10"/>
      <c r="Z82" s="69"/>
      <c r="AA82" s="10"/>
      <c r="AB82" s="29">
        <v>566247.03</v>
      </c>
      <c r="AC82" s="21"/>
      <c r="AD82" s="45"/>
      <c r="AE82" s="118">
        <v>566247.03</v>
      </c>
    </row>
    <row r="83" spans="2:31" s="9" customFormat="1" ht="122.25" customHeight="1">
      <c r="B83" s="31">
        <v>45464</v>
      </c>
      <c r="C83" s="11" t="s">
        <v>27</v>
      </c>
      <c r="D83" s="2" t="s">
        <v>193</v>
      </c>
      <c r="E83" s="11" t="s">
        <v>194</v>
      </c>
      <c r="F83" s="30" t="s">
        <v>73</v>
      </c>
      <c r="G83" s="30" t="s">
        <v>423</v>
      </c>
      <c r="H83" s="16">
        <v>45560</v>
      </c>
      <c r="I83" s="115"/>
      <c r="J83" s="115"/>
      <c r="K83" s="115"/>
      <c r="L83" s="115"/>
      <c r="M83" s="115"/>
      <c r="N83" s="115"/>
      <c r="O83" s="115"/>
      <c r="P83" s="6"/>
      <c r="Q83" s="7" t="s">
        <v>22</v>
      </c>
      <c r="R83" s="99" t="s">
        <v>541</v>
      </c>
      <c r="S83" s="16">
        <v>45650</v>
      </c>
      <c r="T83" s="16">
        <v>45663</v>
      </c>
      <c r="U83" s="24" t="s">
        <v>1025</v>
      </c>
      <c r="V83" s="100"/>
      <c r="W83" s="30" t="s">
        <v>195</v>
      </c>
      <c r="X83" s="8">
        <v>45715</v>
      </c>
      <c r="Y83" s="65"/>
      <c r="Z83" s="10"/>
      <c r="AA83" s="21"/>
      <c r="AB83" s="22">
        <v>486244</v>
      </c>
      <c r="AC83" s="21"/>
      <c r="AD83" s="45"/>
      <c r="AE83" s="10">
        <v>486244</v>
      </c>
    </row>
    <row r="84" spans="2:31" s="9" customFormat="1" ht="122.25" customHeight="1">
      <c r="B84" s="31">
        <v>45464</v>
      </c>
      <c r="C84" s="11" t="s">
        <v>27</v>
      </c>
      <c r="D84" s="82" t="s">
        <v>196</v>
      </c>
      <c r="E84" s="11" t="s">
        <v>197</v>
      </c>
      <c r="F84" s="30" t="s">
        <v>73</v>
      </c>
      <c r="G84" s="30" t="s">
        <v>415</v>
      </c>
      <c r="H84" s="16">
        <v>45566</v>
      </c>
      <c r="I84" s="115"/>
      <c r="J84" s="115"/>
      <c r="K84" s="115"/>
      <c r="L84" s="115"/>
      <c r="M84" s="115"/>
      <c r="N84" s="115"/>
      <c r="O84" s="115"/>
      <c r="P84" s="6"/>
      <c r="Q84" s="7" t="s">
        <v>22</v>
      </c>
      <c r="R84" s="2" t="s">
        <v>654</v>
      </c>
      <c r="S84" s="16">
        <v>45646</v>
      </c>
      <c r="T84" s="16">
        <v>45669</v>
      </c>
      <c r="U84" s="24" t="s">
        <v>1026</v>
      </c>
      <c r="V84" s="100"/>
      <c r="W84" s="30" t="s">
        <v>195</v>
      </c>
      <c r="X84" s="8">
        <v>45715</v>
      </c>
      <c r="Y84" s="65"/>
      <c r="Z84" s="10"/>
      <c r="AA84" s="21"/>
      <c r="AB84" s="22">
        <v>1130193.75</v>
      </c>
      <c r="AC84" s="21"/>
      <c r="AD84" s="45"/>
      <c r="AE84" s="10">
        <v>1130193.75</v>
      </c>
    </row>
    <row r="85" spans="2:31" s="9" customFormat="1" ht="122.25" customHeight="1">
      <c r="B85" s="31">
        <v>45477</v>
      </c>
      <c r="C85" s="11" t="s">
        <v>27</v>
      </c>
      <c r="D85" s="2" t="s">
        <v>213</v>
      </c>
      <c r="E85" s="11" t="s">
        <v>214</v>
      </c>
      <c r="F85" s="30" t="s">
        <v>211</v>
      </c>
      <c r="G85" s="30" t="s">
        <v>250</v>
      </c>
      <c r="H85" s="16">
        <v>45590</v>
      </c>
      <c r="I85" s="115"/>
      <c r="J85" s="115"/>
      <c r="K85" s="115"/>
      <c r="L85" s="115"/>
      <c r="M85" s="115"/>
      <c r="N85" s="115"/>
      <c r="O85" s="115"/>
      <c r="P85" s="6"/>
      <c r="Q85" s="7" t="s">
        <v>22</v>
      </c>
      <c r="R85" s="2" t="s">
        <v>541</v>
      </c>
      <c r="S85" s="16">
        <v>45645</v>
      </c>
      <c r="T85" s="16">
        <v>45663</v>
      </c>
      <c r="U85" s="24" t="s">
        <v>1029</v>
      </c>
      <c r="V85" s="100"/>
      <c r="W85" s="30" t="s">
        <v>54</v>
      </c>
      <c r="X85" s="8">
        <v>45715</v>
      </c>
      <c r="Y85" s="10"/>
      <c r="Z85" s="10"/>
      <c r="AA85" s="21"/>
      <c r="AB85" s="22">
        <v>1695667.06</v>
      </c>
      <c r="AC85" s="21"/>
      <c r="AD85" s="45"/>
      <c r="AE85" s="16"/>
    </row>
    <row r="86" spans="2:31" s="9" customFormat="1" ht="122.25" customHeight="1">
      <c r="B86" s="31">
        <v>45546</v>
      </c>
      <c r="C86" s="11" t="s">
        <v>27</v>
      </c>
      <c r="D86" s="2" t="s">
        <v>308</v>
      </c>
      <c r="E86" s="11" t="s">
        <v>307</v>
      </c>
      <c r="F86" s="30" t="s">
        <v>73</v>
      </c>
      <c r="G86" s="30" t="s">
        <v>540</v>
      </c>
      <c r="H86" s="16">
        <v>45658</v>
      </c>
      <c r="I86" s="115"/>
      <c r="J86" s="115"/>
      <c r="K86" s="115"/>
      <c r="L86" s="115"/>
      <c r="M86" s="115"/>
      <c r="N86" s="115"/>
      <c r="O86" s="115"/>
      <c r="P86" s="6"/>
      <c r="Q86" s="7" t="s">
        <v>22</v>
      </c>
      <c r="R86" s="2" t="s">
        <v>541</v>
      </c>
      <c r="S86" s="16">
        <v>45645</v>
      </c>
      <c r="T86" s="16">
        <v>45663</v>
      </c>
      <c r="U86" s="24" t="s">
        <v>1057</v>
      </c>
      <c r="V86" s="100"/>
      <c r="W86" s="30" t="s">
        <v>54</v>
      </c>
      <c r="X86" s="8">
        <v>45715</v>
      </c>
      <c r="Y86" s="10"/>
      <c r="Z86" s="10"/>
      <c r="AA86" s="21"/>
      <c r="AB86" s="22">
        <v>247858.15</v>
      </c>
      <c r="AC86" s="21"/>
      <c r="AD86" s="45"/>
      <c r="AE86" s="16"/>
    </row>
    <row r="87" spans="2:31" s="9" customFormat="1" ht="122.25" customHeight="1">
      <c r="B87" s="31">
        <v>45579</v>
      </c>
      <c r="C87" s="11" t="s">
        <v>27</v>
      </c>
      <c r="D87" s="2" t="s">
        <v>350</v>
      </c>
      <c r="E87" s="11" t="s">
        <v>351</v>
      </c>
      <c r="F87" s="30" t="s">
        <v>73</v>
      </c>
      <c r="G87" s="30" t="s">
        <v>655</v>
      </c>
      <c r="H87" s="16">
        <v>45689</v>
      </c>
      <c r="I87" s="115"/>
      <c r="J87" s="115"/>
      <c r="K87" s="115"/>
      <c r="L87" s="115"/>
      <c r="M87" s="115"/>
      <c r="N87" s="115"/>
      <c r="O87" s="115"/>
      <c r="P87" s="6"/>
      <c r="Q87" s="7" t="s">
        <v>22</v>
      </c>
      <c r="R87" s="16" t="s">
        <v>654</v>
      </c>
      <c r="S87" s="92">
        <v>45654</v>
      </c>
      <c r="T87" s="93">
        <v>45669</v>
      </c>
      <c r="U87" s="24" t="s">
        <v>1058</v>
      </c>
      <c r="W87" s="30" t="s">
        <v>33</v>
      </c>
      <c r="X87" s="8">
        <v>45715</v>
      </c>
      <c r="Y87" s="10"/>
      <c r="Z87" s="10"/>
      <c r="AA87" s="10"/>
      <c r="AB87" s="22">
        <v>566533.39</v>
      </c>
      <c r="AC87" s="21"/>
      <c r="AD87" s="45"/>
      <c r="AE87" s="16"/>
    </row>
    <row r="88" spans="2:31" s="9" customFormat="1" ht="122.25" customHeight="1">
      <c r="B88" s="31">
        <v>45614</v>
      </c>
      <c r="C88" s="11" t="s">
        <v>694</v>
      </c>
      <c r="D88" s="2" t="s">
        <v>457</v>
      </c>
      <c r="E88" s="11" t="s">
        <v>458</v>
      </c>
      <c r="F88" s="30" t="s">
        <v>71</v>
      </c>
      <c r="G88" s="30" t="s">
        <v>120</v>
      </c>
      <c r="H88" s="16">
        <v>45717</v>
      </c>
      <c r="I88" s="115">
        <v>45976</v>
      </c>
      <c r="J88" s="115"/>
      <c r="K88" s="115"/>
      <c r="L88" s="115"/>
      <c r="M88" s="115"/>
      <c r="N88" s="115"/>
      <c r="O88" s="115"/>
      <c r="P88" s="115">
        <v>45673</v>
      </c>
      <c r="Q88" s="7" t="s">
        <v>34</v>
      </c>
      <c r="R88" s="2" t="s">
        <v>296</v>
      </c>
      <c r="S88" s="16">
        <v>45302</v>
      </c>
      <c r="T88" s="16">
        <v>45687</v>
      </c>
      <c r="U88" s="4" t="s">
        <v>856</v>
      </c>
      <c r="V88" s="100"/>
      <c r="W88" s="30" t="s">
        <v>46</v>
      </c>
      <c r="X88" s="8">
        <v>45687</v>
      </c>
      <c r="Y88" s="105">
        <v>9130.01</v>
      </c>
      <c r="Z88" s="10"/>
      <c r="AA88" s="21"/>
      <c r="AB88" s="10"/>
      <c r="AC88" s="21"/>
      <c r="AD88" s="45"/>
      <c r="AE88" s="23"/>
    </row>
    <row r="91" spans="2:31" s="9" customFormat="1" ht="122.25" customHeight="1">
      <c r="B91" s="31">
        <v>45617</v>
      </c>
      <c r="C91" s="11" t="s">
        <v>694</v>
      </c>
      <c r="D91" s="2" t="s">
        <v>477</v>
      </c>
      <c r="E91" s="11" t="s">
        <v>478</v>
      </c>
      <c r="F91" s="30" t="s">
        <v>311</v>
      </c>
      <c r="G91" s="30" t="s">
        <v>479</v>
      </c>
      <c r="H91" s="16">
        <v>45717</v>
      </c>
      <c r="I91" s="115"/>
      <c r="J91" s="115"/>
      <c r="K91" s="115"/>
      <c r="L91" s="115"/>
      <c r="M91" s="115"/>
      <c r="N91" s="115"/>
      <c r="O91" s="115"/>
      <c r="P91" s="115">
        <v>45723</v>
      </c>
      <c r="Q91" s="7" t="s">
        <v>22</v>
      </c>
      <c r="R91" s="2" t="s">
        <v>1167</v>
      </c>
      <c r="S91" s="16">
        <v>45690</v>
      </c>
      <c r="T91" s="16">
        <v>45710</v>
      </c>
      <c r="U91" s="24" t="s">
        <v>1168</v>
      </c>
      <c r="V91" s="100"/>
      <c r="W91" s="30" t="s">
        <v>46</v>
      </c>
      <c r="X91" s="8">
        <v>45714</v>
      </c>
      <c r="Y91" s="22">
        <v>9108</v>
      </c>
      <c r="Z91" s="10"/>
      <c r="AA91" s="21"/>
      <c r="AB91" s="21"/>
      <c r="AC91" s="21"/>
      <c r="AD91" s="45"/>
      <c r="AE91" s="23">
        <v>9108</v>
      </c>
    </row>
    <row r="92" spans="2:31" s="9" customFormat="1" ht="122.25" customHeight="1">
      <c r="B92" s="31">
        <v>45593</v>
      </c>
      <c r="C92" s="11" t="s">
        <v>694</v>
      </c>
      <c r="D92" s="2" t="s">
        <v>399</v>
      </c>
      <c r="E92" s="11" t="s">
        <v>400</v>
      </c>
      <c r="F92" s="30" t="s">
        <v>35</v>
      </c>
      <c r="G92" s="30" t="s">
        <v>58</v>
      </c>
      <c r="H92" s="16" t="s">
        <v>688</v>
      </c>
      <c r="I92" s="115"/>
      <c r="J92" s="115"/>
      <c r="K92" s="115"/>
      <c r="L92" s="115"/>
      <c r="M92" s="115"/>
      <c r="N92" s="115"/>
      <c r="O92" s="115"/>
      <c r="P92" s="115" t="s">
        <v>904</v>
      </c>
      <c r="Q92" s="7" t="s">
        <v>22</v>
      </c>
      <c r="R92" s="2" t="s">
        <v>687</v>
      </c>
      <c r="S92" s="16">
        <v>45327</v>
      </c>
      <c r="T92" s="16">
        <v>45693</v>
      </c>
      <c r="U92" s="4" t="s">
        <v>1169</v>
      </c>
      <c r="V92" s="100"/>
      <c r="W92" s="30" t="s">
        <v>23</v>
      </c>
      <c r="X92" s="8">
        <v>45716</v>
      </c>
      <c r="Y92" s="10"/>
      <c r="Z92" s="10"/>
      <c r="AA92" s="21"/>
      <c r="AB92" s="29">
        <v>263880</v>
      </c>
      <c r="AC92" s="21"/>
      <c r="AD92" s="45"/>
      <c r="AE92" s="23"/>
    </row>
    <row r="93" spans="2:31" s="9" customFormat="1" ht="182.25" customHeight="1">
      <c r="B93" s="31">
        <v>45551</v>
      </c>
      <c r="C93" s="11" t="s">
        <v>694</v>
      </c>
      <c r="D93" s="2" t="s">
        <v>291</v>
      </c>
      <c r="E93" s="11" t="s">
        <v>292</v>
      </c>
      <c r="F93" s="30" t="s">
        <v>44</v>
      </c>
      <c r="G93" s="30" t="s">
        <v>293</v>
      </c>
      <c r="H93" s="16">
        <v>45703</v>
      </c>
      <c r="I93" s="115"/>
      <c r="J93" s="115"/>
      <c r="K93" s="115"/>
      <c r="L93" s="115"/>
      <c r="M93" s="115"/>
      <c r="N93" s="115"/>
      <c r="O93" s="115"/>
      <c r="P93" s="115">
        <v>45706</v>
      </c>
      <c r="Q93" s="7" t="s">
        <v>22</v>
      </c>
      <c r="R93" s="75" t="s">
        <v>268</v>
      </c>
      <c r="S93" s="16">
        <v>45648</v>
      </c>
      <c r="T93" s="20">
        <v>45695</v>
      </c>
      <c r="U93" s="4" t="s">
        <v>858</v>
      </c>
      <c r="V93" s="100"/>
      <c r="W93" s="30" t="s">
        <v>33</v>
      </c>
      <c r="X93" s="8">
        <v>45706</v>
      </c>
      <c r="Y93" s="10"/>
      <c r="Z93" s="22">
        <v>205773.74</v>
      </c>
      <c r="AA93" s="21"/>
      <c r="AB93" s="21"/>
      <c r="AC93" s="21"/>
      <c r="AD93" s="45"/>
      <c r="AE93" s="16"/>
    </row>
    <row r="94" spans="2:31" s="9" customFormat="1" ht="122.25" customHeight="1">
      <c r="B94" s="31">
        <v>45537</v>
      </c>
      <c r="C94" s="11" t="s">
        <v>694</v>
      </c>
      <c r="D94" s="2" t="s">
        <v>286</v>
      </c>
      <c r="E94" s="11" t="s">
        <v>287</v>
      </c>
      <c r="F94" s="30" t="s">
        <v>44</v>
      </c>
      <c r="G94" s="30" t="s">
        <v>609</v>
      </c>
      <c r="H94" s="16" t="s">
        <v>862</v>
      </c>
      <c r="I94" s="115"/>
      <c r="J94" s="115"/>
      <c r="K94" s="115"/>
      <c r="L94" s="115"/>
      <c r="M94" s="115"/>
      <c r="N94" s="115"/>
      <c r="O94" s="115"/>
      <c r="P94" s="115">
        <v>45678</v>
      </c>
      <c r="Q94" s="7" t="s">
        <v>22</v>
      </c>
      <c r="R94" s="75" t="s">
        <v>268</v>
      </c>
      <c r="S94" s="20">
        <v>45648</v>
      </c>
      <c r="T94" s="20">
        <v>45695</v>
      </c>
      <c r="U94" s="4" t="s">
        <v>859</v>
      </c>
      <c r="V94" s="100"/>
      <c r="W94" s="30" t="s">
        <v>54</v>
      </c>
      <c r="X94" s="8">
        <v>45706</v>
      </c>
      <c r="Y94" s="10"/>
      <c r="Z94" s="22">
        <v>21538</v>
      </c>
      <c r="AA94" s="21"/>
      <c r="AB94" s="21"/>
      <c r="AC94" s="21"/>
      <c r="AD94" s="45"/>
      <c r="AE94" s="16"/>
    </row>
    <row r="95" spans="2:31" s="9" customFormat="1" ht="177" customHeight="1">
      <c r="B95" s="31">
        <v>45617</v>
      </c>
      <c r="C95" s="11" t="s">
        <v>694</v>
      </c>
      <c r="D95" s="2" t="s">
        <v>472</v>
      </c>
      <c r="E95" s="11" t="s">
        <v>473</v>
      </c>
      <c r="F95" s="30" t="s">
        <v>44</v>
      </c>
      <c r="G95" s="30" t="s">
        <v>610</v>
      </c>
      <c r="H95" s="16">
        <v>45703</v>
      </c>
      <c r="I95" s="115"/>
      <c r="J95" s="115"/>
      <c r="K95" s="115"/>
      <c r="L95" s="115"/>
      <c r="M95" s="115"/>
      <c r="N95" s="115"/>
      <c r="O95" s="115"/>
      <c r="P95" s="115">
        <v>45678</v>
      </c>
      <c r="Q95" s="7" t="s">
        <v>22</v>
      </c>
      <c r="R95" s="75" t="s">
        <v>268</v>
      </c>
      <c r="S95" s="16">
        <v>45648</v>
      </c>
      <c r="T95" s="20">
        <v>45696</v>
      </c>
      <c r="U95" s="4" t="s">
        <v>857</v>
      </c>
      <c r="V95" s="100"/>
      <c r="W95" s="30" t="s">
        <v>33</v>
      </c>
      <c r="X95" s="8">
        <v>45706</v>
      </c>
      <c r="Y95" s="10"/>
      <c r="Z95" s="22">
        <v>39621.120000000003</v>
      </c>
      <c r="AA95" s="21"/>
      <c r="AB95" s="21"/>
      <c r="AC95" s="21"/>
      <c r="AD95" s="45"/>
      <c r="AE95" s="23"/>
    </row>
    <row r="96" spans="2:31" s="9" customFormat="1" ht="122.25" customHeight="1">
      <c r="B96" s="31">
        <v>45482</v>
      </c>
      <c r="C96" s="11" t="s">
        <v>21</v>
      </c>
      <c r="D96" s="2" t="s">
        <v>220</v>
      </c>
      <c r="E96" s="11" t="s">
        <v>221</v>
      </c>
      <c r="F96" s="30" t="s">
        <v>222</v>
      </c>
      <c r="G96" s="30" t="s">
        <v>223</v>
      </c>
      <c r="H96" s="16" t="s">
        <v>608</v>
      </c>
      <c r="I96" s="16"/>
      <c r="J96" s="16"/>
      <c r="K96" s="16"/>
      <c r="L96" s="16"/>
      <c r="M96" s="16"/>
      <c r="N96" s="16"/>
      <c r="O96" s="16"/>
      <c r="P96" s="16"/>
      <c r="Q96" s="7" t="s">
        <v>20</v>
      </c>
      <c r="R96" s="2"/>
      <c r="S96" s="16"/>
      <c r="T96" s="16"/>
      <c r="U96" s="4" t="s">
        <v>408</v>
      </c>
      <c r="V96" s="100"/>
      <c r="W96" s="30" t="s">
        <v>32</v>
      </c>
      <c r="X96" s="8">
        <v>45484</v>
      </c>
      <c r="Y96" s="61"/>
      <c r="Z96" s="10"/>
      <c r="AA96" s="21"/>
      <c r="AB96" s="29">
        <f>552780/2</f>
        <v>276390</v>
      </c>
      <c r="AC96" s="21"/>
      <c r="AD96" s="45"/>
      <c r="AE96" s="16"/>
    </row>
    <row r="97" spans="2:34" s="9" customFormat="1" ht="122.25" customHeight="1">
      <c r="B97" s="31">
        <v>45482</v>
      </c>
      <c r="C97" s="11" t="s">
        <v>21</v>
      </c>
      <c r="D97" s="2" t="s">
        <v>220</v>
      </c>
      <c r="E97" s="11" t="s">
        <v>221</v>
      </c>
      <c r="F97" s="30" t="s">
        <v>222</v>
      </c>
      <c r="G97" s="30" t="s">
        <v>223</v>
      </c>
      <c r="H97" s="16" t="s">
        <v>608</v>
      </c>
      <c r="I97" s="16"/>
      <c r="J97" s="16"/>
      <c r="K97" s="16"/>
      <c r="L97" s="16"/>
      <c r="M97" s="16"/>
      <c r="N97" s="16"/>
      <c r="O97" s="16"/>
      <c r="P97" s="16"/>
      <c r="Q97" s="7" t="s">
        <v>20</v>
      </c>
      <c r="R97" s="87" t="s">
        <v>607</v>
      </c>
      <c r="S97" s="16" t="s">
        <v>406</v>
      </c>
      <c r="T97" s="16" t="s">
        <v>595</v>
      </c>
      <c r="U97" s="4" t="s">
        <v>686</v>
      </c>
      <c r="V97" s="100"/>
      <c r="W97" s="30" t="s">
        <v>108</v>
      </c>
      <c r="X97" s="8">
        <v>45582</v>
      </c>
      <c r="Y97" s="61"/>
      <c r="Z97" s="10"/>
      <c r="AA97" s="21"/>
      <c r="AB97" s="77">
        <f>552780/2</f>
        <v>276390</v>
      </c>
      <c r="AC97" s="21"/>
      <c r="AD97" s="45"/>
      <c r="AE97" s="16"/>
    </row>
    <row r="98" spans="2:34" s="9" customFormat="1" ht="409.6" customHeight="1">
      <c r="B98" s="31">
        <v>45513</v>
      </c>
      <c r="C98" s="11" t="s">
        <v>21</v>
      </c>
      <c r="D98" s="2" t="s">
        <v>244</v>
      </c>
      <c r="E98" s="11" t="s">
        <v>245</v>
      </c>
      <c r="F98" s="30" t="s">
        <v>173</v>
      </c>
      <c r="G98" s="66" t="s">
        <v>294</v>
      </c>
      <c r="H98" s="16" t="s">
        <v>442</v>
      </c>
      <c r="I98" s="115"/>
      <c r="J98" s="115"/>
      <c r="K98" s="115"/>
      <c r="L98" s="115"/>
      <c r="M98" s="115"/>
      <c r="N98" s="115"/>
      <c r="O98" s="115"/>
      <c r="P98" s="115" t="s">
        <v>1173</v>
      </c>
      <c r="Q98" s="7" t="s">
        <v>22</v>
      </c>
      <c r="R98" s="156" t="s">
        <v>650</v>
      </c>
      <c r="S98" s="84" t="s">
        <v>1171</v>
      </c>
      <c r="T98" s="84" t="s">
        <v>1172</v>
      </c>
      <c r="U98" s="4" t="s">
        <v>756</v>
      </c>
      <c r="V98" s="100"/>
      <c r="W98" s="30" t="s">
        <v>29</v>
      </c>
      <c r="X98" s="8">
        <v>45720</v>
      </c>
      <c r="Y98" s="22">
        <v>249635.31</v>
      </c>
      <c r="Z98" s="10"/>
      <c r="AA98" s="21"/>
      <c r="AB98" s="21"/>
      <c r="AC98" s="21"/>
      <c r="AD98" s="45"/>
      <c r="AE98" s="16"/>
    </row>
    <row r="99" spans="2:34" s="9" customFormat="1" ht="122.25" customHeight="1">
      <c r="B99" s="31">
        <v>45376</v>
      </c>
      <c r="C99" s="11" t="s">
        <v>21</v>
      </c>
      <c r="D99" s="2" t="s">
        <v>125</v>
      </c>
      <c r="E99" s="11" t="s">
        <v>126</v>
      </c>
      <c r="F99" s="30" t="s">
        <v>127</v>
      </c>
      <c r="G99" s="30" t="s">
        <v>128</v>
      </c>
      <c r="H99" s="16" t="s">
        <v>482</v>
      </c>
      <c r="I99" s="16"/>
      <c r="J99" s="16"/>
      <c r="K99" s="16"/>
      <c r="L99" s="16"/>
      <c r="M99" s="16"/>
      <c r="N99" s="16"/>
      <c r="O99" s="16"/>
      <c r="P99" s="16"/>
      <c r="Q99" s="7" t="s">
        <v>22</v>
      </c>
      <c r="R99" s="63" t="s">
        <v>178</v>
      </c>
      <c r="S99" s="13" t="s">
        <v>186</v>
      </c>
      <c r="T99" s="64">
        <v>45492</v>
      </c>
      <c r="U99" s="4" t="s">
        <v>653</v>
      </c>
      <c r="V99" s="100"/>
      <c r="W99" s="30" t="s">
        <v>115</v>
      </c>
      <c r="X99" s="8">
        <v>45458</v>
      </c>
      <c r="Y99" s="10"/>
      <c r="Z99" s="10"/>
      <c r="AA99" s="21"/>
      <c r="AB99" s="21">
        <v>462885</v>
      </c>
      <c r="AC99" s="21"/>
      <c r="AD99" s="45"/>
      <c r="AE99" s="16"/>
    </row>
    <row r="100" spans="2:34" s="9" customFormat="1" ht="409.6" customHeight="1">
      <c r="B100" s="31">
        <v>45376</v>
      </c>
      <c r="C100" s="11" t="s">
        <v>21</v>
      </c>
      <c r="D100" s="2" t="s">
        <v>129</v>
      </c>
      <c r="E100" s="11" t="s">
        <v>130</v>
      </c>
      <c r="F100" s="30" t="s">
        <v>127</v>
      </c>
      <c r="G100" s="30" t="s">
        <v>131</v>
      </c>
      <c r="H100" s="16" t="s">
        <v>483</v>
      </c>
      <c r="I100" s="16"/>
      <c r="J100" s="16"/>
      <c r="K100" s="16"/>
      <c r="L100" s="16"/>
      <c r="M100" s="16"/>
      <c r="N100" s="16"/>
      <c r="O100" s="16"/>
      <c r="P100" s="16"/>
      <c r="Q100" s="5" t="s">
        <v>22</v>
      </c>
      <c r="R100" s="63" t="s">
        <v>178</v>
      </c>
      <c r="S100" s="13" t="s">
        <v>186</v>
      </c>
      <c r="T100" s="64">
        <v>45492</v>
      </c>
      <c r="U100" s="4" t="s">
        <v>625</v>
      </c>
      <c r="V100" s="100"/>
      <c r="W100" s="30" t="s">
        <v>115</v>
      </c>
      <c r="X100" s="8">
        <v>45458</v>
      </c>
      <c r="Y100" s="10"/>
      <c r="Z100" s="10"/>
      <c r="AA100" s="21"/>
      <c r="AB100" s="21">
        <v>462885</v>
      </c>
      <c r="AC100" s="21"/>
      <c r="AD100" s="45"/>
      <c r="AE100" s="16"/>
    </row>
    <row r="101" spans="2:34" s="9" customFormat="1" ht="122.25" customHeight="1">
      <c r="B101" s="31">
        <v>45593</v>
      </c>
      <c r="C101" s="11" t="s">
        <v>21</v>
      </c>
      <c r="D101" s="2" t="s">
        <v>387</v>
      </c>
      <c r="E101" s="11" t="s">
        <v>388</v>
      </c>
      <c r="F101" s="30" t="s">
        <v>105</v>
      </c>
      <c r="G101" s="30" t="s">
        <v>597</v>
      </c>
      <c r="H101" s="16">
        <v>45693</v>
      </c>
      <c r="I101" s="115"/>
      <c r="J101" s="115"/>
      <c r="K101" s="115"/>
      <c r="L101" s="115"/>
      <c r="M101" s="115"/>
      <c r="N101" s="115"/>
      <c r="O101" s="115"/>
      <c r="P101" s="115" t="s">
        <v>1173</v>
      </c>
      <c r="Q101" s="7" t="s">
        <v>22</v>
      </c>
      <c r="R101" s="2" t="s">
        <v>598</v>
      </c>
      <c r="S101" s="16" t="s">
        <v>599</v>
      </c>
      <c r="T101" s="16" t="s">
        <v>864</v>
      </c>
      <c r="U101" s="24" t="s">
        <v>685</v>
      </c>
      <c r="V101" s="100"/>
      <c r="W101" s="30" t="s">
        <v>29</v>
      </c>
      <c r="X101" s="8">
        <v>45699</v>
      </c>
      <c r="Y101" s="22">
        <v>115018.98</v>
      </c>
      <c r="Z101" s="10"/>
      <c r="AA101" s="21"/>
      <c r="AB101" s="21"/>
      <c r="AC101" s="21"/>
      <c r="AD101" s="45"/>
      <c r="AE101" s="23"/>
    </row>
    <row r="102" spans="2:34" s="9" customFormat="1" ht="122.25" customHeight="1">
      <c r="B102" s="31">
        <v>45593</v>
      </c>
      <c r="C102" s="11" t="s">
        <v>21</v>
      </c>
      <c r="D102" s="2" t="s">
        <v>390</v>
      </c>
      <c r="E102" s="11" t="s">
        <v>388</v>
      </c>
      <c r="F102" s="30" t="s">
        <v>105</v>
      </c>
      <c r="G102" s="30" t="s">
        <v>389</v>
      </c>
      <c r="H102" s="16">
        <v>45693</v>
      </c>
      <c r="I102" s="115"/>
      <c r="J102" s="115"/>
      <c r="K102" s="115"/>
      <c r="L102" s="115"/>
      <c r="M102" s="115"/>
      <c r="N102" s="115"/>
      <c r="O102" s="115"/>
      <c r="P102" s="115" t="s">
        <v>861</v>
      </c>
      <c r="Q102" s="7" t="s">
        <v>22</v>
      </c>
      <c r="R102" s="76" t="s">
        <v>407</v>
      </c>
      <c r="S102" s="20" t="s">
        <v>596</v>
      </c>
      <c r="T102" s="20" t="s">
        <v>684</v>
      </c>
      <c r="U102" s="24" t="s">
        <v>1176</v>
      </c>
      <c r="V102" s="100"/>
      <c r="W102" s="30" t="s">
        <v>29</v>
      </c>
      <c r="X102" s="8">
        <v>45710</v>
      </c>
      <c r="Y102" s="22">
        <v>49567.3</v>
      </c>
      <c r="Z102" s="10"/>
      <c r="AA102" s="21"/>
      <c r="AB102" s="21"/>
      <c r="AC102" s="21"/>
      <c r="AD102" s="45"/>
      <c r="AE102" s="23"/>
    </row>
    <row r="103" spans="2:34" s="9" customFormat="1" ht="112.5" customHeight="1">
      <c r="B103" s="31">
        <v>45433</v>
      </c>
      <c r="C103" s="11" t="s">
        <v>40</v>
      </c>
      <c r="D103" s="2" t="s">
        <v>157</v>
      </c>
      <c r="E103" s="11" t="s">
        <v>158</v>
      </c>
      <c r="F103" s="30" t="s">
        <v>73</v>
      </c>
      <c r="G103" s="30" t="s">
        <v>267</v>
      </c>
      <c r="H103" s="16">
        <v>45468</v>
      </c>
      <c r="I103" s="115"/>
      <c r="J103" s="115"/>
      <c r="K103" s="115"/>
      <c r="L103" s="115"/>
      <c r="M103" s="115"/>
      <c r="N103" s="115"/>
      <c r="O103" s="115"/>
      <c r="P103" s="115"/>
      <c r="Q103" s="6"/>
      <c r="R103" s="159"/>
      <c r="S103" s="159"/>
      <c r="T103" s="154" t="s">
        <v>22</v>
      </c>
      <c r="U103" s="155" t="s">
        <v>654</v>
      </c>
      <c r="V103" s="139">
        <v>45646</v>
      </c>
      <c r="W103" s="16">
        <v>45669</v>
      </c>
      <c r="X103" s="24" t="s">
        <v>1102</v>
      </c>
      <c r="Y103" s="100"/>
      <c r="Z103" s="30" t="s">
        <v>33</v>
      </c>
      <c r="AA103" s="8">
        <v>45715</v>
      </c>
      <c r="AB103" s="10"/>
      <c r="AC103" s="10"/>
      <c r="AD103" s="21"/>
      <c r="AE103" s="22">
        <v>2260263.1</v>
      </c>
      <c r="AF103" s="21"/>
      <c r="AG103" s="45"/>
      <c r="AH103" s="10">
        <v>2260263.1</v>
      </c>
    </row>
    <row r="104" spans="2:34" s="9" customFormat="1" ht="37.5">
      <c r="B104" s="31">
        <v>45672</v>
      </c>
      <c r="C104" s="11" t="s">
        <v>27</v>
      </c>
      <c r="D104" s="2" t="s">
        <v>707</v>
      </c>
      <c r="E104" s="11" t="s">
        <v>708</v>
      </c>
      <c r="F104" s="30" t="s">
        <v>709</v>
      </c>
      <c r="G104" s="30" t="s">
        <v>710</v>
      </c>
      <c r="H104" s="16">
        <v>45748</v>
      </c>
      <c r="I104" s="115"/>
      <c r="J104" s="115"/>
      <c r="K104" s="115"/>
      <c r="L104" s="115"/>
      <c r="M104" s="115" t="s">
        <v>905</v>
      </c>
      <c r="N104" s="115"/>
      <c r="O104" s="115"/>
      <c r="P104" s="115"/>
      <c r="Q104" s="6"/>
      <c r="R104" s="6"/>
      <c r="S104" s="6"/>
      <c r="T104" s="7" t="s">
        <v>20</v>
      </c>
      <c r="U104" s="2" t="s">
        <v>1097</v>
      </c>
      <c r="V104" s="16">
        <v>45718</v>
      </c>
      <c r="W104" s="16">
        <v>45719</v>
      </c>
      <c r="X104" s="24" t="s">
        <v>1148</v>
      </c>
      <c r="Y104" s="100"/>
      <c r="Z104" s="30" t="s">
        <v>61</v>
      </c>
      <c r="AA104" s="8">
        <v>45700</v>
      </c>
      <c r="AB104" s="10"/>
      <c r="AC104" s="22">
        <v>1204</v>
      </c>
      <c r="AD104" s="21"/>
      <c r="AE104" s="21"/>
      <c r="AF104" s="21"/>
      <c r="AG104" s="45"/>
      <c r="AH104" s="23">
        <v>1204</v>
      </c>
    </row>
    <row r="105" spans="2:34" s="9" customFormat="1" ht="262.5">
      <c r="B105" s="31">
        <v>45625</v>
      </c>
      <c r="C105" s="2" t="s">
        <v>24</v>
      </c>
      <c r="D105" s="2" t="s">
        <v>527</v>
      </c>
      <c r="E105" s="11" t="s">
        <v>528</v>
      </c>
      <c r="F105" s="30" t="s">
        <v>104</v>
      </c>
      <c r="G105" s="30" t="s">
        <v>238</v>
      </c>
      <c r="H105" s="16">
        <v>45689</v>
      </c>
      <c r="I105" s="115"/>
      <c r="J105" s="115"/>
      <c r="K105" s="115"/>
      <c r="L105" s="115"/>
      <c r="M105" s="115"/>
      <c r="N105" s="115"/>
      <c r="O105" s="115"/>
      <c r="P105" s="115"/>
      <c r="Q105" s="115">
        <v>45713</v>
      </c>
      <c r="R105" s="115"/>
      <c r="S105" s="115"/>
      <c r="T105" s="7" t="s">
        <v>20</v>
      </c>
      <c r="U105" s="2" t="s">
        <v>770</v>
      </c>
      <c r="V105" s="16">
        <v>45667</v>
      </c>
      <c r="W105" s="16">
        <v>45669</v>
      </c>
      <c r="X105" s="4" t="s">
        <v>1226</v>
      </c>
      <c r="Y105" s="100"/>
      <c r="Z105" s="30" t="s">
        <v>54</v>
      </c>
      <c r="AA105" s="8">
        <v>45726</v>
      </c>
      <c r="AB105" s="10"/>
      <c r="AC105" s="22">
        <v>515</v>
      </c>
      <c r="AD105" s="21"/>
      <c r="AE105" s="21"/>
      <c r="AF105" s="21"/>
      <c r="AG105" s="45"/>
      <c r="AH105" s="23">
        <v>515</v>
      </c>
    </row>
    <row r="106" spans="2:34" s="9" customFormat="1" ht="122.25" customHeight="1">
      <c r="B106" s="31">
        <v>45698</v>
      </c>
      <c r="C106" s="11" t="s">
        <v>24</v>
      </c>
      <c r="D106" s="2" t="s">
        <v>808</v>
      </c>
      <c r="E106" s="11" t="s">
        <v>809</v>
      </c>
      <c r="F106" s="30" t="s">
        <v>773</v>
      </c>
      <c r="G106" s="30" t="s">
        <v>810</v>
      </c>
      <c r="H106" s="16">
        <v>45731</v>
      </c>
      <c r="I106" s="115"/>
      <c r="J106" s="115"/>
      <c r="K106" s="115"/>
      <c r="L106" s="115"/>
      <c r="M106" s="115"/>
      <c r="N106" s="115"/>
      <c r="O106" s="115"/>
      <c r="P106" s="115"/>
      <c r="Q106" s="115">
        <v>45712</v>
      </c>
      <c r="R106" s="115"/>
      <c r="S106" s="115"/>
      <c r="T106" s="7" t="s">
        <v>25</v>
      </c>
      <c r="U106" s="2" t="s">
        <v>1042</v>
      </c>
      <c r="V106" s="16">
        <v>45705</v>
      </c>
      <c r="W106" s="16">
        <v>45713</v>
      </c>
      <c r="X106" s="24" t="s">
        <v>1238</v>
      </c>
      <c r="Y106" s="100"/>
      <c r="Z106" s="30" t="s">
        <v>61</v>
      </c>
      <c r="AA106" s="8">
        <v>45700</v>
      </c>
      <c r="AB106" s="10"/>
      <c r="AC106" s="22">
        <v>230</v>
      </c>
      <c r="AD106" s="21"/>
      <c r="AE106" s="21"/>
      <c r="AF106" s="21"/>
      <c r="AG106" s="45"/>
      <c r="AH106" s="118">
        <v>230</v>
      </c>
    </row>
    <row r="107" spans="2:34" s="9" customFormat="1" ht="56.25">
      <c r="B107" s="31">
        <v>45506</v>
      </c>
      <c r="C107" s="2" t="s">
        <v>24</v>
      </c>
      <c r="D107" s="2" t="s">
        <v>239</v>
      </c>
      <c r="E107" s="11" t="s">
        <v>240</v>
      </c>
      <c r="F107" s="30" t="s">
        <v>154</v>
      </c>
      <c r="G107" s="30" t="s">
        <v>782</v>
      </c>
      <c r="H107" s="16" t="s">
        <v>862</v>
      </c>
      <c r="I107" s="115"/>
      <c r="J107" s="115"/>
      <c r="K107" s="115"/>
      <c r="L107" s="115"/>
      <c r="M107" s="115"/>
      <c r="N107" s="115"/>
      <c r="O107" s="115"/>
      <c r="P107" s="115"/>
      <c r="Q107" s="115" t="s">
        <v>1015</v>
      </c>
      <c r="R107" s="115"/>
      <c r="S107" s="115"/>
      <c r="T107" s="7" t="s">
        <v>25</v>
      </c>
      <c r="U107" s="2" t="s">
        <v>783</v>
      </c>
      <c r="V107" s="16">
        <v>45682</v>
      </c>
      <c r="W107" s="16">
        <v>45683</v>
      </c>
      <c r="X107" s="14" t="s">
        <v>1224</v>
      </c>
      <c r="Y107" s="100"/>
      <c r="Z107" s="30" t="s">
        <v>113</v>
      </c>
      <c r="AA107" s="8">
        <v>45724</v>
      </c>
      <c r="AB107" s="10"/>
      <c r="AC107" s="22">
        <v>1680</v>
      </c>
      <c r="AD107" s="21"/>
      <c r="AE107" s="21"/>
      <c r="AF107" s="21"/>
      <c r="AG107" s="45"/>
      <c r="AH107" s="118">
        <f>1680</f>
        <v>1680</v>
      </c>
    </row>
    <row r="108" spans="2:34" s="9" customFormat="1" ht="122.25" customHeight="1">
      <c r="B108" s="31">
        <v>45575</v>
      </c>
      <c r="C108" s="11" t="s">
        <v>694</v>
      </c>
      <c r="D108" s="2" t="s">
        <v>342</v>
      </c>
      <c r="E108" s="11" t="s">
        <v>343</v>
      </c>
      <c r="F108" s="30" t="s">
        <v>344</v>
      </c>
      <c r="G108" s="30" t="s">
        <v>345</v>
      </c>
      <c r="H108" s="16">
        <v>45687</v>
      </c>
      <c r="I108" s="115"/>
      <c r="J108" s="115"/>
      <c r="K108" s="115"/>
      <c r="L108" s="115"/>
      <c r="M108" s="115"/>
      <c r="N108" s="115"/>
      <c r="O108" s="115"/>
      <c r="P108" s="115"/>
      <c r="Q108" s="6" t="s">
        <v>860</v>
      </c>
      <c r="R108" s="6"/>
      <c r="S108" s="6"/>
      <c r="T108" s="7" t="s">
        <v>22</v>
      </c>
      <c r="U108" s="16"/>
      <c r="V108" s="16"/>
      <c r="W108" s="16"/>
      <c r="X108" s="24" t="s">
        <v>1032</v>
      </c>
      <c r="Y108" s="100"/>
      <c r="Z108" s="30" t="s">
        <v>266</v>
      </c>
      <c r="AA108" s="8">
        <v>45580</v>
      </c>
      <c r="AB108" s="22">
        <v>151927.78</v>
      </c>
      <c r="AC108" s="10"/>
      <c r="AD108" s="21"/>
      <c r="AE108" s="21"/>
      <c r="AF108" s="21"/>
      <c r="AG108" s="45"/>
      <c r="AH108" s="16"/>
    </row>
    <row r="109" spans="2:34" s="9" customFormat="1" ht="122.25" customHeight="1">
      <c r="B109" s="31">
        <v>45575</v>
      </c>
      <c r="C109" s="11" t="s">
        <v>694</v>
      </c>
      <c r="D109" s="2" t="s">
        <v>342</v>
      </c>
      <c r="E109" s="11" t="s">
        <v>343</v>
      </c>
      <c r="F109" s="30" t="s">
        <v>344</v>
      </c>
      <c r="G109" s="30" t="s">
        <v>455</v>
      </c>
      <c r="H109" s="16">
        <v>45687</v>
      </c>
      <c r="I109" s="115"/>
      <c r="J109" s="115"/>
      <c r="K109" s="115"/>
      <c r="L109" s="115"/>
      <c r="M109" s="115"/>
      <c r="N109" s="115"/>
      <c r="O109" s="115"/>
      <c r="P109" s="115"/>
      <c r="Q109" s="115">
        <v>45723</v>
      </c>
      <c r="R109" s="115"/>
      <c r="S109" s="115"/>
      <c r="T109" s="7" t="s">
        <v>22</v>
      </c>
      <c r="U109" s="16" t="s">
        <v>670</v>
      </c>
      <c r="V109" s="16">
        <v>45632</v>
      </c>
      <c r="W109" s="16">
        <v>45681</v>
      </c>
      <c r="X109" s="27" t="s">
        <v>1011</v>
      </c>
      <c r="Y109" s="100"/>
      <c r="Z109" s="30" t="s">
        <v>346</v>
      </c>
      <c r="AA109" s="8">
        <v>45641</v>
      </c>
      <c r="AB109" s="88">
        <v>43407.94</v>
      </c>
      <c r="AC109" s="10"/>
      <c r="AD109" s="21"/>
      <c r="AE109" s="21"/>
      <c r="AF109" s="21"/>
      <c r="AG109" s="45"/>
      <c r="AH109" s="16"/>
    </row>
    <row r="110" spans="2:34" s="9" customFormat="1" ht="122.25" customHeight="1">
      <c r="B110" s="31">
        <v>45575</v>
      </c>
      <c r="C110" s="11" t="s">
        <v>694</v>
      </c>
      <c r="D110" s="2" t="s">
        <v>342</v>
      </c>
      <c r="E110" s="11" t="s">
        <v>343</v>
      </c>
      <c r="F110" s="30" t="s">
        <v>344</v>
      </c>
      <c r="G110" s="30" t="s">
        <v>456</v>
      </c>
      <c r="H110" s="16">
        <v>45687</v>
      </c>
      <c r="I110" s="115"/>
      <c r="J110" s="115"/>
      <c r="K110" s="115"/>
      <c r="L110" s="115"/>
      <c r="M110" s="115"/>
      <c r="N110" s="115"/>
      <c r="O110" s="115"/>
      <c r="P110" s="115"/>
      <c r="Q110" s="115">
        <v>45723</v>
      </c>
      <c r="R110" s="115"/>
      <c r="S110" s="115"/>
      <c r="T110" s="7" t="s">
        <v>22</v>
      </c>
      <c r="U110" s="16" t="s">
        <v>670</v>
      </c>
      <c r="V110" s="16">
        <v>45632</v>
      </c>
      <c r="W110" s="16">
        <v>45681</v>
      </c>
      <c r="X110" s="27" t="s">
        <v>1009</v>
      </c>
      <c r="Y110" s="100"/>
      <c r="Z110" s="30" t="s">
        <v>346</v>
      </c>
      <c r="AA110" s="8">
        <v>45641</v>
      </c>
      <c r="AB110" s="88">
        <v>32555.95</v>
      </c>
      <c r="AC110" s="10"/>
      <c r="AD110" s="21"/>
      <c r="AE110" s="21"/>
      <c r="AF110" s="21"/>
      <c r="AG110" s="45"/>
      <c r="AH110" s="16"/>
    </row>
    <row r="111" spans="2:34" s="9" customFormat="1" ht="129" customHeight="1">
      <c r="B111" s="31">
        <v>45575</v>
      </c>
      <c r="C111" s="11" t="s">
        <v>694</v>
      </c>
      <c r="D111" s="2" t="s">
        <v>342</v>
      </c>
      <c r="E111" s="11" t="s">
        <v>343</v>
      </c>
      <c r="F111" s="30" t="s">
        <v>344</v>
      </c>
      <c r="G111" s="30" t="s">
        <v>552</v>
      </c>
      <c r="H111" s="16">
        <v>45687</v>
      </c>
      <c r="I111" s="115"/>
      <c r="J111" s="115"/>
      <c r="K111" s="115"/>
      <c r="L111" s="115"/>
      <c r="M111" s="115"/>
      <c r="N111" s="115"/>
      <c r="O111" s="115"/>
      <c r="P111" s="115"/>
      <c r="Q111" s="115">
        <v>45723</v>
      </c>
      <c r="R111" s="115"/>
      <c r="S111" s="115"/>
      <c r="T111" s="7" t="s">
        <v>22</v>
      </c>
      <c r="U111" s="16" t="s">
        <v>689</v>
      </c>
      <c r="V111" s="16">
        <v>45673</v>
      </c>
      <c r="W111" s="16">
        <v>45685</v>
      </c>
      <c r="X111" s="27" t="s">
        <v>1010</v>
      </c>
      <c r="Y111" s="100"/>
      <c r="Z111" s="30" t="s">
        <v>346</v>
      </c>
      <c r="AA111" s="8">
        <v>45656</v>
      </c>
      <c r="AB111" s="22">
        <v>4773.6000000000004</v>
      </c>
      <c r="AC111" s="10"/>
      <c r="AD111" s="21"/>
      <c r="AE111" s="21"/>
      <c r="AF111" s="21"/>
      <c r="AG111" s="45"/>
      <c r="AH111" s="16"/>
    </row>
    <row r="112" spans="2:34" s="9" customFormat="1" ht="122.25" customHeight="1">
      <c r="B112" s="31">
        <v>45534</v>
      </c>
      <c r="C112" s="11" t="s">
        <v>27</v>
      </c>
      <c r="D112" s="2" t="s">
        <v>276</v>
      </c>
      <c r="E112" s="11" t="s">
        <v>275</v>
      </c>
      <c r="F112" s="30" t="s">
        <v>74</v>
      </c>
      <c r="G112" s="30" t="s">
        <v>539</v>
      </c>
      <c r="H112" s="16">
        <v>45627</v>
      </c>
      <c r="I112" s="115"/>
      <c r="J112" s="115"/>
      <c r="K112" s="115"/>
      <c r="L112" s="115"/>
      <c r="M112" s="115"/>
      <c r="N112" s="115"/>
      <c r="O112" s="115"/>
      <c r="P112" s="115"/>
      <c r="Q112" s="115" t="s">
        <v>851</v>
      </c>
      <c r="R112" s="115"/>
      <c r="S112" s="115"/>
      <c r="T112" s="7" t="s">
        <v>22</v>
      </c>
      <c r="U112" s="2" t="s">
        <v>698</v>
      </c>
      <c r="V112" s="31">
        <v>45661</v>
      </c>
      <c r="W112" s="31">
        <v>45689</v>
      </c>
      <c r="X112" s="24" t="s">
        <v>1277</v>
      </c>
      <c r="Z112" s="30" t="s">
        <v>33</v>
      </c>
      <c r="AA112" s="8">
        <v>45715</v>
      </c>
      <c r="AB112" s="10"/>
      <c r="AC112" s="10"/>
      <c r="AD112" s="10"/>
      <c r="AE112" s="22">
        <v>1598353.25</v>
      </c>
      <c r="AF112" s="21"/>
      <c r="AG112" s="45"/>
      <c r="AH112" s="10"/>
    </row>
    <row r="113" spans="2:34" s="9" customFormat="1" ht="37.5">
      <c r="B113" s="31">
        <v>45625</v>
      </c>
      <c r="C113" s="2" t="s">
        <v>24</v>
      </c>
      <c r="D113" s="2" t="s">
        <v>508</v>
      </c>
      <c r="E113" s="11" t="s">
        <v>509</v>
      </c>
      <c r="F113" s="30" t="s">
        <v>510</v>
      </c>
      <c r="G113" s="30" t="s">
        <v>511</v>
      </c>
      <c r="H113" s="16" t="s">
        <v>1055</v>
      </c>
      <c r="I113" s="115"/>
      <c r="J113" s="115"/>
      <c r="K113" s="115"/>
      <c r="L113" s="115"/>
      <c r="M113" s="115"/>
      <c r="N113" s="115"/>
      <c r="O113" s="115"/>
      <c r="P113" s="115"/>
      <c r="Q113" s="115">
        <v>45713</v>
      </c>
      <c r="R113" s="115"/>
      <c r="S113" s="115"/>
      <c r="T113" s="7" t="s">
        <v>20</v>
      </c>
      <c r="U113" s="2" t="s">
        <v>666</v>
      </c>
      <c r="V113" s="16" t="s">
        <v>667</v>
      </c>
      <c r="W113" s="16">
        <v>45707</v>
      </c>
      <c r="X113" s="4"/>
      <c r="Y113" s="100"/>
      <c r="Z113" s="30" t="s">
        <v>61</v>
      </c>
      <c r="AA113" s="8">
        <v>45631</v>
      </c>
      <c r="AB113" s="22">
        <v>41900</v>
      </c>
      <c r="AC113" s="10"/>
      <c r="AD113" s="21"/>
      <c r="AE113" s="21"/>
      <c r="AF113" s="21"/>
      <c r="AG113" s="45"/>
      <c r="AH113" s="23">
        <v>41900</v>
      </c>
    </row>
    <row r="114" spans="2:34" s="9" customFormat="1" ht="222.75" customHeight="1">
      <c r="B114" s="31">
        <v>45642</v>
      </c>
      <c r="C114" s="2" t="s">
        <v>694</v>
      </c>
      <c r="D114" s="2" t="s">
        <v>593</v>
      </c>
      <c r="E114" s="11" t="s">
        <v>594</v>
      </c>
      <c r="F114" s="30" t="s">
        <v>31</v>
      </c>
      <c r="G114" s="30" t="s">
        <v>875</v>
      </c>
      <c r="H114" s="16">
        <v>45332</v>
      </c>
      <c r="I114" s="115"/>
      <c r="J114" s="115"/>
      <c r="K114" s="115"/>
      <c r="L114" s="115"/>
      <c r="M114" s="115"/>
      <c r="N114" s="115"/>
      <c r="O114" s="115"/>
      <c r="P114" s="115"/>
      <c r="Q114" s="115">
        <v>45723</v>
      </c>
      <c r="R114" s="115"/>
      <c r="S114" s="115"/>
      <c r="T114" s="7" t="s">
        <v>22</v>
      </c>
      <c r="U114" s="2" t="s">
        <v>874</v>
      </c>
      <c r="V114" s="16" t="s">
        <v>873</v>
      </c>
      <c r="W114" s="16">
        <v>45709</v>
      </c>
      <c r="X114" s="4" t="s">
        <v>1154</v>
      </c>
      <c r="Y114" s="100"/>
      <c r="Z114" s="151" t="s">
        <v>1151</v>
      </c>
      <c r="AA114" s="8">
        <v>45687</v>
      </c>
      <c r="AB114" s="105">
        <v>93162.701000000001</v>
      </c>
      <c r="AC114" s="10"/>
      <c r="AD114" s="21"/>
      <c r="AE114" s="21"/>
      <c r="AF114" s="21"/>
      <c r="AG114" s="45"/>
      <c r="AH114" s="23"/>
    </row>
    <row r="115" spans="2:34" s="9" customFormat="1" ht="244.5" customHeight="1">
      <c r="B115" s="31">
        <v>45551</v>
      </c>
      <c r="C115" s="2" t="s">
        <v>694</v>
      </c>
      <c r="D115" s="2" t="s">
        <v>297</v>
      </c>
      <c r="E115" s="11" t="s">
        <v>298</v>
      </c>
      <c r="F115" s="30" t="s">
        <v>31</v>
      </c>
      <c r="G115" s="30" t="s">
        <v>299</v>
      </c>
      <c r="H115" s="16">
        <v>45658</v>
      </c>
      <c r="I115" s="115"/>
      <c r="J115" s="115"/>
      <c r="K115" s="115"/>
      <c r="L115" s="115"/>
      <c r="M115" s="115"/>
      <c r="N115" s="115"/>
      <c r="O115" s="115"/>
      <c r="P115" s="115"/>
      <c r="Q115" s="115">
        <v>45723</v>
      </c>
      <c r="R115" s="115"/>
      <c r="S115" s="115"/>
      <c r="T115" s="7" t="s">
        <v>22</v>
      </c>
      <c r="U115" s="2" t="s">
        <v>874</v>
      </c>
      <c r="V115" s="16" t="s">
        <v>873</v>
      </c>
      <c r="W115" s="16" t="s">
        <v>893</v>
      </c>
      <c r="X115" s="4" t="s">
        <v>1153</v>
      </c>
      <c r="Y115" s="100"/>
      <c r="Z115" s="30" t="s">
        <v>37</v>
      </c>
      <c r="AA115" s="8">
        <v>45627</v>
      </c>
      <c r="AB115" s="22">
        <v>50920.27</v>
      </c>
      <c r="AC115" s="10"/>
      <c r="AD115" s="21"/>
      <c r="AE115" s="21"/>
      <c r="AF115" s="21"/>
      <c r="AG115" s="45"/>
      <c r="AH115" s="16"/>
    </row>
    <row r="117" spans="2:34" s="9" customFormat="1" ht="122.25" customHeight="1">
      <c r="B117" s="31">
        <v>45645</v>
      </c>
      <c r="C117" s="11" t="s">
        <v>694</v>
      </c>
      <c r="D117" s="2" t="s">
        <v>611</v>
      </c>
      <c r="E117" s="11" t="s">
        <v>612</v>
      </c>
      <c r="F117" s="30" t="s">
        <v>613</v>
      </c>
      <c r="G117" s="30" t="s">
        <v>614</v>
      </c>
      <c r="H117" s="16">
        <v>45703</v>
      </c>
      <c r="I117" s="115"/>
      <c r="J117" s="115"/>
      <c r="K117" s="115"/>
      <c r="L117" s="115"/>
      <c r="M117" s="115"/>
      <c r="N117" s="115"/>
      <c r="O117" s="115"/>
      <c r="P117" s="115"/>
      <c r="Q117" s="115">
        <v>45730</v>
      </c>
      <c r="R117" s="115"/>
      <c r="S117" s="115"/>
      <c r="T117" s="7" t="s">
        <v>34</v>
      </c>
      <c r="U117" s="16" t="s">
        <v>671</v>
      </c>
      <c r="V117" s="16">
        <v>45690</v>
      </c>
      <c r="W117" s="16">
        <v>45704</v>
      </c>
      <c r="X117" s="4" t="s">
        <v>884</v>
      </c>
      <c r="Y117" s="100"/>
      <c r="Z117" s="30" t="s">
        <v>23</v>
      </c>
      <c r="AA117" s="8">
        <v>45714</v>
      </c>
      <c r="AB117" s="144">
        <v>18840</v>
      </c>
      <c r="AC117" s="10"/>
      <c r="AD117" s="21"/>
      <c r="AE117" s="21"/>
      <c r="AF117" s="21"/>
      <c r="AG117" s="45"/>
      <c r="AH117" s="23"/>
    </row>
    <row r="118" spans="2:34" s="9" customFormat="1" ht="199.5" customHeight="1">
      <c r="B118" s="31">
        <v>45588</v>
      </c>
      <c r="C118" s="11" t="s">
        <v>694</v>
      </c>
      <c r="D118" s="2" t="s">
        <v>368</v>
      </c>
      <c r="E118" s="11" t="s">
        <v>369</v>
      </c>
      <c r="F118" s="30" t="s">
        <v>41</v>
      </c>
      <c r="G118" s="30" t="s">
        <v>42</v>
      </c>
      <c r="H118" s="16">
        <v>45717</v>
      </c>
      <c r="I118" s="115"/>
      <c r="J118" s="115"/>
      <c r="K118" s="115"/>
      <c r="L118" s="115"/>
      <c r="M118" s="115"/>
      <c r="N118" s="115"/>
      <c r="O118" s="115"/>
      <c r="P118" s="115"/>
      <c r="Q118" s="16"/>
      <c r="R118" s="16"/>
      <c r="S118" s="16"/>
      <c r="T118" s="7" t="s">
        <v>28</v>
      </c>
      <c r="U118" s="2"/>
      <c r="V118" s="100"/>
      <c r="W118" s="16"/>
      <c r="X118" s="25" t="s">
        <v>852</v>
      </c>
      <c r="Y118" s="100"/>
      <c r="Z118" s="30" t="s">
        <v>32</v>
      </c>
      <c r="AA118" s="170">
        <v>45641</v>
      </c>
      <c r="AB118" s="22">
        <v>28382.65</v>
      </c>
      <c r="AC118" s="21"/>
      <c r="AD118" s="45"/>
      <c r="AE118" s="23"/>
    </row>
    <row r="119" spans="2:34" s="9" customFormat="1" ht="190.5" customHeight="1">
      <c r="B119" s="31">
        <v>45588</v>
      </c>
      <c r="C119" s="11" t="s">
        <v>694</v>
      </c>
      <c r="D119" s="2" t="s">
        <v>368</v>
      </c>
      <c r="E119" s="11" t="s">
        <v>369</v>
      </c>
      <c r="F119" s="30" t="s">
        <v>41</v>
      </c>
      <c r="G119" s="30" t="s">
        <v>42</v>
      </c>
      <c r="H119" s="16">
        <v>45717</v>
      </c>
      <c r="I119" s="115"/>
      <c r="J119" s="115"/>
      <c r="K119" s="115"/>
      <c r="L119" s="115"/>
      <c r="M119" s="115"/>
      <c r="N119" s="115"/>
      <c r="O119" s="115"/>
      <c r="P119" s="115"/>
      <c r="Q119" s="115">
        <v>45678</v>
      </c>
      <c r="R119" s="115"/>
      <c r="S119" s="115" t="s">
        <v>1347</v>
      </c>
      <c r="T119" s="7" t="s">
        <v>28</v>
      </c>
      <c r="U119" s="16" t="s">
        <v>853</v>
      </c>
      <c r="V119" s="16">
        <v>45675</v>
      </c>
      <c r="W119" s="16">
        <v>45729</v>
      </c>
      <c r="X119" s="4" t="s">
        <v>883</v>
      </c>
      <c r="Y119" s="100"/>
      <c r="Z119" s="30" t="s">
        <v>150</v>
      </c>
      <c r="AA119" s="170">
        <v>45721</v>
      </c>
      <c r="AB119" s="22">
        <v>28382.65</v>
      </c>
      <c r="AC119" s="21"/>
      <c r="AD119" s="45"/>
      <c r="AE119" s="23"/>
    </row>
    <row r="120" spans="2:34" s="9" customFormat="1" ht="122.25" customHeight="1">
      <c r="B120" s="31">
        <v>45617</v>
      </c>
      <c r="C120" s="11" t="s">
        <v>694</v>
      </c>
      <c r="D120" s="2" t="s">
        <v>474</v>
      </c>
      <c r="E120" s="11" t="s">
        <v>475</v>
      </c>
      <c r="F120" s="30" t="s">
        <v>38</v>
      </c>
      <c r="G120" s="30" t="s">
        <v>476</v>
      </c>
      <c r="H120" s="16">
        <v>45717</v>
      </c>
      <c r="I120" s="115"/>
      <c r="J120" s="115"/>
      <c r="K120" s="115"/>
      <c r="L120" s="115"/>
      <c r="M120" s="115"/>
      <c r="N120" s="115"/>
      <c r="O120" s="115"/>
      <c r="P120" s="115"/>
      <c r="Q120" s="115">
        <v>45740</v>
      </c>
      <c r="R120" s="115"/>
      <c r="S120" s="115"/>
      <c r="T120" s="7" t="s">
        <v>22</v>
      </c>
      <c r="U120" s="2" t="s">
        <v>872</v>
      </c>
      <c r="V120" s="16">
        <v>45701</v>
      </c>
      <c r="W120" s="16">
        <v>45730</v>
      </c>
      <c r="X120" s="4" t="s">
        <v>855</v>
      </c>
      <c r="Y120" s="100"/>
      <c r="Z120" s="151" t="s">
        <v>1346</v>
      </c>
      <c r="AA120" s="8">
        <v>45705</v>
      </c>
      <c r="AB120" s="22">
        <f>15916.32*2</f>
        <v>31832.639999999999</v>
      </c>
      <c r="AC120" s="10"/>
      <c r="AD120" s="21"/>
      <c r="AE120" s="21"/>
      <c r="AF120" s="21"/>
      <c r="AG120" s="45"/>
      <c r="AH120" s="23"/>
    </row>
    <row r="121" spans="2:34" s="1" customFormat="1" ht="18.75">
      <c r="B121" s="71">
        <v>45579</v>
      </c>
      <c r="C121" s="49" t="s">
        <v>27</v>
      </c>
      <c r="D121" s="55" t="s">
        <v>356</v>
      </c>
      <c r="E121" s="49" t="s">
        <v>357</v>
      </c>
      <c r="F121" s="95" t="s">
        <v>79</v>
      </c>
      <c r="G121" s="95" t="s">
        <v>90</v>
      </c>
      <c r="H121" s="18">
        <v>45641</v>
      </c>
      <c r="I121" s="115"/>
      <c r="J121" s="115"/>
      <c r="K121" s="115"/>
      <c r="L121" s="115"/>
      <c r="M121" s="115"/>
      <c r="N121" s="115"/>
      <c r="O121" s="115"/>
      <c r="P121" s="115"/>
      <c r="Q121" s="6"/>
      <c r="R121" s="6"/>
      <c r="S121" s="6"/>
      <c r="T121" s="50" t="s">
        <v>20</v>
      </c>
      <c r="U121" s="98" t="s">
        <v>649</v>
      </c>
      <c r="V121" s="96">
        <v>45651</v>
      </c>
      <c r="W121" s="97">
        <v>45672</v>
      </c>
      <c r="X121" s="17" t="s">
        <v>1282</v>
      </c>
      <c r="Z121" s="95" t="s">
        <v>103</v>
      </c>
      <c r="AA121" s="72">
        <v>45734</v>
      </c>
      <c r="AB121" s="54"/>
      <c r="AC121" s="177">
        <v>44982.2</v>
      </c>
      <c r="AD121" s="54"/>
      <c r="AE121" s="54"/>
      <c r="AF121" s="73"/>
      <c r="AG121" s="74"/>
      <c r="AH121" s="54">
        <v>44982.2</v>
      </c>
    </row>
    <row r="122" spans="2:34" s="9" customFormat="1" ht="37.5">
      <c r="B122" s="31">
        <v>45460</v>
      </c>
      <c r="C122" s="11" t="s">
        <v>27</v>
      </c>
      <c r="D122" s="2" t="s">
        <v>198</v>
      </c>
      <c r="E122" s="11" t="s">
        <v>199</v>
      </c>
      <c r="F122" s="30" t="s">
        <v>73</v>
      </c>
      <c r="G122" s="30" t="s">
        <v>1367</v>
      </c>
      <c r="H122" s="16">
        <v>45536</v>
      </c>
      <c r="I122" s="115"/>
      <c r="J122" s="115"/>
      <c r="K122" s="115"/>
      <c r="L122" s="16"/>
      <c r="M122" s="16"/>
      <c r="N122" s="16"/>
      <c r="O122" s="16"/>
      <c r="P122" s="16"/>
      <c r="Q122" s="16"/>
      <c r="R122" s="16"/>
      <c r="S122" s="16"/>
      <c r="T122" s="7" t="s">
        <v>22</v>
      </c>
      <c r="U122" s="2"/>
      <c r="V122" s="16"/>
      <c r="W122" s="16"/>
      <c r="X122" s="25" t="s">
        <v>1291</v>
      </c>
      <c r="Z122" s="30" t="s">
        <v>195</v>
      </c>
      <c r="AA122" s="8">
        <v>45807</v>
      </c>
      <c r="AB122" s="10"/>
      <c r="AC122" s="69"/>
      <c r="AD122" s="10"/>
      <c r="AE122" s="21">
        <v>629096</v>
      </c>
      <c r="AF122" s="21"/>
      <c r="AG122" s="45"/>
      <c r="AH122" s="16"/>
    </row>
    <row r="123" spans="2:34" s="9" customFormat="1" ht="18.75">
      <c r="B123" s="31">
        <v>45625</v>
      </c>
      <c r="C123" s="2" t="s">
        <v>1341</v>
      </c>
      <c r="D123" s="2" t="s">
        <v>529</v>
      </c>
      <c r="E123" s="11" t="s">
        <v>530</v>
      </c>
      <c r="F123" s="30" t="s">
        <v>97</v>
      </c>
      <c r="G123" s="30" t="s">
        <v>531</v>
      </c>
      <c r="H123" s="16">
        <v>45677</v>
      </c>
      <c r="I123" s="115"/>
      <c r="J123" s="115"/>
      <c r="K123" s="115"/>
      <c r="L123" s="115"/>
      <c r="M123" s="115"/>
      <c r="N123" s="115"/>
      <c r="O123" s="115"/>
      <c r="P123" s="115"/>
      <c r="Q123" s="115">
        <v>45706</v>
      </c>
      <c r="R123" s="115"/>
      <c r="S123" s="115"/>
      <c r="T123" s="7" t="s">
        <v>25</v>
      </c>
      <c r="U123" s="16" t="s">
        <v>1077</v>
      </c>
      <c r="V123" s="16">
        <v>45708</v>
      </c>
      <c r="W123" s="16">
        <v>45738</v>
      </c>
      <c r="X123" s="24" t="s">
        <v>1332</v>
      </c>
      <c r="Y123" s="100"/>
      <c r="Z123" s="30" t="s">
        <v>55</v>
      </c>
      <c r="AA123" s="8">
        <v>45716</v>
      </c>
      <c r="AB123" s="10"/>
      <c r="AC123" s="22">
        <v>4360</v>
      </c>
      <c r="AD123" s="21"/>
      <c r="AE123" s="21"/>
      <c r="AF123" s="21"/>
      <c r="AG123" s="45"/>
      <c r="AH123" s="23">
        <v>4360</v>
      </c>
    </row>
    <row r="124" spans="2:34" s="9" customFormat="1" ht="122.25" customHeight="1">
      <c r="B124" s="31">
        <v>45579</v>
      </c>
      <c r="C124" s="11" t="s">
        <v>27</v>
      </c>
      <c r="D124" s="2" t="s">
        <v>352</v>
      </c>
      <c r="E124" s="11" t="s">
        <v>353</v>
      </c>
      <c r="F124" s="30" t="s">
        <v>73</v>
      </c>
      <c r="G124" s="30" t="s">
        <v>1292</v>
      </c>
      <c r="H124" s="16">
        <v>45689</v>
      </c>
      <c r="I124" s="115"/>
      <c r="J124" s="115"/>
      <c r="K124" s="115"/>
      <c r="L124" s="115"/>
      <c r="M124" s="115"/>
      <c r="N124" s="115"/>
      <c r="O124" s="115"/>
      <c r="P124" s="115"/>
      <c r="Q124" s="6"/>
      <c r="R124" s="6"/>
      <c r="S124" s="6"/>
      <c r="T124" s="7" t="s">
        <v>22</v>
      </c>
      <c r="U124" s="16" t="s">
        <v>654</v>
      </c>
      <c r="V124" s="92">
        <v>46020</v>
      </c>
      <c r="W124" s="93">
        <v>45669</v>
      </c>
      <c r="X124" s="25" t="s">
        <v>1059</v>
      </c>
      <c r="Z124" s="30" t="s">
        <v>33</v>
      </c>
      <c r="AA124" s="8">
        <v>45715</v>
      </c>
      <c r="AB124" s="10"/>
      <c r="AC124" s="10"/>
      <c r="AD124" s="10"/>
      <c r="AE124" s="22">
        <v>242484.65</v>
      </c>
      <c r="AF124" s="21"/>
      <c r="AG124" s="45"/>
      <c r="AH124" s="10">
        <v>242484.65</v>
      </c>
    </row>
    <row r="125" spans="2:34" s="9" customFormat="1" ht="122.25" customHeight="1">
      <c r="B125" s="31">
        <v>45625</v>
      </c>
      <c r="C125" s="2" t="s">
        <v>1340</v>
      </c>
      <c r="D125" s="2" t="s">
        <v>519</v>
      </c>
      <c r="E125" s="11" t="s">
        <v>520</v>
      </c>
      <c r="F125" s="30" t="s">
        <v>521</v>
      </c>
      <c r="G125" s="30" t="s">
        <v>1043</v>
      </c>
      <c r="H125" s="16">
        <v>45713</v>
      </c>
      <c r="I125" s="115"/>
      <c r="J125" s="115"/>
      <c r="K125" s="115"/>
      <c r="L125" s="115"/>
      <c r="M125" s="115"/>
      <c r="N125" s="115"/>
      <c r="O125" s="115"/>
      <c r="P125" s="115"/>
      <c r="Q125" s="115">
        <v>45705</v>
      </c>
      <c r="R125" s="115"/>
      <c r="S125" s="16"/>
      <c r="T125" s="7" t="s">
        <v>22</v>
      </c>
      <c r="U125" s="16" t="s">
        <v>574</v>
      </c>
      <c r="V125" s="16">
        <v>45692</v>
      </c>
      <c r="W125" s="16">
        <v>45720</v>
      </c>
      <c r="X125" s="24" t="s">
        <v>1276</v>
      </c>
      <c r="Y125" s="100"/>
      <c r="Z125" s="30" t="s">
        <v>575</v>
      </c>
      <c r="AA125" s="8">
        <v>45720</v>
      </c>
      <c r="AB125" s="10"/>
      <c r="AC125" s="22">
        <v>31050</v>
      </c>
      <c r="AD125" s="21"/>
      <c r="AE125" s="21"/>
      <c r="AF125" s="21"/>
      <c r="AG125" s="45"/>
      <c r="AH125" s="23">
        <v>31050</v>
      </c>
    </row>
    <row r="126" spans="2:34" s="9" customFormat="1" ht="122.25" customHeight="1">
      <c r="B126" s="31">
        <v>45692</v>
      </c>
      <c r="C126" s="2" t="s">
        <v>1340</v>
      </c>
      <c r="D126" s="2" t="s">
        <v>906</v>
      </c>
      <c r="E126" s="11" t="s">
        <v>907</v>
      </c>
      <c r="F126" s="30" t="s">
        <v>98</v>
      </c>
      <c r="G126" s="30" t="s">
        <v>908</v>
      </c>
      <c r="H126" s="16">
        <v>45707</v>
      </c>
      <c r="I126" s="115"/>
      <c r="J126" s="115"/>
      <c r="K126" s="115"/>
      <c r="L126" s="115"/>
      <c r="M126" s="115"/>
      <c r="N126" s="115"/>
      <c r="O126" s="115"/>
      <c r="P126" s="115"/>
      <c r="Q126" s="115">
        <v>45706</v>
      </c>
      <c r="R126" s="115"/>
      <c r="S126" s="115"/>
      <c r="T126" s="7" t="s">
        <v>22</v>
      </c>
      <c r="U126" s="2" t="s">
        <v>909</v>
      </c>
      <c r="V126" s="16">
        <v>45714</v>
      </c>
      <c r="W126" s="16">
        <v>45722</v>
      </c>
      <c r="X126" s="24" t="s">
        <v>1339</v>
      </c>
      <c r="Y126" s="100"/>
      <c r="Z126" s="30" t="s">
        <v>54</v>
      </c>
      <c r="AA126" s="8">
        <v>45739</v>
      </c>
      <c r="AB126" s="22">
        <v>61824</v>
      </c>
      <c r="AC126" s="10"/>
      <c r="AD126" s="21"/>
      <c r="AE126" s="21"/>
      <c r="AF126" s="21"/>
      <c r="AG126" s="45"/>
      <c r="AH126" s="10">
        <v>61824</v>
      </c>
    </row>
    <row r="127" spans="2:34" s="9" customFormat="1" ht="122.25" customHeight="1">
      <c r="B127" s="31">
        <v>45692</v>
      </c>
      <c r="C127" s="2" t="s">
        <v>1340</v>
      </c>
      <c r="D127" s="2" t="s">
        <v>913</v>
      </c>
      <c r="E127" s="11" t="s">
        <v>914</v>
      </c>
      <c r="F127" s="30" t="s">
        <v>95</v>
      </c>
      <c r="G127" s="30" t="s">
        <v>915</v>
      </c>
      <c r="H127" s="16">
        <v>45712</v>
      </c>
      <c r="I127" s="115"/>
      <c r="J127" s="115"/>
      <c r="K127" s="115"/>
      <c r="L127" s="115"/>
      <c r="M127" s="115"/>
      <c r="N127" s="115"/>
      <c r="O127" s="115"/>
      <c r="P127" s="115"/>
      <c r="Q127" s="115">
        <v>45706</v>
      </c>
      <c r="R127" s="115"/>
      <c r="S127" s="115"/>
      <c r="T127" s="7" t="s">
        <v>22</v>
      </c>
      <c r="U127" s="2" t="s">
        <v>916</v>
      </c>
      <c r="V127" s="16">
        <v>45682</v>
      </c>
      <c r="W127" s="16">
        <v>45731</v>
      </c>
      <c r="X127" s="24" t="s">
        <v>1339</v>
      </c>
      <c r="Y127" s="100"/>
      <c r="Z127" s="30" t="s">
        <v>54</v>
      </c>
      <c r="AA127" s="8">
        <v>45742</v>
      </c>
      <c r="AB127" s="23"/>
      <c r="AC127" s="22">
        <v>56659.32</v>
      </c>
      <c r="AD127" s="21"/>
      <c r="AE127" s="21"/>
      <c r="AF127" s="21"/>
      <c r="AG127" s="45"/>
      <c r="AH127" s="10">
        <v>56659.32</v>
      </c>
    </row>
    <row r="128" spans="2:34" s="9" customFormat="1" ht="37.5">
      <c r="B128" s="31">
        <v>45506</v>
      </c>
      <c r="C128" s="2" t="s">
        <v>767</v>
      </c>
      <c r="D128" s="2" t="s">
        <v>239</v>
      </c>
      <c r="E128" s="11" t="s">
        <v>240</v>
      </c>
      <c r="F128" s="30" t="s">
        <v>154</v>
      </c>
      <c r="G128" s="30" t="s">
        <v>802</v>
      </c>
      <c r="H128" s="16" t="s">
        <v>862</v>
      </c>
      <c r="I128" s="115"/>
      <c r="J128" s="115"/>
      <c r="K128" s="115"/>
      <c r="L128" s="115"/>
      <c r="M128" s="115"/>
      <c r="N128" s="115"/>
      <c r="O128" s="115"/>
      <c r="P128" s="115"/>
      <c r="Q128" s="115" t="s">
        <v>1275</v>
      </c>
      <c r="R128" s="115"/>
      <c r="S128" s="28"/>
      <c r="T128" s="153" t="s">
        <v>25</v>
      </c>
      <c r="U128" s="2" t="s">
        <v>1225</v>
      </c>
      <c r="V128" s="16">
        <v>45686</v>
      </c>
      <c r="W128" s="16">
        <v>45725</v>
      </c>
      <c r="X128" s="24" t="s">
        <v>1416</v>
      </c>
      <c r="Y128" s="100"/>
      <c r="Z128" s="30" t="s">
        <v>113</v>
      </c>
      <c r="AA128" s="8">
        <v>45720</v>
      </c>
      <c r="AB128" s="10"/>
      <c r="AC128" s="22">
        <v>4200</v>
      </c>
      <c r="AD128" s="21"/>
      <c r="AE128" s="21"/>
      <c r="AF128" s="21"/>
      <c r="AG128" s="45"/>
      <c r="AH128" s="118">
        <v>4200</v>
      </c>
    </row>
    <row r="129" spans="2:34" s="50" customFormat="1" ht="18.75">
      <c r="B129" s="48">
        <v>45036</v>
      </c>
      <c r="C129" s="49" t="s">
        <v>40</v>
      </c>
      <c r="D129" s="49" t="s">
        <v>100</v>
      </c>
      <c r="E129" s="49" t="s">
        <v>101</v>
      </c>
      <c r="F129" s="60" t="s">
        <v>74</v>
      </c>
      <c r="G129" s="184" t="s">
        <v>146</v>
      </c>
      <c r="H129" s="18">
        <v>45337</v>
      </c>
      <c r="I129" s="117"/>
      <c r="J129" s="117"/>
      <c r="K129" s="117"/>
      <c r="L129" s="18"/>
      <c r="M129" s="18"/>
      <c r="N129" s="18"/>
      <c r="O129" s="18"/>
      <c r="P129" s="18"/>
      <c r="Q129" s="18"/>
      <c r="R129" s="18"/>
      <c r="S129" s="18"/>
      <c r="T129" s="50" t="s">
        <v>22</v>
      </c>
      <c r="U129" s="127"/>
      <c r="V129" s="18"/>
      <c r="W129" s="18"/>
      <c r="X129" t="s">
        <v>1328</v>
      </c>
      <c r="Z129" s="1" t="s">
        <v>54</v>
      </c>
      <c r="AA129" s="51">
        <v>45807</v>
      </c>
      <c r="AB129" s="54"/>
      <c r="AC129" s="53"/>
      <c r="AD129" s="54"/>
      <c r="AE129" s="54">
        <v>1018285.58</v>
      </c>
      <c r="AF129" s="54"/>
      <c r="AG129" s="52"/>
      <c r="AH129" s="18"/>
    </row>
    <row r="130" spans="2:34" s="9" customFormat="1" ht="37.5">
      <c r="B130" s="31">
        <v>45513</v>
      </c>
      <c r="C130" s="2" t="s">
        <v>694</v>
      </c>
      <c r="D130" s="2" t="s">
        <v>244</v>
      </c>
      <c r="E130" s="11" t="s">
        <v>245</v>
      </c>
      <c r="F130" s="30" t="s">
        <v>173</v>
      </c>
      <c r="G130" s="66" t="s">
        <v>294</v>
      </c>
      <c r="H130" s="16">
        <v>45573</v>
      </c>
      <c r="I130" s="115"/>
      <c r="J130" s="115"/>
      <c r="K130" s="115"/>
      <c r="L130" s="115"/>
      <c r="M130" s="115"/>
      <c r="N130" s="115"/>
      <c r="O130" s="115"/>
      <c r="P130" s="115"/>
      <c r="Q130" s="115" t="s">
        <v>864</v>
      </c>
      <c r="R130" s="160"/>
      <c r="S130" s="160"/>
      <c r="T130" s="154" t="s">
        <v>22</v>
      </c>
      <c r="U130" s="89" t="s">
        <v>1174</v>
      </c>
      <c r="V130" s="84" t="s">
        <v>1175</v>
      </c>
      <c r="W130" s="84" t="s">
        <v>1118</v>
      </c>
      <c r="X130" s="4" t="s">
        <v>1350</v>
      </c>
      <c r="Y130" s="100"/>
      <c r="Z130" s="30" t="s">
        <v>29</v>
      </c>
      <c r="AA130" s="8">
        <v>45748</v>
      </c>
      <c r="AB130" s="22">
        <v>144122.79999999999</v>
      </c>
      <c r="AC130" s="10"/>
      <c r="AD130" s="21"/>
      <c r="AE130" s="21"/>
      <c r="AF130" s="21"/>
      <c r="AG130" s="45"/>
      <c r="AH130" s="16"/>
    </row>
    <row r="131" spans="2:34" s="9" customFormat="1" ht="159" customHeight="1">
      <c r="B131" s="31">
        <v>45625</v>
      </c>
      <c r="C131" s="11" t="s">
        <v>694</v>
      </c>
      <c r="D131" s="2" t="s">
        <v>523</v>
      </c>
      <c r="E131" s="11" t="s">
        <v>524</v>
      </c>
      <c r="F131" s="30" t="s">
        <v>87</v>
      </c>
      <c r="G131" s="30" t="s">
        <v>1031</v>
      </c>
      <c r="H131" s="16">
        <v>45717</v>
      </c>
      <c r="I131" s="115"/>
      <c r="J131" s="115"/>
      <c r="K131" s="115"/>
      <c r="L131" s="115"/>
      <c r="M131" s="115"/>
      <c r="N131" s="115"/>
      <c r="O131" s="115"/>
      <c r="P131" s="115"/>
      <c r="Q131" s="115">
        <v>45723</v>
      </c>
      <c r="R131" s="115"/>
      <c r="S131" s="115"/>
      <c r="T131" s="7" t="s">
        <v>20</v>
      </c>
      <c r="U131" s="16" t="s">
        <v>669</v>
      </c>
      <c r="V131" s="16">
        <v>45672</v>
      </c>
      <c r="W131" s="145">
        <v>45731</v>
      </c>
      <c r="X131" s="4" t="s">
        <v>1301</v>
      </c>
      <c r="Y131" s="100"/>
      <c r="Z131" s="30" t="s">
        <v>33</v>
      </c>
      <c r="AA131" s="8">
        <v>45777</v>
      </c>
      <c r="AB131" s="10"/>
      <c r="AC131" s="22">
        <v>40059.360000000001</v>
      </c>
      <c r="AD131" s="21"/>
      <c r="AE131" s="21"/>
      <c r="AF131" s="21"/>
      <c r="AG131" s="45"/>
      <c r="AH131" s="23">
        <v>40226.92</v>
      </c>
    </row>
    <row r="132" spans="2:34" s="9" customFormat="1" ht="270" customHeight="1">
      <c r="B132" s="31">
        <v>45622</v>
      </c>
      <c r="C132" s="2" t="s">
        <v>694</v>
      </c>
      <c r="D132" s="2" t="s">
        <v>500</v>
      </c>
      <c r="E132" s="11" t="s">
        <v>501</v>
      </c>
      <c r="F132" s="30" t="s">
        <v>105</v>
      </c>
      <c r="G132" s="30" t="s">
        <v>1302</v>
      </c>
      <c r="H132" s="16">
        <v>45352</v>
      </c>
      <c r="I132" s="115"/>
      <c r="J132" s="115"/>
      <c r="K132" s="115"/>
      <c r="L132" s="115"/>
      <c r="M132" s="115"/>
      <c r="N132" s="115"/>
      <c r="O132" s="115"/>
      <c r="P132" s="115"/>
      <c r="Q132" s="115" t="s">
        <v>863</v>
      </c>
      <c r="R132" s="115"/>
      <c r="S132" s="115"/>
      <c r="T132" s="7" t="s">
        <v>22</v>
      </c>
      <c r="U132" s="16" t="s">
        <v>600</v>
      </c>
      <c r="V132" s="16" t="s">
        <v>1177</v>
      </c>
      <c r="W132" s="16" t="s">
        <v>1178</v>
      </c>
      <c r="X132" s="24" t="s">
        <v>1179</v>
      </c>
      <c r="Y132" s="100"/>
      <c r="Z132" s="30" t="s">
        <v>29</v>
      </c>
      <c r="AA132" s="8">
        <v>45752</v>
      </c>
      <c r="AB132" s="22">
        <v>145304.39000000001</v>
      </c>
      <c r="AC132" s="10"/>
      <c r="AD132" s="21"/>
      <c r="AE132" s="21"/>
      <c r="AF132" s="21"/>
      <c r="AG132" s="45"/>
      <c r="AH132" s="23"/>
    </row>
    <row r="133" spans="2:34" s="9" customFormat="1" ht="122.25" customHeight="1">
      <c r="B133" s="31">
        <v>45645</v>
      </c>
      <c r="C133" s="2" t="s">
        <v>694</v>
      </c>
      <c r="D133" s="2" t="s">
        <v>619</v>
      </c>
      <c r="E133" s="11" t="s">
        <v>620</v>
      </c>
      <c r="F133" s="30" t="s">
        <v>105</v>
      </c>
      <c r="G133" s="30" t="s">
        <v>1303</v>
      </c>
      <c r="H133" s="16">
        <v>45703</v>
      </c>
      <c r="I133" s="115"/>
      <c r="J133" s="115"/>
      <c r="K133" s="115"/>
      <c r="L133" s="115"/>
      <c r="M133" s="115"/>
      <c r="N133" s="115"/>
      <c r="O133" s="115"/>
      <c r="P133" s="115"/>
      <c r="Q133" s="115" t="s">
        <v>1180</v>
      </c>
      <c r="R133" s="115"/>
      <c r="S133" s="115"/>
      <c r="T133" s="7" t="s">
        <v>22</v>
      </c>
      <c r="U133" s="2" t="s">
        <v>1181</v>
      </c>
      <c r="V133" s="2" t="s">
        <v>1177</v>
      </c>
      <c r="W133" s="2" t="s">
        <v>1182</v>
      </c>
      <c r="X133" s="24" t="s">
        <v>1183</v>
      </c>
      <c r="Y133" s="100"/>
      <c r="Z133" s="30" t="s">
        <v>29</v>
      </c>
      <c r="AA133" s="8">
        <v>45752</v>
      </c>
      <c r="AB133" s="105">
        <v>99244.74</v>
      </c>
      <c r="AC133" s="10"/>
      <c r="AD133" s="21"/>
      <c r="AE133" s="21"/>
      <c r="AF133" s="21"/>
      <c r="AG133" s="45"/>
      <c r="AH133" s="23"/>
    </row>
    <row r="134" spans="2:34" s="9" customFormat="1" ht="122.25" customHeight="1">
      <c r="B134" s="31">
        <v>45638</v>
      </c>
      <c r="C134" s="11" t="s">
        <v>694</v>
      </c>
      <c r="D134" s="2" t="s">
        <v>559</v>
      </c>
      <c r="E134" s="11" t="s">
        <v>560</v>
      </c>
      <c r="F134" s="30" t="s">
        <v>311</v>
      </c>
      <c r="G134" s="30" t="s">
        <v>561</v>
      </c>
      <c r="H134" s="16">
        <v>45748</v>
      </c>
      <c r="I134" s="115"/>
      <c r="J134" s="115"/>
      <c r="K134" s="115"/>
      <c r="L134" s="115"/>
      <c r="M134" s="115"/>
      <c r="N134" s="115"/>
      <c r="O134" s="115"/>
      <c r="P134" s="115"/>
      <c r="Q134" s="115">
        <v>45723</v>
      </c>
      <c r="R134" s="115"/>
      <c r="S134" s="115"/>
      <c r="T134" s="7" t="s">
        <v>22</v>
      </c>
      <c r="U134" s="16" t="s">
        <v>1103</v>
      </c>
      <c r="V134" s="16">
        <v>45726</v>
      </c>
      <c r="W134" s="16">
        <v>45740</v>
      </c>
      <c r="X134" s="4" t="s">
        <v>1033</v>
      </c>
      <c r="Y134" s="100"/>
      <c r="Z134" s="30" t="s">
        <v>46</v>
      </c>
      <c r="AA134" s="8">
        <v>45762</v>
      </c>
      <c r="AB134" s="105">
        <v>9108</v>
      </c>
      <c r="AC134" s="10"/>
      <c r="AD134" s="21"/>
      <c r="AE134" s="21"/>
      <c r="AF134" s="21"/>
      <c r="AG134" s="45"/>
      <c r="AH134" s="23">
        <v>9108</v>
      </c>
    </row>
    <row r="135" spans="2:34" s="9" customFormat="1" ht="122.25" customHeight="1">
      <c r="B135" s="31">
        <v>45642</v>
      </c>
      <c r="C135" s="11" t="s">
        <v>694</v>
      </c>
      <c r="D135" s="2" t="s">
        <v>584</v>
      </c>
      <c r="E135" s="11" t="s">
        <v>585</v>
      </c>
      <c r="F135" s="30" t="s">
        <v>96</v>
      </c>
      <c r="G135" s="30" t="s">
        <v>165</v>
      </c>
      <c r="H135" s="16">
        <v>45748</v>
      </c>
      <c r="I135" s="115"/>
      <c r="J135" s="115"/>
      <c r="K135" s="115"/>
      <c r="L135" s="115"/>
      <c r="M135" s="115"/>
      <c r="N135" s="115"/>
      <c r="O135" s="115"/>
      <c r="P135" s="115"/>
      <c r="Q135" s="115">
        <v>45730</v>
      </c>
      <c r="R135" s="115"/>
      <c r="S135" s="115"/>
      <c r="T135" s="7" t="s">
        <v>22</v>
      </c>
      <c r="U135" s="2" t="s">
        <v>693</v>
      </c>
      <c r="V135" s="16">
        <v>45689</v>
      </c>
      <c r="W135" s="16">
        <v>45730</v>
      </c>
      <c r="X135" s="4"/>
      <c r="Y135" s="100"/>
      <c r="Z135" s="30" t="s">
        <v>23</v>
      </c>
      <c r="AA135" s="8">
        <v>45716</v>
      </c>
      <c r="AB135" s="22">
        <f>15900+402.8+1439.9</f>
        <v>17742.7</v>
      </c>
      <c r="AC135" s="10"/>
      <c r="AD135" s="21"/>
      <c r="AE135" s="21"/>
      <c r="AF135" s="21"/>
      <c r="AG135" s="45"/>
      <c r="AH135" s="23">
        <f>15900+402.8+1439.9</f>
        <v>17742.7</v>
      </c>
    </row>
    <row r="136" spans="2:34" s="9" customFormat="1" ht="137.25" customHeight="1">
      <c r="B136" s="31">
        <v>45589</v>
      </c>
      <c r="C136" s="11" t="s">
        <v>27</v>
      </c>
      <c r="D136" s="2" t="s">
        <v>443</v>
      </c>
      <c r="E136" s="11" t="s">
        <v>444</v>
      </c>
      <c r="F136" s="30" t="s">
        <v>142</v>
      </c>
      <c r="G136" s="30" t="s">
        <v>94</v>
      </c>
      <c r="H136" s="16">
        <v>45672</v>
      </c>
      <c r="I136" s="115"/>
      <c r="J136" s="115"/>
      <c r="K136" s="115"/>
      <c r="L136" s="115"/>
      <c r="M136" s="115"/>
      <c r="N136" s="115"/>
      <c r="O136" s="115"/>
      <c r="P136" s="115"/>
      <c r="Q136" s="6" t="s">
        <v>851</v>
      </c>
      <c r="R136" s="115" t="s">
        <v>1398</v>
      </c>
      <c r="S136" s="6"/>
      <c r="T136" s="7" t="s">
        <v>20</v>
      </c>
      <c r="U136" s="16" t="s">
        <v>700</v>
      </c>
      <c r="V136" s="16">
        <v>45678</v>
      </c>
      <c r="W136" s="16">
        <v>45731</v>
      </c>
      <c r="X136" s="24"/>
      <c r="Y136" s="100"/>
      <c r="Z136" s="30" t="s">
        <v>445</v>
      </c>
      <c r="AA136" s="8">
        <v>45704</v>
      </c>
      <c r="AB136" s="10"/>
      <c r="AC136" s="22">
        <v>8218.2000000000007</v>
      </c>
      <c r="AD136" s="21"/>
      <c r="AE136" s="21"/>
      <c r="AF136" s="21"/>
      <c r="AG136" s="45"/>
      <c r="AH136" s="23">
        <v>8218.2000000000007</v>
      </c>
    </row>
    <row r="137" spans="2:34" s="9" customFormat="1" ht="147.75" customHeight="1">
      <c r="B137" s="31">
        <v>45589</v>
      </c>
      <c r="C137" s="11" t="s">
        <v>27</v>
      </c>
      <c r="D137" s="2" t="s">
        <v>374</v>
      </c>
      <c r="E137" s="11" t="s">
        <v>375</v>
      </c>
      <c r="F137" s="30" t="s">
        <v>147</v>
      </c>
      <c r="G137" s="30" t="s">
        <v>94</v>
      </c>
      <c r="H137" s="16">
        <v>45672</v>
      </c>
      <c r="I137" s="115"/>
      <c r="J137" s="115"/>
      <c r="K137" s="115"/>
      <c r="L137" s="115"/>
      <c r="M137" s="115"/>
      <c r="N137" s="115"/>
      <c r="O137" s="115"/>
      <c r="P137" s="115"/>
      <c r="Q137" s="6"/>
      <c r="R137" s="115" t="s">
        <v>1377</v>
      </c>
      <c r="S137" s="6"/>
      <c r="T137" s="7" t="s">
        <v>20</v>
      </c>
      <c r="U137" s="16" t="s">
        <v>700</v>
      </c>
      <c r="V137" s="16">
        <v>45678</v>
      </c>
      <c r="W137" s="16">
        <v>45731</v>
      </c>
      <c r="X137" s="24" t="s">
        <v>1431</v>
      </c>
      <c r="Y137" s="100"/>
      <c r="Z137" s="30" t="s">
        <v>445</v>
      </c>
      <c r="AA137" s="68">
        <v>45709</v>
      </c>
      <c r="AB137" s="23"/>
      <c r="AC137" s="22">
        <v>4605</v>
      </c>
      <c r="AD137" s="21"/>
      <c r="AE137" s="21"/>
      <c r="AF137" s="21"/>
      <c r="AG137" s="45"/>
      <c r="AH137" s="23">
        <v>4605</v>
      </c>
    </row>
    <row r="138" spans="2:34" s="9" customFormat="1" ht="122.25" customHeight="1">
      <c r="B138" s="31">
        <v>45589</v>
      </c>
      <c r="C138" s="11" t="s">
        <v>27</v>
      </c>
      <c r="D138" s="2" t="s">
        <v>376</v>
      </c>
      <c r="E138" s="11" t="s">
        <v>377</v>
      </c>
      <c r="F138" s="30" t="s">
        <v>141</v>
      </c>
      <c r="G138" s="30" t="s">
        <v>94</v>
      </c>
      <c r="H138" s="16">
        <v>45672</v>
      </c>
      <c r="I138" s="115"/>
      <c r="J138" s="115"/>
      <c r="K138" s="115"/>
      <c r="L138" s="115"/>
      <c r="M138" s="115"/>
      <c r="N138" s="115"/>
      <c r="O138" s="115"/>
      <c r="P138" s="115"/>
      <c r="Q138" s="6"/>
      <c r="R138" s="115" t="s">
        <v>1377</v>
      </c>
      <c r="S138" s="6"/>
      <c r="T138" s="7" t="s">
        <v>20</v>
      </c>
      <c r="U138" s="16" t="s">
        <v>700</v>
      </c>
      <c r="V138" s="16">
        <v>45678</v>
      </c>
      <c r="W138" s="16">
        <v>45731</v>
      </c>
      <c r="X138" s="24" t="s">
        <v>1431</v>
      </c>
      <c r="Y138" s="100"/>
      <c r="Z138" s="176" t="s">
        <v>1348</v>
      </c>
      <c r="AA138" s="68">
        <v>45687</v>
      </c>
      <c r="AB138" s="23"/>
      <c r="AC138" s="22">
        <f>1987.5*2</f>
        <v>3975</v>
      </c>
      <c r="AD138" s="21"/>
      <c r="AE138" s="21"/>
      <c r="AF138" s="21"/>
      <c r="AG138" s="45"/>
      <c r="AH138" s="23">
        <v>187.5</v>
      </c>
    </row>
    <row r="139" spans="2:34" s="9" customFormat="1" ht="37.5">
      <c r="B139" s="31">
        <v>45593</v>
      </c>
      <c r="C139" s="11" t="s">
        <v>27</v>
      </c>
      <c r="D139" s="2" t="s">
        <v>385</v>
      </c>
      <c r="E139" s="11" t="s">
        <v>386</v>
      </c>
      <c r="F139" s="30" t="s">
        <v>143</v>
      </c>
      <c r="G139" s="30" t="s">
        <v>94</v>
      </c>
      <c r="H139" s="16">
        <v>45306</v>
      </c>
      <c r="I139" s="115"/>
      <c r="J139" s="115"/>
      <c r="K139" s="115"/>
      <c r="L139" s="115"/>
      <c r="M139" s="115">
        <v>45672</v>
      </c>
      <c r="N139" s="115"/>
      <c r="O139" s="115"/>
      <c r="P139" s="115"/>
      <c r="Q139" s="6"/>
      <c r="R139" s="115" t="s">
        <v>1377</v>
      </c>
      <c r="S139" s="6"/>
      <c r="T139" s="7" t="s">
        <v>20</v>
      </c>
      <c r="U139" s="16" t="s">
        <v>700</v>
      </c>
      <c r="V139" s="16">
        <v>45737</v>
      </c>
      <c r="W139" s="16">
        <v>45731</v>
      </c>
      <c r="X139" s="24" t="s">
        <v>1431</v>
      </c>
      <c r="Y139" s="100"/>
      <c r="Z139" s="30" t="s">
        <v>449</v>
      </c>
      <c r="AA139" s="8">
        <v>45746</v>
      </c>
      <c r="AB139" s="10"/>
      <c r="AC139" s="135">
        <v>4377.6000000000004</v>
      </c>
      <c r="AD139" s="21"/>
      <c r="AE139" s="21"/>
      <c r="AF139" s="21"/>
      <c r="AG139" s="45"/>
      <c r="AH139" s="23"/>
    </row>
    <row r="140" spans="2:34" s="9" customFormat="1" ht="37.5">
      <c r="B140" s="31">
        <v>45601</v>
      </c>
      <c r="C140" s="11" t="s">
        <v>27</v>
      </c>
      <c r="D140" s="2" t="s">
        <v>425</v>
      </c>
      <c r="E140" s="11" t="s">
        <v>426</v>
      </c>
      <c r="F140" s="30" t="s">
        <v>144</v>
      </c>
      <c r="G140" s="30" t="s">
        <v>94</v>
      </c>
      <c r="H140" s="16">
        <v>45672</v>
      </c>
      <c r="I140" s="115"/>
      <c r="J140" s="115"/>
      <c r="K140" s="115"/>
      <c r="L140" s="115"/>
      <c r="M140" s="115"/>
      <c r="N140" s="115"/>
      <c r="O140" s="16"/>
      <c r="P140" s="16"/>
      <c r="Q140" s="6"/>
      <c r="R140" s="115" t="s">
        <v>1377</v>
      </c>
      <c r="S140" s="6"/>
      <c r="T140" s="7" t="s">
        <v>20</v>
      </c>
      <c r="U140" s="16" t="s">
        <v>700</v>
      </c>
      <c r="V140" s="16">
        <v>45678</v>
      </c>
      <c r="W140" s="16">
        <v>45731</v>
      </c>
      <c r="X140" s="24" t="s">
        <v>1431</v>
      </c>
      <c r="Y140" s="100"/>
      <c r="Z140" s="30" t="s">
        <v>450</v>
      </c>
      <c r="AA140" s="8">
        <v>45700</v>
      </c>
      <c r="AB140" s="23"/>
      <c r="AC140" s="22">
        <v>1674.2</v>
      </c>
      <c r="AD140" s="21"/>
      <c r="AE140" s="21"/>
      <c r="AF140" s="21"/>
      <c r="AG140" s="45"/>
      <c r="AH140" s="23">
        <v>1674.2</v>
      </c>
    </row>
    <row r="141" spans="2:34" s="9" customFormat="1" ht="122.25" customHeight="1">
      <c r="B141" s="31">
        <v>45601</v>
      </c>
      <c r="C141" s="11" t="s">
        <v>27</v>
      </c>
      <c r="D141" s="2" t="s">
        <v>427</v>
      </c>
      <c r="E141" s="11" t="s">
        <v>429</v>
      </c>
      <c r="F141" s="30" t="s">
        <v>428</v>
      </c>
      <c r="G141" s="30" t="s">
        <v>94</v>
      </c>
      <c r="H141" s="16">
        <v>45672</v>
      </c>
      <c r="I141" s="115"/>
      <c r="J141" s="115"/>
      <c r="K141" s="115"/>
      <c r="L141" s="115"/>
      <c r="M141" s="115"/>
      <c r="N141" s="115"/>
      <c r="O141" s="115"/>
      <c r="P141" s="115"/>
      <c r="Q141" s="6"/>
      <c r="R141" s="115" t="s">
        <v>1377</v>
      </c>
      <c r="S141" s="6"/>
      <c r="T141" s="7" t="s">
        <v>20</v>
      </c>
      <c r="U141" s="16" t="s">
        <v>702</v>
      </c>
      <c r="V141" s="16">
        <v>45678</v>
      </c>
      <c r="W141" s="16" t="s">
        <v>1283</v>
      </c>
      <c r="X141" s="24" t="s">
        <v>1431</v>
      </c>
      <c r="Y141" s="100"/>
      <c r="Z141" s="30" t="s">
        <v>450</v>
      </c>
      <c r="AA141" s="8">
        <v>45713</v>
      </c>
      <c r="AB141" s="23"/>
      <c r="AC141" s="22">
        <v>2940</v>
      </c>
      <c r="AD141" s="21"/>
      <c r="AE141" s="21"/>
      <c r="AF141" s="21"/>
      <c r="AG141" s="45"/>
      <c r="AH141" s="23">
        <v>2940</v>
      </c>
    </row>
    <row r="142" spans="2:34" s="9" customFormat="1" ht="122.25" customHeight="1">
      <c r="B142" s="31">
        <v>45607</v>
      </c>
      <c r="C142" s="11" t="s">
        <v>27</v>
      </c>
      <c r="D142" s="2" t="s">
        <v>433</v>
      </c>
      <c r="E142" s="11" t="s">
        <v>434</v>
      </c>
      <c r="F142" s="30" t="s">
        <v>435</v>
      </c>
      <c r="G142" s="30" t="s">
        <v>94</v>
      </c>
      <c r="H142" s="16">
        <v>45306</v>
      </c>
      <c r="I142" s="115"/>
      <c r="J142" s="115"/>
      <c r="K142" s="115"/>
      <c r="L142" s="115"/>
      <c r="M142" s="115"/>
      <c r="N142" s="115"/>
      <c r="O142" s="115"/>
      <c r="P142" s="115"/>
      <c r="Q142" s="6"/>
      <c r="R142" s="115" t="s">
        <v>1377</v>
      </c>
      <c r="S142" s="6"/>
      <c r="T142" s="7" t="s">
        <v>20</v>
      </c>
      <c r="U142" s="16" t="s">
        <v>700</v>
      </c>
      <c r="V142" s="16">
        <v>45678</v>
      </c>
      <c r="W142" s="16">
        <v>45731</v>
      </c>
      <c r="X142" s="24" t="s">
        <v>1431</v>
      </c>
      <c r="Y142" s="100"/>
      <c r="Z142" s="30" t="s">
        <v>432</v>
      </c>
      <c r="AA142" s="8">
        <v>45618</v>
      </c>
      <c r="AB142" s="10"/>
      <c r="AC142" s="22">
        <v>29419.8</v>
      </c>
      <c r="AD142" s="21"/>
      <c r="AE142" s="21"/>
      <c r="AF142" s="21"/>
      <c r="AG142" s="45"/>
      <c r="AH142" s="23"/>
    </row>
    <row r="143" spans="2:34" s="9" customFormat="1" ht="122.25" customHeight="1">
      <c r="B143" s="31">
        <v>45607</v>
      </c>
      <c r="C143" s="11" t="s">
        <v>27</v>
      </c>
      <c r="D143" s="2" t="s">
        <v>436</v>
      </c>
      <c r="E143" s="11" t="s">
        <v>437</v>
      </c>
      <c r="F143" s="30" t="s">
        <v>438</v>
      </c>
      <c r="G143" s="30" t="s">
        <v>94</v>
      </c>
      <c r="H143" s="16">
        <v>45306</v>
      </c>
      <c r="I143" s="115"/>
      <c r="J143" s="115"/>
      <c r="K143" s="115"/>
      <c r="L143" s="115"/>
      <c r="M143" s="115"/>
      <c r="N143" s="115"/>
      <c r="O143" s="115"/>
      <c r="P143" s="115"/>
      <c r="Q143" s="6"/>
      <c r="R143" s="115" t="s">
        <v>1377</v>
      </c>
      <c r="S143" s="6"/>
      <c r="T143" s="7" t="s">
        <v>20</v>
      </c>
      <c r="U143" s="16" t="s">
        <v>701</v>
      </c>
      <c r="V143" s="16">
        <v>45678</v>
      </c>
      <c r="W143" s="16">
        <v>45731</v>
      </c>
      <c r="X143" s="24" t="s">
        <v>1431</v>
      </c>
      <c r="Y143" s="100"/>
      <c r="Z143" s="30" t="s">
        <v>432</v>
      </c>
      <c r="AA143" s="8">
        <v>45618</v>
      </c>
      <c r="AB143" s="10"/>
      <c r="AC143" s="22">
        <v>6750</v>
      </c>
      <c r="AD143" s="21"/>
      <c r="AE143" s="21"/>
      <c r="AF143" s="21"/>
      <c r="AG143" s="45"/>
      <c r="AH143" s="23"/>
    </row>
    <row r="144" spans="2:34" s="9" customFormat="1" ht="122.25" customHeight="1">
      <c r="B144" s="31">
        <v>45607</v>
      </c>
      <c r="C144" s="11" t="s">
        <v>27</v>
      </c>
      <c r="D144" s="2" t="s">
        <v>439</v>
      </c>
      <c r="E144" s="11" t="s">
        <v>440</v>
      </c>
      <c r="F144" s="30" t="s">
        <v>441</v>
      </c>
      <c r="G144" s="30" t="s">
        <v>94</v>
      </c>
      <c r="H144" s="16">
        <v>45306</v>
      </c>
      <c r="I144" s="115"/>
      <c r="J144" s="115"/>
      <c r="K144" s="115"/>
      <c r="L144" s="115"/>
      <c r="M144" s="115"/>
      <c r="N144" s="115"/>
      <c r="O144" s="115"/>
      <c r="P144" s="115"/>
      <c r="Q144" s="6"/>
      <c r="R144" s="115" t="s">
        <v>1377</v>
      </c>
      <c r="S144" s="6"/>
      <c r="T144" s="7" t="s">
        <v>20</v>
      </c>
      <c r="U144" s="16" t="s">
        <v>700</v>
      </c>
      <c r="V144" s="16">
        <v>45678</v>
      </c>
      <c r="W144" s="16">
        <v>45731</v>
      </c>
      <c r="X144" s="24" t="s">
        <v>1431</v>
      </c>
      <c r="Y144" s="100"/>
      <c r="Z144" s="30" t="s">
        <v>432</v>
      </c>
      <c r="AA144" s="8">
        <v>45618</v>
      </c>
      <c r="AB144" s="10"/>
      <c r="AC144" s="22">
        <v>14610</v>
      </c>
      <c r="AD144" s="21"/>
      <c r="AE144" s="21"/>
      <c r="AF144" s="21"/>
      <c r="AG144" s="45"/>
      <c r="AH144" s="23"/>
    </row>
    <row r="145" spans="2:34" s="9" customFormat="1" ht="122.25" customHeight="1">
      <c r="B145" s="31">
        <v>45622</v>
      </c>
      <c r="C145" s="11" t="s">
        <v>27</v>
      </c>
      <c r="D145" s="2" t="s">
        <v>502</v>
      </c>
      <c r="E145" s="11" t="s">
        <v>503</v>
      </c>
      <c r="F145" s="30" t="s">
        <v>504</v>
      </c>
      <c r="G145" s="30" t="s">
        <v>94</v>
      </c>
      <c r="H145" s="16">
        <v>45672</v>
      </c>
      <c r="I145" s="115"/>
      <c r="J145" s="115"/>
      <c r="K145" s="115"/>
      <c r="L145" s="115"/>
      <c r="M145" s="115"/>
      <c r="N145" s="115"/>
      <c r="O145" s="115"/>
      <c r="P145" s="115"/>
      <c r="Q145" s="6"/>
      <c r="R145" s="115" t="s">
        <v>1377</v>
      </c>
      <c r="S145" s="6"/>
      <c r="T145" s="7" t="s">
        <v>20</v>
      </c>
      <c r="U145" s="16" t="s">
        <v>700</v>
      </c>
      <c r="V145" s="16">
        <v>45678</v>
      </c>
      <c r="W145" s="16">
        <v>45731</v>
      </c>
      <c r="X145" s="24" t="s">
        <v>1431</v>
      </c>
      <c r="Y145" s="100"/>
      <c r="Z145" s="30" t="s">
        <v>505</v>
      </c>
      <c r="AA145" s="8">
        <v>45723</v>
      </c>
      <c r="AB145" s="10"/>
      <c r="AC145" s="22">
        <v>2340</v>
      </c>
      <c r="AD145" s="21"/>
      <c r="AE145" s="21"/>
      <c r="AF145" s="21"/>
      <c r="AG145" s="45"/>
      <c r="AH145" s="23">
        <v>2340</v>
      </c>
    </row>
    <row r="146" spans="2:34" s="9" customFormat="1" ht="37.5">
      <c r="B146" s="31">
        <v>45555</v>
      </c>
      <c r="C146" s="2" t="s">
        <v>24</v>
      </c>
      <c r="D146" s="2" t="s">
        <v>325</v>
      </c>
      <c r="E146" s="11" t="s">
        <v>326</v>
      </c>
      <c r="F146" s="30" t="s">
        <v>177</v>
      </c>
      <c r="G146" s="30" t="s">
        <v>328</v>
      </c>
      <c r="H146" s="16">
        <v>45347</v>
      </c>
      <c r="I146" s="115"/>
      <c r="J146" s="115"/>
      <c r="K146" s="115"/>
      <c r="L146" s="115"/>
      <c r="M146" s="115"/>
      <c r="N146" s="115"/>
      <c r="O146" s="115"/>
      <c r="P146" s="115"/>
      <c r="Q146" s="115">
        <v>45694</v>
      </c>
      <c r="R146" s="115"/>
      <c r="S146" s="115"/>
      <c r="T146" s="7" t="s">
        <v>22</v>
      </c>
      <c r="U146" s="2" t="s">
        <v>869</v>
      </c>
      <c r="V146" s="16">
        <v>45692</v>
      </c>
      <c r="W146" s="16">
        <v>45720</v>
      </c>
      <c r="X146" s="24"/>
      <c r="Z146" s="30" t="s">
        <v>327</v>
      </c>
      <c r="AA146" s="8">
        <v>45748</v>
      </c>
      <c r="AB146" s="10"/>
      <c r="AC146" s="22">
        <f>10260+12780</f>
        <v>23040</v>
      </c>
      <c r="AD146" s="10"/>
      <c r="AE146" s="10"/>
      <c r="AF146" s="21"/>
      <c r="AG146" s="45"/>
      <c r="AH146" s="23">
        <v>23040</v>
      </c>
    </row>
    <row r="147" spans="2:34" s="9" customFormat="1" ht="150">
      <c r="B147" s="31">
        <v>45617</v>
      </c>
      <c r="C147" s="2" t="s">
        <v>24</v>
      </c>
      <c r="D147" s="2" t="s">
        <v>469</v>
      </c>
      <c r="E147" s="11" t="s">
        <v>470</v>
      </c>
      <c r="F147" s="30" t="s">
        <v>36</v>
      </c>
      <c r="G147" s="30" t="s">
        <v>1233</v>
      </c>
      <c r="H147" s="16">
        <v>45712</v>
      </c>
      <c r="I147" s="115"/>
      <c r="J147" s="115"/>
      <c r="K147" s="115"/>
      <c r="L147" s="115"/>
      <c r="M147" s="115"/>
      <c r="N147" s="115"/>
      <c r="O147" s="115"/>
      <c r="P147" s="115">
        <v>45756</v>
      </c>
      <c r="Q147" s="115">
        <v>45713</v>
      </c>
      <c r="R147" s="115"/>
      <c r="S147" s="115"/>
      <c r="T147" s="7" t="s">
        <v>30</v>
      </c>
      <c r="U147" s="16" t="s">
        <v>1274</v>
      </c>
      <c r="V147" s="16">
        <v>45706</v>
      </c>
      <c r="W147" s="16" t="s">
        <v>1334</v>
      </c>
      <c r="X147" s="4" t="s">
        <v>1478</v>
      </c>
      <c r="Y147" s="100"/>
      <c r="Z147" s="30" t="s">
        <v>119</v>
      </c>
      <c r="AA147" s="8">
        <v>45744</v>
      </c>
      <c r="AB147" s="22">
        <v>537561.43999999994</v>
      </c>
      <c r="AC147" s="10"/>
      <c r="AD147" s="21"/>
      <c r="AE147" s="21"/>
      <c r="AF147" s="21"/>
      <c r="AG147" s="45"/>
      <c r="AH147" s="23"/>
    </row>
    <row r="148" spans="2:34" s="9" customFormat="1" ht="122.25" customHeight="1">
      <c r="B148" s="31">
        <v>45642</v>
      </c>
      <c r="C148" s="11" t="s">
        <v>694</v>
      </c>
      <c r="D148" s="2" t="s">
        <v>581</v>
      </c>
      <c r="E148" s="11" t="s">
        <v>582</v>
      </c>
      <c r="F148" s="30" t="s">
        <v>583</v>
      </c>
      <c r="G148" s="30" t="s">
        <v>816</v>
      </c>
      <c r="H148" s="16">
        <v>45689</v>
      </c>
      <c r="I148" s="115"/>
      <c r="J148" s="115"/>
      <c r="K148" s="115"/>
      <c r="L148" s="115"/>
      <c r="M148" s="115"/>
      <c r="N148" s="115"/>
      <c r="O148" s="115"/>
      <c r="P148" s="115"/>
      <c r="Q148" s="115">
        <v>45723</v>
      </c>
      <c r="R148" s="115"/>
      <c r="S148" s="115"/>
      <c r="T148" s="7" t="s">
        <v>22</v>
      </c>
      <c r="U148" s="2" t="s">
        <v>1342</v>
      </c>
      <c r="V148" s="16">
        <v>45701</v>
      </c>
      <c r="W148" s="16">
        <v>45730</v>
      </c>
      <c r="X148" s="4"/>
      <c r="Y148" s="100"/>
      <c r="Z148" s="30" t="s">
        <v>116</v>
      </c>
      <c r="AA148" s="8">
        <v>45705</v>
      </c>
      <c r="AB148" s="22">
        <v>103862.28</v>
      </c>
      <c r="AC148" s="10"/>
      <c r="AD148" s="21"/>
      <c r="AE148" s="21"/>
      <c r="AF148" s="21"/>
      <c r="AG148" s="45"/>
      <c r="AH148" s="23">
        <v>103862.28</v>
      </c>
    </row>
    <row r="149" spans="2:34" s="9" customFormat="1" ht="122.25" customHeight="1">
      <c r="B149" s="31">
        <v>45688</v>
      </c>
      <c r="C149" s="2" t="s">
        <v>24</v>
      </c>
      <c r="D149" s="2" t="s">
        <v>777</v>
      </c>
      <c r="E149" s="11" t="s">
        <v>1078</v>
      </c>
      <c r="F149" s="30" t="s">
        <v>521</v>
      </c>
      <c r="G149" s="30" t="s">
        <v>1056</v>
      </c>
      <c r="H149" s="16">
        <v>45741</v>
      </c>
      <c r="I149" s="115"/>
      <c r="J149" s="115"/>
      <c r="K149" s="115"/>
      <c r="L149" s="115"/>
      <c r="M149" s="115"/>
      <c r="N149" s="115"/>
      <c r="O149" s="115"/>
      <c r="P149" s="115"/>
      <c r="Q149" s="115" t="s">
        <v>1178</v>
      </c>
      <c r="R149" s="115"/>
      <c r="S149" s="16"/>
      <c r="T149" s="7" t="s">
        <v>22</v>
      </c>
      <c r="U149" s="2" t="s">
        <v>1114</v>
      </c>
      <c r="V149" s="16" t="s">
        <v>1115</v>
      </c>
      <c r="W149" s="16" t="s">
        <v>1116</v>
      </c>
      <c r="X149" s="24" t="s">
        <v>1487</v>
      </c>
      <c r="Y149" s="100"/>
      <c r="Z149" s="30" t="s">
        <v>778</v>
      </c>
      <c r="AA149" s="8">
        <v>45749</v>
      </c>
      <c r="AB149" s="10"/>
      <c r="AC149" s="22">
        <v>30188.65</v>
      </c>
      <c r="AD149" s="21"/>
      <c r="AE149" s="21"/>
      <c r="AF149" s="21"/>
      <c r="AG149" s="45"/>
      <c r="AH149" s="16"/>
    </row>
    <row r="150" spans="2:34" s="9" customFormat="1" ht="122.25" customHeight="1">
      <c r="B150" s="31">
        <v>45678</v>
      </c>
      <c r="C150" s="2" t="s">
        <v>24</v>
      </c>
      <c r="D150" s="2" t="s">
        <v>754</v>
      </c>
      <c r="E150" s="11" t="s">
        <v>755</v>
      </c>
      <c r="F150" s="30" t="s">
        <v>36</v>
      </c>
      <c r="G150" s="30" t="s">
        <v>1229</v>
      </c>
      <c r="H150" s="16">
        <v>45740</v>
      </c>
      <c r="I150" s="115"/>
      <c r="J150" s="115"/>
      <c r="K150" s="115"/>
      <c r="L150" s="115"/>
      <c r="M150" s="115"/>
      <c r="N150" s="115"/>
      <c r="O150" s="115"/>
      <c r="P150" s="115"/>
      <c r="Q150" s="115">
        <v>45713</v>
      </c>
      <c r="R150" s="115"/>
      <c r="S150" s="115"/>
      <c r="T150" s="7" t="s">
        <v>30</v>
      </c>
      <c r="U150" s="2" t="s">
        <v>1274</v>
      </c>
      <c r="V150" s="16">
        <v>45706</v>
      </c>
      <c r="W150" s="16" t="s">
        <v>1334</v>
      </c>
      <c r="X150" s="4" t="s">
        <v>1486</v>
      </c>
      <c r="Y150" s="100"/>
      <c r="Z150" s="30" t="s">
        <v>324</v>
      </c>
      <c r="AA150" s="8">
        <v>45744</v>
      </c>
      <c r="AB150" s="22">
        <v>92921.56</v>
      </c>
      <c r="AC150" s="10"/>
      <c r="AD150" s="21"/>
      <c r="AE150" s="21"/>
      <c r="AF150" s="21"/>
      <c r="AG150" s="45"/>
      <c r="AH150" s="23"/>
    </row>
    <row r="151" spans="2:34" s="9" customFormat="1" ht="122.25" customHeight="1">
      <c r="B151" s="31">
        <v>45589</v>
      </c>
      <c r="C151" s="11" t="s">
        <v>27</v>
      </c>
      <c r="D151" s="2" t="s">
        <v>380</v>
      </c>
      <c r="E151" s="11" t="s">
        <v>381</v>
      </c>
      <c r="F151" s="30" t="s">
        <v>382</v>
      </c>
      <c r="G151" s="30" t="s">
        <v>94</v>
      </c>
      <c r="H151" s="16">
        <v>45672</v>
      </c>
      <c r="I151" s="115"/>
      <c r="J151" s="115"/>
      <c r="K151" s="115"/>
      <c r="L151" s="115"/>
      <c r="M151" s="115"/>
      <c r="N151" s="115"/>
      <c r="O151" s="115"/>
      <c r="P151" s="115"/>
      <c r="Q151" s="6"/>
      <c r="R151" s="115" t="s">
        <v>1378</v>
      </c>
      <c r="S151" s="6"/>
      <c r="T151" s="7" t="s">
        <v>20</v>
      </c>
      <c r="U151" s="16" t="s">
        <v>700</v>
      </c>
      <c r="V151" s="16">
        <v>45678</v>
      </c>
      <c r="W151" s="16">
        <v>45731</v>
      </c>
      <c r="X151" s="24" t="s">
        <v>1431</v>
      </c>
      <c r="Y151" s="100"/>
      <c r="Z151" s="151" t="s">
        <v>1349</v>
      </c>
      <c r="AA151" s="8">
        <v>45703</v>
      </c>
      <c r="AB151" s="23"/>
      <c r="AC151" s="22">
        <f>5071.5+2173.5</f>
        <v>7245</v>
      </c>
      <c r="AD151" s="21"/>
      <c r="AE151" s="21"/>
      <c r="AF151" s="21"/>
      <c r="AG151" s="45"/>
      <c r="AH151" s="23">
        <v>5071.5</v>
      </c>
    </row>
    <row r="152" spans="2:34" s="9" customFormat="1" ht="122.25" customHeight="1">
      <c r="B152" s="31">
        <v>45583</v>
      </c>
      <c r="C152" s="2" t="s">
        <v>24</v>
      </c>
      <c r="D152" s="2" t="s">
        <v>366</v>
      </c>
      <c r="E152" s="11" t="s">
        <v>367</v>
      </c>
      <c r="F152" s="30" t="s">
        <v>62</v>
      </c>
      <c r="G152" s="30" t="s">
        <v>411</v>
      </c>
      <c r="H152" s="16">
        <v>45689</v>
      </c>
      <c r="I152" s="115"/>
      <c r="J152" s="115"/>
      <c r="K152" s="115"/>
      <c r="L152" s="115"/>
      <c r="M152" s="115"/>
      <c r="N152" s="115"/>
      <c r="O152" s="115"/>
      <c r="P152" s="115">
        <v>45688</v>
      </c>
      <c r="Q152" s="115">
        <v>45713</v>
      </c>
      <c r="R152" s="115"/>
      <c r="S152" s="115"/>
      <c r="T152" s="7" t="s">
        <v>20</v>
      </c>
      <c r="U152" s="16" t="s">
        <v>769</v>
      </c>
      <c r="V152" s="16">
        <v>45683</v>
      </c>
      <c r="W152" s="16">
        <v>45686</v>
      </c>
      <c r="X152" s="24"/>
      <c r="Y152" s="100"/>
      <c r="Z152" s="30" t="s">
        <v>103</v>
      </c>
      <c r="AA152" s="8">
        <v>45760</v>
      </c>
      <c r="AB152" s="10"/>
      <c r="AC152" s="22">
        <v>3217.57</v>
      </c>
      <c r="AD152" s="21"/>
      <c r="AE152" s="21"/>
      <c r="AF152" s="21"/>
      <c r="AG152" s="45"/>
      <c r="AH152" s="23">
        <v>3217.57</v>
      </c>
    </row>
    <row r="153" spans="2:34" s="9" customFormat="1" ht="75">
      <c r="B153" s="31">
        <v>45625</v>
      </c>
      <c r="C153" s="2" t="s">
        <v>24</v>
      </c>
      <c r="D153" s="2" t="s">
        <v>508</v>
      </c>
      <c r="E153" s="11" t="s">
        <v>509</v>
      </c>
      <c r="F153" s="30" t="s">
        <v>510</v>
      </c>
      <c r="G153" s="30" t="s">
        <v>511</v>
      </c>
      <c r="H153" s="16" t="s">
        <v>1055</v>
      </c>
      <c r="I153" s="115"/>
      <c r="J153" s="115"/>
      <c r="K153" s="115"/>
      <c r="L153" s="115"/>
      <c r="M153" s="115"/>
      <c r="N153" s="115"/>
      <c r="O153" s="115"/>
      <c r="P153" s="115"/>
      <c r="Q153" s="115">
        <v>45713</v>
      </c>
      <c r="R153" s="115"/>
      <c r="S153" s="115"/>
      <c r="T153" s="7" t="s">
        <v>20</v>
      </c>
      <c r="U153" s="2" t="s">
        <v>666</v>
      </c>
      <c r="V153" s="16" t="s">
        <v>667</v>
      </c>
      <c r="W153" s="16">
        <v>45707</v>
      </c>
      <c r="X153" s="24" t="s">
        <v>1482</v>
      </c>
      <c r="Y153" s="100"/>
      <c r="Z153" s="30" t="s">
        <v>1436</v>
      </c>
      <c r="AA153" s="8">
        <v>45631</v>
      </c>
      <c r="AB153" s="22">
        <v>42920</v>
      </c>
      <c r="AC153" s="10"/>
      <c r="AD153" s="21"/>
      <c r="AE153" s="21"/>
      <c r="AF153" s="21"/>
      <c r="AG153" s="45"/>
      <c r="AH153" s="23">
        <v>42920</v>
      </c>
    </row>
    <row r="154" spans="2:34" s="9" customFormat="1" ht="131.25">
      <c r="B154" s="31">
        <v>45646</v>
      </c>
      <c r="C154" s="11" t="s">
        <v>27</v>
      </c>
      <c r="D154" s="2" t="s">
        <v>661</v>
      </c>
      <c r="E154" s="11" t="s">
        <v>662</v>
      </c>
      <c r="F154" s="30" t="s">
        <v>663</v>
      </c>
      <c r="G154" s="30" t="s">
        <v>90</v>
      </c>
      <c r="H154" s="16">
        <v>45337</v>
      </c>
      <c r="I154" s="115"/>
      <c r="J154" s="115"/>
      <c r="K154" s="115"/>
      <c r="L154" s="115"/>
      <c r="M154" s="115"/>
      <c r="N154" s="115"/>
      <c r="O154" s="115"/>
      <c r="P154" s="115"/>
      <c r="Q154" s="6" t="s">
        <v>860</v>
      </c>
      <c r="R154" s="115"/>
      <c r="S154" s="115">
        <v>45754</v>
      </c>
      <c r="T154" s="7" t="s">
        <v>34</v>
      </c>
      <c r="U154" s="137" t="s">
        <v>1062</v>
      </c>
      <c r="V154" s="16">
        <v>45713</v>
      </c>
      <c r="W154" s="138" t="s">
        <v>1145</v>
      </c>
      <c r="X154" s="24" t="s">
        <v>1430</v>
      </c>
      <c r="Y154" s="100"/>
      <c r="Z154" s="30" t="s">
        <v>664</v>
      </c>
      <c r="AA154" s="8">
        <v>45753</v>
      </c>
      <c r="AB154" s="10"/>
      <c r="AC154" s="22">
        <v>511695</v>
      </c>
      <c r="AD154" s="21"/>
      <c r="AE154" s="21"/>
      <c r="AF154" s="21"/>
      <c r="AG154" s="45"/>
      <c r="AH154" s="23">
        <v>511695</v>
      </c>
    </row>
    <row r="155" spans="2:34" s="9" customFormat="1" ht="122.25" customHeight="1">
      <c r="B155" s="31">
        <v>45681</v>
      </c>
      <c r="C155" s="11" t="s">
        <v>694</v>
      </c>
      <c r="D155" s="2" t="s">
        <v>738</v>
      </c>
      <c r="E155" s="11" t="s">
        <v>739</v>
      </c>
      <c r="F155" s="30" t="s">
        <v>740</v>
      </c>
      <c r="G155" s="30" t="s">
        <v>741</v>
      </c>
      <c r="H155" s="16">
        <v>45762</v>
      </c>
      <c r="I155" s="115"/>
      <c r="J155" s="115"/>
      <c r="K155" s="115"/>
      <c r="L155" s="115"/>
      <c r="M155" s="115"/>
      <c r="N155" s="115"/>
      <c r="O155" s="115"/>
      <c r="P155" s="115"/>
      <c r="Q155" s="115">
        <v>45730</v>
      </c>
      <c r="R155" s="115"/>
      <c r="S155" s="115"/>
      <c r="T155" s="7" t="s">
        <v>22</v>
      </c>
      <c r="U155" s="2" t="s">
        <v>1063</v>
      </c>
      <c r="V155" s="16">
        <v>45716</v>
      </c>
      <c r="W155" s="16">
        <v>45745</v>
      </c>
      <c r="X155" s="104"/>
      <c r="Y155" s="100"/>
      <c r="Z155" s="30" t="s">
        <v>742</v>
      </c>
      <c r="AA155" s="8">
        <v>45726</v>
      </c>
      <c r="AB155" s="22">
        <v>30739.5</v>
      </c>
      <c r="AC155" s="10"/>
      <c r="AD155" s="21"/>
      <c r="AE155" s="21"/>
      <c r="AF155" s="21"/>
      <c r="AG155" s="45"/>
      <c r="AH155" s="23">
        <v>30739.5</v>
      </c>
    </row>
    <row r="156" spans="2:34" s="9" customFormat="1" ht="122.25" customHeight="1">
      <c r="B156" s="31">
        <v>45672</v>
      </c>
      <c r="C156" s="11" t="s">
        <v>27</v>
      </c>
      <c r="D156" s="2" t="s">
        <v>703</v>
      </c>
      <c r="E156" s="11" t="s">
        <v>704</v>
      </c>
      <c r="F156" s="30" t="s">
        <v>705</v>
      </c>
      <c r="G156" s="30" t="s">
        <v>706</v>
      </c>
      <c r="H156" s="16">
        <v>45748</v>
      </c>
      <c r="I156" s="115"/>
      <c r="J156" s="115"/>
      <c r="K156" s="115"/>
      <c r="L156" s="115">
        <v>45713</v>
      </c>
      <c r="M156" s="115">
        <v>45728</v>
      </c>
      <c r="N156" s="115"/>
      <c r="O156" s="115"/>
      <c r="P156" s="115">
        <v>45756</v>
      </c>
      <c r="Q156" s="115"/>
      <c r="R156" s="115"/>
      <c r="S156" s="115">
        <v>45756</v>
      </c>
      <c r="T156" s="7" t="s">
        <v>20</v>
      </c>
      <c r="U156" s="2" t="s">
        <v>1420</v>
      </c>
      <c r="V156" s="16">
        <v>45752</v>
      </c>
      <c r="W156" s="16">
        <v>45755</v>
      </c>
      <c r="X156" s="24"/>
      <c r="Y156" s="100"/>
      <c r="Z156" s="30" t="s">
        <v>801</v>
      </c>
      <c r="AA156" s="8">
        <v>45703</v>
      </c>
      <c r="AB156" s="22">
        <v>690</v>
      </c>
      <c r="AC156" s="10"/>
      <c r="AD156" s="21"/>
      <c r="AE156" s="21"/>
      <c r="AF156" s="21"/>
      <c r="AG156" s="45"/>
      <c r="AH156" s="23">
        <v>690</v>
      </c>
    </row>
    <row r="157" spans="2:34" s="9" customFormat="1" ht="122.25" customHeight="1">
      <c r="B157" s="31">
        <v>45625</v>
      </c>
      <c r="C157" s="2" t="s">
        <v>24</v>
      </c>
      <c r="D157" s="2" t="s">
        <v>532</v>
      </c>
      <c r="E157" s="32" t="s">
        <v>533</v>
      </c>
      <c r="F157" s="30" t="s">
        <v>102</v>
      </c>
      <c r="G157" s="30" t="s">
        <v>534</v>
      </c>
      <c r="H157" s="16" t="s">
        <v>892</v>
      </c>
      <c r="I157" s="115"/>
      <c r="J157" s="115"/>
      <c r="K157" s="115"/>
      <c r="L157" s="115"/>
      <c r="M157" s="16" t="s">
        <v>1596</v>
      </c>
      <c r="N157" s="16"/>
      <c r="O157" s="16"/>
      <c r="P157" s="16"/>
      <c r="Q157" s="16"/>
      <c r="R157" s="16"/>
      <c r="S157" s="16"/>
      <c r="T157" s="7" t="s">
        <v>28</v>
      </c>
      <c r="U157" s="16"/>
      <c r="V157" s="16"/>
      <c r="W157" s="16"/>
      <c r="X157" s="4" t="s">
        <v>1597</v>
      </c>
      <c r="Y157" s="100"/>
      <c r="Z157" s="30" t="s">
        <v>103</v>
      </c>
      <c r="AA157" s="8">
        <v>45823</v>
      </c>
      <c r="AB157" s="10"/>
      <c r="AC157" s="10"/>
      <c r="AD157" s="10">
        <v>34485</v>
      </c>
      <c r="AE157" s="21"/>
      <c r="AF157" s="21"/>
      <c r="AG157" s="45"/>
      <c r="AH157" s="23"/>
    </row>
    <row r="158" spans="2:34" s="9" customFormat="1" ht="122.25" customHeight="1">
      <c r="B158" s="31">
        <v>45708</v>
      </c>
      <c r="C158" s="2" t="s">
        <v>24</v>
      </c>
      <c r="D158" s="2" t="s">
        <v>1046</v>
      </c>
      <c r="E158" s="11" t="s">
        <v>1047</v>
      </c>
      <c r="F158" s="30" t="s">
        <v>295</v>
      </c>
      <c r="G158" s="30" t="s">
        <v>1048</v>
      </c>
      <c r="H158" s="16">
        <v>45726</v>
      </c>
      <c r="I158" s="115"/>
      <c r="J158" s="115"/>
      <c r="K158" s="115"/>
      <c r="L158" s="115"/>
      <c r="M158" s="115"/>
      <c r="N158" s="115"/>
      <c r="O158" s="115"/>
      <c r="P158" s="115"/>
      <c r="Q158" s="115">
        <v>45713</v>
      </c>
      <c r="R158" s="115"/>
      <c r="S158" s="115"/>
      <c r="T158" s="7" t="s">
        <v>22</v>
      </c>
      <c r="U158" s="16" t="s">
        <v>1049</v>
      </c>
      <c r="V158" s="16">
        <v>45700</v>
      </c>
      <c r="W158" s="16">
        <v>45726</v>
      </c>
      <c r="X158" s="24" t="s">
        <v>1484</v>
      </c>
      <c r="Z158" s="30" t="s">
        <v>1006</v>
      </c>
      <c r="AA158" s="8">
        <v>45759</v>
      </c>
      <c r="AB158" s="10"/>
      <c r="AC158" s="22">
        <v>61236</v>
      </c>
      <c r="AD158" s="21"/>
      <c r="AE158" s="21"/>
      <c r="AF158" s="21"/>
      <c r="AG158" s="45"/>
      <c r="AH158" s="23">
        <v>62236</v>
      </c>
    </row>
    <row r="159" spans="2:34" s="9" customFormat="1" ht="122.25" customHeight="1">
      <c r="B159" s="31">
        <v>45726</v>
      </c>
      <c r="C159" s="2" t="s">
        <v>24</v>
      </c>
      <c r="D159" s="2" t="s">
        <v>1203</v>
      </c>
      <c r="E159" s="11" t="s">
        <v>1204</v>
      </c>
      <c r="F159" s="30" t="s">
        <v>98</v>
      </c>
      <c r="G159" s="30" t="s">
        <v>1209</v>
      </c>
      <c r="H159" s="16">
        <v>45730</v>
      </c>
      <c r="I159" s="115"/>
      <c r="J159" s="115"/>
      <c r="K159" s="115"/>
      <c r="L159" s="115"/>
      <c r="M159" s="115"/>
      <c r="N159" s="115"/>
      <c r="O159" s="115"/>
      <c r="P159" s="115">
        <v>45729</v>
      </c>
      <c r="Q159" s="115">
        <v>45729</v>
      </c>
      <c r="R159" s="115"/>
      <c r="S159" s="115"/>
      <c r="T159" s="7" t="s">
        <v>22</v>
      </c>
      <c r="U159" s="11" t="s">
        <v>1205</v>
      </c>
      <c r="V159" s="16">
        <v>45707</v>
      </c>
      <c r="W159" s="16">
        <v>45740</v>
      </c>
      <c r="X159" s="24" t="s">
        <v>1484</v>
      </c>
      <c r="Y159" s="100"/>
      <c r="Z159" s="30" t="s">
        <v>1206</v>
      </c>
      <c r="AA159" s="8">
        <v>45767</v>
      </c>
      <c r="AB159" s="22">
        <v>189000</v>
      </c>
      <c r="AC159" s="10"/>
      <c r="AD159" s="21"/>
      <c r="AE159" s="21"/>
      <c r="AF159" s="21"/>
      <c r="AG159" s="45"/>
      <c r="AH159" s="23">
        <v>189000</v>
      </c>
    </row>
    <row r="160" spans="2:34" s="9" customFormat="1" ht="122.25" customHeight="1">
      <c r="B160" s="31">
        <v>45645</v>
      </c>
      <c r="C160" s="11" t="s">
        <v>694</v>
      </c>
      <c r="D160" s="2" t="s">
        <v>615</v>
      </c>
      <c r="E160" s="11" t="s">
        <v>616</v>
      </c>
      <c r="F160" s="30" t="s">
        <v>87</v>
      </c>
      <c r="G160" s="30" t="s">
        <v>1030</v>
      </c>
      <c r="H160" s="16">
        <v>45748</v>
      </c>
      <c r="I160" s="115"/>
      <c r="J160" s="115"/>
      <c r="K160" s="115"/>
      <c r="L160" s="115"/>
      <c r="M160" s="115"/>
      <c r="N160" s="115"/>
      <c r="O160" s="115"/>
      <c r="P160" s="115" t="s">
        <v>1496</v>
      </c>
      <c r="Q160" s="115">
        <v>45723</v>
      </c>
      <c r="R160" s="115"/>
      <c r="S160" s="115"/>
      <c r="T160" s="7" t="s">
        <v>20</v>
      </c>
      <c r="U160" s="171" t="s">
        <v>1114</v>
      </c>
      <c r="V160" s="16">
        <v>45712</v>
      </c>
      <c r="W160" s="16">
        <v>45747</v>
      </c>
      <c r="X160" s="126"/>
      <c r="Y160" s="100"/>
      <c r="Z160" s="30" t="s">
        <v>33</v>
      </c>
      <c r="AA160" s="8">
        <v>45765</v>
      </c>
      <c r="AB160" s="61"/>
      <c r="AC160" s="22">
        <v>38635.46</v>
      </c>
      <c r="AD160" s="21"/>
      <c r="AE160" s="21"/>
      <c r="AF160" s="21"/>
      <c r="AG160" s="45"/>
      <c r="AH160" s="23"/>
    </row>
    <row r="161" spans="2:35" s="9" customFormat="1" ht="122.25" customHeight="1">
      <c r="B161" s="31">
        <v>45645</v>
      </c>
      <c r="C161" s="2" t="s">
        <v>694</v>
      </c>
      <c r="D161" s="2" t="s">
        <v>621</v>
      </c>
      <c r="E161" s="11" t="s">
        <v>622</v>
      </c>
      <c r="F161" s="30" t="s">
        <v>31</v>
      </c>
      <c r="G161" s="30" t="s">
        <v>623</v>
      </c>
      <c r="H161" s="16">
        <v>45748</v>
      </c>
      <c r="I161" s="146"/>
      <c r="J161" s="146"/>
      <c r="K161" s="146"/>
      <c r="L161" s="115"/>
      <c r="M161" s="115"/>
      <c r="N161" s="115"/>
      <c r="O161" s="115"/>
      <c r="P161" s="115"/>
      <c r="Q161" s="115">
        <v>45771</v>
      </c>
      <c r="R161" s="115"/>
      <c r="S161" s="115"/>
      <c r="T161" s="7" t="s">
        <v>22</v>
      </c>
      <c r="U161" s="2" t="s">
        <v>1329</v>
      </c>
      <c r="V161" s="16">
        <v>45736</v>
      </c>
      <c r="W161" s="16">
        <v>45749</v>
      </c>
      <c r="X161" s="4" t="s">
        <v>1113</v>
      </c>
      <c r="Y161" s="100"/>
      <c r="Z161" s="151" t="s">
        <v>1152</v>
      </c>
      <c r="AA161" s="8">
        <v>45710</v>
      </c>
      <c r="AB161" s="105">
        <v>93000.960000000006</v>
      </c>
      <c r="AC161" s="10"/>
      <c r="AD161" s="21"/>
      <c r="AE161" s="21"/>
      <c r="AF161" s="21"/>
      <c r="AG161" s="45"/>
      <c r="AH161" s="23"/>
    </row>
    <row r="162" spans="2:35" s="9" customFormat="1" ht="122.25" customHeight="1">
      <c r="B162" s="31">
        <v>45698</v>
      </c>
      <c r="C162" s="11" t="s">
        <v>694</v>
      </c>
      <c r="D162" s="2" t="s">
        <v>811</v>
      </c>
      <c r="E162" s="11" t="s">
        <v>814</v>
      </c>
      <c r="F162" s="30" t="s">
        <v>613</v>
      </c>
      <c r="G162" s="30" t="s">
        <v>815</v>
      </c>
      <c r="H162" s="16">
        <v>45731</v>
      </c>
      <c r="I162" s="115"/>
      <c r="J162" s="115"/>
      <c r="K162" s="115"/>
      <c r="L162" s="115"/>
      <c r="M162" s="115"/>
      <c r="N162" s="115"/>
      <c r="O162" s="115"/>
      <c r="P162" s="115"/>
      <c r="Q162" s="115"/>
      <c r="R162" s="115"/>
      <c r="S162" s="115"/>
      <c r="T162" s="7" t="s">
        <v>34</v>
      </c>
      <c r="U162" s="16" t="s">
        <v>1039</v>
      </c>
      <c r="V162" s="16">
        <v>45723</v>
      </c>
      <c r="W162" s="16">
        <v>45732</v>
      </c>
      <c r="X162" s="4" t="s">
        <v>1546</v>
      </c>
      <c r="Z162" s="30" t="s">
        <v>55</v>
      </c>
      <c r="AA162" s="8">
        <v>45762</v>
      </c>
      <c r="AB162" s="22">
        <v>37680</v>
      </c>
      <c r="AC162" s="10"/>
      <c r="AD162" s="21"/>
      <c r="AE162" s="21"/>
      <c r="AF162" s="21"/>
      <c r="AG162" s="45"/>
      <c r="AH162" s="23"/>
    </row>
    <row r="163" spans="2:35" s="9" customFormat="1" ht="122.25" customHeight="1">
      <c r="B163" s="31">
        <v>45617</v>
      </c>
      <c r="C163" s="11" t="s">
        <v>694</v>
      </c>
      <c r="D163" s="2" t="s">
        <v>480</v>
      </c>
      <c r="E163" s="11" t="s">
        <v>481</v>
      </c>
      <c r="F163" s="30" t="s">
        <v>44</v>
      </c>
      <c r="G163" s="30" t="s">
        <v>1481</v>
      </c>
      <c r="H163" s="16">
        <v>45717</v>
      </c>
      <c r="I163" s="115"/>
      <c r="J163" s="115"/>
      <c r="K163" s="115"/>
      <c r="L163" s="115"/>
      <c r="M163" s="115"/>
      <c r="N163" s="115"/>
      <c r="O163" s="115"/>
      <c r="P163" s="115"/>
      <c r="Q163" s="115">
        <v>45737</v>
      </c>
      <c r="R163" s="115"/>
      <c r="S163" s="115"/>
      <c r="T163" s="7" t="s">
        <v>22</v>
      </c>
      <c r="U163" s="16" t="s">
        <v>1330</v>
      </c>
      <c r="V163" s="16">
        <v>45709</v>
      </c>
      <c r="W163" s="16">
        <v>45767</v>
      </c>
      <c r="X163" s="4"/>
      <c r="Y163" s="100"/>
      <c r="Z163" s="30" t="s">
        <v>33</v>
      </c>
      <c r="AA163" s="8">
        <v>45717</v>
      </c>
      <c r="AB163" s="10"/>
      <c r="AC163" s="22">
        <v>205661.6</v>
      </c>
      <c r="AD163" s="21"/>
      <c r="AE163" s="21"/>
      <c r="AF163" s="21"/>
      <c r="AG163" s="45"/>
      <c r="AH163" s="23"/>
    </row>
    <row r="164" spans="2:35" s="9" customFormat="1" ht="122.25" customHeight="1">
      <c r="B164" s="31">
        <v>45376</v>
      </c>
      <c r="C164" s="2" t="s">
        <v>694</v>
      </c>
      <c r="D164" s="2" t="s">
        <v>132</v>
      </c>
      <c r="E164" s="11" t="s">
        <v>133</v>
      </c>
      <c r="F164" s="30" t="s">
        <v>105</v>
      </c>
      <c r="G164" s="30" t="s">
        <v>880</v>
      </c>
      <c r="H164" s="16" t="s">
        <v>879</v>
      </c>
      <c r="I164" s="115"/>
      <c r="J164" s="115"/>
      <c r="K164" s="115"/>
      <c r="L164" s="115"/>
      <c r="M164" s="115"/>
      <c r="N164" s="115"/>
      <c r="O164" s="115"/>
      <c r="P164" s="115"/>
      <c r="Q164" s="115" t="s">
        <v>863</v>
      </c>
      <c r="R164" s="158"/>
      <c r="S164" s="158"/>
      <c r="T164" s="152" t="s">
        <v>22</v>
      </c>
      <c r="U164" s="106" t="s">
        <v>763</v>
      </c>
      <c r="V164" s="13" t="s">
        <v>601</v>
      </c>
      <c r="W164" s="13" t="s">
        <v>1117</v>
      </c>
      <c r="X164" s="4"/>
      <c r="Y164" s="100"/>
      <c r="Z164" s="30" t="s">
        <v>89</v>
      </c>
      <c r="AA164" s="31">
        <v>45762</v>
      </c>
      <c r="AB164" s="22">
        <v>205509.75</v>
      </c>
      <c r="AC164" s="10"/>
      <c r="AD164" s="21"/>
      <c r="AE164" s="21"/>
      <c r="AF164" s="21"/>
      <c r="AG164" s="45"/>
      <c r="AH164" s="16"/>
    </row>
    <row r="165" spans="2:35" s="9" customFormat="1" ht="122.25" customHeight="1">
      <c r="B165" s="31">
        <v>45678</v>
      </c>
      <c r="C165" s="11" t="s">
        <v>694</v>
      </c>
      <c r="D165" s="2" t="s">
        <v>748</v>
      </c>
      <c r="E165" s="11" t="s">
        <v>749</v>
      </c>
      <c r="F165" s="30" t="s">
        <v>311</v>
      </c>
      <c r="G165" s="30" t="s">
        <v>561</v>
      </c>
      <c r="H165" s="16">
        <v>45778</v>
      </c>
      <c r="I165" s="115"/>
      <c r="J165" s="115"/>
      <c r="K165" s="115"/>
      <c r="L165" s="115"/>
      <c r="M165" s="115"/>
      <c r="N165" s="115"/>
      <c r="O165" s="115"/>
      <c r="P165" s="115"/>
      <c r="Q165" s="115">
        <v>45730</v>
      </c>
      <c r="R165" s="115"/>
      <c r="S165" s="115"/>
      <c r="T165" s="7" t="s">
        <v>22</v>
      </c>
      <c r="U165" s="2" t="s">
        <v>1103</v>
      </c>
      <c r="V165" s="16">
        <v>45728</v>
      </c>
      <c r="W165" s="16">
        <v>45750</v>
      </c>
      <c r="X165" s="103"/>
      <c r="Y165" s="100"/>
      <c r="Z165" s="30" t="s">
        <v>46</v>
      </c>
      <c r="AA165" s="8">
        <v>45383</v>
      </c>
      <c r="AB165" s="22">
        <v>20565</v>
      </c>
      <c r="AC165" s="10"/>
      <c r="AD165" s="21"/>
      <c r="AE165" s="21"/>
      <c r="AF165" s="21"/>
      <c r="AG165" s="45"/>
      <c r="AH165" s="23"/>
    </row>
    <row r="166" spans="2:35" s="9" customFormat="1" ht="122.25" customHeight="1">
      <c r="B166" s="31">
        <v>45723</v>
      </c>
      <c r="C166" s="2" t="s">
        <v>694</v>
      </c>
      <c r="D166" s="2" t="s">
        <v>1159</v>
      </c>
      <c r="E166" s="11" t="s">
        <v>1160</v>
      </c>
      <c r="F166" s="30" t="s">
        <v>1161</v>
      </c>
      <c r="G166" s="30" t="s">
        <v>1162</v>
      </c>
      <c r="H166" s="16">
        <v>45748</v>
      </c>
      <c r="I166" s="115"/>
      <c r="J166" s="115"/>
      <c r="K166" s="115"/>
      <c r="L166" s="115"/>
      <c r="M166" s="115"/>
      <c r="N166" s="115"/>
      <c r="O166" s="115"/>
      <c r="P166" s="115"/>
      <c r="Q166" s="115">
        <v>45772</v>
      </c>
      <c r="R166" s="115"/>
      <c r="S166" s="115"/>
      <c r="T166" s="7" t="s">
        <v>20</v>
      </c>
      <c r="U166" s="16" t="s">
        <v>1465</v>
      </c>
      <c r="V166" s="16">
        <v>45749</v>
      </c>
      <c r="W166" s="16">
        <v>45756</v>
      </c>
      <c r="X166" s="24"/>
      <c r="Y166" s="100"/>
      <c r="Z166" s="30" t="s">
        <v>1163</v>
      </c>
      <c r="AA166" s="8">
        <v>45727</v>
      </c>
      <c r="AB166" s="10"/>
      <c r="AC166" s="10"/>
      <c r="AD166" s="29">
        <v>8480.5</v>
      </c>
      <c r="AE166" s="21"/>
      <c r="AF166" s="21"/>
      <c r="AG166" s="45"/>
      <c r="AH166" s="23"/>
    </row>
    <row r="167" spans="2:35" s="50" customFormat="1" ht="122.25" customHeight="1">
      <c r="B167" s="48">
        <v>45099</v>
      </c>
      <c r="C167" s="49" t="s">
        <v>27</v>
      </c>
      <c r="D167" s="49" t="s">
        <v>106</v>
      </c>
      <c r="E167" s="49" t="s">
        <v>107</v>
      </c>
      <c r="F167" s="60" t="s">
        <v>74</v>
      </c>
      <c r="G167" s="60" t="s">
        <v>1289</v>
      </c>
      <c r="H167" s="18">
        <v>45337</v>
      </c>
      <c r="I167" s="117"/>
      <c r="J167" s="117"/>
      <c r="K167" s="117"/>
      <c r="L167" s="18"/>
      <c r="M167" s="18"/>
      <c r="N167" s="18"/>
      <c r="O167" s="18"/>
      <c r="P167" s="18"/>
      <c r="Q167" s="18"/>
      <c r="R167" s="18"/>
      <c r="S167" s="18"/>
      <c r="T167" s="50" t="s">
        <v>22</v>
      </c>
      <c r="U167" s="55"/>
      <c r="V167" s="18"/>
      <c r="W167" s="18"/>
      <c r="X167" s="17" t="s">
        <v>1713</v>
      </c>
      <c r="Z167" s="1" t="s">
        <v>54</v>
      </c>
      <c r="AA167" s="51">
        <v>45807</v>
      </c>
      <c r="AB167" s="54"/>
      <c r="AC167" s="54"/>
      <c r="AD167" s="54"/>
      <c r="AE167" s="54">
        <v>55630.12</v>
      </c>
      <c r="AF167" s="54"/>
      <c r="AG167" s="52"/>
      <c r="AH167" s="18"/>
    </row>
    <row r="168" spans="2:35" s="9" customFormat="1" ht="122.25" customHeight="1">
      <c r="B168" s="31">
        <v>45477</v>
      </c>
      <c r="C168" s="11" t="s">
        <v>27</v>
      </c>
      <c r="D168" s="210">
        <v>11447</v>
      </c>
      <c r="E168" s="11" t="s">
        <v>208</v>
      </c>
      <c r="F168" s="30" t="s">
        <v>73</v>
      </c>
      <c r="G168" s="30" t="s">
        <v>1782</v>
      </c>
      <c r="H168" s="16">
        <v>45597</v>
      </c>
      <c r="I168" s="115"/>
      <c r="J168" s="115"/>
      <c r="K168" s="115"/>
      <c r="L168" s="16"/>
      <c r="M168" s="16"/>
      <c r="N168" s="16"/>
      <c r="O168" s="16"/>
      <c r="P168" s="16"/>
      <c r="Q168" s="16"/>
      <c r="R168" s="16"/>
      <c r="S168" s="16"/>
      <c r="T168" s="7" t="s">
        <v>22</v>
      </c>
      <c r="U168" s="2"/>
      <c r="V168" s="16"/>
      <c r="W168" s="16"/>
      <c r="X168" s="24" t="s">
        <v>1714</v>
      </c>
      <c r="Y168" s="100"/>
      <c r="Z168" s="30" t="s">
        <v>54</v>
      </c>
      <c r="AA168" s="8">
        <v>45802</v>
      </c>
      <c r="AB168" s="10"/>
      <c r="AC168" s="10"/>
      <c r="AD168" s="21"/>
      <c r="AE168" s="10">
        <v>331045.44</v>
      </c>
      <c r="AF168" s="21"/>
      <c r="AG168" s="45"/>
      <c r="AH168" s="16"/>
    </row>
    <row r="169" spans="2:35" s="9" customFormat="1" ht="122.25" customHeight="1">
      <c r="B169" s="31">
        <v>45534</v>
      </c>
      <c r="C169" s="11" t="s">
        <v>27</v>
      </c>
      <c r="D169" s="2" t="s">
        <v>276</v>
      </c>
      <c r="E169" s="11" t="s">
        <v>275</v>
      </c>
      <c r="F169" s="30" t="s">
        <v>74</v>
      </c>
      <c r="G169" s="30" t="s">
        <v>1288</v>
      </c>
      <c r="H169" s="16">
        <v>45627</v>
      </c>
      <c r="I169" s="115"/>
      <c r="J169" s="115"/>
      <c r="K169" s="115"/>
      <c r="L169" s="115"/>
      <c r="M169" s="115"/>
      <c r="N169" s="115"/>
      <c r="O169" s="115"/>
      <c r="P169" s="115">
        <v>45723</v>
      </c>
      <c r="Q169" s="6" t="s">
        <v>860</v>
      </c>
      <c r="R169" s="115"/>
      <c r="S169" s="115">
        <v>45734</v>
      </c>
      <c r="T169" s="124" t="s">
        <v>22</v>
      </c>
      <c r="U169" s="2" t="s">
        <v>1021</v>
      </c>
      <c r="V169" s="31">
        <v>45716</v>
      </c>
      <c r="W169" s="31">
        <v>45729</v>
      </c>
      <c r="X169" s="24"/>
      <c r="Z169" s="30" t="s">
        <v>33</v>
      </c>
      <c r="AA169" s="8">
        <v>45772</v>
      </c>
      <c r="AB169" s="10"/>
      <c r="AC169" s="10"/>
      <c r="AD169" s="10"/>
      <c r="AE169" s="22">
        <v>1131627.46</v>
      </c>
      <c r="AF169" s="21"/>
      <c r="AG169" s="45"/>
      <c r="AH169" s="10">
        <v>1131627.46</v>
      </c>
    </row>
    <row r="170" spans="2:35" s="9" customFormat="1" ht="122.25" customHeight="1">
      <c r="B170" s="31">
        <v>45477</v>
      </c>
      <c r="C170" s="11" t="s">
        <v>27</v>
      </c>
      <c r="D170" s="2" t="s">
        <v>207</v>
      </c>
      <c r="E170" s="11" t="s">
        <v>208</v>
      </c>
      <c r="F170" s="30" t="s">
        <v>74</v>
      </c>
      <c r="G170" s="30" t="s">
        <v>1098</v>
      </c>
      <c r="H170" s="16">
        <v>45597</v>
      </c>
      <c r="I170" s="115"/>
      <c r="J170" s="115"/>
      <c r="K170" s="115"/>
      <c r="L170" s="115"/>
      <c r="M170" s="115"/>
      <c r="N170" s="115"/>
      <c r="O170" s="115"/>
      <c r="P170" s="115">
        <v>45723</v>
      </c>
      <c r="Q170" s="16" t="s">
        <v>860</v>
      </c>
      <c r="R170" s="115"/>
      <c r="S170" s="115">
        <v>45736</v>
      </c>
      <c r="T170" s="7" t="s">
        <v>22</v>
      </c>
      <c r="U170" s="2" t="s">
        <v>1187</v>
      </c>
      <c r="V170" s="16">
        <v>45716</v>
      </c>
      <c r="W170" s="16">
        <v>45729</v>
      </c>
      <c r="X170" s="24"/>
      <c r="Y170" s="100"/>
      <c r="Z170" s="30" t="s">
        <v>54</v>
      </c>
      <c r="AA170" s="8">
        <v>45773</v>
      </c>
      <c r="AB170" s="10"/>
      <c r="AC170" s="10"/>
      <c r="AD170" s="21"/>
      <c r="AE170" s="22">
        <v>575273.18000000005</v>
      </c>
      <c r="AF170" s="21"/>
      <c r="AG170" s="45"/>
      <c r="AH170" s="10">
        <v>575273.18000000005</v>
      </c>
    </row>
    <row r="171" spans="2:35" s="9" customFormat="1" ht="122.25" customHeight="1">
      <c r="B171" s="31">
        <v>45464</v>
      </c>
      <c r="C171" s="11" t="s">
        <v>27</v>
      </c>
      <c r="D171" s="2" t="s">
        <v>196</v>
      </c>
      <c r="E171" s="11" t="s">
        <v>197</v>
      </c>
      <c r="F171" s="30" t="s">
        <v>73</v>
      </c>
      <c r="G171" s="30" t="s">
        <v>1192</v>
      </c>
      <c r="H171" s="16">
        <v>45566</v>
      </c>
      <c r="I171" s="115"/>
      <c r="J171" s="115"/>
      <c r="K171" s="115"/>
      <c r="L171" s="115"/>
      <c r="M171" s="115"/>
      <c r="N171" s="115"/>
      <c r="O171" s="115"/>
      <c r="P171" s="115">
        <v>45723</v>
      </c>
      <c r="Q171" s="16" t="s">
        <v>1449</v>
      </c>
      <c r="R171" s="115"/>
      <c r="S171" s="115">
        <v>45736</v>
      </c>
      <c r="T171" s="7" t="s">
        <v>22</v>
      </c>
      <c r="U171" s="2" t="s">
        <v>1147</v>
      </c>
      <c r="V171" s="16">
        <v>45707</v>
      </c>
      <c r="W171" s="16">
        <v>45723</v>
      </c>
      <c r="X171" s="24"/>
      <c r="Y171" s="100"/>
      <c r="Z171" s="30" t="s">
        <v>195</v>
      </c>
      <c r="AA171" s="8">
        <v>45769</v>
      </c>
      <c r="AB171" s="65"/>
      <c r="AC171" s="10"/>
      <c r="AD171" s="21"/>
      <c r="AE171" s="22">
        <v>565674.56999999995</v>
      </c>
      <c r="AF171" s="21"/>
      <c r="AG171" s="45"/>
      <c r="AH171" s="118">
        <v>565674.56999999995</v>
      </c>
    </row>
    <row r="172" spans="2:35" s="9" customFormat="1" ht="122.25" customHeight="1">
      <c r="B172" s="31">
        <v>45464</v>
      </c>
      <c r="C172" s="11" t="s">
        <v>27</v>
      </c>
      <c r="D172" s="2" t="s">
        <v>196</v>
      </c>
      <c r="E172" s="11" t="s">
        <v>197</v>
      </c>
      <c r="F172" s="30" t="s">
        <v>73</v>
      </c>
      <c r="G172" s="30" t="s">
        <v>1622</v>
      </c>
      <c r="H172" s="16">
        <v>45566</v>
      </c>
      <c r="I172" s="115"/>
      <c r="J172" s="115"/>
      <c r="K172" s="115"/>
      <c r="L172" s="16"/>
      <c r="M172" s="24"/>
      <c r="N172" s="100"/>
      <c r="O172" s="30"/>
      <c r="P172" s="8"/>
      <c r="Q172" s="65"/>
      <c r="R172" s="10"/>
      <c r="S172" s="21"/>
      <c r="T172" s="7" t="s">
        <v>22</v>
      </c>
      <c r="U172" s="21"/>
      <c r="V172" s="45"/>
      <c r="W172" s="16"/>
      <c r="X172" s="188" t="s">
        <v>1623</v>
      </c>
      <c r="AA172" s="62">
        <v>45838</v>
      </c>
      <c r="AE172" s="9">
        <v>120980</v>
      </c>
    </row>
    <row r="173" spans="2:35" s="9" customFormat="1" ht="122.25" customHeight="1">
      <c r="B173" s="31">
        <v>45477</v>
      </c>
      <c r="C173" s="11" t="s">
        <v>27</v>
      </c>
      <c r="D173" s="82" t="s">
        <v>209</v>
      </c>
      <c r="E173" s="11" t="s">
        <v>210</v>
      </c>
      <c r="F173" s="30" t="s">
        <v>73</v>
      </c>
      <c r="G173" s="30" t="s">
        <v>1626</v>
      </c>
      <c r="H173" s="16">
        <v>45590</v>
      </c>
      <c r="I173" s="115"/>
      <c r="J173" s="115"/>
      <c r="K173" s="115"/>
      <c r="L173" s="6"/>
      <c r="M173" s="6"/>
      <c r="N173" s="6"/>
      <c r="O173" s="6"/>
      <c r="P173" s="6"/>
      <c r="Q173" s="6"/>
      <c r="R173" s="6"/>
      <c r="S173" s="6"/>
      <c r="T173" s="7" t="s">
        <v>22</v>
      </c>
      <c r="U173" s="2"/>
      <c r="V173" s="16"/>
      <c r="W173" s="16"/>
      <c r="X173" s="27" t="s">
        <v>1625</v>
      </c>
      <c r="Y173" s="100"/>
      <c r="Z173" s="30" t="s">
        <v>54</v>
      </c>
      <c r="AA173" s="8"/>
      <c r="AB173" s="10"/>
      <c r="AC173" s="10"/>
      <c r="AD173" s="21"/>
      <c r="AE173" s="23"/>
      <c r="AF173" s="21"/>
      <c r="AG173" s="45"/>
      <c r="AH173" s="10"/>
    </row>
    <row r="174" spans="2:35" s="9" customFormat="1" ht="122.25" customHeight="1">
      <c r="B174" s="9">
        <f t="shared" ref="B174:B181" ca="1" si="0">TODAY()-I174+1</f>
        <v>454</v>
      </c>
      <c r="C174" s="31">
        <v>45645</v>
      </c>
      <c r="D174" s="2" t="s">
        <v>24</v>
      </c>
      <c r="E174" s="2" t="s">
        <v>726</v>
      </c>
      <c r="F174" s="11" t="s">
        <v>727</v>
      </c>
      <c r="G174" s="30" t="s">
        <v>177</v>
      </c>
      <c r="H174" s="30" t="s">
        <v>728</v>
      </c>
      <c r="I174" s="16">
        <v>45740</v>
      </c>
      <c r="J174" s="115"/>
      <c r="K174" s="115"/>
      <c r="L174" s="115"/>
      <c r="M174" s="115"/>
      <c r="N174" s="115" t="s">
        <v>893</v>
      </c>
      <c r="O174" s="115"/>
      <c r="P174" s="115"/>
      <c r="Q174" s="115">
        <v>45734</v>
      </c>
      <c r="R174" s="115">
        <v>45720</v>
      </c>
      <c r="S174" s="115"/>
      <c r="T174" s="115"/>
      <c r="U174" s="7" t="s">
        <v>22</v>
      </c>
      <c r="V174" s="2" t="s">
        <v>1114</v>
      </c>
      <c r="W174" s="16">
        <v>45718</v>
      </c>
      <c r="X174" s="16">
        <v>45744</v>
      </c>
      <c r="Y174" s="24" t="s">
        <v>1533</v>
      </c>
      <c r="Z174" s="100"/>
      <c r="AA174" s="30" t="s">
        <v>327</v>
      </c>
      <c r="AB174" s="8">
        <v>45776</v>
      </c>
      <c r="AC174" s="61"/>
      <c r="AD174" s="22">
        <v>25560</v>
      </c>
      <c r="AE174" s="21"/>
      <c r="AF174" s="21"/>
      <c r="AG174" s="21"/>
      <c r="AH174" s="45"/>
      <c r="AI174" s="23"/>
    </row>
    <row r="175" spans="2:35" s="9" customFormat="1" ht="122.25" customHeight="1">
      <c r="B175" s="9">
        <f t="shared" ca="1" si="0"/>
        <v>416</v>
      </c>
      <c r="C175" s="31">
        <v>45680</v>
      </c>
      <c r="D175" s="11" t="s">
        <v>24</v>
      </c>
      <c r="E175" s="2" t="s">
        <v>819</v>
      </c>
      <c r="F175" s="11" t="s">
        <v>820</v>
      </c>
      <c r="G175" s="30" t="s">
        <v>821</v>
      </c>
      <c r="H175" s="30" t="s">
        <v>1054</v>
      </c>
      <c r="I175" s="16">
        <v>45778</v>
      </c>
      <c r="J175" s="115"/>
      <c r="K175" s="115"/>
      <c r="L175" s="115"/>
      <c r="M175" s="115"/>
      <c r="N175" s="115">
        <v>45748</v>
      </c>
      <c r="O175" s="115"/>
      <c r="P175" s="115"/>
      <c r="Q175" s="115">
        <v>45763</v>
      </c>
      <c r="R175" s="115">
        <v>45770</v>
      </c>
      <c r="S175" s="115"/>
      <c r="T175" s="115"/>
      <c r="U175" s="7" t="s">
        <v>22</v>
      </c>
      <c r="V175" s="2" t="s">
        <v>1448</v>
      </c>
      <c r="W175" s="16">
        <v>45759</v>
      </c>
      <c r="X175" s="16">
        <v>45772</v>
      </c>
      <c r="Y175" s="107"/>
      <c r="Z175" s="100"/>
      <c r="AA175" s="30" t="s">
        <v>822</v>
      </c>
      <c r="AB175" s="8">
        <v>45772</v>
      </c>
      <c r="AC175" s="10"/>
      <c r="AD175" s="10"/>
      <c r="AE175" s="21"/>
      <c r="AF175" s="29">
        <v>195000</v>
      </c>
      <c r="AG175" s="21"/>
      <c r="AH175" s="45"/>
      <c r="AI175" s="23">
        <v>195000</v>
      </c>
    </row>
    <row r="176" spans="2:35" s="9" customFormat="1" ht="122.25" customHeight="1">
      <c r="B176" s="9">
        <f t="shared" ca="1" si="0"/>
        <v>464</v>
      </c>
      <c r="C176" s="31">
        <v>45726</v>
      </c>
      <c r="D176" s="2" t="s">
        <v>24</v>
      </c>
      <c r="E176" s="2" t="s">
        <v>1207</v>
      </c>
      <c r="F176" s="11" t="s">
        <v>1208</v>
      </c>
      <c r="G176" s="30" t="s">
        <v>95</v>
      </c>
      <c r="H176" s="30" t="s">
        <v>1210</v>
      </c>
      <c r="I176" s="16">
        <v>45730</v>
      </c>
      <c r="J176" s="115"/>
      <c r="K176" s="115"/>
      <c r="L176" s="115"/>
      <c r="M176" s="115"/>
      <c r="N176" s="115"/>
      <c r="O176" s="115"/>
      <c r="P176" s="115"/>
      <c r="Q176" s="115">
        <v>45729</v>
      </c>
      <c r="R176" s="115">
        <v>45729</v>
      </c>
      <c r="S176" s="115"/>
      <c r="T176" s="115"/>
      <c r="U176" s="7" t="s">
        <v>22</v>
      </c>
      <c r="V176" s="11" t="s">
        <v>1211</v>
      </c>
      <c r="W176" s="16">
        <v>45704</v>
      </c>
      <c r="X176" s="16">
        <v>45761</v>
      </c>
      <c r="Y176" s="24"/>
      <c r="Z176" s="100"/>
      <c r="AA176" s="30" t="s">
        <v>1206</v>
      </c>
      <c r="AB176" s="8">
        <v>45763</v>
      </c>
      <c r="AC176" s="10"/>
      <c r="AD176" s="22">
        <v>137591.64000000001</v>
      </c>
      <c r="AE176" s="21"/>
      <c r="AF176" s="21"/>
      <c r="AG176" s="21"/>
      <c r="AH176" s="45"/>
      <c r="AI176" s="23">
        <v>137591.64000000001</v>
      </c>
    </row>
    <row r="177" spans="1:35" s="9" customFormat="1" ht="112.5">
      <c r="B177" s="9">
        <f t="shared" ca="1" si="0"/>
        <v>482</v>
      </c>
      <c r="C177" s="31">
        <v>45617</v>
      </c>
      <c r="D177" s="2" t="s">
        <v>24</v>
      </c>
      <c r="E177" s="2" t="s">
        <v>469</v>
      </c>
      <c r="F177" s="11" t="s">
        <v>470</v>
      </c>
      <c r="G177" s="30" t="s">
        <v>36</v>
      </c>
      <c r="H177" s="30" t="s">
        <v>1234</v>
      </c>
      <c r="I177" s="16">
        <v>45712</v>
      </c>
      <c r="J177" s="115"/>
      <c r="K177" s="115"/>
      <c r="L177" s="115"/>
      <c r="M177" s="115"/>
      <c r="N177" s="115"/>
      <c r="O177" s="115"/>
      <c r="P177" s="115"/>
      <c r="Q177" s="115">
        <v>45756</v>
      </c>
      <c r="R177" s="115">
        <v>45737</v>
      </c>
      <c r="S177" s="115"/>
      <c r="T177" s="115"/>
      <c r="U177" s="7" t="s">
        <v>30</v>
      </c>
      <c r="V177" s="16" t="s">
        <v>1231</v>
      </c>
      <c r="W177" s="16">
        <v>45744</v>
      </c>
      <c r="X177" s="16">
        <v>45753</v>
      </c>
      <c r="Y177" s="4"/>
      <c r="Z177" s="100"/>
      <c r="AA177" s="30" t="s">
        <v>119</v>
      </c>
      <c r="AB177" s="8">
        <v>45781</v>
      </c>
      <c r="AC177" s="22">
        <v>229955.98</v>
      </c>
      <c r="AD177" s="10"/>
      <c r="AE177" s="21"/>
      <c r="AF177" s="21"/>
      <c r="AG177" s="21"/>
      <c r="AH177" s="45"/>
      <c r="AI177" s="23"/>
    </row>
    <row r="178" spans="1:35" s="9" customFormat="1" ht="409.5">
      <c r="B178" s="9">
        <f t="shared" ca="1" si="0"/>
        <v>454</v>
      </c>
      <c r="C178" s="31">
        <v>45632</v>
      </c>
      <c r="D178" s="2" t="s">
        <v>24</v>
      </c>
      <c r="E178" s="2" t="s">
        <v>729</v>
      </c>
      <c r="F178" s="11" t="s">
        <v>730</v>
      </c>
      <c r="G178" s="30" t="s">
        <v>36</v>
      </c>
      <c r="H178" s="30" t="s">
        <v>1230</v>
      </c>
      <c r="I178" s="16">
        <v>45740</v>
      </c>
      <c r="J178" s="115"/>
      <c r="K178" s="115"/>
      <c r="L178" s="115"/>
      <c r="M178" s="115"/>
      <c r="N178" s="115"/>
      <c r="O178" s="115"/>
      <c r="P178" s="115"/>
      <c r="Q178" s="115">
        <v>45756</v>
      </c>
      <c r="R178" s="115">
        <v>45737</v>
      </c>
      <c r="S178" s="115"/>
      <c r="T178" s="115"/>
      <c r="U178" s="7" t="s">
        <v>30</v>
      </c>
      <c r="V178" s="16" t="s">
        <v>1231</v>
      </c>
      <c r="W178" s="16">
        <v>45744</v>
      </c>
      <c r="X178" s="16" t="s">
        <v>1490</v>
      </c>
      <c r="Y178" s="4" t="s">
        <v>1486</v>
      </c>
      <c r="Z178" s="100"/>
      <c r="AA178" s="30" t="s">
        <v>113</v>
      </c>
      <c r="AB178" s="8">
        <v>45781</v>
      </c>
      <c r="AC178" s="22">
        <v>643095.93999999994</v>
      </c>
      <c r="AD178" s="23"/>
      <c r="AE178" s="21"/>
      <c r="AF178" s="21"/>
      <c r="AG178" s="21"/>
      <c r="AH178" s="45"/>
      <c r="AI178" s="23"/>
    </row>
    <row r="179" spans="1:35" s="9" customFormat="1" ht="122.25" customHeight="1">
      <c r="B179" s="9">
        <f t="shared" ca="1" si="0"/>
        <v>454</v>
      </c>
      <c r="C179" s="31">
        <v>45678</v>
      </c>
      <c r="D179" s="2" t="s">
        <v>24</v>
      </c>
      <c r="E179" s="2" t="s">
        <v>754</v>
      </c>
      <c r="F179" s="11" t="s">
        <v>755</v>
      </c>
      <c r="G179" s="30" t="s">
        <v>36</v>
      </c>
      <c r="H179" s="30" t="s">
        <v>1235</v>
      </c>
      <c r="I179" s="16">
        <v>45740</v>
      </c>
      <c r="J179" s="115"/>
      <c r="K179" s="115"/>
      <c r="L179" s="115"/>
      <c r="M179" s="115"/>
      <c r="N179" s="115"/>
      <c r="O179" s="115"/>
      <c r="P179" s="115"/>
      <c r="Q179" s="115">
        <v>45756</v>
      </c>
      <c r="R179" s="115">
        <v>45737</v>
      </c>
      <c r="S179" s="115"/>
      <c r="T179" s="115"/>
      <c r="U179" s="7" t="s">
        <v>30</v>
      </c>
      <c r="V179" s="2" t="s">
        <v>1231</v>
      </c>
      <c r="W179" s="16">
        <v>45744</v>
      </c>
      <c r="X179" s="16">
        <v>45753</v>
      </c>
      <c r="Y179" s="24"/>
      <c r="Z179" s="100"/>
      <c r="AA179" s="30" t="s">
        <v>324</v>
      </c>
      <c r="AB179" s="8">
        <v>45781</v>
      </c>
      <c r="AC179" s="22">
        <v>241944.89</v>
      </c>
      <c r="AD179" s="10"/>
      <c r="AE179" s="21"/>
      <c r="AF179" s="21"/>
      <c r="AG179" s="21"/>
      <c r="AH179" s="45"/>
      <c r="AI179" s="23"/>
    </row>
    <row r="180" spans="1:35" s="9" customFormat="1" ht="122.25" customHeight="1">
      <c r="B180" s="9">
        <f t="shared" ca="1" si="0"/>
        <v>482</v>
      </c>
      <c r="C180" s="31">
        <v>45688</v>
      </c>
      <c r="D180" s="2" t="s">
        <v>24</v>
      </c>
      <c r="E180" s="2" t="s">
        <v>775</v>
      </c>
      <c r="F180" s="11" t="s">
        <v>776</v>
      </c>
      <c r="G180" s="125" t="s">
        <v>154</v>
      </c>
      <c r="H180" s="30" t="s">
        <v>1236</v>
      </c>
      <c r="I180" s="16">
        <v>45712</v>
      </c>
      <c r="J180" s="115"/>
      <c r="K180" s="115"/>
      <c r="L180" s="115"/>
      <c r="M180" s="115"/>
      <c r="N180" s="115"/>
      <c r="O180" s="115"/>
      <c r="P180" s="115"/>
      <c r="Q180" s="115"/>
      <c r="R180" s="115">
        <v>45756</v>
      </c>
      <c r="S180" s="115"/>
      <c r="T180" s="115"/>
      <c r="U180" s="7" t="s">
        <v>25</v>
      </c>
      <c r="V180" s="172" t="s">
        <v>1335</v>
      </c>
      <c r="W180" s="16">
        <v>45737</v>
      </c>
      <c r="X180" s="16">
        <v>45738</v>
      </c>
      <c r="Y180" s="24" t="s">
        <v>69</v>
      </c>
      <c r="Z180" s="100"/>
      <c r="AA180" s="30" t="s">
        <v>119</v>
      </c>
      <c r="AB180" s="8">
        <v>45780</v>
      </c>
      <c r="AC180" s="10"/>
      <c r="AD180" s="22">
        <v>1760</v>
      </c>
      <c r="AE180" s="21"/>
      <c r="AF180" s="21"/>
      <c r="AG180" s="21"/>
      <c r="AH180" s="45"/>
      <c r="AI180" s="23">
        <v>1760</v>
      </c>
    </row>
    <row r="181" spans="1:35" s="9" customFormat="1" ht="122.25" customHeight="1">
      <c r="B181" s="9">
        <f t="shared" ca="1" si="0"/>
        <v>597</v>
      </c>
      <c r="C181" s="31">
        <v>45477</v>
      </c>
      <c r="D181" s="11" t="s">
        <v>27</v>
      </c>
      <c r="E181" s="2" t="s">
        <v>207</v>
      </c>
      <c r="F181" s="11" t="s">
        <v>208</v>
      </c>
      <c r="G181" s="30" t="s">
        <v>74</v>
      </c>
      <c r="H181" s="30" t="s">
        <v>1098</v>
      </c>
      <c r="I181" s="16">
        <v>45597</v>
      </c>
      <c r="J181" s="115"/>
      <c r="K181" s="115"/>
      <c r="L181" s="115"/>
      <c r="M181" s="115"/>
      <c r="N181" s="115"/>
      <c r="O181" s="115"/>
      <c r="P181" s="115"/>
      <c r="Q181" s="115">
        <v>45723</v>
      </c>
      <c r="R181" s="16" t="s">
        <v>860</v>
      </c>
      <c r="S181" s="115"/>
      <c r="T181" s="115">
        <v>45736</v>
      </c>
      <c r="U181" s="7" t="s">
        <v>22</v>
      </c>
      <c r="V181" s="2" t="s">
        <v>1187</v>
      </c>
      <c r="W181" s="16">
        <v>45716</v>
      </c>
      <c r="X181" s="16">
        <v>45729</v>
      </c>
      <c r="Y181" s="24"/>
      <c r="Z181" s="100"/>
      <c r="AA181" s="30" t="s">
        <v>54</v>
      </c>
      <c r="AB181" s="8">
        <v>45773</v>
      </c>
      <c r="AC181" s="10"/>
      <c r="AD181" s="10"/>
      <c r="AE181" s="21"/>
      <c r="AF181" s="22">
        <v>575273.18000000005</v>
      </c>
      <c r="AG181" s="21"/>
      <c r="AH181" s="45"/>
      <c r="AI181" s="10">
        <v>575273.18000000005</v>
      </c>
    </row>
    <row r="182" spans="1:35" s="9" customFormat="1" ht="122.25" customHeight="1">
      <c r="A182" s="9">
        <f t="shared" ref="A182:A204" ca="1" si="1">TODAY()-H182+1</f>
        <v>446</v>
      </c>
      <c r="B182" s="31">
        <v>45642</v>
      </c>
      <c r="C182" s="11" t="s">
        <v>694</v>
      </c>
      <c r="D182" s="2" t="s">
        <v>579</v>
      </c>
      <c r="E182" s="11" t="s">
        <v>580</v>
      </c>
      <c r="F182" s="30" t="s">
        <v>44</v>
      </c>
      <c r="G182" s="30" t="s">
        <v>1547</v>
      </c>
      <c r="H182" s="16">
        <v>45748</v>
      </c>
      <c r="I182" s="115"/>
      <c r="J182" s="115"/>
      <c r="K182" s="115"/>
      <c r="L182" s="115"/>
      <c r="M182" s="115"/>
      <c r="N182" s="115"/>
      <c r="O182" s="115"/>
      <c r="P182" s="115" t="s">
        <v>1494</v>
      </c>
      <c r="Q182" s="115">
        <v>45727</v>
      </c>
      <c r="R182" s="115"/>
      <c r="S182" s="115"/>
      <c r="T182" s="7" t="s">
        <v>22</v>
      </c>
      <c r="U182" s="16" t="s">
        <v>1617</v>
      </c>
      <c r="V182" s="16">
        <v>45724</v>
      </c>
      <c r="W182" s="16">
        <v>45772</v>
      </c>
      <c r="X182" s="4"/>
      <c r="Y182" s="100"/>
      <c r="Z182" s="30" t="s">
        <v>33</v>
      </c>
      <c r="AA182" s="8">
        <v>45770</v>
      </c>
      <c r="AB182" s="10"/>
      <c r="AC182" s="22">
        <v>135494.82999999999</v>
      </c>
      <c r="AD182" s="21"/>
      <c r="AE182" s="21"/>
      <c r="AF182" s="21"/>
      <c r="AG182" s="45"/>
      <c r="AH182" s="23"/>
    </row>
    <row r="183" spans="1:35" s="9" customFormat="1" ht="75">
      <c r="A183" s="9">
        <f t="shared" ca="1" si="1"/>
        <v>537</v>
      </c>
      <c r="B183" s="31">
        <v>45610</v>
      </c>
      <c r="C183" s="11" t="s">
        <v>27</v>
      </c>
      <c r="D183" s="2" t="s">
        <v>451</v>
      </c>
      <c r="E183" s="11" t="s">
        <v>452</v>
      </c>
      <c r="F183" s="30" t="s">
        <v>453</v>
      </c>
      <c r="G183" s="30" t="s">
        <v>454</v>
      </c>
      <c r="H183" s="16">
        <v>45657</v>
      </c>
      <c r="I183" s="115"/>
      <c r="J183" s="115"/>
      <c r="K183" s="115"/>
      <c r="L183" s="115"/>
      <c r="M183" s="115"/>
      <c r="N183" s="115"/>
      <c r="O183" s="115"/>
      <c r="P183" s="115">
        <v>45727</v>
      </c>
      <c r="Q183" s="16" t="s">
        <v>860</v>
      </c>
      <c r="R183" s="115"/>
      <c r="S183" s="115">
        <v>45772</v>
      </c>
      <c r="T183" s="7" t="s">
        <v>215</v>
      </c>
      <c r="U183" s="16" t="s">
        <v>1061</v>
      </c>
      <c r="V183" s="16" t="s">
        <v>903</v>
      </c>
      <c r="W183" s="16">
        <v>45738</v>
      </c>
      <c r="X183" s="24" t="s">
        <v>1612</v>
      </c>
      <c r="Z183" s="30" t="s">
        <v>61</v>
      </c>
      <c r="AA183" s="8">
        <v>45618</v>
      </c>
      <c r="AB183" s="10"/>
      <c r="AC183" s="22">
        <v>43916.33</v>
      </c>
      <c r="AD183" s="10"/>
      <c r="AE183" s="10"/>
      <c r="AF183" s="21"/>
      <c r="AG183" s="45"/>
      <c r="AH183" s="23"/>
    </row>
    <row r="184" spans="1:35" s="9" customFormat="1" ht="122.25" customHeight="1">
      <c r="A184" s="9">
        <f t="shared" ca="1" si="1"/>
        <v>436</v>
      </c>
      <c r="B184" s="31">
        <v>45735</v>
      </c>
      <c r="C184" s="2" t="s">
        <v>24</v>
      </c>
      <c r="D184" s="2" t="s">
        <v>1326</v>
      </c>
      <c r="E184" s="11" t="s">
        <v>1327</v>
      </c>
      <c r="F184" s="30" t="s">
        <v>295</v>
      </c>
      <c r="G184" s="30" t="s">
        <v>1214</v>
      </c>
      <c r="H184" s="16">
        <v>45758</v>
      </c>
      <c r="I184" s="115"/>
      <c r="J184" s="115"/>
      <c r="K184" s="115"/>
      <c r="L184" s="115"/>
      <c r="M184" s="115"/>
      <c r="N184" s="115"/>
      <c r="O184" s="115"/>
      <c r="P184" s="115">
        <v>45736</v>
      </c>
      <c r="Q184" s="115">
        <v>45735</v>
      </c>
      <c r="R184" s="115"/>
      <c r="S184" s="115"/>
      <c r="T184" s="7" t="s">
        <v>22</v>
      </c>
      <c r="U184" s="2" t="s">
        <v>1228</v>
      </c>
      <c r="V184" s="16">
        <v>45723</v>
      </c>
      <c r="W184" s="16">
        <v>45765</v>
      </c>
      <c r="X184" s="24"/>
      <c r="Y184" s="100"/>
      <c r="Z184" s="30" t="s">
        <v>29</v>
      </c>
      <c r="AA184" s="8">
        <v>45784</v>
      </c>
      <c r="AB184" s="10"/>
      <c r="AC184" s="22">
        <v>91855.13</v>
      </c>
      <c r="AD184" s="21"/>
      <c r="AE184" s="21"/>
      <c r="AF184" s="21"/>
      <c r="AG184" s="45"/>
      <c r="AH184" s="23">
        <v>91855.13</v>
      </c>
    </row>
    <row r="185" spans="1:35" s="9" customFormat="1" ht="122.25" customHeight="1">
      <c r="A185" s="9">
        <f t="shared" ca="1" si="1"/>
        <v>454</v>
      </c>
      <c r="B185" s="31">
        <v>45645</v>
      </c>
      <c r="C185" s="2" t="s">
        <v>24</v>
      </c>
      <c r="D185" s="2" t="s">
        <v>723</v>
      </c>
      <c r="E185" s="11" t="s">
        <v>724</v>
      </c>
      <c r="F185" s="30" t="s">
        <v>62</v>
      </c>
      <c r="G185" s="30" t="s">
        <v>725</v>
      </c>
      <c r="H185" s="16">
        <v>45740</v>
      </c>
      <c r="I185" s="115"/>
      <c r="J185" s="115"/>
      <c r="K185" s="115"/>
      <c r="L185" s="115"/>
      <c r="M185" s="115"/>
      <c r="N185" s="115"/>
      <c r="O185" s="115"/>
      <c r="P185" s="115"/>
      <c r="Q185" s="115">
        <v>45713</v>
      </c>
      <c r="R185" s="115"/>
      <c r="S185" s="115"/>
      <c r="T185" s="7" t="s">
        <v>20</v>
      </c>
      <c r="U185" s="2" t="s">
        <v>1331</v>
      </c>
      <c r="V185" s="16">
        <v>45742</v>
      </c>
      <c r="W185" s="16">
        <v>45770</v>
      </c>
      <c r="X185" s="24"/>
      <c r="Y185" s="100"/>
      <c r="Z185" s="30" t="s">
        <v>103</v>
      </c>
      <c r="AA185" s="8">
        <v>45783</v>
      </c>
      <c r="AB185" s="61"/>
      <c r="AC185" s="22">
        <v>19400</v>
      </c>
      <c r="AD185" s="21"/>
      <c r="AE185" s="21"/>
      <c r="AF185" s="21"/>
      <c r="AG185" s="45"/>
      <c r="AH185" s="23"/>
    </row>
    <row r="186" spans="1:35" s="9" customFormat="1" ht="122.25" customHeight="1">
      <c r="A186" s="9">
        <f t="shared" ca="1" si="1"/>
        <v>416</v>
      </c>
      <c r="B186" s="31">
        <v>45719</v>
      </c>
      <c r="C186" s="2" t="s">
        <v>694</v>
      </c>
      <c r="D186" s="2" t="s">
        <v>1104</v>
      </c>
      <c r="E186" s="11" t="s">
        <v>1105</v>
      </c>
      <c r="F186" s="30" t="s">
        <v>740</v>
      </c>
      <c r="G186" s="30" t="s">
        <v>1106</v>
      </c>
      <c r="H186" s="16">
        <v>45778</v>
      </c>
      <c r="I186" s="115"/>
      <c r="J186" s="115"/>
      <c r="K186" s="115"/>
      <c r="L186" s="115"/>
      <c r="M186" s="115"/>
      <c r="N186" s="115"/>
      <c r="O186" s="115"/>
      <c r="P186" s="115"/>
      <c r="Q186" s="115">
        <v>45754</v>
      </c>
      <c r="R186" s="115"/>
      <c r="S186" s="115">
        <v>45786</v>
      </c>
      <c r="T186" s="7" t="s">
        <v>22</v>
      </c>
      <c r="U186" s="2" t="s">
        <v>1345</v>
      </c>
      <c r="V186" s="16">
        <v>45730</v>
      </c>
      <c r="W186" s="16">
        <v>45774</v>
      </c>
      <c r="X186" s="4"/>
      <c r="Z186" s="30" t="s">
        <v>742</v>
      </c>
      <c r="AA186" s="8">
        <v>45750</v>
      </c>
      <c r="AB186" s="22">
        <v>2038.95</v>
      </c>
      <c r="AC186" s="10"/>
      <c r="AD186" s="21"/>
      <c r="AE186" s="21"/>
      <c r="AF186" s="21"/>
      <c r="AG186" s="45"/>
      <c r="AH186" s="23">
        <v>2038.95</v>
      </c>
    </row>
    <row r="187" spans="1:35" s="9" customFormat="1" ht="122.25" customHeight="1">
      <c r="A187" s="9">
        <f t="shared" ca="1" si="1"/>
        <v>437</v>
      </c>
      <c r="B187" s="31">
        <v>45723</v>
      </c>
      <c r="C187" s="2" t="s">
        <v>694</v>
      </c>
      <c r="D187" s="2" t="s">
        <v>1155</v>
      </c>
      <c r="E187" s="11" t="s">
        <v>1156</v>
      </c>
      <c r="F187" s="30" t="s">
        <v>1722</v>
      </c>
      <c r="G187" s="30" t="s">
        <v>1157</v>
      </c>
      <c r="H187" s="16">
        <v>45757</v>
      </c>
      <c r="I187" s="115"/>
      <c r="J187" s="115"/>
      <c r="K187" s="115"/>
      <c r="L187" s="115"/>
      <c r="M187" s="115"/>
      <c r="N187" s="115"/>
      <c r="O187" s="115"/>
      <c r="P187" s="115"/>
      <c r="Q187" s="115">
        <v>45762</v>
      </c>
      <c r="R187" s="115"/>
      <c r="S187" s="115"/>
      <c r="T187" s="7" t="s">
        <v>22</v>
      </c>
      <c r="U187" s="2" t="s">
        <v>1545</v>
      </c>
      <c r="V187" s="16">
        <v>45754</v>
      </c>
      <c r="W187" s="16">
        <v>45759</v>
      </c>
      <c r="X187" s="4"/>
      <c r="Y187" s="100"/>
      <c r="Z187" s="30" t="s">
        <v>1158</v>
      </c>
      <c r="AA187" s="8">
        <v>45782</v>
      </c>
      <c r="AB187" s="10"/>
      <c r="AC187" s="10"/>
      <c r="AD187" s="21"/>
      <c r="AE187" s="29">
        <v>162246</v>
      </c>
      <c r="AF187" s="21"/>
      <c r="AG187" s="45"/>
      <c r="AH187" s="23">
        <v>162246</v>
      </c>
    </row>
    <row r="188" spans="1:35" s="9" customFormat="1" ht="122.25" customHeight="1">
      <c r="A188" s="9">
        <f t="shared" ca="1" si="1"/>
        <v>477</v>
      </c>
      <c r="B188" s="31">
        <v>45614</v>
      </c>
      <c r="C188" s="11" t="s">
        <v>27</v>
      </c>
      <c r="D188" s="2" t="s">
        <v>498</v>
      </c>
      <c r="E188" s="11" t="s">
        <v>499</v>
      </c>
      <c r="F188" s="30" t="s">
        <v>73</v>
      </c>
      <c r="G188" s="30" t="s">
        <v>1188</v>
      </c>
      <c r="H188" s="16">
        <v>45717</v>
      </c>
      <c r="I188" s="115"/>
      <c r="J188" s="115"/>
      <c r="K188" s="115"/>
      <c r="L188" s="115"/>
      <c r="M188" s="115"/>
      <c r="N188" s="115"/>
      <c r="O188" s="115"/>
      <c r="P188" s="115"/>
      <c r="Q188" s="6" t="s">
        <v>851</v>
      </c>
      <c r="R188" s="115"/>
      <c r="S188" s="115">
        <v>45750</v>
      </c>
      <c r="T188" s="7" t="s">
        <v>22</v>
      </c>
      <c r="U188" s="16" t="s">
        <v>1039</v>
      </c>
      <c r="V188" s="16" t="s">
        <v>1189</v>
      </c>
      <c r="W188" s="16">
        <v>45734</v>
      </c>
      <c r="X188" s="24"/>
      <c r="Z188" s="30" t="s">
        <v>54</v>
      </c>
      <c r="AA188" s="8">
        <v>45787</v>
      </c>
      <c r="AB188" s="10"/>
      <c r="AC188" s="10"/>
      <c r="AD188" s="10"/>
      <c r="AE188" s="135">
        <v>741409.65</v>
      </c>
      <c r="AF188" s="21"/>
      <c r="AG188" s="45"/>
      <c r="AH188" s="23"/>
    </row>
    <row r="189" spans="1:35" s="9" customFormat="1" ht="37.5">
      <c r="A189" s="9">
        <f t="shared" ca="1" si="1"/>
        <v>726</v>
      </c>
      <c r="B189" s="31">
        <v>45433</v>
      </c>
      <c r="C189" s="11" t="s">
        <v>40</v>
      </c>
      <c r="D189" s="2" t="s">
        <v>157</v>
      </c>
      <c r="E189" s="11" t="s">
        <v>158</v>
      </c>
      <c r="F189" s="30" t="s">
        <v>73</v>
      </c>
      <c r="G189" s="30" t="s">
        <v>1290</v>
      </c>
      <c r="H189" s="16">
        <v>45468</v>
      </c>
      <c r="I189" s="115"/>
      <c r="J189" s="115"/>
      <c r="K189" s="115"/>
      <c r="L189" s="115"/>
      <c r="M189" s="115"/>
      <c r="N189" s="115"/>
      <c r="O189" s="115"/>
      <c r="P189" s="115">
        <v>45723</v>
      </c>
      <c r="Q189" s="6" t="s">
        <v>860</v>
      </c>
      <c r="R189" s="115"/>
      <c r="S189" s="115">
        <v>45735</v>
      </c>
      <c r="T189" s="7" t="s">
        <v>22</v>
      </c>
      <c r="U189" s="2" t="s">
        <v>1147</v>
      </c>
      <c r="V189" s="67">
        <v>45707</v>
      </c>
      <c r="W189" s="16">
        <v>45723</v>
      </c>
      <c r="X189" s="24"/>
      <c r="Y189" s="100"/>
      <c r="Z189" s="30" t="s">
        <v>33</v>
      </c>
      <c r="AA189" s="8">
        <v>45769</v>
      </c>
      <c r="AB189" s="10"/>
      <c r="AC189" s="10"/>
      <c r="AD189" s="21"/>
      <c r="AE189" s="22">
        <v>568930.36</v>
      </c>
      <c r="AF189" s="21"/>
      <c r="AG189" s="45"/>
      <c r="AH189" s="10">
        <v>568930.36</v>
      </c>
    </row>
    <row r="190" spans="1:35" s="9" customFormat="1" ht="122.25" customHeight="1">
      <c r="A190" s="9">
        <f t="shared" ca="1" si="1"/>
        <v>331</v>
      </c>
      <c r="B190" s="31">
        <v>45433</v>
      </c>
      <c r="C190" s="11" t="s">
        <v>27</v>
      </c>
      <c r="D190" s="2" t="s">
        <v>159</v>
      </c>
      <c r="E190" s="11" t="s">
        <v>158</v>
      </c>
      <c r="F190" s="30" t="s">
        <v>73</v>
      </c>
      <c r="G190" s="30" t="s">
        <v>1193</v>
      </c>
      <c r="H190" s="16">
        <v>45863</v>
      </c>
      <c r="I190" s="115"/>
      <c r="J190" s="115"/>
      <c r="K190" s="115"/>
      <c r="L190" s="115"/>
      <c r="M190" s="115"/>
      <c r="N190" s="115"/>
      <c r="O190" s="115"/>
      <c r="P190" s="115">
        <v>45723</v>
      </c>
      <c r="Q190" s="6" t="s">
        <v>1278</v>
      </c>
      <c r="R190" s="115"/>
      <c r="S190" s="115">
        <v>45736</v>
      </c>
      <c r="T190" s="7" t="s">
        <v>22</v>
      </c>
      <c r="U190" s="2" t="s">
        <v>1147</v>
      </c>
      <c r="V190" s="16">
        <v>45707</v>
      </c>
      <c r="W190" s="16">
        <v>45723</v>
      </c>
      <c r="X190" s="24"/>
      <c r="Y190" s="100"/>
      <c r="Z190" s="30" t="s">
        <v>33</v>
      </c>
      <c r="AA190" s="8">
        <v>45770</v>
      </c>
      <c r="AB190" s="10"/>
      <c r="AC190" s="10"/>
      <c r="AD190" s="21"/>
      <c r="AE190" s="135">
        <v>564004.68000000005</v>
      </c>
      <c r="AF190" s="21"/>
      <c r="AG190" s="45"/>
      <c r="AH190" s="179">
        <v>564004.68000000005</v>
      </c>
    </row>
    <row r="191" spans="1:35" s="9" customFormat="1" ht="122.25" customHeight="1">
      <c r="A191" s="9">
        <f t="shared" ca="1" si="1"/>
        <v>477</v>
      </c>
      <c r="B191" s="31">
        <v>45614</v>
      </c>
      <c r="C191" s="11" t="s">
        <v>27</v>
      </c>
      <c r="D191" s="34" t="s">
        <v>496</v>
      </c>
      <c r="E191" s="11" t="s">
        <v>497</v>
      </c>
      <c r="F191" s="30" t="s">
        <v>73</v>
      </c>
      <c r="G191" s="30" t="s">
        <v>1473</v>
      </c>
      <c r="H191" s="16">
        <v>45717</v>
      </c>
      <c r="I191" s="115"/>
      <c r="J191" s="115"/>
      <c r="K191" s="115"/>
      <c r="L191" s="115"/>
      <c r="M191" s="115"/>
      <c r="N191" s="115"/>
      <c r="O191" s="115"/>
      <c r="P191" s="115">
        <v>45723</v>
      </c>
      <c r="Q191" s="6"/>
      <c r="R191" s="115"/>
      <c r="S191" s="115">
        <v>45736</v>
      </c>
      <c r="T191" s="7" t="s">
        <v>22</v>
      </c>
      <c r="U191" s="16" t="s">
        <v>1147</v>
      </c>
      <c r="V191" s="16">
        <v>45707</v>
      </c>
      <c r="W191" s="16">
        <v>45723</v>
      </c>
      <c r="X191" s="24"/>
      <c r="Z191" s="30" t="s">
        <v>54</v>
      </c>
      <c r="AA191" s="8">
        <v>45769</v>
      </c>
      <c r="AB191" s="10"/>
      <c r="AC191" s="10"/>
      <c r="AD191" s="10"/>
      <c r="AE191" s="22">
        <v>3349474.42</v>
      </c>
      <c r="AF191" s="21"/>
      <c r="AG191" s="45"/>
      <c r="AH191" s="23">
        <v>3349474.42</v>
      </c>
    </row>
    <row r="192" spans="1:35" s="9" customFormat="1" ht="122.25" customHeight="1">
      <c r="A192" s="9">
        <f t="shared" ca="1" si="1"/>
        <v>567</v>
      </c>
      <c r="B192" s="31">
        <v>45534</v>
      </c>
      <c r="C192" s="11" t="s">
        <v>40</v>
      </c>
      <c r="D192" s="2" t="s">
        <v>277</v>
      </c>
      <c r="E192" s="11" t="s">
        <v>278</v>
      </c>
      <c r="F192" s="30" t="s">
        <v>73</v>
      </c>
      <c r="G192" s="30" t="s">
        <v>1191</v>
      </c>
      <c r="H192" s="16">
        <v>45627</v>
      </c>
      <c r="I192" s="115"/>
      <c r="J192" s="115"/>
      <c r="K192" s="115"/>
      <c r="L192" s="115"/>
      <c r="M192" s="115"/>
      <c r="N192" s="115"/>
      <c r="O192" s="115"/>
      <c r="P192" s="115">
        <v>45723</v>
      </c>
      <c r="Q192" s="6" t="s">
        <v>1449</v>
      </c>
      <c r="R192" s="115"/>
      <c r="S192" s="115">
        <v>45734</v>
      </c>
      <c r="T192" s="7" t="s">
        <v>22</v>
      </c>
      <c r="U192" s="2" t="s">
        <v>1147</v>
      </c>
      <c r="V192" s="31">
        <v>45707</v>
      </c>
      <c r="W192" s="31">
        <v>45723</v>
      </c>
      <c r="X192" s="24"/>
      <c r="Z192" s="30" t="s">
        <v>33</v>
      </c>
      <c r="AA192" s="8">
        <v>45770</v>
      </c>
      <c r="AB192" s="10"/>
      <c r="AC192" s="10"/>
      <c r="AD192" s="10"/>
      <c r="AE192" s="22">
        <v>564654.68000000005</v>
      </c>
      <c r="AF192" s="21"/>
      <c r="AG192" s="45"/>
      <c r="AH192" s="10">
        <v>564654.68000000005</v>
      </c>
    </row>
    <row r="193" spans="1:34" s="9" customFormat="1" ht="122.25" customHeight="1">
      <c r="A193" s="9">
        <f t="shared" ca="1" si="1"/>
        <v>505</v>
      </c>
      <c r="B193" s="31">
        <v>45579</v>
      </c>
      <c r="C193" s="11" t="s">
        <v>27</v>
      </c>
      <c r="D193" s="2" t="s">
        <v>352</v>
      </c>
      <c r="E193" s="11" t="s">
        <v>353</v>
      </c>
      <c r="F193" s="30" t="s">
        <v>73</v>
      </c>
      <c r="G193" s="30" t="s">
        <v>1477</v>
      </c>
      <c r="H193" s="16">
        <v>45689</v>
      </c>
      <c r="I193" s="115"/>
      <c r="J193" s="115"/>
      <c r="K193" s="115"/>
      <c r="L193" s="115"/>
      <c r="M193" s="115"/>
      <c r="N193" s="115"/>
      <c r="O193" s="115"/>
      <c r="P193" s="115"/>
      <c r="Q193" s="6" t="s">
        <v>860</v>
      </c>
      <c r="R193" s="115"/>
      <c r="S193" s="115">
        <v>45750</v>
      </c>
      <c r="T193" s="7" t="s">
        <v>22</v>
      </c>
      <c r="U193" s="16" t="s">
        <v>1039</v>
      </c>
      <c r="V193" s="16">
        <v>45727</v>
      </c>
      <c r="W193" s="16">
        <v>45734</v>
      </c>
      <c r="X193" s="27"/>
      <c r="Z193" s="30" t="s">
        <v>33</v>
      </c>
      <c r="AA193" s="8">
        <v>45787</v>
      </c>
      <c r="AB193" s="10"/>
      <c r="AC193" s="10"/>
      <c r="AD193" s="10"/>
      <c r="AE193" s="22">
        <v>741959.65</v>
      </c>
      <c r="AF193" s="21"/>
      <c r="AG193" s="45"/>
      <c r="AH193" s="16"/>
    </row>
    <row r="194" spans="1:34" s="9" customFormat="1" ht="243.75" customHeight="1">
      <c r="A194" s="9">
        <f t="shared" ca="1" si="1"/>
        <v>507</v>
      </c>
      <c r="B194" s="31">
        <v>45433</v>
      </c>
      <c r="C194" s="11" t="s">
        <v>27</v>
      </c>
      <c r="D194" s="2" t="s">
        <v>160</v>
      </c>
      <c r="E194" s="11" t="s">
        <v>161</v>
      </c>
      <c r="F194" s="30" t="s">
        <v>74</v>
      </c>
      <c r="G194" s="30" t="s">
        <v>459</v>
      </c>
      <c r="H194" s="16">
        <v>45687</v>
      </c>
      <c r="I194" s="115"/>
      <c r="J194" s="115"/>
      <c r="K194" s="115"/>
      <c r="L194" s="115"/>
      <c r="M194" s="115"/>
      <c r="N194" s="115"/>
      <c r="O194" s="115"/>
      <c r="P194" s="115"/>
      <c r="Q194" s="6" t="s">
        <v>851</v>
      </c>
      <c r="R194" s="6"/>
      <c r="S194" s="6"/>
      <c r="T194" s="7" t="s">
        <v>22</v>
      </c>
      <c r="U194" s="2" t="s">
        <v>541</v>
      </c>
      <c r="V194" s="16">
        <v>45633</v>
      </c>
      <c r="W194" s="16">
        <v>45663</v>
      </c>
      <c r="X194" s="24" t="s">
        <v>1427</v>
      </c>
      <c r="Y194" s="100"/>
      <c r="Z194" s="30" t="s">
        <v>33</v>
      </c>
      <c r="AA194" s="180">
        <v>45757</v>
      </c>
      <c r="AB194" s="10"/>
      <c r="AC194" s="10"/>
      <c r="AD194" s="21"/>
      <c r="AE194" s="22">
        <v>521650.79</v>
      </c>
      <c r="AF194" s="21"/>
      <c r="AG194" s="45"/>
      <c r="AH194" s="16" t="s">
        <v>799</v>
      </c>
    </row>
    <row r="195" spans="1:34" s="9" customFormat="1" ht="37.5">
      <c r="A195" s="9">
        <f t="shared" ca="1" si="1"/>
        <v>477</v>
      </c>
      <c r="B195" s="31">
        <v>45638</v>
      </c>
      <c r="C195" s="11" t="s">
        <v>27</v>
      </c>
      <c r="D195" s="2" t="s">
        <v>563</v>
      </c>
      <c r="E195" s="11" t="s">
        <v>564</v>
      </c>
      <c r="F195" s="30" t="s">
        <v>74</v>
      </c>
      <c r="G195" s="30" t="s">
        <v>1287</v>
      </c>
      <c r="H195" s="16">
        <v>45717</v>
      </c>
      <c r="I195" s="115"/>
      <c r="J195" s="115"/>
      <c r="K195" s="115"/>
      <c r="L195" s="115"/>
      <c r="M195" s="115"/>
      <c r="N195" s="115"/>
      <c r="O195" s="115"/>
      <c r="P195" s="115">
        <v>45723</v>
      </c>
      <c r="Q195" s="6" t="s">
        <v>860</v>
      </c>
      <c r="R195" s="115"/>
      <c r="S195" s="115">
        <v>45734</v>
      </c>
      <c r="T195" s="7" t="s">
        <v>22</v>
      </c>
      <c r="U195" s="16" t="s">
        <v>1187</v>
      </c>
      <c r="V195" s="16">
        <v>45716</v>
      </c>
      <c r="W195" s="16">
        <v>45729</v>
      </c>
      <c r="X195" s="24" t="s">
        <v>1761</v>
      </c>
      <c r="Y195" s="100"/>
      <c r="Z195" s="30" t="s">
        <v>54</v>
      </c>
      <c r="AA195" s="8">
        <v>45775</v>
      </c>
      <c r="AB195" s="30"/>
      <c r="AC195" s="10"/>
      <c r="AD195" s="21"/>
      <c r="AE195" s="29">
        <v>402360.02</v>
      </c>
      <c r="AF195" s="21"/>
      <c r="AG195" s="45"/>
      <c r="AH195" s="23">
        <v>402360.02</v>
      </c>
    </row>
    <row r="196" spans="1:34" s="9" customFormat="1" ht="122.25" customHeight="1">
      <c r="A196" s="9">
        <f t="shared" ca="1" si="1"/>
        <v>491</v>
      </c>
      <c r="B196" s="31">
        <v>46009</v>
      </c>
      <c r="C196" s="2" t="s">
        <v>27</v>
      </c>
      <c r="D196" s="2" t="s">
        <v>823</v>
      </c>
      <c r="E196" s="11" t="s">
        <v>824</v>
      </c>
      <c r="F196" s="30" t="s">
        <v>825</v>
      </c>
      <c r="G196" s="30" t="s">
        <v>1432</v>
      </c>
      <c r="H196" s="16">
        <v>45703</v>
      </c>
      <c r="I196" s="115"/>
      <c r="J196" s="115"/>
      <c r="K196" s="115"/>
      <c r="L196" s="115"/>
      <c r="M196" s="115"/>
      <c r="N196" s="115"/>
      <c r="O196" s="115"/>
      <c r="P196" s="115">
        <v>45723</v>
      </c>
      <c r="Q196" s="16" t="s">
        <v>860</v>
      </c>
      <c r="R196" s="115"/>
      <c r="S196" s="115">
        <v>45737</v>
      </c>
      <c r="T196" s="7" t="s">
        <v>20</v>
      </c>
      <c r="U196" s="2" t="s">
        <v>1144</v>
      </c>
      <c r="V196" s="16" t="s">
        <v>1120</v>
      </c>
      <c r="W196" s="16" t="s">
        <v>1145</v>
      </c>
      <c r="X196" s="24"/>
      <c r="Y196" s="100"/>
      <c r="Z196" s="30" t="s">
        <v>826</v>
      </c>
      <c r="AA196" s="8">
        <v>45793</v>
      </c>
      <c r="AB196" s="61"/>
      <c r="AC196" s="22">
        <v>3504</v>
      </c>
      <c r="AD196" s="21"/>
      <c r="AE196" s="21"/>
      <c r="AF196" s="21"/>
      <c r="AG196" s="45"/>
      <c r="AH196" s="23">
        <v>3504</v>
      </c>
    </row>
    <row r="197" spans="1:34" s="9" customFormat="1" ht="122.25" customHeight="1">
      <c r="A197" s="9">
        <f t="shared" ca="1" si="1"/>
        <v>477</v>
      </c>
      <c r="B197" s="31">
        <v>45617</v>
      </c>
      <c r="C197" s="2" t="s">
        <v>24</v>
      </c>
      <c r="D197" s="2" t="s">
        <v>465</v>
      </c>
      <c r="E197" s="11" t="s">
        <v>466</v>
      </c>
      <c r="F197" s="30" t="s">
        <v>467</v>
      </c>
      <c r="G197" s="30" t="s">
        <v>468</v>
      </c>
      <c r="H197" s="16">
        <v>45717</v>
      </c>
      <c r="I197" s="115"/>
      <c r="J197" s="115"/>
      <c r="K197" s="115"/>
      <c r="L197" s="115"/>
      <c r="M197" s="115"/>
      <c r="N197" s="115"/>
      <c r="O197" s="115"/>
      <c r="P197" s="115">
        <v>45756</v>
      </c>
      <c r="Q197" s="115">
        <v>45761</v>
      </c>
      <c r="R197" s="115"/>
      <c r="S197" s="115"/>
      <c r="T197" s="7" t="s">
        <v>18</v>
      </c>
      <c r="U197" s="16" t="s">
        <v>909</v>
      </c>
      <c r="V197" s="16">
        <v>45749</v>
      </c>
      <c r="W197" s="16">
        <v>45777</v>
      </c>
      <c r="X197" s="24"/>
      <c r="Y197" s="100"/>
      <c r="Z197" s="30" t="s">
        <v>324</v>
      </c>
      <c r="AA197" s="8">
        <v>45789</v>
      </c>
      <c r="AB197" s="22">
        <v>22922.240000000002</v>
      </c>
      <c r="AC197" s="10"/>
      <c r="AD197" s="21"/>
      <c r="AE197" s="21"/>
      <c r="AF197" s="21"/>
      <c r="AG197" s="45"/>
      <c r="AH197" s="23">
        <v>22922.240000000002</v>
      </c>
    </row>
    <row r="198" spans="1:34" s="9" customFormat="1" ht="56.25">
      <c r="A198" s="9">
        <f t="shared" ca="1" si="1"/>
        <v>553</v>
      </c>
      <c r="B198" s="31">
        <v>45579</v>
      </c>
      <c r="C198" s="11" t="s">
        <v>27</v>
      </c>
      <c r="D198" s="2" t="s">
        <v>347</v>
      </c>
      <c r="E198" s="11" t="s">
        <v>348</v>
      </c>
      <c r="F198" s="30" t="s">
        <v>149</v>
      </c>
      <c r="G198" s="30" t="s">
        <v>349</v>
      </c>
      <c r="H198" s="16">
        <v>45641</v>
      </c>
      <c r="I198" s="115"/>
      <c r="J198" s="115"/>
      <c r="K198" s="115"/>
      <c r="L198" s="115"/>
      <c r="M198" s="115" t="s">
        <v>904</v>
      </c>
      <c r="N198" s="115"/>
      <c r="O198" s="115"/>
      <c r="P198" s="115"/>
      <c r="Q198" s="16" t="s">
        <v>860</v>
      </c>
      <c r="R198" s="115"/>
      <c r="S198" s="115">
        <v>45793</v>
      </c>
      <c r="T198" s="7" t="s">
        <v>20</v>
      </c>
      <c r="U198" s="182" t="s">
        <v>1541</v>
      </c>
      <c r="V198" s="182" t="s">
        <v>1429</v>
      </c>
      <c r="W198" s="182" t="s">
        <v>1779</v>
      </c>
      <c r="X198" s="24" t="s">
        <v>1611</v>
      </c>
      <c r="Y198" s="100"/>
      <c r="Z198" s="30" t="s">
        <v>103</v>
      </c>
      <c r="AA198" s="8">
        <v>45793</v>
      </c>
      <c r="AB198" s="10"/>
      <c r="AC198" s="22">
        <v>2848.5</v>
      </c>
      <c r="AD198" s="21"/>
      <c r="AE198" s="21"/>
      <c r="AF198" s="21"/>
      <c r="AG198" s="45"/>
      <c r="AH198" s="23">
        <v>2848.5</v>
      </c>
    </row>
    <row r="199" spans="1:34" s="9" customFormat="1" ht="231.75" customHeight="1">
      <c r="A199" s="9">
        <f t="shared" ca="1" si="1"/>
        <v>522</v>
      </c>
      <c r="B199" s="31">
        <v>45589</v>
      </c>
      <c r="C199" s="11" t="s">
        <v>27</v>
      </c>
      <c r="D199" s="2" t="s">
        <v>371</v>
      </c>
      <c r="E199" s="11" t="s">
        <v>372</v>
      </c>
      <c r="F199" s="30" t="s">
        <v>373</v>
      </c>
      <c r="G199" s="30" t="s">
        <v>94</v>
      </c>
      <c r="H199" s="16">
        <v>45672</v>
      </c>
      <c r="I199" s="115"/>
      <c r="J199" s="115"/>
      <c r="K199" s="115"/>
      <c r="L199" s="115"/>
      <c r="M199" s="115"/>
      <c r="N199" s="115"/>
      <c r="O199" s="115"/>
      <c r="P199" s="115" t="s">
        <v>1491</v>
      </c>
      <c r="Q199" s="16" t="s">
        <v>860</v>
      </c>
      <c r="R199" s="115"/>
      <c r="S199" s="115">
        <v>45796</v>
      </c>
      <c r="T199" s="124" t="s">
        <v>20</v>
      </c>
      <c r="U199" s="16" t="s">
        <v>1337</v>
      </c>
      <c r="V199" s="6" t="s">
        <v>1357</v>
      </c>
      <c r="W199" s="6">
        <v>45777</v>
      </c>
      <c r="X199" s="27"/>
      <c r="Y199" s="100"/>
      <c r="Z199" s="125" t="s">
        <v>446</v>
      </c>
      <c r="AA199" s="8">
        <v>45777</v>
      </c>
      <c r="AB199" s="10"/>
      <c r="AC199" s="22">
        <v>11627.85</v>
      </c>
      <c r="AD199" s="21"/>
      <c r="AE199" s="21"/>
      <c r="AF199" s="21"/>
      <c r="AG199" s="45"/>
      <c r="AH199" s="23">
        <v>11627.85</v>
      </c>
    </row>
    <row r="200" spans="1:34" s="9" customFormat="1" ht="122.25" customHeight="1">
      <c r="A200" s="9">
        <f t="shared" ca="1" si="1"/>
        <v>522</v>
      </c>
      <c r="B200" s="31">
        <v>45589</v>
      </c>
      <c r="C200" s="11" t="s">
        <v>27</v>
      </c>
      <c r="D200" s="2" t="s">
        <v>378</v>
      </c>
      <c r="E200" s="11" t="s">
        <v>379</v>
      </c>
      <c r="F200" s="30" t="s">
        <v>148</v>
      </c>
      <c r="G200" s="30" t="s">
        <v>94</v>
      </c>
      <c r="H200" s="16">
        <v>45672</v>
      </c>
      <c r="I200" s="115"/>
      <c r="J200" s="115"/>
      <c r="K200" s="115"/>
      <c r="L200" s="115"/>
      <c r="M200" s="115"/>
      <c r="N200" s="115"/>
      <c r="O200" s="115"/>
      <c r="P200" s="115" t="s">
        <v>1491</v>
      </c>
      <c r="Q200" s="16" t="s">
        <v>860</v>
      </c>
      <c r="R200" s="115"/>
      <c r="S200" s="115">
        <v>45796</v>
      </c>
      <c r="T200" s="7" t="s">
        <v>20</v>
      </c>
      <c r="U200" s="16" t="s">
        <v>1337</v>
      </c>
      <c r="V200" s="16">
        <v>45740</v>
      </c>
      <c r="W200" s="6">
        <v>45777</v>
      </c>
      <c r="X200" s="24"/>
      <c r="Y200" s="100"/>
      <c r="Z200" s="30" t="s">
        <v>447</v>
      </c>
      <c r="AA200" s="8">
        <v>45777</v>
      </c>
      <c r="AB200" s="23"/>
      <c r="AC200" s="22">
        <v>3933</v>
      </c>
      <c r="AD200" s="21"/>
      <c r="AE200" s="21"/>
      <c r="AF200" s="21"/>
      <c r="AG200" s="45"/>
      <c r="AH200" s="23">
        <v>3933</v>
      </c>
    </row>
    <row r="201" spans="1:34" s="9" customFormat="1" ht="122.25" customHeight="1">
      <c r="A201" s="9">
        <f t="shared" ca="1" si="1"/>
        <v>522</v>
      </c>
      <c r="B201" s="31">
        <v>45589</v>
      </c>
      <c r="C201" s="11" t="s">
        <v>27</v>
      </c>
      <c r="D201" s="2" t="s">
        <v>383</v>
      </c>
      <c r="E201" s="11" t="s">
        <v>384</v>
      </c>
      <c r="F201" s="30" t="s">
        <v>145</v>
      </c>
      <c r="G201" s="30" t="s">
        <v>94</v>
      </c>
      <c r="H201" s="16">
        <v>45672</v>
      </c>
      <c r="I201" s="115"/>
      <c r="J201" s="115"/>
      <c r="K201" s="115"/>
      <c r="L201" s="115"/>
      <c r="M201" s="115"/>
      <c r="N201" s="115"/>
      <c r="O201" s="115"/>
      <c r="P201" s="115"/>
      <c r="Q201" s="16" t="s">
        <v>860</v>
      </c>
      <c r="R201" s="115"/>
      <c r="S201" s="115">
        <v>45796</v>
      </c>
      <c r="T201" s="7" t="s">
        <v>20</v>
      </c>
      <c r="U201" s="16" t="s">
        <v>1337</v>
      </c>
      <c r="V201" s="16">
        <v>45740</v>
      </c>
      <c r="W201" s="6">
        <v>45777</v>
      </c>
      <c r="X201" s="24"/>
      <c r="Y201" s="100"/>
      <c r="Z201" s="30" t="s">
        <v>448</v>
      </c>
      <c r="AA201" s="8">
        <v>45744</v>
      </c>
      <c r="AB201" s="23"/>
      <c r="AC201" s="22">
        <v>1758</v>
      </c>
      <c r="AD201" s="21"/>
      <c r="AE201" s="21"/>
      <c r="AF201" s="21"/>
      <c r="AG201" s="45"/>
      <c r="AH201" s="23">
        <v>1758</v>
      </c>
    </row>
    <row r="202" spans="1:34" s="9" customFormat="1" ht="122.25" customHeight="1">
      <c r="A202" s="9">
        <f t="shared" ca="1" si="1"/>
        <v>888</v>
      </c>
      <c r="B202" s="31">
        <v>45601</v>
      </c>
      <c r="C202" s="11" t="s">
        <v>27</v>
      </c>
      <c r="D202" s="2" t="s">
        <v>430</v>
      </c>
      <c r="E202" s="11" t="s">
        <v>429</v>
      </c>
      <c r="F202" s="30" t="s">
        <v>431</v>
      </c>
      <c r="G202" s="30" t="s">
        <v>94</v>
      </c>
      <c r="H202" s="16">
        <v>45306</v>
      </c>
      <c r="I202" s="115"/>
      <c r="J202" s="115"/>
      <c r="K202" s="115"/>
      <c r="L202" s="115"/>
      <c r="M202" s="115"/>
      <c r="N202" s="115"/>
      <c r="O202" s="115"/>
      <c r="P202" s="115">
        <v>45735</v>
      </c>
      <c r="Q202" s="16" t="s">
        <v>860</v>
      </c>
      <c r="R202" s="115"/>
      <c r="S202" s="115">
        <v>45796</v>
      </c>
      <c r="T202" s="124" t="s">
        <v>20</v>
      </c>
      <c r="U202" s="16" t="s">
        <v>1337</v>
      </c>
      <c r="V202" s="6">
        <v>45740</v>
      </c>
      <c r="W202" s="6">
        <v>45777</v>
      </c>
      <c r="X202" s="27"/>
      <c r="Y202" s="100"/>
      <c r="Z202" s="30" t="s">
        <v>505</v>
      </c>
      <c r="AA202" s="8">
        <v>45744</v>
      </c>
      <c r="AB202" s="23"/>
      <c r="AC202" s="22">
        <v>1901.1</v>
      </c>
      <c r="AD202" s="21"/>
      <c r="AE202" s="21"/>
      <c r="AF202" s="21"/>
      <c r="AG202" s="45"/>
      <c r="AH202" s="23">
        <v>1901.1</v>
      </c>
    </row>
    <row r="203" spans="1:34" s="9" customFormat="1" ht="108" customHeight="1">
      <c r="A203" s="9">
        <f t="shared" ca="1" si="1"/>
        <v>522</v>
      </c>
      <c r="B203" s="31">
        <v>45609</v>
      </c>
      <c r="C203" s="11" t="s">
        <v>27</v>
      </c>
      <c r="D203" s="2" t="s">
        <v>461</v>
      </c>
      <c r="E203" s="11" t="s">
        <v>462</v>
      </c>
      <c r="F203" s="30" t="s">
        <v>463</v>
      </c>
      <c r="G203" s="30" t="s">
        <v>464</v>
      </c>
      <c r="H203" s="16">
        <v>45672</v>
      </c>
      <c r="I203" s="115"/>
      <c r="J203" s="115"/>
      <c r="K203" s="115"/>
      <c r="L203" s="115"/>
      <c r="M203" s="115"/>
      <c r="N203" s="115"/>
      <c r="O203" s="115"/>
      <c r="P203" s="115">
        <v>45756</v>
      </c>
      <c r="Q203" s="16" t="s">
        <v>860</v>
      </c>
      <c r="R203" s="115"/>
      <c r="S203" s="115">
        <v>45796</v>
      </c>
      <c r="T203" s="7" t="s">
        <v>20</v>
      </c>
      <c r="U203" s="16" t="s">
        <v>1337</v>
      </c>
      <c r="V203" s="16">
        <v>45740</v>
      </c>
      <c r="W203" s="6">
        <v>45777</v>
      </c>
      <c r="X203" s="24"/>
      <c r="Z203" s="30" t="s">
        <v>61</v>
      </c>
      <c r="AA203" s="8">
        <v>45618</v>
      </c>
      <c r="AB203" s="10"/>
      <c r="AC203" s="22">
        <v>11337</v>
      </c>
      <c r="AD203" s="10"/>
      <c r="AE203" s="10"/>
      <c r="AF203" s="21"/>
      <c r="AG203" s="45"/>
      <c r="AH203" s="23"/>
    </row>
    <row r="204" spans="1:34" s="9" customFormat="1" ht="122.25" customHeight="1">
      <c r="A204" s="9">
        <f t="shared" ca="1" si="1"/>
        <v>385</v>
      </c>
      <c r="B204" s="31">
        <v>45719</v>
      </c>
      <c r="C204" s="2" t="s">
        <v>694</v>
      </c>
      <c r="D204" s="2" t="s">
        <v>1107</v>
      </c>
      <c r="E204" s="11" t="s">
        <v>1108</v>
      </c>
      <c r="F204" s="30" t="s">
        <v>38</v>
      </c>
      <c r="G204" s="30" t="s">
        <v>1109</v>
      </c>
      <c r="H204" s="16">
        <v>45809</v>
      </c>
      <c r="I204" s="115"/>
      <c r="J204" s="115"/>
      <c r="K204" s="115"/>
      <c r="L204" s="115"/>
      <c r="M204" s="115"/>
      <c r="N204" s="115"/>
      <c r="O204" s="115"/>
      <c r="P204" s="115" t="s">
        <v>1493</v>
      </c>
      <c r="Q204" s="115">
        <v>45755</v>
      </c>
      <c r="R204" s="115"/>
      <c r="S204" s="115">
        <v>45791</v>
      </c>
      <c r="T204" s="7" t="s">
        <v>22</v>
      </c>
      <c r="U204" s="2" t="s">
        <v>1773</v>
      </c>
      <c r="V204" s="16">
        <v>45753</v>
      </c>
      <c r="W204" s="16">
        <v>45784</v>
      </c>
      <c r="X204" s="24"/>
      <c r="Z204" s="30" t="s">
        <v>1774</v>
      </c>
      <c r="AA204" s="68"/>
      <c r="AB204" s="22">
        <f>31832.64</f>
        <v>31832.639999999999</v>
      </c>
      <c r="AC204" s="10"/>
      <c r="AD204" s="21"/>
      <c r="AE204" s="21"/>
      <c r="AF204" s="21"/>
      <c r="AG204" s="45"/>
      <c r="AH204" s="23">
        <f>15916.32+15916.32</f>
        <v>31832.639999999999</v>
      </c>
    </row>
    <row r="205" spans="1:34" s="100" customFormat="1" ht="18.75">
      <c r="A205" s="31"/>
      <c r="B205" s="12">
        <v>45477</v>
      </c>
      <c r="C205" s="11" t="s">
        <v>27</v>
      </c>
      <c r="D205" s="2" t="s">
        <v>207</v>
      </c>
      <c r="E205" s="11" t="s">
        <v>208</v>
      </c>
      <c r="F205" s="30" t="s">
        <v>74</v>
      </c>
      <c r="G205" s="30" t="s">
        <v>250</v>
      </c>
      <c r="H205" s="16">
        <v>45656</v>
      </c>
      <c r="I205" s="217"/>
      <c r="J205" s="217"/>
      <c r="K205" s="217"/>
      <c r="T205" s="100" t="s">
        <v>22</v>
      </c>
      <c r="Z205" s="100" t="s">
        <v>1934</v>
      </c>
    </row>
    <row r="206" spans="1:34" s="9" customFormat="1" ht="122.25" customHeight="1">
      <c r="A206" s="9">
        <f t="shared" ref="A206:A250" ca="1" si="2">TODAY()-H206+1</f>
        <v>491</v>
      </c>
      <c r="B206" s="31">
        <v>45666</v>
      </c>
      <c r="C206" s="11" t="s">
        <v>27</v>
      </c>
      <c r="D206" s="2" t="s">
        <v>678</v>
      </c>
      <c r="E206" s="11" t="s">
        <v>679</v>
      </c>
      <c r="F206" s="30" t="s">
        <v>850</v>
      </c>
      <c r="G206" s="30" t="s">
        <v>680</v>
      </c>
      <c r="H206" s="16">
        <v>45703</v>
      </c>
      <c r="I206" s="115"/>
      <c r="J206" s="115"/>
      <c r="K206" s="115"/>
      <c r="L206" s="115">
        <v>45712</v>
      </c>
      <c r="M206" s="115">
        <v>45727</v>
      </c>
      <c r="N206" s="115"/>
      <c r="O206" s="115"/>
      <c r="P206" s="115">
        <v>45762</v>
      </c>
      <c r="Q206" s="16" t="s">
        <v>860</v>
      </c>
      <c r="R206" s="115"/>
      <c r="S206" s="115">
        <v>45799</v>
      </c>
      <c r="T206" s="7" t="s">
        <v>681</v>
      </c>
      <c r="U206" s="2" t="s">
        <v>1337</v>
      </c>
      <c r="V206" s="16">
        <v>45751</v>
      </c>
      <c r="W206" s="16">
        <v>45777</v>
      </c>
      <c r="X206" s="24" t="s">
        <v>1605</v>
      </c>
      <c r="Y206" s="100"/>
      <c r="Z206" s="30" t="s">
        <v>61</v>
      </c>
      <c r="AA206" s="8">
        <v>45674</v>
      </c>
      <c r="AB206" s="10"/>
      <c r="AC206" s="22">
        <v>2175.6</v>
      </c>
      <c r="AD206" s="21"/>
      <c r="AE206" s="21"/>
      <c r="AF206" s="21"/>
      <c r="AG206" s="45"/>
      <c r="AH206" s="23"/>
    </row>
    <row r="207" spans="1:34" s="9" customFormat="1" ht="122.25" customHeight="1">
      <c r="A207" s="9">
        <f t="shared" ca="1" si="2"/>
        <v>422</v>
      </c>
      <c r="B207" s="31">
        <v>45720</v>
      </c>
      <c r="C207" s="2" t="s">
        <v>27</v>
      </c>
      <c r="D207" s="2" t="s">
        <v>1131</v>
      </c>
      <c r="E207" s="11" t="s">
        <v>1132</v>
      </c>
      <c r="F207" s="30" t="s">
        <v>1133</v>
      </c>
      <c r="G207" s="30" t="s">
        <v>845</v>
      </c>
      <c r="H207" s="16">
        <v>45772</v>
      </c>
      <c r="I207" s="115"/>
      <c r="J207" s="115"/>
      <c r="K207" s="115"/>
      <c r="L207" s="115"/>
      <c r="M207" s="115" t="s">
        <v>1333</v>
      </c>
      <c r="N207" s="115"/>
      <c r="O207" s="115"/>
      <c r="P207" s="115">
        <v>45789</v>
      </c>
      <c r="Q207" s="16" t="s">
        <v>860</v>
      </c>
      <c r="R207" s="115"/>
      <c r="S207" s="115">
        <v>45799</v>
      </c>
      <c r="T207" s="7" t="s">
        <v>22</v>
      </c>
      <c r="U207" s="2" t="s">
        <v>1607</v>
      </c>
      <c r="V207" s="16" t="s">
        <v>1777</v>
      </c>
      <c r="W207" s="16">
        <v>45790</v>
      </c>
      <c r="X207" s="24" t="s">
        <v>1608</v>
      </c>
      <c r="Y207" s="100"/>
      <c r="Z207" s="30" t="s">
        <v>61</v>
      </c>
      <c r="AA207" s="8">
        <v>45731</v>
      </c>
      <c r="AB207" s="10"/>
      <c r="AC207" s="10"/>
      <c r="AD207" s="21"/>
      <c r="AE207" s="29">
        <v>82500</v>
      </c>
      <c r="AF207" s="21"/>
      <c r="AG207" s="45"/>
      <c r="AH207" s="23"/>
    </row>
    <row r="208" spans="1:34" s="9" customFormat="1" ht="27.75" customHeight="1">
      <c r="A208" s="9">
        <f t="shared" ca="1" si="2"/>
        <v>433</v>
      </c>
      <c r="B208" s="31">
        <v>45749</v>
      </c>
      <c r="C208" s="2" t="s">
        <v>24</v>
      </c>
      <c r="D208" s="2" t="s">
        <v>1437</v>
      </c>
      <c r="E208" s="11" t="s">
        <v>1438</v>
      </c>
      <c r="F208" s="30" t="s">
        <v>98</v>
      </c>
      <c r="G208" s="30" t="s">
        <v>1489</v>
      </c>
      <c r="H208" s="16">
        <v>45761</v>
      </c>
      <c r="I208" s="115"/>
      <c r="J208" s="115"/>
      <c r="K208" s="115"/>
      <c r="L208" s="115"/>
      <c r="M208" s="115"/>
      <c r="N208" s="115"/>
      <c r="O208" s="115"/>
      <c r="P208" s="115">
        <v>45762</v>
      </c>
      <c r="Q208" s="115">
        <v>45761</v>
      </c>
      <c r="R208" s="115"/>
      <c r="S208" s="115"/>
      <c r="T208" s="7" t="s">
        <v>22</v>
      </c>
      <c r="U208" s="2" t="s">
        <v>1488</v>
      </c>
      <c r="V208" s="16">
        <v>45730</v>
      </c>
      <c r="W208" s="16">
        <v>45761</v>
      </c>
      <c r="X208" s="4"/>
      <c r="Y208" s="100"/>
      <c r="Z208" s="30" t="s">
        <v>54</v>
      </c>
      <c r="AA208" s="8">
        <v>45791</v>
      </c>
      <c r="AB208" s="22">
        <v>187944</v>
      </c>
      <c r="AC208" s="10"/>
      <c r="AD208" s="21"/>
      <c r="AE208" s="21"/>
      <c r="AF208" s="21"/>
      <c r="AG208" s="45"/>
      <c r="AH208" s="23">
        <v>187944</v>
      </c>
    </row>
    <row r="209" spans="1:34" s="9" customFormat="1" ht="122.25" customHeight="1">
      <c r="A209" s="9">
        <f t="shared" ca="1" si="2"/>
        <v>422</v>
      </c>
      <c r="B209" s="31">
        <v>45681</v>
      </c>
      <c r="C209" s="2" t="s">
        <v>24</v>
      </c>
      <c r="D209" s="2" t="s">
        <v>711</v>
      </c>
      <c r="E209" s="11" t="s">
        <v>712</v>
      </c>
      <c r="F209" s="30" t="s">
        <v>177</v>
      </c>
      <c r="G209" s="30" t="s">
        <v>1543</v>
      </c>
      <c r="H209" s="16">
        <v>45772</v>
      </c>
      <c r="I209" s="115"/>
      <c r="J209" s="115"/>
      <c r="K209" s="115"/>
      <c r="L209" s="115"/>
      <c r="M209" s="115" t="s">
        <v>1275</v>
      </c>
      <c r="N209" s="115"/>
      <c r="O209" s="115"/>
      <c r="P209" s="115" t="s">
        <v>1760</v>
      </c>
      <c r="Q209" s="115">
        <v>45756</v>
      </c>
      <c r="R209" s="115"/>
      <c r="S209" s="115"/>
      <c r="T209" s="7" t="s">
        <v>22</v>
      </c>
      <c r="U209" s="2" t="s">
        <v>1337</v>
      </c>
      <c r="V209" s="16">
        <v>45745</v>
      </c>
      <c r="W209" s="16">
        <v>45780</v>
      </c>
      <c r="X209" s="24"/>
      <c r="Y209" s="100"/>
      <c r="Z209" s="30" t="s">
        <v>327</v>
      </c>
      <c r="AA209" s="8">
        <v>45807</v>
      </c>
      <c r="AB209" s="10"/>
      <c r="AC209" s="22">
        <f>12780+9120</f>
        <v>21900</v>
      </c>
      <c r="AD209" s="21"/>
      <c r="AE209" s="21"/>
      <c r="AF209" s="21"/>
      <c r="AG209" s="45"/>
      <c r="AH209" s="23">
        <f>12780+9120</f>
        <v>21900</v>
      </c>
    </row>
    <row r="210" spans="1:34" s="9" customFormat="1" ht="122.25" customHeight="1">
      <c r="A210" s="9">
        <f t="shared" ca="1" si="2"/>
        <v>446</v>
      </c>
      <c r="B210" s="31">
        <v>45699</v>
      </c>
      <c r="C210" s="2" t="s">
        <v>24</v>
      </c>
      <c r="D210" s="2" t="s">
        <v>839</v>
      </c>
      <c r="E210" s="11" t="s">
        <v>840</v>
      </c>
      <c r="F210" s="30" t="s">
        <v>340</v>
      </c>
      <c r="G210" s="30" t="s">
        <v>841</v>
      </c>
      <c r="H210" s="16">
        <v>45748</v>
      </c>
      <c r="I210" s="115"/>
      <c r="J210" s="115"/>
      <c r="K210" s="115"/>
      <c r="L210" s="115"/>
      <c r="M210" s="115">
        <v>45733</v>
      </c>
      <c r="N210" s="115"/>
      <c r="O210" s="115"/>
      <c r="P210" s="115">
        <v>45719</v>
      </c>
      <c r="Q210" s="115">
        <v>45713</v>
      </c>
      <c r="R210" s="115"/>
      <c r="S210" s="115"/>
      <c r="T210" s="7" t="s">
        <v>28</v>
      </c>
      <c r="U210" s="2" t="s">
        <v>1483</v>
      </c>
      <c r="V210" s="16">
        <v>45728</v>
      </c>
      <c r="W210" s="16">
        <v>45758</v>
      </c>
      <c r="X210" s="24"/>
      <c r="Z210" s="30" t="s">
        <v>822</v>
      </c>
      <c r="AA210" s="8">
        <v>45802</v>
      </c>
      <c r="AB210" s="10"/>
      <c r="AC210" s="22">
        <v>14088</v>
      </c>
      <c r="AD210" s="21"/>
      <c r="AE210" s="21"/>
      <c r="AF210" s="21"/>
      <c r="AG210" s="45"/>
      <c r="AH210" s="23">
        <v>14088</v>
      </c>
    </row>
    <row r="211" spans="1:34" s="9" customFormat="1" ht="122.25" customHeight="1">
      <c r="A211" s="9">
        <f t="shared" ca="1" si="2"/>
        <v>473</v>
      </c>
      <c r="B211" s="31">
        <v>45712</v>
      </c>
      <c r="C211" s="2" t="s">
        <v>24</v>
      </c>
      <c r="D211" s="2" t="s">
        <v>1221</v>
      </c>
      <c r="E211" s="11" t="s">
        <v>1222</v>
      </c>
      <c r="F211" s="30" t="s">
        <v>97</v>
      </c>
      <c r="G211" s="30" t="s">
        <v>1223</v>
      </c>
      <c r="H211" s="16">
        <v>45721</v>
      </c>
      <c r="I211" s="115"/>
      <c r="J211" s="115"/>
      <c r="K211" s="115"/>
      <c r="L211" s="115"/>
      <c r="M211" s="115">
        <v>45750</v>
      </c>
      <c r="N211" s="115"/>
      <c r="O211" s="115"/>
      <c r="P211" s="115">
        <v>45783</v>
      </c>
      <c r="Q211" s="115">
        <v>45782</v>
      </c>
      <c r="R211" s="115"/>
      <c r="S211" s="115"/>
      <c r="T211" s="7" t="s">
        <v>25</v>
      </c>
      <c r="U211" s="2" t="s">
        <v>1335</v>
      </c>
      <c r="V211" s="16">
        <v>45777</v>
      </c>
      <c r="W211" s="16">
        <v>45778</v>
      </c>
      <c r="X211" s="24"/>
      <c r="Z211" s="30" t="s">
        <v>55</v>
      </c>
      <c r="AA211" s="8">
        <v>45800</v>
      </c>
      <c r="AB211" s="10"/>
      <c r="AC211" s="22">
        <v>4195</v>
      </c>
      <c r="AD211" s="21"/>
      <c r="AE211" s="21"/>
      <c r="AF211" s="21"/>
      <c r="AG211" s="45"/>
      <c r="AH211" s="23">
        <v>4195</v>
      </c>
    </row>
    <row r="212" spans="1:34" s="9" customFormat="1" ht="122.25" customHeight="1">
      <c r="A212" s="9">
        <f t="shared" ca="1" si="2"/>
        <v>407</v>
      </c>
      <c r="B212" s="31">
        <v>45734</v>
      </c>
      <c r="C212" s="2" t="s">
        <v>24</v>
      </c>
      <c r="D212" s="2" t="s">
        <v>1323</v>
      </c>
      <c r="E212" s="11" t="s">
        <v>1324</v>
      </c>
      <c r="F212" s="30" t="s">
        <v>97</v>
      </c>
      <c r="G212" s="30" t="s">
        <v>1325</v>
      </c>
      <c r="H212" s="16">
        <v>45787</v>
      </c>
      <c r="I212" s="115"/>
      <c r="J212" s="115"/>
      <c r="K212" s="115"/>
      <c r="L212" s="115"/>
      <c r="M212" s="115"/>
      <c r="N212" s="115"/>
      <c r="O212" s="115"/>
      <c r="P212" s="115">
        <v>45783</v>
      </c>
      <c r="Q212" s="115">
        <v>45782</v>
      </c>
      <c r="R212" s="115"/>
      <c r="S212" s="115"/>
      <c r="T212" s="7" t="s">
        <v>25</v>
      </c>
      <c r="U212" s="2" t="s">
        <v>1335</v>
      </c>
      <c r="V212" s="16">
        <v>45777</v>
      </c>
      <c r="W212" s="16">
        <v>45778</v>
      </c>
      <c r="X212" s="24"/>
      <c r="Y212" s="100"/>
      <c r="Z212" s="30" t="s">
        <v>55</v>
      </c>
      <c r="AA212" s="8">
        <v>45800</v>
      </c>
      <c r="AB212" s="61"/>
      <c r="AC212" s="22">
        <v>4195</v>
      </c>
      <c r="AD212" s="21"/>
      <c r="AE212" s="21"/>
      <c r="AF212" s="21"/>
      <c r="AG212" s="45"/>
      <c r="AH212" s="23">
        <v>4195</v>
      </c>
    </row>
    <row r="213" spans="1:34" s="9" customFormat="1" ht="75">
      <c r="A213" s="9">
        <f t="shared" ca="1" si="2"/>
        <v>454</v>
      </c>
      <c r="B213" s="31">
        <v>45632</v>
      </c>
      <c r="C213" s="2" t="s">
        <v>24</v>
      </c>
      <c r="D213" s="2" t="s">
        <v>729</v>
      </c>
      <c r="E213" s="11" t="s">
        <v>730</v>
      </c>
      <c r="F213" s="30" t="s">
        <v>36</v>
      </c>
      <c r="G213" s="30" t="s">
        <v>1232</v>
      </c>
      <c r="H213" s="16">
        <v>45740</v>
      </c>
      <c r="I213" s="115"/>
      <c r="J213" s="115"/>
      <c r="K213" s="115"/>
      <c r="L213" s="115"/>
      <c r="M213" s="115"/>
      <c r="N213" s="115"/>
      <c r="O213" s="115"/>
      <c r="P213" s="115">
        <v>45763</v>
      </c>
      <c r="Q213" s="115">
        <v>45769</v>
      </c>
      <c r="R213" s="115"/>
      <c r="S213" s="115"/>
      <c r="T213" s="7" t="s">
        <v>30</v>
      </c>
      <c r="U213" s="2" t="s">
        <v>1448</v>
      </c>
      <c r="V213" s="16">
        <v>45759</v>
      </c>
      <c r="W213" s="16">
        <v>45771</v>
      </c>
      <c r="X213" s="24"/>
      <c r="Y213" s="100"/>
      <c r="Z213" s="30" t="s">
        <v>113</v>
      </c>
      <c r="AA213" s="8">
        <v>45801</v>
      </c>
      <c r="AB213" s="22">
        <v>182813.03</v>
      </c>
      <c r="AC213" s="23"/>
      <c r="AD213" s="21"/>
      <c r="AE213" s="21"/>
      <c r="AF213" s="21"/>
      <c r="AG213" s="45"/>
      <c r="AH213" s="23"/>
    </row>
    <row r="214" spans="1:34" s="9" customFormat="1" ht="225">
      <c r="A214" s="9">
        <f t="shared" ca="1" si="2"/>
        <v>423</v>
      </c>
      <c r="B214" s="31">
        <v>45678</v>
      </c>
      <c r="C214" s="2" t="s">
        <v>24</v>
      </c>
      <c r="D214" s="2" t="s">
        <v>1072</v>
      </c>
      <c r="E214" s="11" t="s">
        <v>1073</v>
      </c>
      <c r="F214" s="30" t="s">
        <v>36</v>
      </c>
      <c r="G214" s="30" t="s">
        <v>1539</v>
      </c>
      <c r="H214" s="16">
        <v>45771</v>
      </c>
      <c r="I214" s="115"/>
      <c r="J214" s="115"/>
      <c r="K214" s="115"/>
      <c r="L214" s="115"/>
      <c r="M214" s="115"/>
      <c r="N214" s="115"/>
      <c r="O214" s="115"/>
      <c r="P214" s="115">
        <v>45763</v>
      </c>
      <c r="Q214" s="115">
        <v>45769</v>
      </c>
      <c r="R214" s="115"/>
      <c r="S214" s="115"/>
      <c r="T214" s="7" t="s">
        <v>30</v>
      </c>
      <c r="U214" s="2" t="s">
        <v>1448</v>
      </c>
      <c r="V214" s="16">
        <v>45759</v>
      </c>
      <c r="W214" s="16">
        <v>45772</v>
      </c>
      <c r="X214" s="24"/>
      <c r="Y214" s="100"/>
      <c r="Z214" s="30" t="s">
        <v>324</v>
      </c>
      <c r="AA214" s="8">
        <v>45801</v>
      </c>
      <c r="AB214" s="22">
        <v>843513.74</v>
      </c>
      <c r="AC214" s="10"/>
      <c r="AD214" s="21"/>
      <c r="AE214" s="21"/>
      <c r="AF214" s="21"/>
      <c r="AG214" s="45"/>
      <c r="AH214" s="23"/>
    </row>
    <row r="215" spans="1:34" s="9" customFormat="1" ht="122.25" customHeight="1">
      <c r="A215" s="216">
        <f t="shared" ca="1" si="2"/>
        <v>416</v>
      </c>
      <c r="B215" s="31">
        <v>45716</v>
      </c>
      <c r="C215" s="2" t="s">
        <v>27</v>
      </c>
      <c r="D215" s="2" t="s">
        <v>1087</v>
      </c>
      <c r="E215" s="11" t="s">
        <v>1088</v>
      </c>
      <c r="F215" s="30" t="s">
        <v>1089</v>
      </c>
      <c r="G215" s="30" t="s">
        <v>1090</v>
      </c>
      <c r="H215" s="16">
        <v>45778</v>
      </c>
      <c r="I215" s="115"/>
      <c r="J215" s="115"/>
      <c r="K215" s="115"/>
      <c r="L215" s="115"/>
      <c r="M215" s="115"/>
      <c r="N215" s="115" t="s">
        <v>1418</v>
      </c>
      <c r="O215" s="115"/>
      <c r="P215" s="115">
        <v>45757</v>
      </c>
      <c r="Q215" s="16" t="s">
        <v>860</v>
      </c>
      <c r="R215" s="115">
        <v>45798</v>
      </c>
      <c r="S215" s="115">
        <v>45804</v>
      </c>
      <c r="T215" s="7" t="s">
        <v>20</v>
      </c>
      <c r="U215" s="2" t="s">
        <v>1610</v>
      </c>
      <c r="V215" s="16">
        <v>45780</v>
      </c>
      <c r="W215" s="16">
        <v>45790</v>
      </c>
      <c r="X215" s="143" t="s">
        <v>1793</v>
      </c>
      <c r="Z215" s="3" t="s">
        <v>1778</v>
      </c>
      <c r="AA215" s="8"/>
      <c r="AB215" s="10"/>
      <c r="AC215" s="10"/>
      <c r="AD215" s="21"/>
      <c r="AE215" s="77">
        <f>47772*2</f>
        <v>95544</v>
      </c>
      <c r="AF215" s="21"/>
      <c r="AG215" s="45"/>
      <c r="AH215" s="23">
        <f>47772*2</f>
        <v>95544</v>
      </c>
    </row>
    <row r="216" spans="1:34" s="9" customFormat="1" ht="122.25" customHeight="1">
      <c r="A216" s="9">
        <f t="shared" ca="1" si="2"/>
        <v>811</v>
      </c>
      <c r="B216" s="31">
        <v>45645</v>
      </c>
      <c r="C216" s="11" t="s">
        <v>694</v>
      </c>
      <c r="D216" s="2" t="s">
        <v>617</v>
      </c>
      <c r="E216" s="11" t="s">
        <v>618</v>
      </c>
      <c r="F216" s="30" t="s">
        <v>105</v>
      </c>
      <c r="G216" s="30" t="s">
        <v>1121</v>
      </c>
      <c r="H216" s="16">
        <v>45383</v>
      </c>
      <c r="I216" s="115"/>
      <c r="J216" s="115"/>
      <c r="K216" s="115"/>
      <c r="L216" s="115"/>
      <c r="M216" s="115"/>
      <c r="N216" s="115"/>
      <c r="O216" s="115"/>
      <c r="P216" s="115" t="s">
        <v>1495</v>
      </c>
      <c r="Q216" s="115">
        <v>45720</v>
      </c>
      <c r="R216" s="115"/>
      <c r="S216" s="115">
        <v>45769</v>
      </c>
      <c r="T216" s="7" t="s">
        <v>22</v>
      </c>
      <c r="U216" s="2" t="s">
        <v>1304</v>
      </c>
      <c r="V216" s="16" t="s">
        <v>1120</v>
      </c>
      <c r="W216" s="16">
        <v>45762</v>
      </c>
      <c r="X216" s="4"/>
      <c r="Y216" s="100"/>
      <c r="Z216" s="30" t="s">
        <v>29</v>
      </c>
      <c r="AA216" s="8">
        <v>45787</v>
      </c>
      <c r="AB216" s="105">
        <v>86446.75</v>
      </c>
      <c r="AC216" s="10"/>
      <c r="AD216" s="21"/>
      <c r="AE216" s="21"/>
      <c r="AF216" s="21"/>
      <c r="AG216" s="45"/>
      <c r="AH216" s="23">
        <v>86446.75</v>
      </c>
    </row>
    <row r="217" spans="1:34" s="9" customFormat="1" ht="122.25" customHeight="1">
      <c r="A217" s="9">
        <f t="shared" ca="1" si="2"/>
        <v>454</v>
      </c>
      <c r="B217" s="31">
        <v>45681</v>
      </c>
      <c r="C217" s="11" t="s">
        <v>694</v>
      </c>
      <c r="D217" s="2" t="s">
        <v>735</v>
      </c>
      <c r="E217" s="11" t="s">
        <v>736</v>
      </c>
      <c r="F217" s="30" t="s">
        <v>737</v>
      </c>
      <c r="G217" s="30" t="s">
        <v>1343</v>
      </c>
      <c r="H217" s="16">
        <v>45740</v>
      </c>
      <c r="I217" s="115"/>
      <c r="J217" s="115"/>
      <c r="K217" s="115"/>
      <c r="L217" s="115"/>
      <c r="M217" s="115"/>
      <c r="N217" s="115"/>
      <c r="O217" s="115"/>
      <c r="P217" s="115">
        <v>45756</v>
      </c>
      <c r="Q217" s="115">
        <v>45722</v>
      </c>
      <c r="R217" s="115"/>
      <c r="S217" s="115">
        <v>45784</v>
      </c>
      <c r="T217" s="7" t="s">
        <v>20</v>
      </c>
      <c r="U217" s="173" t="s">
        <v>651</v>
      </c>
      <c r="V217" s="16">
        <v>45723</v>
      </c>
      <c r="W217" s="16">
        <v>45762</v>
      </c>
      <c r="X217" s="24"/>
      <c r="Y217" s="100"/>
      <c r="Z217" s="400" t="s">
        <v>1771</v>
      </c>
      <c r="AA217" s="402"/>
      <c r="AB217" s="404">
        <f>107100*2</f>
        <v>214200</v>
      </c>
      <c r="AC217" s="10"/>
      <c r="AD217" s="21"/>
      <c r="AE217" s="21"/>
      <c r="AF217" s="21"/>
      <c r="AG217" s="45"/>
      <c r="AH217" s="23"/>
    </row>
    <row r="218" spans="1:34" s="9" customFormat="1" ht="122.25" customHeight="1">
      <c r="A218" s="9">
        <f t="shared" ca="1" si="2"/>
        <v>454</v>
      </c>
      <c r="B218" s="31">
        <v>45681</v>
      </c>
      <c r="C218" s="11" t="s">
        <v>694</v>
      </c>
      <c r="D218" s="2" t="s">
        <v>735</v>
      </c>
      <c r="E218" s="11" t="s">
        <v>736</v>
      </c>
      <c r="F218" s="30" t="s">
        <v>737</v>
      </c>
      <c r="G218" s="30" t="s">
        <v>1344</v>
      </c>
      <c r="H218" s="16">
        <v>45740</v>
      </c>
      <c r="I218" s="115"/>
      <c r="J218" s="115"/>
      <c r="K218" s="115"/>
      <c r="L218" s="115"/>
      <c r="M218" s="115"/>
      <c r="N218" s="115"/>
      <c r="O218" s="115"/>
      <c r="P218" s="115">
        <v>45756</v>
      </c>
      <c r="Q218" s="115">
        <v>45754</v>
      </c>
      <c r="R218" s="115"/>
      <c r="S218" s="115">
        <v>45784</v>
      </c>
      <c r="T218" s="7" t="s">
        <v>20</v>
      </c>
      <c r="U218" s="173" t="s">
        <v>651</v>
      </c>
      <c r="V218" s="16">
        <v>45726</v>
      </c>
      <c r="W218" s="16">
        <v>45762</v>
      </c>
      <c r="X218" s="24"/>
      <c r="Y218" s="100"/>
      <c r="Z218" s="401"/>
      <c r="AA218" s="403"/>
      <c r="AB218" s="405"/>
      <c r="AC218" s="10"/>
      <c r="AD218" s="21"/>
      <c r="AE218" s="21"/>
      <c r="AF218" s="21"/>
      <c r="AG218" s="45"/>
      <c r="AH218" s="23"/>
    </row>
    <row r="219" spans="1:34" s="9" customFormat="1" ht="122.25" customHeight="1">
      <c r="A219" s="9">
        <f t="shared" ca="1" si="2"/>
        <v>416</v>
      </c>
      <c r="B219" s="31">
        <v>45681</v>
      </c>
      <c r="C219" s="11" t="s">
        <v>694</v>
      </c>
      <c r="D219" s="2" t="s">
        <v>781</v>
      </c>
      <c r="E219" s="11" t="s">
        <v>718</v>
      </c>
      <c r="F219" s="30" t="s">
        <v>71</v>
      </c>
      <c r="G219" s="30" t="s">
        <v>719</v>
      </c>
      <c r="H219" s="16">
        <v>45778</v>
      </c>
      <c r="I219" s="115"/>
      <c r="J219" s="115"/>
      <c r="K219" s="115"/>
      <c r="L219" s="115"/>
      <c r="M219" s="115"/>
      <c r="N219" s="115"/>
      <c r="O219" s="115"/>
      <c r="P219" s="115">
        <v>45761</v>
      </c>
      <c r="Q219" s="115">
        <v>45761</v>
      </c>
      <c r="R219" s="115"/>
      <c r="S219" s="115">
        <v>45796</v>
      </c>
      <c r="T219" s="7" t="s">
        <v>22</v>
      </c>
      <c r="U219" s="16" t="s">
        <v>1479</v>
      </c>
      <c r="V219" s="16">
        <v>45750</v>
      </c>
      <c r="W219" s="16">
        <v>45770</v>
      </c>
      <c r="X219" s="4"/>
      <c r="Y219" s="100"/>
      <c r="Z219" s="30" t="s">
        <v>46</v>
      </c>
      <c r="AA219" s="8">
        <v>45772</v>
      </c>
      <c r="AB219" s="22">
        <v>33935</v>
      </c>
      <c r="AC219" s="10"/>
      <c r="AD219" s="21"/>
      <c r="AE219" s="21"/>
      <c r="AF219" s="21"/>
      <c r="AG219" s="45"/>
      <c r="AH219" s="23">
        <v>33935</v>
      </c>
    </row>
    <row r="220" spans="1:34" s="9" customFormat="1" ht="122.25" customHeight="1">
      <c r="A220" s="9">
        <f t="shared" ca="1" si="2"/>
        <v>453</v>
      </c>
      <c r="B220" s="31">
        <v>45680</v>
      </c>
      <c r="C220" s="11" t="s">
        <v>694</v>
      </c>
      <c r="D220" s="2" t="s">
        <v>743</v>
      </c>
      <c r="E220" s="11" t="s">
        <v>744</v>
      </c>
      <c r="F220" s="30" t="s">
        <v>242</v>
      </c>
      <c r="G220" s="30" t="s">
        <v>745</v>
      </c>
      <c r="H220" s="16">
        <v>45741</v>
      </c>
      <c r="I220" s="115"/>
      <c r="J220" s="115"/>
      <c r="K220" s="115"/>
      <c r="L220" s="136"/>
      <c r="M220" s="136"/>
      <c r="N220" s="115"/>
      <c r="O220" s="115"/>
      <c r="P220" s="115" t="s">
        <v>1497</v>
      </c>
      <c r="Q220" s="115">
        <v>45757</v>
      </c>
      <c r="R220" s="115"/>
      <c r="S220" s="115">
        <v>45796</v>
      </c>
      <c r="T220" s="7" t="s">
        <v>20</v>
      </c>
      <c r="U220" s="16" t="s">
        <v>1331</v>
      </c>
      <c r="V220" s="16">
        <v>45728</v>
      </c>
      <c r="W220" s="16">
        <v>45769</v>
      </c>
      <c r="X220" s="104" t="s">
        <v>1352</v>
      </c>
      <c r="Y220" s="100"/>
      <c r="Z220" s="30" t="s">
        <v>33</v>
      </c>
      <c r="AA220" s="8">
        <v>45778</v>
      </c>
      <c r="AB220" s="10"/>
      <c r="AC220" s="22">
        <v>34626.660000000003</v>
      </c>
      <c r="AD220" s="21"/>
      <c r="AE220" s="21"/>
      <c r="AF220" s="21"/>
      <c r="AG220" s="45"/>
      <c r="AH220" s="23"/>
    </row>
    <row r="221" spans="1:34" s="9" customFormat="1" ht="122.25" customHeight="1">
      <c r="A221" s="9">
        <f t="shared" ca="1" si="2"/>
        <v>446</v>
      </c>
      <c r="B221" s="31">
        <v>45642</v>
      </c>
      <c r="C221" s="2" t="s">
        <v>24</v>
      </c>
      <c r="D221" s="2" t="s">
        <v>587</v>
      </c>
      <c r="E221" s="11" t="s">
        <v>588</v>
      </c>
      <c r="F221" s="30" t="s">
        <v>62</v>
      </c>
      <c r="G221" s="30" t="s">
        <v>589</v>
      </c>
      <c r="H221" s="16">
        <v>45748</v>
      </c>
      <c r="I221" s="115"/>
      <c r="J221" s="115"/>
      <c r="K221" s="115"/>
      <c r="L221" s="115"/>
      <c r="M221" s="115"/>
      <c r="N221" s="115"/>
      <c r="O221" s="115"/>
      <c r="P221" s="115">
        <v>45730</v>
      </c>
      <c r="Q221" s="115">
        <v>45729</v>
      </c>
      <c r="R221" s="115"/>
      <c r="S221" s="115"/>
      <c r="T221" s="7" t="s">
        <v>20</v>
      </c>
      <c r="U221" s="2" t="s">
        <v>1227</v>
      </c>
      <c r="V221" s="16">
        <v>45723</v>
      </c>
      <c r="W221" s="16">
        <v>45725</v>
      </c>
      <c r="X221" s="24"/>
      <c r="Y221" s="100"/>
      <c r="Z221" s="30" t="s">
        <v>103</v>
      </c>
      <c r="AA221" s="8">
        <v>45801</v>
      </c>
      <c r="AB221" s="10"/>
      <c r="AC221" s="22">
        <v>2912.85</v>
      </c>
      <c r="AD221" s="21"/>
      <c r="AE221" s="21"/>
      <c r="AF221" s="21"/>
      <c r="AG221" s="45"/>
      <c r="AH221" s="23">
        <v>2912.85</v>
      </c>
    </row>
    <row r="222" spans="1:34" s="9" customFormat="1" ht="122.25" customHeight="1">
      <c r="A222" s="9">
        <f t="shared" ca="1" si="2"/>
        <v>478</v>
      </c>
      <c r="B222" s="31">
        <v>45642</v>
      </c>
      <c r="C222" s="2" t="s">
        <v>24</v>
      </c>
      <c r="D222" s="2" t="s">
        <v>590</v>
      </c>
      <c r="E222" s="11" t="s">
        <v>591</v>
      </c>
      <c r="F222" s="30" t="s">
        <v>155</v>
      </c>
      <c r="G222" s="30" t="s">
        <v>592</v>
      </c>
      <c r="H222" s="16">
        <v>45716</v>
      </c>
      <c r="I222" s="115"/>
      <c r="J222" s="115"/>
      <c r="K222" s="115"/>
      <c r="L222" s="115"/>
      <c r="M222" s="115" t="s">
        <v>1333</v>
      </c>
      <c r="N222" s="115"/>
      <c r="O222" s="115"/>
      <c r="P222" s="115">
        <v>45783</v>
      </c>
      <c r="Q222" s="115">
        <v>45751</v>
      </c>
      <c r="R222" s="115"/>
      <c r="S222" s="115"/>
      <c r="T222" s="7" t="s">
        <v>20</v>
      </c>
      <c r="U222" s="2" t="s">
        <v>1443</v>
      </c>
      <c r="V222" s="16">
        <v>45750</v>
      </c>
      <c r="W222" s="16">
        <v>45780</v>
      </c>
      <c r="X222" s="24"/>
      <c r="Y222" s="100"/>
      <c r="Z222" s="30" t="s">
        <v>54</v>
      </c>
      <c r="AA222" s="8">
        <v>45802</v>
      </c>
      <c r="AB222" s="10"/>
      <c r="AC222" s="22">
        <v>149549.94</v>
      </c>
      <c r="AD222" s="21"/>
      <c r="AE222" s="21"/>
      <c r="AF222" s="21"/>
      <c r="AG222" s="45"/>
      <c r="AH222" s="23">
        <v>149549.94</v>
      </c>
    </row>
    <row r="223" spans="1:34" s="9" customFormat="1" ht="122.25" customHeight="1">
      <c r="A223" s="9">
        <f t="shared" ca="1" si="2"/>
        <v>482</v>
      </c>
      <c r="B223" s="31">
        <v>45688</v>
      </c>
      <c r="C223" s="2" t="s">
        <v>24</v>
      </c>
      <c r="D223" s="2" t="s">
        <v>775</v>
      </c>
      <c r="E223" s="11" t="s">
        <v>776</v>
      </c>
      <c r="F223" s="30" t="s">
        <v>154</v>
      </c>
      <c r="G223" s="30" t="s">
        <v>1237</v>
      </c>
      <c r="H223" s="16">
        <v>45712</v>
      </c>
      <c r="I223" s="115"/>
      <c r="J223" s="115"/>
      <c r="K223" s="115"/>
      <c r="L223" s="115"/>
      <c r="M223" s="115" t="s">
        <v>1336</v>
      </c>
      <c r="N223" s="115"/>
      <c r="O223" s="115"/>
      <c r="P223" s="115">
        <v>45790</v>
      </c>
      <c r="Q223" s="115">
        <v>45783</v>
      </c>
      <c r="R223" s="115"/>
      <c r="S223" s="115"/>
      <c r="T223" s="7" t="s">
        <v>25</v>
      </c>
      <c r="U223" s="2" t="s">
        <v>1444</v>
      </c>
      <c r="V223" s="16">
        <v>45755</v>
      </c>
      <c r="W223" s="16">
        <v>45800</v>
      </c>
      <c r="X223" s="107"/>
      <c r="Y223" s="100"/>
      <c r="Z223" s="30" t="s">
        <v>119</v>
      </c>
      <c r="AA223" s="8">
        <v>45796</v>
      </c>
      <c r="AB223" s="10"/>
      <c r="AC223" s="22">
        <v>2520</v>
      </c>
      <c r="AD223" s="21"/>
      <c r="AE223" s="21"/>
      <c r="AF223" s="21"/>
      <c r="AG223" s="45"/>
      <c r="AH223" s="23"/>
    </row>
    <row r="224" spans="1:34" s="9" customFormat="1" ht="122.25" customHeight="1">
      <c r="A224" s="9">
        <f t="shared" ca="1" si="2"/>
        <v>416</v>
      </c>
      <c r="B224" s="31">
        <v>45735</v>
      </c>
      <c r="C224" s="2" t="s">
        <v>27</v>
      </c>
      <c r="D224" s="2" t="s">
        <v>1392</v>
      </c>
      <c r="E224" s="11" t="s">
        <v>1393</v>
      </c>
      <c r="F224" s="30" t="s">
        <v>1394</v>
      </c>
      <c r="G224" s="30" t="s">
        <v>1395</v>
      </c>
      <c r="H224" s="16">
        <v>45778</v>
      </c>
      <c r="I224" s="115"/>
      <c r="J224" s="115"/>
      <c r="K224" s="115"/>
      <c r="L224" s="115">
        <v>45743</v>
      </c>
      <c r="M224" s="115" t="s">
        <v>1419</v>
      </c>
      <c r="N224" s="115"/>
      <c r="O224" s="115" t="s">
        <v>1956</v>
      </c>
      <c r="P224" s="115">
        <v>45756</v>
      </c>
      <c r="Q224" s="16" t="s">
        <v>860</v>
      </c>
      <c r="R224" s="115" t="s">
        <v>1989</v>
      </c>
      <c r="S224" s="115">
        <v>45805</v>
      </c>
      <c r="T224" s="7" t="s">
        <v>22</v>
      </c>
      <c r="U224" s="2" t="s">
        <v>1610</v>
      </c>
      <c r="V224" s="16">
        <v>45780</v>
      </c>
      <c r="W224" s="16">
        <v>45790</v>
      </c>
      <c r="X224" s="24" t="s">
        <v>1957</v>
      </c>
      <c r="Y224" s="100"/>
      <c r="Z224" s="30" t="s">
        <v>55</v>
      </c>
      <c r="AA224" s="8">
        <v>45771</v>
      </c>
      <c r="AB224" s="10"/>
      <c r="AC224" s="10"/>
      <c r="AD224" s="21"/>
      <c r="AE224" s="29">
        <v>15300</v>
      </c>
      <c r="AF224" s="21"/>
      <c r="AG224" s="45"/>
      <c r="AH224" s="23">
        <v>15300</v>
      </c>
    </row>
    <row r="225" spans="1:34" s="9" customFormat="1" ht="122.25" customHeight="1">
      <c r="A225" s="9">
        <f t="shared" ca="1" si="2"/>
        <v>446</v>
      </c>
      <c r="B225" s="31">
        <v>45708</v>
      </c>
      <c r="C225" s="2" t="s">
        <v>694</v>
      </c>
      <c r="D225" s="2" t="s">
        <v>921</v>
      </c>
      <c r="E225" s="11" t="s">
        <v>920</v>
      </c>
      <c r="F225" s="30" t="s">
        <v>173</v>
      </c>
      <c r="G225" s="30" t="s">
        <v>1463</v>
      </c>
      <c r="H225" s="16">
        <v>45748</v>
      </c>
      <c r="I225" s="115"/>
      <c r="J225" s="115"/>
      <c r="K225" s="115"/>
      <c r="L225" s="115"/>
      <c r="M225" s="115">
        <v>45744</v>
      </c>
      <c r="N225" s="115"/>
      <c r="O225" s="115"/>
      <c r="P225" s="115">
        <v>45757</v>
      </c>
      <c r="Q225" s="115">
        <v>45771</v>
      </c>
      <c r="R225" s="115"/>
      <c r="S225" s="115">
        <v>45775</v>
      </c>
      <c r="T225" s="7" t="s">
        <v>22</v>
      </c>
      <c r="U225" s="2" t="s">
        <v>1915</v>
      </c>
      <c r="V225" s="16">
        <v>45744</v>
      </c>
      <c r="W225" s="16">
        <v>45767</v>
      </c>
      <c r="X225" s="4"/>
      <c r="Z225" s="30" t="s">
        <v>1006</v>
      </c>
      <c r="AA225" s="8">
        <v>45804</v>
      </c>
      <c r="AB225" s="22">
        <v>326607.24</v>
      </c>
      <c r="AC225" s="10"/>
      <c r="AD225" s="21"/>
      <c r="AE225" s="21"/>
      <c r="AF225" s="21"/>
      <c r="AG225" s="45"/>
      <c r="AH225" s="23">
        <v>326607.24</v>
      </c>
    </row>
    <row r="226" spans="1:34" s="9" customFormat="1" ht="122.25" customHeight="1">
      <c r="A226" s="9">
        <f t="shared" ca="1" si="2"/>
        <v>416</v>
      </c>
      <c r="B226" s="31">
        <v>45681</v>
      </c>
      <c r="C226" s="11" t="s">
        <v>694</v>
      </c>
      <c r="D226" s="2" t="s">
        <v>715</v>
      </c>
      <c r="E226" s="11" t="s">
        <v>716</v>
      </c>
      <c r="F226" s="30" t="s">
        <v>105</v>
      </c>
      <c r="G226" s="30" t="s">
        <v>1423</v>
      </c>
      <c r="H226" s="16">
        <v>45778</v>
      </c>
      <c r="I226" s="115"/>
      <c r="J226" s="115"/>
      <c r="K226" s="115"/>
      <c r="L226" s="115"/>
      <c r="M226" s="115"/>
      <c r="N226" s="115"/>
      <c r="O226" s="115"/>
      <c r="P226" s="115" t="s">
        <v>1492</v>
      </c>
      <c r="Q226" s="115">
        <v>45754</v>
      </c>
      <c r="R226" s="115"/>
      <c r="S226" s="115">
        <v>45793</v>
      </c>
      <c r="T226" s="7" t="s">
        <v>22</v>
      </c>
      <c r="U226" s="16" t="s">
        <v>1351</v>
      </c>
      <c r="V226" s="16">
        <v>45756</v>
      </c>
      <c r="W226" s="16">
        <v>45782</v>
      </c>
      <c r="X226" s="24"/>
      <c r="Y226" s="100"/>
      <c r="Z226" s="30" t="s">
        <v>717</v>
      </c>
      <c r="AA226" s="8">
        <v>45805</v>
      </c>
      <c r="AB226" s="22">
        <v>70749.259999999995</v>
      </c>
      <c r="AC226" s="10"/>
      <c r="AD226" s="21"/>
      <c r="AE226" s="21"/>
      <c r="AF226" s="21"/>
      <c r="AG226" s="45"/>
      <c r="AH226" s="23">
        <v>70749.259999999995</v>
      </c>
    </row>
    <row r="227" spans="1:34" s="9" customFormat="1" ht="122.25" customHeight="1">
      <c r="A227" s="9">
        <f t="shared" ca="1" si="2"/>
        <v>477</v>
      </c>
      <c r="B227" s="31">
        <v>45663</v>
      </c>
      <c r="C227" s="11" t="s">
        <v>694</v>
      </c>
      <c r="D227" s="2" t="s">
        <v>639</v>
      </c>
      <c r="E227" s="11" t="s">
        <v>640</v>
      </c>
      <c r="F227" s="30" t="s">
        <v>641</v>
      </c>
      <c r="G227" s="30" t="s">
        <v>644</v>
      </c>
      <c r="H227" s="16">
        <v>45717</v>
      </c>
      <c r="I227" s="115"/>
      <c r="J227" s="115"/>
      <c r="K227" s="115"/>
      <c r="L227" s="115"/>
      <c r="M227" s="115"/>
      <c r="N227" s="115"/>
      <c r="O227" s="115"/>
      <c r="P227" s="115">
        <v>45756</v>
      </c>
      <c r="Q227" s="115">
        <v>45756</v>
      </c>
      <c r="R227" s="115"/>
      <c r="S227" s="115">
        <v>45806</v>
      </c>
      <c r="T227" s="7" t="s">
        <v>34</v>
      </c>
      <c r="U227" s="2" t="s">
        <v>1262</v>
      </c>
      <c r="V227" s="16">
        <v>45750</v>
      </c>
      <c r="W227" s="16">
        <v>45793</v>
      </c>
      <c r="X227" s="134" t="s">
        <v>1007</v>
      </c>
      <c r="Y227" s="100"/>
      <c r="Z227" s="30" t="s">
        <v>61</v>
      </c>
      <c r="AA227" s="8">
        <v>45674</v>
      </c>
      <c r="AB227" s="10"/>
      <c r="AC227" s="22">
        <f>207952.02-110916.04</f>
        <v>97035.98</v>
      </c>
      <c r="AD227" s="21"/>
      <c r="AE227" s="21"/>
      <c r="AF227" s="21"/>
      <c r="AG227" s="45"/>
      <c r="AH227" s="23"/>
    </row>
    <row r="228" spans="1:34" s="9" customFormat="1" ht="19.5" customHeight="1">
      <c r="A228" s="9">
        <f t="shared" ca="1" si="2"/>
        <v>628</v>
      </c>
      <c r="B228" s="31">
        <v>45362</v>
      </c>
      <c r="C228" s="11" t="s">
        <v>694</v>
      </c>
      <c r="D228" s="2" t="s">
        <v>1200</v>
      </c>
      <c r="E228" s="11" t="s">
        <v>1201</v>
      </c>
      <c r="F228" s="30" t="s">
        <v>44</v>
      </c>
      <c r="G228" s="30" t="s">
        <v>1202</v>
      </c>
      <c r="H228" s="16">
        <v>45566</v>
      </c>
      <c r="I228" s="115"/>
      <c r="J228" s="115"/>
      <c r="K228" s="115"/>
      <c r="L228" s="115"/>
      <c r="M228" s="115"/>
      <c r="N228" s="115">
        <v>45375</v>
      </c>
      <c r="O228" s="115"/>
      <c r="P228" s="115"/>
      <c r="Q228" s="115">
        <v>45770</v>
      </c>
      <c r="R228" s="115"/>
      <c r="S228" s="115">
        <v>45803</v>
      </c>
      <c r="T228" s="7" t="s">
        <v>22</v>
      </c>
      <c r="U228" s="161" t="s">
        <v>1616</v>
      </c>
      <c r="V228" s="16">
        <v>45753</v>
      </c>
      <c r="W228" s="16">
        <v>45800</v>
      </c>
      <c r="X228" s="24"/>
      <c r="Z228" s="30" t="s">
        <v>54</v>
      </c>
      <c r="AA228" s="8">
        <v>45797</v>
      </c>
      <c r="AB228" s="10"/>
      <c r="AC228" s="29">
        <v>32831.22</v>
      </c>
      <c r="AD228" s="10"/>
      <c r="AE228" s="21"/>
      <c r="AF228" s="21"/>
      <c r="AG228" s="45"/>
      <c r="AH228" s="118">
        <v>32831.22</v>
      </c>
    </row>
    <row r="229" spans="1:34" s="9" customFormat="1" ht="122.25" customHeight="1">
      <c r="A229" s="9">
        <f t="shared" ca="1" si="2"/>
        <v>385</v>
      </c>
      <c r="B229" s="31">
        <v>45719</v>
      </c>
      <c r="C229" s="2" t="s">
        <v>694</v>
      </c>
      <c r="D229" s="2" t="s">
        <v>1110</v>
      </c>
      <c r="E229" s="11" t="s">
        <v>1111</v>
      </c>
      <c r="F229" s="30" t="s">
        <v>44</v>
      </c>
      <c r="G229" s="30" t="s">
        <v>1112</v>
      </c>
      <c r="H229" s="16">
        <v>45809</v>
      </c>
      <c r="I229" s="115"/>
      <c r="J229" s="115"/>
      <c r="K229" s="115"/>
      <c r="L229" s="115"/>
      <c r="M229" s="115">
        <v>45776</v>
      </c>
      <c r="N229" s="115"/>
      <c r="O229" s="115"/>
      <c r="P229" s="115">
        <v>45798</v>
      </c>
      <c r="Q229" s="115">
        <v>45798</v>
      </c>
      <c r="R229" s="115"/>
      <c r="S229" s="115">
        <v>45803</v>
      </c>
      <c r="T229" s="7" t="s">
        <v>22</v>
      </c>
      <c r="U229" s="2" t="s">
        <v>1922</v>
      </c>
      <c r="V229" s="16">
        <v>45781</v>
      </c>
      <c r="W229" s="16">
        <v>45828</v>
      </c>
      <c r="X229" s="4"/>
      <c r="Z229" s="30" t="s">
        <v>33</v>
      </c>
      <c r="AA229" s="8">
        <v>45829</v>
      </c>
      <c r="AB229" s="10"/>
      <c r="AC229" s="22">
        <v>96299.89</v>
      </c>
      <c r="AD229" s="21"/>
      <c r="AE229" s="21"/>
      <c r="AF229" s="21"/>
      <c r="AG229" s="45"/>
      <c r="AH229" s="23">
        <v>96299.89</v>
      </c>
    </row>
    <row r="230" spans="1:34" s="9" customFormat="1" ht="138" customHeight="1">
      <c r="A230" s="9">
        <f t="shared" ca="1" si="2"/>
        <v>446</v>
      </c>
      <c r="B230" s="31">
        <v>45638</v>
      </c>
      <c r="C230" s="11" t="s">
        <v>27</v>
      </c>
      <c r="D230" s="2" t="s">
        <v>565</v>
      </c>
      <c r="E230" s="11" t="s">
        <v>566</v>
      </c>
      <c r="F230" s="30" t="s">
        <v>74</v>
      </c>
      <c r="G230" s="101" t="s">
        <v>1365</v>
      </c>
      <c r="H230" s="16">
        <v>45748</v>
      </c>
      <c r="I230" s="115"/>
      <c r="J230" s="115"/>
      <c r="K230" s="115"/>
      <c r="L230" s="115"/>
      <c r="M230" s="115"/>
      <c r="N230" s="115"/>
      <c r="O230" s="115"/>
      <c r="P230" s="115"/>
      <c r="Q230" s="6" t="s">
        <v>1716</v>
      </c>
      <c r="R230" s="115"/>
      <c r="S230" s="115"/>
      <c r="T230" s="7" t="s">
        <v>22</v>
      </c>
      <c r="U230" s="16" t="s">
        <v>1428</v>
      </c>
      <c r="V230" s="16">
        <v>45741</v>
      </c>
      <c r="W230" s="16">
        <v>45760</v>
      </c>
      <c r="X230" s="17"/>
      <c r="Y230" s="100"/>
      <c r="Z230" s="30" t="s">
        <v>54</v>
      </c>
      <c r="AA230" s="8">
        <v>45799</v>
      </c>
      <c r="AB230" s="30"/>
      <c r="AC230" s="10"/>
      <c r="AD230" s="21"/>
      <c r="AE230" s="105">
        <v>1484756.64</v>
      </c>
      <c r="AF230" s="21"/>
      <c r="AG230" s="45"/>
      <c r="AH230" s="23"/>
    </row>
    <row r="231" spans="1:34" s="9" customFormat="1" ht="122.25" customHeight="1">
      <c r="A231" s="9">
        <f t="shared" ca="1" si="2"/>
        <v>507</v>
      </c>
      <c r="B231" s="31">
        <v>45464</v>
      </c>
      <c r="C231" s="11" t="s">
        <v>27</v>
      </c>
      <c r="D231" s="2" t="s">
        <v>188</v>
      </c>
      <c r="E231" s="11" t="s">
        <v>189</v>
      </c>
      <c r="F231" s="30" t="s">
        <v>74</v>
      </c>
      <c r="G231" s="3" t="s">
        <v>1364</v>
      </c>
      <c r="H231" s="16">
        <v>45687</v>
      </c>
      <c r="I231" s="115"/>
      <c r="J231" s="115"/>
      <c r="K231" s="115"/>
      <c r="L231" s="115"/>
      <c r="M231" s="157"/>
      <c r="N231" s="157"/>
      <c r="O231" s="193"/>
      <c r="P231" s="193"/>
      <c r="Q231" s="10" t="s">
        <v>1840</v>
      </c>
      <c r="R231" s="193"/>
      <c r="S231" s="204">
        <v>45772</v>
      </c>
      <c r="T231" s="7" t="s">
        <v>22</v>
      </c>
      <c r="U231" s="16" t="s">
        <v>1428</v>
      </c>
      <c r="V231" s="16">
        <v>45740</v>
      </c>
      <c r="W231" s="16">
        <v>45760</v>
      </c>
      <c r="X231" s="24"/>
      <c r="Y231" s="100"/>
      <c r="Z231" s="30" t="s">
        <v>190</v>
      </c>
      <c r="AA231" s="8">
        <v>45799</v>
      </c>
      <c r="AB231" s="65"/>
      <c r="AC231" s="10"/>
      <c r="AD231" s="21"/>
      <c r="AE231" s="22">
        <v>381315.25</v>
      </c>
      <c r="AF231" s="21"/>
      <c r="AG231" s="45"/>
      <c r="AH231" s="10">
        <v>381315.25</v>
      </c>
    </row>
    <row r="232" spans="1:34" s="9" customFormat="1" ht="122.25" customHeight="1">
      <c r="A232" s="9">
        <f t="shared" ca="1" si="2"/>
        <v>446</v>
      </c>
      <c r="B232" s="31">
        <v>45638</v>
      </c>
      <c r="C232" s="11" t="s">
        <v>27</v>
      </c>
      <c r="D232" s="34" t="s">
        <v>567</v>
      </c>
      <c r="E232" s="11" t="s">
        <v>568</v>
      </c>
      <c r="F232" s="30" t="s">
        <v>1933</v>
      </c>
      <c r="G232" s="30" t="s">
        <v>1426</v>
      </c>
      <c r="H232" s="16">
        <v>45748</v>
      </c>
      <c r="I232" s="115"/>
      <c r="J232" s="115"/>
      <c r="K232" s="115"/>
      <c r="L232" s="6"/>
      <c r="M232" s="6"/>
      <c r="N232" s="6"/>
      <c r="O232" s="6"/>
      <c r="P232" s="6"/>
      <c r="Q232" s="6"/>
      <c r="R232" s="6"/>
      <c r="S232" s="6"/>
      <c r="T232" s="7" t="s">
        <v>22</v>
      </c>
      <c r="U232" s="16"/>
      <c r="V232" s="16"/>
      <c r="W232" s="16"/>
      <c r="X232" s="35" t="s">
        <v>1927</v>
      </c>
      <c r="Y232" s="100"/>
      <c r="Z232" s="30" t="s">
        <v>33</v>
      </c>
      <c r="AA232" s="8">
        <v>45838</v>
      </c>
      <c r="AB232" s="30"/>
      <c r="AC232" s="10"/>
      <c r="AD232" s="21"/>
      <c r="AE232" s="61">
        <v>1145016</v>
      </c>
      <c r="AF232" s="21"/>
      <c r="AG232" s="45"/>
      <c r="AH232" s="23"/>
    </row>
    <row r="233" spans="1:34" s="9" customFormat="1" ht="151.5" customHeight="1">
      <c r="A233" s="9">
        <f t="shared" ca="1" si="2"/>
        <v>726</v>
      </c>
      <c r="B233" s="31">
        <v>45433</v>
      </c>
      <c r="C233" s="11" t="s">
        <v>40</v>
      </c>
      <c r="D233" s="34" t="s">
        <v>157</v>
      </c>
      <c r="E233" s="11" t="s">
        <v>158</v>
      </c>
      <c r="F233" s="30" t="s">
        <v>1933</v>
      </c>
      <c r="G233" s="30" t="s">
        <v>1775</v>
      </c>
      <c r="H233" s="16">
        <v>45468</v>
      </c>
      <c r="I233" s="115" t="s">
        <v>860</v>
      </c>
      <c r="J233" s="115"/>
      <c r="K233" s="115"/>
      <c r="L233" s="6"/>
      <c r="M233" s="34"/>
      <c r="N233" s="206"/>
      <c r="O233" s="6"/>
      <c r="P233" s="207"/>
      <c r="Q233" s="100"/>
      <c r="R233" s="125"/>
      <c r="S233" s="8"/>
      <c r="T233" s="7" t="s">
        <v>22</v>
      </c>
      <c r="U233" s="201"/>
      <c r="V233" s="185"/>
      <c r="W233" s="185"/>
      <c r="X233" s="3" t="s">
        <v>2011</v>
      </c>
      <c r="Y233" s="45"/>
      <c r="Z233" s="10"/>
      <c r="AE233" s="65"/>
    </row>
    <row r="234" spans="1:34" s="9" customFormat="1" ht="60" customHeight="1">
      <c r="A234" s="9">
        <f t="shared" ca="1" si="2"/>
        <v>726</v>
      </c>
      <c r="B234" s="31">
        <v>45433</v>
      </c>
      <c r="C234" s="11" t="s">
        <v>40</v>
      </c>
      <c r="D234" s="2" t="s">
        <v>157</v>
      </c>
      <c r="E234" s="11" t="s">
        <v>158</v>
      </c>
      <c r="F234" s="30" t="s">
        <v>1933</v>
      </c>
      <c r="G234" s="30" t="s">
        <v>1281</v>
      </c>
      <c r="H234" s="16">
        <v>45468</v>
      </c>
      <c r="I234" s="115"/>
      <c r="J234" s="115"/>
      <c r="K234" s="115"/>
      <c r="L234" s="115"/>
      <c r="M234" s="115"/>
      <c r="N234" s="115"/>
      <c r="O234" s="115"/>
      <c r="P234" s="115">
        <v>45756</v>
      </c>
      <c r="Q234" s="6" t="s">
        <v>860</v>
      </c>
      <c r="R234" s="115"/>
      <c r="S234" s="115">
        <v>45761</v>
      </c>
      <c r="T234" s="7" t="s">
        <v>22</v>
      </c>
      <c r="U234" s="2" t="s">
        <v>1280</v>
      </c>
      <c r="V234" s="31">
        <v>45748</v>
      </c>
      <c r="W234" s="16">
        <v>45752</v>
      </c>
      <c r="X234" s="24"/>
      <c r="Y234" s="100"/>
      <c r="Z234" s="30" t="s">
        <v>33</v>
      </c>
      <c r="AA234" s="8">
        <v>45801</v>
      </c>
      <c r="AB234" s="10"/>
      <c r="AC234" s="10"/>
      <c r="AD234" s="21"/>
      <c r="AE234" s="22">
        <v>568411.54</v>
      </c>
      <c r="AF234" s="21"/>
      <c r="AG234" s="45"/>
      <c r="AH234" s="10">
        <v>568411.54</v>
      </c>
    </row>
    <row r="235" spans="1:34" s="9" customFormat="1" ht="122.25" customHeight="1">
      <c r="A235" s="9">
        <f t="shared" ca="1" si="2"/>
        <v>331</v>
      </c>
      <c r="B235" s="31">
        <v>45433</v>
      </c>
      <c r="C235" s="11" t="s">
        <v>27</v>
      </c>
      <c r="D235" s="2" t="s">
        <v>159</v>
      </c>
      <c r="E235" s="11" t="s">
        <v>158</v>
      </c>
      <c r="F235" s="30" t="s">
        <v>1933</v>
      </c>
      <c r="G235" s="30" t="s">
        <v>1776</v>
      </c>
      <c r="H235" s="16">
        <v>45863</v>
      </c>
      <c r="I235" s="115"/>
      <c r="J235" s="115"/>
      <c r="K235" s="115"/>
      <c r="L235" s="16"/>
      <c r="M235" s="16"/>
      <c r="N235" s="16"/>
      <c r="O235" s="16"/>
      <c r="P235" s="10"/>
      <c r="Q235" s="10"/>
      <c r="R235" s="21"/>
      <c r="S235" s="78"/>
      <c r="T235" s="7" t="s">
        <v>22</v>
      </c>
      <c r="U235" s="2"/>
      <c r="V235" s="16"/>
      <c r="W235" s="16"/>
      <c r="X235" s="24" t="s">
        <v>2012</v>
      </c>
      <c r="Y235" s="100"/>
      <c r="Z235" s="30" t="s">
        <v>33</v>
      </c>
      <c r="AA235" s="8">
        <v>45802</v>
      </c>
    </row>
    <row r="236" spans="1:34" s="9" customFormat="1" ht="122.25" customHeight="1">
      <c r="A236" s="9">
        <f t="shared" ca="1" si="2"/>
        <v>446</v>
      </c>
      <c r="B236" s="31">
        <v>45638</v>
      </c>
      <c r="C236" s="11" t="s">
        <v>27</v>
      </c>
      <c r="D236" s="2" t="s">
        <v>569</v>
      </c>
      <c r="E236" s="11" t="s">
        <v>570</v>
      </c>
      <c r="F236" s="30" t="s">
        <v>1933</v>
      </c>
      <c r="G236" s="30" t="s">
        <v>1371</v>
      </c>
      <c r="H236" s="16">
        <v>45748</v>
      </c>
      <c r="I236" s="115"/>
      <c r="J236" s="115"/>
      <c r="K236" s="115"/>
      <c r="L236" s="115"/>
      <c r="M236" s="115"/>
      <c r="N236" s="115"/>
      <c r="O236" s="115"/>
      <c r="P236" s="115"/>
      <c r="Q236" s="6"/>
      <c r="R236" s="115"/>
      <c r="S236" s="115">
        <v>45775</v>
      </c>
      <c r="T236" s="7" t="s">
        <v>22</v>
      </c>
      <c r="U236" s="16" t="s">
        <v>1472</v>
      </c>
      <c r="V236" s="16" t="s">
        <v>1370</v>
      </c>
      <c r="W236" s="16">
        <v>45759</v>
      </c>
      <c r="X236" s="35"/>
      <c r="Y236" s="100"/>
      <c r="Z236" s="30" t="s">
        <v>571</v>
      </c>
      <c r="AA236" s="8">
        <v>45807</v>
      </c>
      <c r="AB236" s="30"/>
      <c r="AC236" s="10"/>
      <c r="AD236" s="21"/>
      <c r="AE236" s="105">
        <v>1114262.8899999999</v>
      </c>
      <c r="AF236" s="21"/>
      <c r="AG236" s="45"/>
      <c r="AH236" s="23">
        <v>1114262.8899999999</v>
      </c>
    </row>
    <row r="237" spans="1:34" s="9" customFormat="1" ht="144.75" customHeight="1">
      <c r="A237" s="9">
        <f t="shared" ca="1" si="2"/>
        <v>385</v>
      </c>
      <c r="B237" s="31">
        <v>45708</v>
      </c>
      <c r="C237" s="2" t="s">
        <v>27</v>
      </c>
      <c r="D237" s="2" t="s">
        <v>1093</v>
      </c>
      <c r="E237" s="11" t="s">
        <v>1094</v>
      </c>
      <c r="F237" s="30" t="s">
        <v>1933</v>
      </c>
      <c r="G237" s="30" t="s">
        <v>1372</v>
      </c>
      <c r="H237" s="16">
        <v>45809</v>
      </c>
      <c r="I237" s="115"/>
      <c r="J237" s="115"/>
      <c r="K237" s="115"/>
      <c r="L237" s="115"/>
      <c r="M237" s="115"/>
      <c r="N237" s="115"/>
      <c r="O237" s="6"/>
      <c r="P237" s="115">
        <v>45755</v>
      </c>
      <c r="Q237" s="16"/>
      <c r="R237" s="115"/>
      <c r="S237" s="115">
        <v>45764</v>
      </c>
      <c r="T237" s="7" t="s">
        <v>22</v>
      </c>
      <c r="U237" s="2" t="s">
        <v>1280</v>
      </c>
      <c r="V237" s="16">
        <v>45741</v>
      </c>
      <c r="W237" s="16">
        <v>45752</v>
      </c>
      <c r="X237" s="24"/>
      <c r="Z237" s="30" t="s">
        <v>54</v>
      </c>
      <c r="AA237" s="8">
        <v>45801</v>
      </c>
      <c r="AB237" s="10"/>
      <c r="AC237" s="10"/>
      <c r="AD237" s="21"/>
      <c r="AE237" s="22">
        <v>3908246.64</v>
      </c>
      <c r="AF237" s="21"/>
      <c r="AG237" s="45"/>
      <c r="AH237" s="23">
        <v>3908246.64</v>
      </c>
    </row>
    <row r="238" spans="1:34" s="9" customFormat="1" ht="122.25" customHeight="1">
      <c r="A238" s="9">
        <f t="shared" ca="1" si="2"/>
        <v>477</v>
      </c>
      <c r="B238" s="31">
        <v>45614</v>
      </c>
      <c r="C238" s="11" t="s">
        <v>27</v>
      </c>
      <c r="D238" s="2" t="s">
        <v>498</v>
      </c>
      <c r="E238" s="11" t="s">
        <v>499</v>
      </c>
      <c r="F238" s="30" t="s">
        <v>1933</v>
      </c>
      <c r="G238" s="30" t="s">
        <v>1190</v>
      </c>
      <c r="H238" s="16">
        <v>45717</v>
      </c>
      <c r="I238" s="115"/>
      <c r="J238" s="115"/>
      <c r="K238" s="115"/>
      <c r="L238" s="115"/>
      <c r="M238" s="115"/>
      <c r="N238" s="115"/>
      <c r="O238" s="115"/>
      <c r="P238" s="115">
        <v>45772</v>
      </c>
      <c r="Q238" s="6" t="s">
        <v>860</v>
      </c>
      <c r="R238" s="115"/>
      <c r="S238" s="115" t="s">
        <v>2016</v>
      </c>
      <c r="T238" s="7" t="s">
        <v>22</v>
      </c>
      <c r="U238" s="16" t="s">
        <v>1448</v>
      </c>
      <c r="V238" s="16">
        <v>45759</v>
      </c>
      <c r="W238" s="16">
        <v>45772</v>
      </c>
      <c r="X238" s="24"/>
      <c r="Z238" s="30" t="s">
        <v>33</v>
      </c>
      <c r="AA238" s="8">
        <v>45817</v>
      </c>
      <c r="AB238" s="10"/>
      <c r="AC238" s="10"/>
      <c r="AD238" s="10"/>
      <c r="AE238" s="22">
        <v>247035.06</v>
      </c>
      <c r="AF238" s="21"/>
      <c r="AG238" s="45"/>
      <c r="AH238" s="23">
        <v>247035.06</v>
      </c>
    </row>
    <row r="239" spans="1:34" s="9" customFormat="1" ht="122.25" customHeight="1">
      <c r="A239" s="9">
        <f t="shared" ca="1" si="2"/>
        <v>482</v>
      </c>
      <c r="B239" s="31">
        <v>45681</v>
      </c>
      <c r="C239" s="2" t="s">
        <v>24</v>
      </c>
      <c r="D239" s="2" t="s">
        <v>752</v>
      </c>
      <c r="E239" s="11" t="s">
        <v>753</v>
      </c>
      <c r="F239" s="30" t="s">
        <v>295</v>
      </c>
      <c r="G239" s="30" t="s">
        <v>759</v>
      </c>
      <c r="H239" s="16">
        <v>45712</v>
      </c>
      <c r="I239" s="115"/>
      <c r="J239" s="115"/>
      <c r="K239" s="115"/>
      <c r="L239" s="115"/>
      <c r="M239" s="115"/>
      <c r="N239" s="115"/>
      <c r="O239" s="115"/>
      <c r="P239" s="115"/>
      <c r="Q239" s="115">
        <v>45705</v>
      </c>
      <c r="R239" s="115">
        <v>45723</v>
      </c>
      <c r="S239" s="115"/>
      <c r="T239" s="7" t="s">
        <v>22</v>
      </c>
      <c r="U239" s="2" t="s">
        <v>760</v>
      </c>
      <c r="V239" s="16" t="s">
        <v>683</v>
      </c>
      <c r="W239" s="16" t="s">
        <v>761</v>
      </c>
      <c r="X239" s="24" t="s">
        <v>1338</v>
      </c>
      <c r="Y239" s="100"/>
      <c r="Z239" s="30" t="s">
        <v>717</v>
      </c>
      <c r="AA239" s="8">
        <v>45735</v>
      </c>
      <c r="AB239" s="10"/>
      <c r="AC239" s="22">
        <v>61236</v>
      </c>
      <c r="AD239" s="21"/>
      <c r="AE239" s="21"/>
      <c r="AF239" s="21"/>
      <c r="AG239" s="45"/>
      <c r="AH239" s="10">
        <v>61236</v>
      </c>
    </row>
    <row r="240" spans="1:34" s="150" customFormat="1" ht="122.25" customHeight="1">
      <c r="A240" s="9">
        <f t="shared" ca="1" si="2"/>
        <v>418</v>
      </c>
      <c r="B240" s="147">
        <v>45720</v>
      </c>
      <c r="C240" s="2" t="s">
        <v>24</v>
      </c>
      <c r="D240" s="2" t="s">
        <v>1215</v>
      </c>
      <c r="E240" s="148" t="s">
        <v>1216</v>
      </c>
      <c r="F240" s="125" t="s">
        <v>521</v>
      </c>
      <c r="G240" s="125" t="s">
        <v>1048</v>
      </c>
      <c r="H240" s="6">
        <v>45776</v>
      </c>
      <c r="I240" s="115"/>
      <c r="J240" s="115"/>
      <c r="K240" s="115"/>
      <c r="L240" s="115"/>
      <c r="M240" s="115">
        <v>45752</v>
      </c>
      <c r="N240" s="115"/>
      <c r="O240" s="115"/>
      <c r="P240" s="115"/>
      <c r="Q240" s="115">
        <v>45763</v>
      </c>
      <c r="R240" s="115"/>
      <c r="S240" s="115"/>
      <c r="T240" s="124" t="s">
        <v>22</v>
      </c>
      <c r="U240" s="34" t="s">
        <v>1239</v>
      </c>
      <c r="V240" s="6">
        <v>45758</v>
      </c>
      <c r="W240" s="6">
        <v>45787</v>
      </c>
      <c r="X240" s="149"/>
      <c r="Y240" s="125"/>
      <c r="Z240" s="125" t="s">
        <v>664</v>
      </c>
      <c r="AA240" s="8">
        <v>45788</v>
      </c>
      <c r="AB240" s="10"/>
      <c r="AC240" s="22">
        <v>30301.35</v>
      </c>
      <c r="AD240" s="21"/>
      <c r="AE240" s="21"/>
      <c r="AF240" s="21"/>
      <c r="AG240" s="45"/>
      <c r="AH240" s="23"/>
    </row>
    <row r="241" spans="1:37" s="9" customFormat="1" ht="122.25" customHeight="1">
      <c r="A241" s="9">
        <f t="shared" ca="1" si="2"/>
        <v>385</v>
      </c>
      <c r="B241" s="31">
        <v>45733</v>
      </c>
      <c r="C241" s="2" t="s">
        <v>24</v>
      </c>
      <c r="D241" s="2" t="s">
        <v>1307</v>
      </c>
      <c r="E241" s="11" t="s">
        <v>1308</v>
      </c>
      <c r="F241" s="30" t="s">
        <v>1309</v>
      </c>
      <c r="G241" s="30" t="s">
        <v>1407</v>
      </c>
      <c r="H241" s="16">
        <v>45809</v>
      </c>
      <c r="I241" s="115"/>
      <c r="J241" s="115"/>
      <c r="K241" s="115"/>
      <c r="L241" s="115"/>
      <c r="M241" s="115" t="s">
        <v>1447</v>
      </c>
      <c r="N241" s="115"/>
      <c r="O241" s="115"/>
      <c r="P241" s="16" t="s">
        <v>860</v>
      </c>
      <c r="Q241" s="115" t="s">
        <v>1991</v>
      </c>
      <c r="R241" s="115"/>
      <c r="S241" s="115"/>
      <c r="T241" s="7" t="s">
        <v>20</v>
      </c>
      <c r="U241" s="2" t="s">
        <v>1042</v>
      </c>
      <c r="V241" s="16">
        <v>45803</v>
      </c>
      <c r="W241" s="16">
        <v>45803</v>
      </c>
      <c r="X241" s="4" t="s">
        <v>1992</v>
      </c>
      <c r="Y241" s="100"/>
      <c r="Z241" s="30" t="s">
        <v>61</v>
      </c>
      <c r="AA241" s="8">
        <v>45749</v>
      </c>
      <c r="AB241" s="10"/>
      <c r="AC241" s="22">
        <v>2080</v>
      </c>
      <c r="AD241" s="21"/>
      <c r="AE241" s="21"/>
      <c r="AF241" s="21"/>
      <c r="AG241" s="45"/>
      <c r="AH241" s="23">
        <v>2080</v>
      </c>
    </row>
    <row r="242" spans="1:37" s="9" customFormat="1" ht="122.25" customHeight="1">
      <c r="A242" s="9">
        <f t="shared" ca="1" si="2"/>
        <v>420</v>
      </c>
      <c r="B242" s="31">
        <v>45762</v>
      </c>
      <c r="C242" s="2" t="s">
        <v>24</v>
      </c>
      <c r="D242" s="2" t="s">
        <v>1534</v>
      </c>
      <c r="E242" s="11" t="s">
        <v>1535</v>
      </c>
      <c r="F242" s="30" t="s">
        <v>95</v>
      </c>
      <c r="G242" s="30" t="s">
        <v>1536</v>
      </c>
      <c r="H242" s="16">
        <v>45774</v>
      </c>
      <c r="I242" s="115"/>
      <c r="J242" s="115"/>
      <c r="K242" s="115"/>
      <c r="L242" s="115"/>
      <c r="M242" s="115"/>
      <c r="N242" s="115"/>
      <c r="O242" s="115"/>
      <c r="P242" s="115">
        <v>45755</v>
      </c>
      <c r="Q242" s="115">
        <v>45755</v>
      </c>
      <c r="R242" s="115"/>
      <c r="S242" s="115"/>
      <c r="T242" s="7" t="s">
        <v>22</v>
      </c>
      <c r="U242" s="2" t="s">
        <v>1537</v>
      </c>
      <c r="V242" s="16">
        <v>45744</v>
      </c>
      <c r="W242" s="16">
        <v>45776</v>
      </c>
      <c r="X242" s="4"/>
      <c r="Y242" s="100"/>
      <c r="Z242" s="30" t="s">
        <v>54</v>
      </c>
      <c r="AA242" s="8">
        <v>45805</v>
      </c>
      <c r="AB242" s="22">
        <v>149856.48000000001</v>
      </c>
      <c r="AC242" s="10"/>
      <c r="AD242" s="21"/>
      <c r="AE242" s="21"/>
      <c r="AF242" s="21"/>
      <c r="AG242" s="45"/>
      <c r="AH242" s="23"/>
    </row>
    <row r="243" spans="1:37" s="9" customFormat="1" ht="18.75">
      <c r="A243" s="9">
        <f t="shared" ca="1" si="2"/>
        <v>857</v>
      </c>
      <c r="B243" s="31">
        <v>45646</v>
      </c>
      <c r="C243" s="11" t="s">
        <v>27</v>
      </c>
      <c r="D243" s="2" t="s">
        <v>661</v>
      </c>
      <c r="E243" s="11" t="s">
        <v>662</v>
      </c>
      <c r="F243" s="30" t="s">
        <v>663</v>
      </c>
      <c r="G243" s="30" t="s">
        <v>1476</v>
      </c>
      <c r="H243" s="16">
        <v>45337</v>
      </c>
      <c r="I243" s="115"/>
      <c r="J243" s="115"/>
      <c r="K243" s="115"/>
      <c r="L243" s="115"/>
      <c r="M243" s="115"/>
      <c r="N243" s="115"/>
      <c r="O243" s="115"/>
      <c r="P243" s="115">
        <v>45796</v>
      </c>
      <c r="Q243" s="16" t="s">
        <v>860</v>
      </c>
      <c r="R243" s="115">
        <v>45803</v>
      </c>
      <c r="S243" s="115">
        <v>45805</v>
      </c>
      <c r="T243" s="7" t="s">
        <v>34</v>
      </c>
      <c r="U243" s="137" t="s">
        <v>1780</v>
      </c>
      <c r="V243" s="16">
        <v>45778</v>
      </c>
      <c r="W243" s="138">
        <v>45790</v>
      </c>
      <c r="X243" s="211"/>
      <c r="Y243" s="100"/>
      <c r="Z243" s="30" t="s">
        <v>664</v>
      </c>
      <c r="AA243" s="8">
        <v>45806</v>
      </c>
      <c r="AB243" s="10"/>
      <c r="AC243" s="10"/>
      <c r="AD243" s="21"/>
      <c r="AE243" s="29">
        <v>55500</v>
      </c>
      <c r="AF243" s="21"/>
      <c r="AG243" s="45"/>
      <c r="AH243" s="23">
        <v>55500</v>
      </c>
    </row>
    <row r="244" spans="1:37" s="9" customFormat="1" ht="122.25" customHeight="1">
      <c r="A244" s="9">
        <f t="shared" ca="1" si="2"/>
        <v>432</v>
      </c>
      <c r="B244" s="31">
        <v>45663</v>
      </c>
      <c r="C244" s="11" t="s">
        <v>27</v>
      </c>
      <c r="D244" s="2" t="s">
        <v>658</v>
      </c>
      <c r="E244" s="11" t="s">
        <v>659</v>
      </c>
      <c r="F244" s="30" t="s">
        <v>121</v>
      </c>
      <c r="G244" s="30" t="s">
        <v>660</v>
      </c>
      <c r="H244" s="16">
        <v>45762</v>
      </c>
      <c r="I244" s="115"/>
      <c r="J244" s="115"/>
      <c r="K244" s="115"/>
      <c r="L244" s="115"/>
      <c r="M244" s="115"/>
      <c r="N244" s="115"/>
      <c r="O244" s="115"/>
      <c r="P244" s="115">
        <v>45755</v>
      </c>
      <c r="Q244" s="16" t="s">
        <v>860</v>
      </c>
      <c r="R244" s="115">
        <v>45800</v>
      </c>
      <c r="S244" s="115">
        <v>45812</v>
      </c>
      <c r="T244" s="7" t="s">
        <v>30</v>
      </c>
      <c r="U244" s="16" t="s">
        <v>1503</v>
      </c>
      <c r="V244" s="16">
        <v>45732</v>
      </c>
      <c r="W244" s="16">
        <v>45798</v>
      </c>
      <c r="X244" s="24" t="s">
        <v>1606</v>
      </c>
      <c r="Y244" s="100"/>
      <c r="Z244" s="30" t="s">
        <v>1146</v>
      </c>
      <c r="AA244" s="8">
        <v>45804</v>
      </c>
      <c r="AB244" s="22">
        <v>16100</v>
      </c>
      <c r="AC244" s="10"/>
      <c r="AD244" s="21"/>
      <c r="AE244" s="21"/>
      <c r="AF244" s="21"/>
      <c r="AG244" s="45"/>
      <c r="AH244" s="23">
        <v>16100</v>
      </c>
    </row>
    <row r="245" spans="1:37" s="9" customFormat="1" ht="122.25" customHeight="1">
      <c r="A245" s="9">
        <f t="shared" ca="1" si="2"/>
        <v>422</v>
      </c>
      <c r="B245" s="31">
        <v>45726</v>
      </c>
      <c r="C245" s="2" t="s">
        <v>27</v>
      </c>
      <c r="D245" s="2" t="s">
        <v>1195</v>
      </c>
      <c r="E245" s="11" t="s">
        <v>1194</v>
      </c>
      <c r="F245" s="30" t="s">
        <v>1196</v>
      </c>
      <c r="G245" s="125" t="s">
        <v>1498</v>
      </c>
      <c r="H245" s="16">
        <v>45772</v>
      </c>
      <c r="I245" s="115"/>
      <c r="J245" s="115"/>
      <c r="K245" s="115"/>
      <c r="L245" s="115"/>
      <c r="M245" s="115"/>
      <c r="N245" s="115"/>
      <c r="O245" s="115"/>
      <c r="P245" s="115">
        <v>45764</v>
      </c>
      <c r="Q245" s="16" t="s">
        <v>860</v>
      </c>
      <c r="R245" s="115"/>
      <c r="S245" s="16">
        <v>45765</v>
      </c>
      <c r="T245" s="7" t="s">
        <v>22</v>
      </c>
      <c r="U245" s="4" t="s">
        <v>1499</v>
      </c>
      <c r="V245" s="16" t="s">
        <v>1500</v>
      </c>
      <c r="W245" s="16" t="s">
        <v>1502</v>
      </c>
      <c r="X245" s="25" t="s">
        <v>2029</v>
      </c>
      <c r="Y245" s="100"/>
      <c r="Z245" s="30" t="s">
        <v>29</v>
      </c>
      <c r="AA245" s="8">
        <v>45815</v>
      </c>
      <c r="AB245" s="10"/>
      <c r="AC245" s="10"/>
      <c r="AD245" s="21"/>
      <c r="AE245" s="77">
        <f>334360+5200.2</f>
        <v>339560.2</v>
      </c>
      <c r="AF245" s="21"/>
      <c r="AG245" s="45"/>
      <c r="AH245" s="23">
        <v>339560.2</v>
      </c>
    </row>
    <row r="246" spans="1:37" s="9" customFormat="1" ht="122.25" customHeight="1">
      <c r="A246" s="9">
        <f t="shared" ca="1" si="2"/>
        <v>355</v>
      </c>
      <c r="B246" s="31">
        <v>45754</v>
      </c>
      <c r="C246" s="2" t="s">
        <v>694</v>
      </c>
      <c r="D246" s="2" t="s">
        <v>1454</v>
      </c>
      <c r="E246" s="11" t="s">
        <v>1455</v>
      </c>
      <c r="F246" s="30" t="s">
        <v>740</v>
      </c>
      <c r="G246" s="30" t="s">
        <v>1456</v>
      </c>
      <c r="H246" s="16">
        <v>45839</v>
      </c>
      <c r="I246" s="115"/>
      <c r="J246" s="115"/>
      <c r="K246" s="115"/>
      <c r="L246" s="115"/>
      <c r="M246" s="115"/>
      <c r="N246" s="115"/>
      <c r="O246" s="115"/>
      <c r="P246" s="115">
        <v>45785</v>
      </c>
      <c r="Q246" s="115">
        <v>45798</v>
      </c>
      <c r="R246" s="115"/>
      <c r="S246" s="115">
        <v>45813</v>
      </c>
      <c r="T246" s="7" t="s">
        <v>22</v>
      </c>
      <c r="U246" s="7" t="s">
        <v>1920</v>
      </c>
      <c r="V246" s="16">
        <v>45786</v>
      </c>
      <c r="W246" s="16">
        <v>45809</v>
      </c>
      <c r="X246" s="4"/>
      <c r="Y246" s="100"/>
      <c r="Z246" s="30" t="s">
        <v>742</v>
      </c>
      <c r="AA246" s="8">
        <v>45785</v>
      </c>
      <c r="AB246" s="22">
        <v>30056.400000000001</v>
      </c>
      <c r="AC246" s="10"/>
      <c r="AD246" s="21"/>
      <c r="AE246" s="21"/>
      <c r="AF246" s="21"/>
      <c r="AG246" s="45"/>
      <c r="AH246" s="23">
        <v>30056.400000000001</v>
      </c>
    </row>
    <row r="247" spans="1:37" s="9" customFormat="1" ht="122.25" customHeight="1">
      <c r="A247" s="9">
        <f t="shared" ca="1" si="2"/>
        <v>454</v>
      </c>
      <c r="B247" s="31">
        <v>45681</v>
      </c>
      <c r="C247" s="11" t="s">
        <v>694</v>
      </c>
      <c r="D247" s="2" t="s">
        <v>731</v>
      </c>
      <c r="E247" s="11" t="s">
        <v>732</v>
      </c>
      <c r="F247" s="30" t="s">
        <v>733</v>
      </c>
      <c r="G247" s="30" t="s">
        <v>734</v>
      </c>
      <c r="H247" s="16">
        <v>45740</v>
      </c>
      <c r="I247" s="115"/>
      <c r="J247" s="115"/>
      <c r="K247" s="115"/>
      <c r="L247" s="115"/>
      <c r="M247" s="115"/>
      <c r="N247" s="115"/>
      <c r="O247" s="115"/>
      <c r="P247" s="115"/>
      <c r="Q247" s="115">
        <v>45783</v>
      </c>
      <c r="R247" s="115"/>
      <c r="S247" s="115"/>
      <c r="T247" s="7" t="s">
        <v>20</v>
      </c>
      <c r="U247" s="16" t="s">
        <v>1211</v>
      </c>
      <c r="V247" s="16" t="s">
        <v>1182</v>
      </c>
      <c r="W247" s="16">
        <v>45763</v>
      </c>
      <c r="X247" s="4" t="s">
        <v>1355</v>
      </c>
      <c r="Y247" s="100"/>
      <c r="Z247" s="30" t="s">
        <v>1480</v>
      </c>
      <c r="AA247" s="8"/>
      <c r="AB247" s="10"/>
      <c r="AC247" s="22">
        <f>43112.6</f>
        <v>43112.6</v>
      </c>
      <c r="AD247" s="21"/>
      <c r="AE247" s="21"/>
      <c r="AF247" s="21"/>
      <c r="AG247" s="45"/>
      <c r="AH247" s="23">
        <v>43112.6</v>
      </c>
    </row>
    <row r="248" spans="1:37" s="9" customFormat="1" ht="122.25" customHeight="1">
      <c r="A248" s="9">
        <f t="shared" ca="1" si="2"/>
        <v>416</v>
      </c>
      <c r="B248" s="31">
        <v>45678</v>
      </c>
      <c r="C248" s="11" t="s">
        <v>694</v>
      </c>
      <c r="D248" s="2" t="s">
        <v>746</v>
      </c>
      <c r="E248" s="11" t="s">
        <v>747</v>
      </c>
      <c r="F248" s="30" t="s">
        <v>44</v>
      </c>
      <c r="G248" s="30" t="s">
        <v>293</v>
      </c>
      <c r="H248" s="16">
        <v>45778</v>
      </c>
      <c r="I248" s="115"/>
      <c r="J248" s="115"/>
      <c r="K248" s="115"/>
      <c r="L248" s="115"/>
      <c r="M248" s="115"/>
      <c r="N248" s="115"/>
      <c r="O248" s="115"/>
      <c r="P248" s="115"/>
      <c r="Q248" s="115">
        <v>45770</v>
      </c>
      <c r="R248" s="115"/>
      <c r="S248" s="115">
        <v>45803</v>
      </c>
      <c r="T248" s="7" t="s">
        <v>22</v>
      </c>
      <c r="U248" s="2" t="s">
        <v>1616</v>
      </c>
      <c r="V248" s="16">
        <v>45753</v>
      </c>
      <c r="W248" s="16">
        <v>45800</v>
      </c>
      <c r="X248" s="103"/>
      <c r="Y248" s="100"/>
      <c r="Z248" s="30" t="s">
        <v>190</v>
      </c>
      <c r="AA248" s="8">
        <v>45802</v>
      </c>
      <c r="AB248" s="10"/>
      <c r="AC248" s="22">
        <v>141099.47</v>
      </c>
      <c r="AD248" s="21"/>
      <c r="AE248" s="21"/>
      <c r="AF248" s="21"/>
      <c r="AG248" s="45"/>
      <c r="AH248" s="23">
        <v>141099.47</v>
      </c>
    </row>
    <row r="249" spans="1:37" s="9" customFormat="1" ht="122.25" customHeight="1">
      <c r="A249" s="9">
        <f t="shared" ca="1" si="2"/>
        <v>486</v>
      </c>
      <c r="B249" s="31">
        <v>45708</v>
      </c>
      <c r="C249" s="2" t="s">
        <v>694</v>
      </c>
      <c r="D249" s="2" t="s">
        <v>922</v>
      </c>
      <c r="E249" s="11" t="s">
        <v>640</v>
      </c>
      <c r="F249" s="30" t="s">
        <v>641</v>
      </c>
      <c r="G249" s="30" t="s">
        <v>923</v>
      </c>
      <c r="H249" s="16">
        <v>45708</v>
      </c>
      <c r="I249" s="115"/>
      <c r="J249" s="115"/>
      <c r="K249" s="115"/>
      <c r="L249" s="115"/>
      <c r="M249" s="115"/>
      <c r="N249" s="115"/>
      <c r="O249" s="115"/>
      <c r="P249" s="115">
        <v>45756</v>
      </c>
      <c r="Q249" s="115">
        <v>45756</v>
      </c>
      <c r="R249" s="115"/>
      <c r="S249" s="115">
        <v>45806</v>
      </c>
      <c r="T249" s="7" t="s">
        <v>22</v>
      </c>
      <c r="U249" s="2" t="s">
        <v>1262</v>
      </c>
      <c r="V249" s="16">
        <v>45750</v>
      </c>
      <c r="W249" s="16">
        <v>45793</v>
      </c>
      <c r="X249" s="134" t="s">
        <v>1007</v>
      </c>
      <c r="Z249" s="30" t="s">
        <v>61</v>
      </c>
      <c r="AA249" s="8">
        <v>45674</v>
      </c>
      <c r="AB249" s="10"/>
      <c r="AC249" s="22">
        <v>110916.04</v>
      </c>
      <c r="AD249" s="21"/>
      <c r="AE249" s="21"/>
      <c r="AF249" s="21"/>
      <c r="AG249" s="45"/>
      <c r="AH249" s="23"/>
    </row>
    <row r="250" spans="1:37" s="9" customFormat="1" ht="122.25" customHeight="1">
      <c r="A250" s="9">
        <f t="shared" ca="1" si="2"/>
        <v>750</v>
      </c>
      <c r="B250" s="31">
        <v>45390</v>
      </c>
      <c r="C250" s="2" t="s">
        <v>694</v>
      </c>
      <c r="D250" s="2" t="s">
        <v>139</v>
      </c>
      <c r="E250" s="11" t="s">
        <v>140</v>
      </c>
      <c r="F250" s="30" t="s">
        <v>105</v>
      </c>
      <c r="G250" s="30" t="s">
        <v>1421</v>
      </c>
      <c r="H250" s="16">
        <v>45444</v>
      </c>
      <c r="I250" s="115"/>
      <c r="J250" s="115"/>
      <c r="K250" s="115"/>
      <c r="L250" s="115"/>
      <c r="M250" s="115"/>
      <c r="N250" s="115"/>
      <c r="O250" s="115"/>
      <c r="P250" s="115" t="s">
        <v>1604</v>
      </c>
      <c r="Q250" s="115">
        <v>45770</v>
      </c>
      <c r="R250" s="115"/>
      <c r="S250" s="115"/>
      <c r="T250" s="7" t="s">
        <v>22</v>
      </c>
      <c r="U250" s="84" t="s">
        <v>1464</v>
      </c>
      <c r="V250" s="16">
        <v>45754</v>
      </c>
      <c r="W250" s="16">
        <v>45785</v>
      </c>
      <c r="X250" s="4"/>
      <c r="Y250" s="100"/>
      <c r="Z250" s="30" t="s">
        <v>29</v>
      </c>
      <c r="AA250" s="31">
        <v>45805</v>
      </c>
      <c r="AB250" s="22">
        <v>42449.55</v>
      </c>
      <c r="AC250" s="10"/>
      <c r="AD250" s="21"/>
      <c r="AE250" s="21"/>
      <c r="AF250" s="21"/>
      <c r="AG250" s="45"/>
      <c r="AH250" s="118">
        <v>42449.55</v>
      </c>
    </row>
    <row r="251" spans="1:37" s="9" customFormat="1" ht="122.25" customHeight="1">
      <c r="B251" s="31">
        <v>45546</v>
      </c>
      <c r="C251" s="11" t="s">
        <v>27</v>
      </c>
      <c r="D251" s="2" t="s">
        <v>308</v>
      </c>
      <c r="E251" s="11" t="s">
        <v>307</v>
      </c>
      <c r="F251" s="30" t="s">
        <v>1933</v>
      </c>
      <c r="G251" s="125" t="s">
        <v>2058</v>
      </c>
      <c r="H251" s="16">
        <v>45658</v>
      </c>
      <c r="I251" s="115"/>
      <c r="J251" s="115"/>
      <c r="K251" s="115"/>
      <c r="L251" s="6"/>
      <c r="M251" s="6"/>
      <c r="N251" s="6"/>
      <c r="O251" s="6"/>
      <c r="P251" s="6"/>
      <c r="Q251" s="6"/>
      <c r="R251" s="6"/>
      <c r="S251" s="6"/>
      <c r="T251" s="7" t="s">
        <v>22</v>
      </c>
      <c r="U251" s="2"/>
      <c r="V251" s="16"/>
      <c r="W251" s="16"/>
      <c r="X251" s="24" t="s">
        <v>2059</v>
      </c>
      <c r="Y251" s="100"/>
      <c r="Z251" s="30" t="s">
        <v>54</v>
      </c>
      <c r="AA251" s="8">
        <v>45838</v>
      </c>
      <c r="AB251" s="10"/>
      <c r="AC251" s="10"/>
      <c r="AD251" s="21"/>
      <c r="AE251" s="10">
        <v>13476.3</v>
      </c>
      <c r="AF251" s="21"/>
      <c r="AG251" s="45"/>
      <c r="AH251" s="10"/>
    </row>
    <row r="252" spans="1:37" s="150" customFormat="1" ht="122.25" customHeight="1">
      <c r="A252" s="9">
        <f t="shared" ref="A252:A285" ca="1" si="3">TODAY()-H252+1</f>
        <v>505</v>
      </c>
      <c r="B252" s="147">
        <v>45579</v>
      </c>
      <c r="C252" s="148" t="s">
        <v>27</v>
      </c>
      <c r="D252" s="34" t="s">
        <v>350</v>
      </c>
      <c r="E252" s="148" t="s">
        <v>351</v>
      </c>
      <c r="F252" s="30" t="s">
        <v>1933</v>
      </c>
      <c r="G252" s="125" t="s">
        <v>1369</v>
      </c>
      <c r="H252" s="6">
        <v>45689</v>
      </c>
      <c r="I252" s="115"/>
      <c r="J252" s="115"/>
      <c r="K252" s="115"/>
      <c r="L252" s="115"/>
      <c r="M252" s="115"/>
      <c r="N252" s="115"/>
      <c r="O252" s="115"/>
      <c r="P252" s="115"/>
      <c r="Q252" s="6"/>
      <c r="R252" s="115"/>
      <c r="S252" s="115">
        <v>45776</v>
      </c>
      <c r="T252" s="124" t="s">
        <v>22</v>
      </c>
      <c r="U252" s="16" t="s">
        <v>1472</v>
      </c>
      <c r="V252" s="189" t="s">
        <v>1370</v>
      </c>
      <c r="W252" s="189">
        <v>45759</v>
      </c>
      <c r="X252" s="27"/>
      <c r="Z252" s="125" t="s">
        <v>33</v>
      </c>
      <c r="AA252" s="8">
        <v>45807</v>
      </c>
      <c r="AB252" s="10"/>
      <c r="AC252" s="10"/>
      <c r="AD252" s="10"/>
      <c r="AE252" s="22">
        <v>3339998.68</v>
      </c>
      <c r="AF252" s="21"/>
      <c r="AG252" s="45"/>
      <c r="AH252" s="23">
        <v>3339998.68</v>
      </c>
    </row>
    <row r="253" spans="1:37" s="9" customFormat="1" ht="37.5">
      <c r="A253" s="9">
        <f t="shared" ca="1" si="3"/>
        <v>481</v>
      </c>
      <c r="B253" s="31">
        <v>45688</v>
      </c>
      <c r="C253" s="2" t="s">
        <v>27</v>
      </c>
      <c r="D253" s="2" t="s">
        <v>842</v>
      </c>
      <c r="E253" s="11" t="s">
        <v>843</v>
      </c>
      <c r="F253" s="30" t="s">
        <v>844</v>
      </c>
      <c r="G253" s="30" t="s">
        <v>845</v>
      </c>
      <c r="H253" s="16">
        <v>45713</v>
      </c>
      <c r="I253" s="115"/>
      <c r="J253" s="115"/>
      <c r="K253" s="115"/>
      <c r="L253" s="115"/>
      <c r="M253" s="115"/>
      <c r="N253" s="115"/>
      <c r="O253" s="115"/>
      <c r="P253" s="115">
        <v>45723</v>
      </c>
      <c r="Q253" s="16" t="s">
        <v>860</v>
      </c>
      <c r="R253" s="115">
        <v>45811</v>
      </c>
      <c r="S253" s="16" t="s">
        <v>2005</v>
      </c>
      <c r="T253" s="7" t="s">
        <v>22</v>
      </c>
      <c r="U253" s="15" t="s">
        <v>1959</v>
      </c>
      <c r="V253" s="16">
        <v>45751</v>
      </c>
      <c r="W253" s="16">
        <v>45805</v>
      </c>
      <c r="X253" s="30" t="s">
        <v>1958</v>
      </c>
      <c r="Y253" s="100"/>
      <c r="Z253" s="30" t="s">
        <v>822</v>
      </c>
      <c r="AA253" s="8">
        <v>45733</v>
      </c>
      <c r="AB253" s="22">
        <v>7482</v>
      </c>
      <c r="AC253" s="10"/>
      <c r="AD253" s="21"/>
      <c r="AE253" s="21"/>
      <c r="AF253" s="21"/>
      <c r="AG253" s="45"/>
      <c r="AH253" s="23"/>
    </row>
    <row r="254" spans="1:37" s="9" customFormat="1" ht="122.25" customHeight="1">
      <c r="A254" s="9">
        <f t="shared" ca="1" si="3"/>
        <v>505</v>
      </c>
      <c r="B254" s="31">
        <v>45579</v>
      </c>
      <c r="C254" s="11" t="s">
        <v>27</v>
      </c>
      <c r="D254" s="2" t="s">
        <v>352</v>
      </c>
      <c r="E254" s="11" t="s">
        <v>353</v>
      </c>
      <c r="F254" s="30" t="s">
        <v>1933</v>
      </c>
      <c r="G254" s="30" t="s">
        <v>1501</v>
      </c>
      <c r="H254" s="16">
        <v>45689</v>
      </c>
      <c r="I254" s="115"/>
      <c r="J254" s="115"/>
      <c r="K254" s="115"/>
      <c r="L254" s="115"/>
      <c r="M254" s="115"/>
      <c r="N254" s="115"/>
      <c r="O254" s="115"/>
      <c r="P254" s="115">
        <v>45756</v>
      </c>
      <c r="Q254" s="6" t="s">
        <v>860</v>
      </c>
      <c r="R254" s="115"/>
      <c r="S254" s="115">
        <v>45775</v>
      </c>
      <c r="T254" s="7" t="s">
        <v>22</v>
      </c>
      <c r="U254" s="16" t="s">
        <v>1472</v>
      </c>
      <c r="V254" s="16" t="s">
        <v>1370</v>
      </c>
      <c r="W254" s="16">
        <v>45759</v>
      </c>
      <c r="X254" s="27"/>
      <c r="Z254" s="30" t="s">
        <v>33</v>
      </c>
      <c r="AA254" s="8">
        <v>45807</v>
      </c>
      <c r="AB254" s="10"/>
      <c r="AC254" s="10"/>
      <c r="AD254" s="10"/>
      <c r="AE254" s="22">
        <v>495639.58</v>
      </c>
      <c r="AF254" s="21"/>
      <c r="AG254" s="45"/>
      <c r="AH254" s="10">
        <v>495639.58</v>
      </c>
    </row>
    <row r="255" spans="1:37" s="9" customFormat="1" ht="122.25" customHeight="1">
      <c r="A255" s="9">
        <f t="shared" ca="1" si="3"/>
        <v>416</v>
      </c>
      <c r="B255" s="31">
        <v>45720</v>
      </c>
      <c r="C255" s="2" t="s">
        <v>27</v>
      </c>
      <c r="D255" s="2" t="s">
        <v>1134</v>
      </c>
      <c r="E255" s="11" t="s">
        <v>1135</v>
      </c>
      <c r="F255" s="30" t="s">
        <v>1136</v>
      </c>
      <c r="G255" s="30" t="s">
        <v>90</v>
      </c>
      <c r="H255" s="16">
        <v>45778</v>
      </c>
      <c r="I255" s="115"/>
      <c r="J255" s="115"/>
      <c r="K255" s="115"/>
      <c r="L255" s="115"/>
      <c r="M255" s="115"/>
      <c r="N255" s="115"/>
      <c r="O255" s="115"/>
      <c r="P255" s="115">
        <v>45745</v>
      </c>
      <c r="Q255" s="16" t="s">
        <v>860</v>
      </c>
      <c r="R255" s="115"/>
      <c r="S255" s="115">
        <v>45805</v>
      </c>
      <c r="T255" s="7" t="s">
        <v>20</v>
      </c>
      <c r="U255" s="31" t="s">
        <v>1542</v>
      </c>
      <c r="V255" s="16">
        <v>45761</v>
      </c>
      <c r="W255" s="16">
        <v>45798</v>
      </c>
      <c r="X255" s="24" t="s">
        <v>1798</v>
      </c>
      <c r="Y255" s="100"/>
      <c r="Z255" s="30" t="s">
        <v>103</v>
      </c>
      <c r="AA255" s="8">
        <v>45813</v>
      </c>
      <c r="AB255" s="10"/>
      <c r="AC255" s="22">
        <v>3948</v>
      </c>
      <c r="AD255" s="21"/>
      <c r="AE255" s="21"/>
      <c r="AF255" s="21"/>
      <c r="AG255" s="45"/>
      <c r="AH255" s="23">
        <v>3948</v>
      </c>
      <c r="AK255" s="9" t="s">
        <v>1137</v>
      </c>
    </row>
    <row r="256" spans="1:37" s="9" customFormat="1" ht="122.25" customHeight="1">
      <c r="A256" s="9">
        <f t="shared" ca="1" si="3"/>
        <v>412</v>
      </c>
      <c r="B256" s="31">
        <v>45772</v>
      </c>
      <c r="C256" s="2" t="s">
        <v>24</v>
      </c>
      <c r="D256" s="2" t="s">
        <v>1749</v>
      </c>
      <c r="E256" s="11" t="s">
        <v>1750</v>
      </c>
      <c r="F256" s="30" t="s">
        <v>295</v>
      </c>
      <c r="G256" s="30" t="s">
        <v>1751</v>
      </c>
      <c r="H256" s="16">
        <v>45782</v>
      </c>
      <c r="I256" s="115"/>
      <c r="J256" s="115"/>
      <c r="K256" s="115"/>
      <c r="L256" s="115"/>
      <c r="M256" s="115"/>
      <c r="N256" s="115"/>
      <c r="O256" s="115"/>
      <c r="P256" s="115">
        <v>45783</v>
      </c>
      <c r="Q256" s="115">
        <v>45782</v>
      </c>
      <c r="R256" s="115"/>
      <c r="S256" s="115"/>
      <c r="T256" s="7" t="s">
        <v>22</v>
      </c>
      <c r="U256" s="16" t="s">
        <v>1239</v>
      </c>
      <c r="V256" s="16">
        <v>45758</v>
      </c>
      <c r="W256" s="16">
        <v>45787</v>
      </c>
      <c r="X256" s="4"/>
      <c r="Y256" s="100"/>
      <c r="Z256" s="30" t="s">
        <v>29</v>
      </c>
      <c r="AA256" s="31">
        <v>45819</v>
      </c>
      <c r="AB256" s="23"/>
      <c r="AC256" s="22">
        <v>91856.27</v>
      </c>
      <c r="AD256" s="21"/>
      <c r="AE256" s="21"/>
      <c r="AF256" s="21"/>
      <c r="AG256" s="45"/>
      <c r="AH256" s="16"/>
    </row>
    <row r="257" spans="1:34" s="9" customFormat="1" ht="122.25" customHeight="1">
      <c r="A257" s="9">
        <f t="shared" ca="1" si="3"/>
        <v>597</v>
      </c>
      <c r="B257" s="31">
        <v>45513</v>
      </c>
      <c r="C257" s="2" t="s">
        <v>694</v>
      </c>
      <c r="D257" s="2" t="s">
        <v>246</v>
      </c>
      <c r="E257" s="11" t="s">
        <v>247</v>
      </c>
      <c r="F257" s="30" t="s">
        <v>105</v>
      </c>
      <c r="G257" s="30" t="s">
        <v>1619</v>
      </c>
      <c r="H257" s="16">
        <v>45597</v>
      </c>
      <c r="I257" s="115"/>
      <c r="J257" s="115"/>
      <c r="K257" s="115"/>
      <c r="L257" s="115"/>
      <c r="M257" s="115"/>
      <c r="N257" s="115"/>
      <c r="O257" s="169"/>
      <c r="P257" s="115" t="s">
        <v>1602</v>
      </c>
      <c r="Q257" s="115">
        <v>45770</v>
      </c>
      <c r="R257" s="115"/>
      <c r="S257" s="115">
        <v>45796</v>
      </c>
      <c r="T257" s="7" t="s">
        <v>22</v>
      </c>
      <c r="U257" s="84" t="s">
        <v>1149</v>
      </c>
      <c r="V257" s="16" t="s">
        <v>1620</v>
      </c>
      <c r="W257" s="16">
        <v>45789</v>
      </c>
      <c r="X257" s="4"/>
      <c r="Y257" s="100"/>
      <c r="Z257" s="30" t="s">
        <v>29</v>
      </c>
      <c r="AA257" s="31">
        <v>45818</v>
      </c>
      <c r="AB257" s="22">
        <v>194728.91</v>
      </c>
      <c r="AC257" s="10"/>
      <c r="AD257" s="21"/>
      <c r="AE257" s="21"/>
      <c r="AF257" s="21"/>
      <c r="AG257" s="45"/>
      <c r="AH257" s="23">
        <v>194728.91</v>
      </c>
    </row>
    <row r="258" spans="1:34" s="9" customFormat="1" ht="189.75" customHeight="1">
      <c r="A258" s="9">
        <f t="shared" ca="1" si="3"/>
        <v>416</v>
      </c>
      <c r="B258" s="31">
        <v>45681</v>
      </c>
      <c r="C258" s="11" t="s">
        <v>694</v>
      </c>
      <c r="D258" s="2" t="s">
        <v>715</v>
      </c>
      <c r="E258" s="11" t="s">
        <v>716</v>
      </c>
      <c r="F258" s="30" t="s">
        <v>105</v>
      </c>
      <c r="G258" s="30" t="s">
        <v>1424</v>
      </c>
      <c r="H258" s="16">
        <v>45778</v>
      </c>
      <c r="I258" s="115"/>
      <c r="J258" s="115"/>
      <c r="K258" s="115"/>
      <c r="L258" s="115"/>
      <c r="M258" s="115"/>
      <c r="N258" s="115"/>
      <c r="O258" s="115"/>
      <c r="P258" s="115" t="s">
        <v>1603</v>
      </c>
      <c r="Q258" s="115">
        <v>45770</v>
      </c>
      <c r="R258" s="115"/>
      <c r="S258" s="115">
        <v>45793</v>
      </c>
      <c r="T258" s="7" t="s">
        <v>22</v>
      </c>
      <c r="U258" s="16" t="s">
        <v>1351</v>
      </c>
      <c r="V258" s="16">
        <v>45754</v>
      </c>
      <c r="W258" s="16">
        <v>45786</v>
      </c>
      <c r="X258" s="24"/>
      <c r="Y258" s="100"/>
      <c r="Z258" s="30" t="s">
        <v>717</v>
      </c>
      <c r="AA258" s="8">
        <v>45816</v>
      </c>
      <c r="AB258" s="22">
        <v>9133.77</v>
      </c>
      <c r="AC258" s="10"/>
      <c r="AD258" s="21"/>
      <c r="AE258" s="21"/>
      <c r="AF258" s="21"/>
      <c r="AG258" s="45"/>
      <c r="AH258" s="23">
        <v>9133.77</v>
      </c>
    </row>
    <row r="259" spans="1:34" s="9" customFormat="1" ht="122.25" customHeight="1">
      <c r="A259" s="9">
        <f t="shared" ca="1" si="3"/>
        <v>416</v>
      </c>
      <c r="B259" s="31">
        <v>45698</v>
      </c>
      <c r="C259" s="11" t="s">
        <v>694</v>
      </c>
      <c r="D259" s="2" t="s">
        <v>812</v>
      </c>
      <c r="E259" s="11" t="s">
        <v>813</v>
      </c>
      <c r="F259" s="30" t="s">
        <v>105</v>
      </c>
      <c r="G259" s="30" t="s">
        <v>1170</v>
      </c>
      <c r="H259" s="16">
        <v>45778</v>
      </c>
      <c r="I259" s="115"/>
      <c r="J259" s="115"/>
      <c r="K259" s="115"/>
      <c r="L259" s="115"/>
      <c r="M259" s="169"/>
      <c r="N259" s="169"/>
      <c r="O259" s="169"/>
      <c r="P259" s="115" t="s">
        <v>1602</v>
      </c>
      <c r="Q259" s="115">
        <v>45770</v>
      </c>
      <c r="R259" s="115"/>
      <c r="S259" s="115">
        <v>45796</v>
      </c>
      <c r="T259" s="7" t="s">
        <v>22</v>
      </c>
      <c r="U259" s="16" t="s">
        <v>1919</v>
      </c>
      <c r="V259" s="16">
        <v>45402</v>
      </c>
      <c r="W259" s="16">
        <v>45789</v>
      </c>
      <c r="X259" s="4"/>
      <c r="Z259" s="30" t="s">
        <v>89</v>
      </c>
      <c r="AA259" s="8">
        <v>45818</v>
      </c>
      <c r="AB259" s="22">
        <v>81898.960000000006</v>
      </c>
      <c r="AC259" s="10"/>
      <c r="AD259" s="21"/>
      <c r="AE259" s="21"/>
      <c r="AF259" s="21"/>
      <c r="AG259" s="45"/>
      <c r="AH259" s="23">
        <v>81898.960000000006</v>
      </c>
    </row>
    <row r="260" spans="1:34" s="9" customFormat="1" ht="122.25" customHeight="1">
      <c r="A260" s="9">
        <f t="shared" ca="1" si="3"/>
        <v>446</v>
      </c>
      <c r="B260" s="31">
        <v>45708</v>
      </c>
      <c r="C260" s="2" t="s">
        <v>694</v>
      </c>
      <c r="D260" s="2" t="s">
        <v>921</v>
      </c>
      <c r="E260" s="11" t="s">
        <v>920</v>
      </c>
      <c r="F260" s="30" t="s">
        <v>173</v>
      </c>
      <c r="G260" s="30" t="s">
        <v>1462</v>
      </c>
      <c r="H260" s="16">
        <v>45748</v>
      </c>
      <c r="I260" s="115"/>
      <c r="J260" s="115"/>
      <c r="K260" s="115"/>
      <c r="L260" s="115"/>
      <c r="M260" s="115">
        <v>45759</v>
      </c>
      <c r="N260" s="115"/>
      <c r="O260" s="115"/>
      <c r="P260" s="115">
        <v>45770</v>
      </c>
      <c r="Q260" s="115">
        <v>45771</v>
      </c>
      <c r="R260" s="115"/>
      <c r="S260" s="115">
        <v>45793</v>
      </c>
      <c r="T260" s="7" t="s">
        <v>22</v>
      </c>
      <c r="U260" s="2" t="s">
        <v>1915</v>
      </c>
      <c r="V260" s="16">
        <v>45757</v>
      </c>
      <c r="W260" s="16">
        <v>45767</v>
      </c>
      <c r="X260" s="4"/>
      <c r="Z260" s="30" t="s">
        <v>1006</v>
      </c>
      <c r="AA260" s="8">
        <v>45818</v>
      </c>
      <c r="AB260" s="22">
        <v>80795.710000000006</v>
      </c>
      <c r="AC260" s="10"/>
      <c r="AD260" s="21"/>
      <c r="AE260" s="21"/>
      <c r="AF260" s="21"/>
      <c r="AG260" s="45"/>
      <c r="AH260" s="23">
        <v>80795.710000000006</v>
      </c>
    </row>
    <row r="261" spans="1:34" s="9" customFormat="1" ht="122.25" customHeight="1">
      <c r="A261" s="9">
        <f t="shared" ca="1" si="3"/>
        <v>385</v>
      </c>
      <c r="B261" s="31">
        <v>45723</v>
      </c>
      <c r="C261" s="2" t="s">
        <v>694</v>
      </c>
      <c r="D261" s="2" t="s">
        <v>1164</v>
      </c>
      <c r="E261" s="11" t="s">
        <v>1165</v>
      </c>
      <c r="F261" s="30" t="s">
        <v>87</v>
      </c>
      <c r="G261" s="30" t="s">
        <v>1166</v>
      </c>
      <c r="H261" s="16">
        <v>45809</v>
      </c>
      <c r="I261" s="115"/>
      <c r="J261" s="115"/>
      <c r="K261" s="115"/>
      <c r="L261" s="115"/>
      <c r="M261" s="115"/>
      <c r="N261" s="115"/>
      <c r="O261" s="115"/>
      <c r="P261" s="115">
        <v>45770</v>
      </c>
      <c r="Q261" s="115">
        <v>45772</v>
      </c>
      <c r="R261" s="115"/>
      <c r="S261" s="115">
        <v>45815</v>
      </c>
      <c r="T261" s="7" t="s">
        <v>20</v>
      </c>
      <c r="U261" s="2" t="s">
        <v>1614</v>
      </c>
      <c r="V261" s="16">
        <v>45768</v>
      </c>
      <c r="W261" s="16">
        <v>45806</v>
      </c>
      <c r="X261" s="24"/>
      <c r="Y261" s="100"/>
      <c r="Z261" s="30" t="s">
        <v>33</v>
      </c>
      <c r="AA261" s="8">
        <v>45822</v>
      </c>
      <c r="AB261" s="10"/>
      <c r="AC261" s="22">
        <v>41476.379999999997</v>
      </c>
      <c r="AD261" s="21"/>
      <c r="AE261" s="21"/>
      <c r="AF261" s="21"/>
      <c r="AG261" s="45"/>
      <c r="AH261" s="23">
        <v>41476.379999999997</v>
      </c>
    </row>
    <row r="262" spans="1:34" s="9" customFormat="1" ht="122.25" customHeight="1">
      <c r="A262" s="9">
        <f t="shared" ca="1" si="3"/>
        <v>423</v>
      </c>
      <c r="B262" s="31">
        <v>45720</v>
      </c>
      <c r="C262" s="2" t="s">
        <v>27</v>
      </c>
      <c r="D262" s="2" t="s">
        <v>1122</v>
      </c>
      <c r="E262" s="11" t="s">
        <v>1123</v>
      </c>
      <c r="F262" s="30" t="s">
        <v>1124</v>
      </c>
      <c r="G262" s="30" t="s">
        <v>1125</v>
      </c>
      <c r="H262" s="16">
        <v>45771</v>
      </c>
      <c r="I262" s="115"/>
      <c r="J262" s="115"/>
      <c r="K262" s="115"/>
      <c r="L262" s="115"/>
      <c r="M262" s="115" t="s">
        <v>1396</v>
      </c>
      <c r="N262" s="115"/>
      <c r="O262" s="115"/>
      <c r="P262" s="115">
        <v>45785</v>
      </c>
      <c r="Q262" s="16" t="s">
        <v>860</v>
      </c>
      <c r="R262" s="115">
        <v>45824</v>
      </c>
      <c r="S262" s="115">
        <v>45826</v>
      </c>
      <c r="T262" s="7" t="s">
        <v>25</v>
      </c>
      <c r="U262" s="213" t="s">
        <v>1796</v>
      </c>
      <c r="V262" s="182" t="s">
        <v>1797</v>
      </c>
      <c r="W262" s="16" t="s">
        <v>1987</v>
      </c>
      <c r="X262" s="24" t="s">
        <v>1961</v>
      </c>
      <c r="Y262" s="100"/>
      <c r="Z262" s="30" t="s">
        <v>1126</v>
      </c>
      <c r="AA262" s="8">
        <v>45818</v>
      </c>
      <c r="AB262" s="10"/>
      <c r="AC262" s="22">
        <v>30635.22</v>
      </c>
      <c r="AD262" s="21"/>
      <c r="AE262" s="21"/>
      <c r="AF262" s="21"/>
      <c r="AG262" s="45"/>
      <c r="AH262" s="23">
        <v>30635.22</v>
      </c>
    </row>
    <row r="263" spans="1:34" s="9" customFormat="1" ht="122.25" customHeight="1">
      <c r="A263" s="150">
        <f t="shared" ca="1" si="3"/>
        <v>422</v>
      </c>
      <c r="B263" s="31">
        <v>45677</v>
      </c>
      <c r="C263" s="11" t="s">
        <v>27</v>
      </c>
      <c r="D263" s="2" t="s">
        <v>828</v>
      </c>
      <c r="E263" s="11" t="s">
        <v>829</v>
      </c>
      <c r="F263" s="30" t="s">
        <v>1933</v>
      </c>
      <c r="G263" s="30" t="s">
        <v>1475</v>
      </c>
      <c r="H263" s="16">
        <v>45772</v>
      </c>
      <c r="I263" s="115"/>
      <c r="J263" s="115"/>
      <c r="K263" s="115"/>
      <c r="L263" s="115"/>
      <c r="M263" s="115"/>
      <c r="N263" s="115"/>
      <c r="O263" s="115"/>
      <c r="P263" s="115">
        <v>45799</v>
      </c>
      <c r="Q263" s="6"/>
      <c r="R263" s="115">
        <v>45796</v>
      </c>
      <c r="S263" s="115">
        <v>45800</v>
      </c>
      <c r="T263" s="7" t="s">
        <v>22</v>
      </c>
      <c r="U263" s="2" t="s">
        <v>1842</v>
      </c>
      <c r="V263" s="16" t="s">
        <v>1839</v>
      </c>
      <c r="W263" s="16">
        <v>45794</v>
      </c>
      <c r="X263" s="16"/>
      <c r="Y263" s="100"/>
      <c r="Z263" s="30" t="s">
        <v>54</v>
      </c>
      <c r="AA263" s="8">
        <v>45837</v>
      </c>
      <c r="AB263" s="10"/>
      <c r="AC263" s="10"/>
      <c r="AD263" s="21"/>
      <c r="AE263" s="22">
        <v>495165.72</v>
      </c>
      <c r="AF263" s="21"/>
      <c r="AG263" s="45"/>
      <c r="AH263" s="23">
        <v>495165.72</v>
      </c>
    </row>
    <row r="264" spans="1:34" s="9" customFormat="1" ht="122.25" customHeight="1">
      <c r="A264" s="9">
        <f t="shared" ca="1" si="3"/>
        <v>371</v>
      </c>
      <c r="B264" s="31">
        <v>45754</v>
      </c>
      <c r="C264" s="2" t="s">
        <v>694</v>
      </c>
      <c r="D264" s="2" t="s">
        <v>1466</v>
      </c>
      <c r="E264" s="11" t="s">
        <v>1467</v>
      </c>
      <c r="F264" s="30" t="s">
        <v>1468</v>
      </c>
      <c r="G264" s="30" t="s">
        <v>1914</v>
      </c>
      <c r="H264" s="16">
        <v>45823</v>
      </c>
      <c r="I264" s="115"/>
      <c r="J264" s="115"/>
      <c r="K264" s="115"/>
      <c r="L264" s="115"/>
      <c r="M264" s="115"/>
      <c r="N264" s="115"/>
      <c r="O264" s="115"/>
      <c r="P264" s="115">
        <v>45799</v>
      </c>
      <c r="Q264" s="115">
        <v>45790</v>
      </c>
      <c r="R264" s="115"/>
      <c r="S264" s="115"/>
      <c r="T264" s="7" t="s">
        <v>22</v>
      </c>
      <c r="U264" s="2" t="s">
        <v>1849</v>
      </c>
      <c r="V264" s="16">
        <v>45806</v>
      </c>
      <c r="W264" s="16">
        <v>45811</v>
      </c>
      <c r="X264" s="4" t="s">
        <v>1926</v>
      </c>
      <c r="Y264" s="100"/>
      <c r="Z264" s="30" t="s">
        <v>1469</v>
      </c>
      <c r="AA264" s="8">
        <v>45800</v>
      </c>
      <c r="AB264" s="22">
        <v>28129</v>
      </c>
      <c r="AC264" s="10"/>
      <c r="AD264" s="21"/>
      <c r="AE264" s="21"/>
      <c r="AF264" s="21"/>
      <c r="AG264" s="45"/>
      <c r="AH264" s="23">
        <v>28129</v>
      </c>
    </row>
    <row r="265" spans="1:34" s="9" customFormat="1" ht="122.25" customHeight="1">
      <c r="A265" s="9">
        <f t="shared" ca="1" si="3"/>
        <v>419</v>
      </c>
      <c r="B265" s="31">
        <v>45736</v>
      </c>
      <c r="C265" s="2" t="s">
        <v>694</v>
      </c>
      <c r="D265" s="2" t="s">
        <v>1358</v>
      </c>
      <c r="E265" s="11" t="s">
        <v>1360</v>
      </c>
      <c r="F265" s="30" t="s">
        <v>1362</v>
      </c>
      <c r="G265" s="30" t="s">
        <v>1770</v>
      </c>
      <c r="H265" s="16">
        <v>45775</v>
      </c>
      <c r="I265" s="115"/>
      <c r="J265" s="115"/>
      <c r="K265" s="115"/>
      <c r="L265" s="115"/>
      <c r="M265" s="115"/>
      <c r="N265" s="115"/>
      <c r="O265" s="115"/>
      <c r="P265" s="115">
        <v>45798</v>
      </c>
      <c r="Q265" s="115">
        <v>45798</v>
      </c>
      <c r="R265" s="115"/>
      <c r="S265" s="115">
        <v>45796</v>
      </c>
      <c r="T265" s="7" t="s">
        <v>25</v>
      </c>
      <c r="U265" s="2" t="s">
        <v>1837</v>
      </c>
      <c r="V265" s="16">
        <v>45783</v>
      </c>
      <c r="W265" s="16">
        <v>45790</v>
      </c>
      <c r="X265" s="4"/>
      <c r="Y265" s="100"/>
      <c r="Z265" s="30" t="s">
        <v>23</v>
      </c>
      <c r="AA265" s="8">
        <v>45814</v>
      </c>
      <c r="AB265" s="10"/>
      <c r="AC265" s="10"/>
      <c r="AD265" s="21"/>
      <c r="AE265" s="29">
        <v>3070.84</v>
      </c>
      <c r="AF265" s="21"/>
      <c r="AG265" s="45"/>
      <c r="AH265" s="23">
        <v>3070.84</v>
      </c>
    </row>
    <row r="266" spans="1:34" s="9" customFormat="1" ht="122.25" customHeight="1">
      <c r="A266" s="9">
        <f t="shared" ca="1" si="3"/>
        <v>454</v>
      </c>
      <c r="B266" s="31">
        <v>45681</v>
      </c>
      <c r="C266" s="11" t="s">
        <v>694</v>
      </c>
      <c r="D266" s="2" t="s">
        <v>731</v>
      </c>
      <c r="E266" s="11" t="s">
        <v>732</v>
      </c>
      <c r="F266" s="30" t="s">
        <v>733</v>
      </c>
      <c r="G266" s="30" t="s">
        <v>734</v>
      </c>
      <c r="H266" s="16">
        <v>45740</v>
      </c>
      <c r="I266" s="115"/>
      <c r="J266" s="115"/>
      <c r="K266" s="115"/>
      <c r="L266" s="115"/>
      <c r="M266" s="115"/>
      <c r="N266" s="115"/>
      <c r="O266" s="115"/>
      <c r="P266" s="115"/>
      <c r="Q266" s="115">
        <v>45783</v>
      </c>
      <c r="R266" s="115"/>
      <c r="S266" s="115">
        <v>45816</v>
      </c>
      <c r="T266" s="7" t="s">
        <v>20</v>
      </c>
      <c r="U266" s="16" t="s">
        <v>1356</v>
      </c>
      <c r="V266" s="16" t="s">
        <v>1353</v>
      </c>
      <c r="W266" s="16" t="s">
        <v>1772</v>
      </c>
      <c r="X266" s="4" t="s">
        <v>1354</v>
      </c>
      <c r="Y266" s="100"/>
      <c r="Z266" s="192" t="s">
        <v>1618</v>
      </c>
      <c r="AA266" s="8">
        <v>45764</v>
      </c>
      <c r="AB266" s="10"/>
      <c r="AC266" s="22">
        <f>43317.6</f>
        <v>43317.599999999999</v>
      </c>
      <c r="AD266" s="21"/>
      <c r="AE266" s="21"/>
      <c r="AF266" s="21"/>
      <c r="AG266" s="45"/>
      <c r="AH266" s="23">
        <v>43317.599999999999</v>
      </c>
    </row>
    <row r="267" spans="1:34" s="9" customFormat="1" ht="122.25" customHeight="1">
      <c r="A267" s="9">
        <f t="shared" ca="1" si="3"/>
        <v>397</v>
      </c>
      <c r="B267" s="31">
        <v>45772</v>
      </c>
      <c r="C267" s="2" t="s">
        <v>24</v>
      </c>
      <c r="D267" s="2" t="s">
        <v>1706</v>
      </c>
      <c r="E267" s="11" t="s">
        <v>1707</v>
      </c>
      <c r="F267" s="30" t="s">
        <v>98</v>
      </c>
      <c r="G267" s="30" t="s">
        <v>1043</v>
      </c>
      <c r="H267" s="16">
        <v>45797</v>
      </c>
      <c r="I267" s="115"/>
      <c r="J267" s="115"/>
      <c r="K267" s="115"/>
      <c r="L267" s="115"/>
      <c r="M267" s="115"/>
      <c r="N267" s="115"/>
      <c r="O267" s="115"/>
      <c r="P267" s="115">
        <v>45779</v>
      </c>
      <c r="Q267" s="115">
        <v>45779</v>
      </c>
      <c r="R267" s="115"/>
      <c r="S267" s="115"/>
      <c r="T267" s="7" t="s">
        <v>22</v>
      </c>
      <c r="U267" s="2" t="s">
        <v>1962</v>
      </c>
      <c r="V267" s="16">
        <v>45770</v>
      </c>
      <c r="W267" s="16">
        <v>45805</v>
      </c>
      <c r="X267" s="4"/>
      <c r="Y267" s="100"/>
      <c r="Z267" s="30" t="s">
        <v>50</v>
      </c>
      <c r="AA267" s="8">
        <v>45831</v>
      </c>
      <c r="AB267" s="22">
        <v>28377</v>
      </c>
      <c r="AC267" s="10"/>
      <c r="AD267" s="21"/>
      <c r="AE267" s="21"/>
      <c r="AF267" s="21"/>
      <c r="AG267" s="45"/>
      <c r="AH267" s="23">
        <v>28377</v>
      </c>
    </row>
    <row r="268" spans="1:34" s="9" customFormat="1" ht="122.25" customHeight="1">
      <c r="A268" s="9">
        <f t="shared" ca="1" si="3"/>
        <v>422</v>
      </c>
      <c r="B268" s="31">
        <v>45750</v>
      </c>
      <c r="C268" s="2" t="s">
        <v>24</v>
      </c>
      <c r="D268" s="2" t="s">
        <v>1557</v>
      </c>
      <c r="E268" s="11" t="s">
        <v>1558</v>
      </c>
      <c r="F268" s="30" t="s">
        <v>155</v>
      </c>
      <c r="G268" s="30" t="s">
        <v>1559</v>
      </c>
      <c r="H268" s="16">
        <v>45772</v>
      </c>
      <c r="I268" s="115"/>
      <c r="J268" s="115"/>
      <c r="K268" s="115"/>
      <c r="L268" s="16"/>
      <c r="M268" s="16"/>
      <c r="N268" s="16"/>
      <c r="O268" s="16"/>
      <c r="P268" s="6"/>
      <c r="Q268" s="6"/>
      <c r="R268" s="6"/>
      <c r="S268" s="6"/>
      <c r="T268" s="124" t="s">
        <v>20</v>
      </c>
      <c r="U268" s="34"/>
      <c r="V268" s="6"/>
      <c r="W268" s="6"/>
      <c r="X268" s="27" t="s">
        <v>1801</v>
      </c>
      <c r="Y268" s="190"/>
      <c r="Z268" s="30" t="s">
        <v>54</v>
      </c>
      <c r="AA268" s="8">
        <v>45828</v>
      </c>
      <c r="AB268" s="23"/>
      <c r="AC268" s="10">
        <v>164.94</v>
      </c>
      <c r="AD268" s="21"/>
      <c r="AE268" s="21"/>
      <c r="AF268" s="21"/>
      <c r="AG268" s="45"/>
      <c r="AH268" s="23"/>
    </row>
    <row r="269" spans="1:34" s="9" customFormat="1" ht="122.25" customHeight="1">
      <c r="A269" s="9">
        <f t="shared" ca="1" si="3"/>
        <v>376</v>
      </c>
      <c r="B269" s="31">
        <v>45765</v>
      </c>
      <c r="C269" s="2" t="s">
        <v>27</v>
      </c>
      <c r="D269" s="2" t="s">
        <v>1588</v>
      </c>
      <c r="E269" s="11" t="s">
        <v>1589</v>
      </c>
      <c r="F269" s="30" t="s">
        <v>1590</v>
      </c>
      <c r="G269" s="30" t="s">
        <v>1591</v>
      </c>
      <c r="H269" s="16">
        <v>45818</v>
      </c>
      <c r="I269" s="115"/>
      <c r="J269" s="115"/>
      <c r="K269" s="115"/>
      <c r="L269" s="115"/>
      <c r="M269" s="115">
        <v>45770</v>
      </c>
      <c r="N269" s="115"/>
      <c r="O269" s="115"/>
      <c r="P269" s="115">
        <v>45789</v>
      </c>
      <c r="Q269" s="16"/>
      <c r="R269" s="115"/>
      <c r="S269" s="115">
        <v>45832</v>
      </c>
      <c r="T269" s="7" t="s">
        <v>20</v>
      </c>
      <c r="U269" s="2" t="s">
        <v>1967</v>
      </c>
      <c r="V269" s="16">
        <v>45796</v>
      </c>
      <c r="W269" s="6">
        <v>45824</v>
      </c>
      <c r="X269" s="6" t="s">
        <v>1970</v>
      </c>
      <c r="Y269" s="100"/>
      <c r="Z269" s="30" t="s">
        <v>1592</v>
      </c>
      <c r="AA269" s="8">
        <v>45775</v>
      </c>
      <c r="AB269" s="10"/>
      <c r="AC269" s="22">
        <v>7974</v>
      </c>
      <c r="AD269" s="21"/>
      <c r="AE269" s="21"/>
      <c r="AF269" s="21"/>
      <c r="AG269" s="45"/>
      <c r="AH269" s="23"/>
    </row>
    <row r="270" spans="1:34" s="9" customFormat="1" ht="122.25" customHeight="1">
      <c r="A270" s="9">
        <f t="shared" ca="1" si="3"/>
        <v>385</v>
      </c>
      <c r="B270" s="31">
        <v>45736</v>
      </c>
      <c r="C270" s="2" t="s">
        <v>694</v>
      </c>
      <c r="D270" s="2" t="s">
        <v>1359</v>
      </c>
      <c r="E270" s="11" t="s">
        <v>1361</v>
      </c>
      <c r="F270" s="30" t="s">
        <v>1362</v>
      </c>
      <c r="G270" s="30" t="s">
        <v>1363</v>
      </c>
      <c r="H270" s="16">
        <v>45809</v>
      </c>
      <c r="I270" s="115"/>
      <c r="J270" s="115"/>
      <c r="K270" s="115"/>
      <c r="L270" s="115"/>
      <c r="M270" s="115">
        <v>45776</v>
      </c>
      <c r="N270" s="115"/>
      <c r="O270" s="115"/>
      <c r="P270" s="115">
        <v>45828</v>
      </c>
      <c r="Q270" s="115">
        <v>45827</v>
      </c>
      <c r="R270" s="115"/>
      <c r="S270" s="115"/>
      <c r="T270" s="7" t="s">
        <v>25</v>
      </c>
      <c r="U270" s="2" t="s">
        <v>2008</v>
      </c>
      <c r="V270" s="16">
        <v>45816</v>
      </c>
      <c r="W270" s="222">
        <v>45832</v>
      </c>
      <c r="X270" s="24"/>
      <c r="Y270" s="100"/>
      <c r="Z270" s="30" t="s">
        <v>23</v>
      </c>
      <c r="AA270" s="8">
        <v>45835</v>
      </c>
      <c r="AB270" s="10"/>
      <c r="AC270" s="10"/>
      <c r="AD270" s="21"/>
      <c r="AE270" s="29">
        <v>105943.98</v>
      </c>
      <c r="AF270" s="21"/>
      <c r="AG270" s="45"/>
      <c r="AH270" s="23"/>
    </row>
    <row r="271" spans="1:34" s="9" customFormat="1" ht="122.25" customHeight="1">
      <c r="A271" s="9">
        <f t="shared" ca="1" si="3"/>
        <v>355</v>
      </c>
      <c r="B271" s="31">
        <v>45734</v>
      </c>
      <c r="C271" s="2" t="s">
        <v>694</v>
      </c>
      <c r="D271" s="2" t="s">
        <v>1298</v>
      </c>
      <c r="E271" s="11" t="s">
        <v>1299</v>
      </c>
      <c r="F271" s="30" t="s">
        <v>311</v>
      </c>
      <c r="G271" s="30" t="s">
        <v>1300</v>
      </c>
      <c r="H271" s="16">
        <v>45839</v>
      </c>
      <c r="I271" s="115"/>
      <c r="J271" s="115"/>
      <c r="K271" s="115"/>
      <c r="L271" s="115"/>
      <c r="M271" s="115"/>
      <c r="N271" s="115"/>
      <c r="O271" s="115"/>
      <c r="P271" s="115">
        <v>45789</v>
      </c>
      <c r="Q271" s="115">
        <v>45789</v>
      </c>
      <c r="R271" s="115"/>
      <c r="S271" s="115"/>
      <c r="T271" s="7" t="s">
        <v>22</v>
      </c>
      <c r="U271" s="2" t="s">
        <v>1836</v>
      </c>
      <c r="V271" s="16">
        <v>45796</v>
      </c>
      <c r="W271" s="16">
        <v>45833</v>
      </c>
      <c r="X271" s="4"/>
      <c r="Y271" s="100"/>
      <c r="Z271" s="30" t="s">
        <v>46</v>
      </c>
      <c r="AA271" s="8">
        <v>45817</v>
      </c>
      <c r="AB271" s="22">
        <v>20565</v>
      </c>
      <c r="AC271" s="10"/>
      <c r="AD271" s="21"/>
      <c r="AE271" s="21"/>
      <c r="AF271" s="21"/>
      <c r="AG271" s="45"/>
      <c r="AH271" s="23">
        <v>20565</v>
      </c>
    </row>
    <row r="272" spans="1:34" s="9" customFormat="1" ht="122.25" customHeight="1">
      <c r="A272" s="9">
        <f t="shared" ca="1" si="3"/>
        <v>385</v>
      </c>
      <c r="B272" s="31">
        <v>45716</v>
      </c>
      <c r="C272" s="2" t="s">
        <v>24</v>
      </c>
      <c r="D272" s="2" t="s">
        <v>1064</v>
      </c>
      <c r="E272" s="11" t="s">
        <v>1065</v>
      </c>
      <c r="F272" s="30" t="s">
        <v>62</v>
      </c>
      <c r="G272" s="30" t="s">
        <v>1066</v>
      </c>
      <c r="H272" s="16">
        <v>45809</v>
      </c>
      <c r="I272" s="115"/>
      <c r="J272" s="115"/>
      <c r="K272" s="115"/>
      <c r="L272" s="115"/>
      <c r="M272" s="115">
        <v>45736</v>
      </c>
      <c r="N272" s="115"/>
      <c r="O272" s="115"/>
      <c r="P272" s="115"/>
      <c r="Q272" s="115">
        <v>45737</v>
      </c>
      <c r="R272" s="115"/>
      <c r="S272" s="115"/>
      <c r="T272" s="7" t="s">
        <v>20</v>
      </c>
      <c r="U272" s="2" t="s">
        <v>1420</v>
      </c>
      <c r="V272" s="16">
        <v>45743</v>
      </c>
      <c r="W272" s="16">
        <v>45745</v>
      </c>
      <c r="X272" s="24"/>
      <c r="Z272" s="30" t="s">
        <v>103</v>
      </c>
      <c r="AA272" s="8">
        <v>45825</v>
      </c>
      <c r="AB272" s="10"/>
      <c r="AC272" s="22">
        <v>1098.48</v>
      </c>
      <c r="AD272" s="21"/>
      <c r="AE272" s="21"/>
      <c r="AF272" s="21"/>
      <c r="AG272" s="45"/>
      <c r="AH272" s="23">
        <v>1098.48</v>
      </c>
    </row>
    <row r="273" spans="1:34" s="9" customFormat="1" ht="56.25">
      <c r="A273" s="9">
        <f t="shared" ca="1" si="3"/>
        <v>423</v>
      </c>
      <c r="B273" s="31">
        <v>45678</v>
      </c>
      <c r="C273" s="2" t="s">
        <v>24</v>
      </c>
      <c r="D273" s="2" t="s">
        <v>1072</v>
      </c>
      <c r="E273" s="11" t="s">
        <v>1073</v>
      </c>
      <c r="F273" s="30" t="s">
        <v>36</v>
      </c>
      <c r="G273" s="30" t="s">
        <v>1540</v>
      </c>
      <c r="H273" s="16">
        <v>45771</v>
      </c>
      <c r="I273" s="115"/>
      <c r="J273" s="115"/>
      <c r="K273" s="115"/>
      <c r="L273" s="115"/>
      <c r="M273" s="115"/>
      <c r="N273" s="115"/>
      <c r="O273" s="115"/>
      <c r="P273" s="115">
        <v>45799</v>
      </c>
      <c r="Q273" s="115">
        <v>45797</v>
      </c>
      <c r="R273" s="115"/>
      <c r="S273" s="115"/>
      <c r="T273" s="7" t="s">
        <v>30</v>
      </c>
      <c r="U273" s="2" t="s">
        <v>1802</v>
      </c>
      <c r="V273" s="16">
        <v>45802</v>
      </c>
      <c r="W273" s="16">
        <v>45810</v>
      </c>
      <c r="X273" s="24"/>
      <c r="Y273" s="100"/>
      <c r="Z273" s="30" t="s">
        <v>324</v>
      </c>
      <c r="AA273" s="8">
        <v>45842</v>
      </c>
      <c r="AB273" s="22">
        <v>263992.39</v>
      </c>
      <c r="AC273" s="10"/>
      <c r="AD273" s="21"/>
      <c r="AE273" s="21"/>
      <c r="AF273" s="21"/>
      <c r="AG273" s="45"/>
      <c r="AH273" s="23"/>
    </row>
    <row r="274" spans="1:34" s="9" customFormat="1" ht="261" customHeight="1">
      <c r="A274" s="9">
        <f t="shared" ca="1" si="3"/>
        <v>394</v>
      </c>
      <c r="B274" s="31">
        <v>45708</v>
      </c>
      <c r="C274" s="2" t="s">
        <v>24</v>
      </c>
      <c r="D274" s="2" t="s">
        <v>1074</v>
      </c>
      <c r="E274" s="11" t="s">
        <v>1075</v>
      </c>
      <c r="F274" s="30" t="s">
        <v>36</v>
      </c>
      <c r="G274" s="30" t="s">
        <v>1908</v>
      </c>
      <c r="H274" s="16">
        <v>45800</v>
      </c>
      <c r="I274" s="115"/>
      <c r="J274" s="115"/>
      <c r="K274" s="115"/>
      <c r="L274" s="115"/>
      <c r="M274" s="115"/>
      <c r="N274" s="115"/>
      <c r="O274" s="115"/>
      <c r="P274" s="115">
        <v>45799</v>
      </c>
      <c r="Q274" s="115">
        <v>45797</v>
      </c>
      <c r="R274" s="115"/>
      <c r="S274" s="115"/>
      <c r="T274" s="7" t="s">
        <v>30</v>
      </c>
      <c r="U274" s="2" t="s">
        <v>1802</v>
      </c>
      <c r="V274" s="16">
        <v>45802</v>
      </c>
      <c r="W274" s="16">
        <v>45810</v>
      </c>
      <c r="X274" s="24"/>
      <c r="Z274" s="30" t="s">
        <v>119</v>
      </c>
      <c r="AA274" s="8">
        <v>45842</v>
      </c>
      <c r="AB274" s="22">
        <v>372383.43</v>
      </c>
      <c r="AC274" s="10"/>
      <c r="AD274" s="21"/>
      <c r="AE274" s="21"/>
      <c r="AF274" s="21"/>
      <c r="AG274" s="45"/>
      <c r="AH274" s="23"/>
    </row>
    <row r="275" spans="1:34" s="9" customFormat="1" ht="122.25" customHeight="1">
      <c r="A275" s="9">
        <f t="shared" ca="1" si="3"/>
        <v>423</v>
      </c>
      <c r="B275" s="31">
        <v>45708</v>
      </c>
      <c r="C275" s="2" t="s">
        <v>24</v>
      </c>
      <c r="D275" s="2" t="s">
        <v>1050</v>
      </c>
      <c r="E275" s="11" t="s">
        <v>1051</v>
      </c>
      <c r="F275" s="30" t="s">
        <v>36</v>
      </c>
      <c r="G275" s="30" t="s">
        <v>1052</v>
      </c>
      <c r="H275" s="16">
        <v>45771</v>
      </c>
      <c r="I275" s="115"/>
      <c r="J275" s="115"/>
      <c r="K275" s="115"/>
      <c r="L275" s="115"/>
      <c r="M275" s="115"/>
      <c r="N275" s="115"/>
      <c r="O275" s="115"/>
      <c r="P275" s="115">
        <v>45799</v>
      </c>
      <c r="Q275" s="115">
        <v>45797</v>
      </c>
      <c r="R275" s="115"/>
      <c r="S275" s="115"/>
      <c r="T275" s="7" t="s">
        <v>30</v>
      </c>
      <c r="U275" s="2" t="s">
        <v>1802</v>
      </c>
      <c r="V275" s="16">
        <v>45802</v>
      </c>
      <c r="W275" s="16">
        <v>45810</v>
      </c>
      <c r="X275" s="24"/>
      <c r="Z275" s="30" t="s">
        <v>1053</v>
      </c>
      <c r="AA275" s="8">
        <v>45842</v>
      </c>
      <c r="AB275" s="105">
        <v>12946.71</v>
      </c>
      <c r="AC275" s="10"/>
      <c r="AD275" s="21"/>
      <c r="AE275" s="21"/>
      <c r="AF275" s="21"/>
      <c r="AG275" s="45"/>
      <c r="AH275" s="23"/>
    </row>
    <row r="276" spans="1:34" s="9" customFormat="1" ht="249" customHeight="1">
      <c r="A276" s="9">
        <f t="shared" ca="1" si="3"/>
        <v>355</v>
      </c>
      <c r="B276" s="31">
        <v>45761</v>
      </c>
      <c r="C276" s="2" t="s">
        <v>27</v>
      </c>
      <c r="D276" s="2" t="s">
        <v>1579</v>
      </c>
      <c r="E276" s="11" t="s">
        <v>1580</v>
      </c>
      <c r="F276" s="30" t="s">
        <v>1581</v>
      </c>
      <c r="G276" s="30" t="s">
        <v>2004</v>
      </c>
      <c r="H276" s="16">
        <v>45839</v>
      </c>
      <c r="I276" s="115"/>
      <c r="J276" s="115"/>
      <c r="K276" s="115"/>
      <c r="L276" s="115"/>
      <c r="M276" s="115" t="s">
        <v>1831</v>
      </c>
      <c r="N276" s="115"/>
      <c r="O276" s="115"/>
      <c r="P276" s="115">
        <v>45817</v>
      </c>
      <c r="Q276" s="115"/>
      <c r="R276" s="115">
        <v>45824</v>
      </c>
      <c r="S276" s="115">
        <v>45824</v>
      </c>
      <c r="T276" s="7" t="s">
        <v>22</v>
      </c>
      <c r="U276" s="2" t="s">
        <v>1909</v>
      </c>
      <c r="V276" s="16" t="s">
        <v>1832</v>
      </c>
      <c r="W276" s="16">
        <v>45811</v>
      </c>
      <c r="X276" s="2" t="s">
        <v>2242</v>
      </c>
      <c r="Y276" s="100"/>
      <c r="Z276" s="30" t="s">
        <v>1609</v>
      </c>
      <c r="AA276" s="8">
        <v>45853</v>
      </c>
      <c r="AB276" s="10"/>
      <c r="AC276" s="10"/>
      <c r="AD276" s="21"/>
      <c r="AE276" s="22">
        <v>329216</v>
      </c>
      <c r="AF276" s="21"/>
      <c r="AG276" s="45"/>
      <c r="AH276" s="23">
        <v>329216</v>
      </c>
    </row>
    <row r="277" spans="1:34" s="9" customFormat="1" ht="122.25" customHeight="1">
      <c r="A277" s="9">
        <f t="shared" ca="1" si="3"/>
        <v>507</v>
      </c>
      <c r="B277" s="31">
        <v>45545</v>
      </c>
      <c r="C277" s="2" t="s">
        <v>24</v>
      </c>
      <c r="D277" s="2" t="s">
        <v>303</v>
      </c>
      <c r="E277" s="11" t="s">
        <v>304</v>
      </c>
      <c r="F277" s="30" t="s">
        <v>36</v>
      </c>
      <c r="G277" s="30" t="s">
        <v>911</v>
      </c>
      <c r="H277" s="16">
        <v>45687</v>
      </c>
      <c r="I277" s="115"/>
      <c r="J277" s="115"/>
      <c r="K277" s="115"/>
      <c r="L277" s="115"/>
      <c r="M277" s="115"/>
      <c r="N277" s="115" t="s">
        <v>1906</v>
      </c>
      <c r="O277" s="115"/>
      <c r="P277" s="115">
        <v>45797</v>
      </c>
      <c r="Q277" s="115">
        <v>45797</v>
      </c>
      <c r="R277" s="115"/>
      <c r="S277" s="115"/>
      <c r="T277" s="7" t="s">
        <v>30</v>
      </c>
      <c r="U277" s="2" t="s">
        <v>1446</v>
      </c>
      <c r="V277" s="16">
        <v>45800</v>
      </c>
      <c r="W277" s="16">
        <v>45800</v>
      </c>
      <c r="X277" s="24"/>
      <c r="Y277" s="100"/>
      <c r="Z277" s="30" t="s">
        <v>113</v>
      </c>
      <c r="AA277" s="8">
        <v>45837</v>
      </c>
      <c r="AB277" s="22">
        <v>23165.1</v>
      </c>
      <c r="AC277" s="10"/>
      <c r="AD277" s="21"/>
      <c r="AE277" s="21"/>
      <c r="AF277" s="21"/>
      <c r="AG277" s="45"/>
      <c r="AH277" s="10"/>
    </row>
    <row r="278" spans="1:34" s="9" customFormat="1" ht="122.25" customHeight="1">
      <c r="A278" s="9">
        <f t="shared" ca="1" si="3"/>
        <v>370</v>
      </c>
      <c r="B278" s="31">
        <v>45761</v>
      </c>
      <c r="C278" s="2" t="s">
        <v>24</v>
      </c>
      <c r="D278" s="2" t="s">
        <v>1551</v>
      </c>
      <c r="E278" s="11" t="s">
        <v>1552</v>
      </c>
      <c r="F278" s="30" t="s">
        <v>521</v>
      </c>
      <c r="G278" s="30" t="s">
        <v>1553</v>
      </c>
      <c r="H278" s="16">
        <v>45824</v>
      </c>
      <c r="I278" s="115"/>
      <c r="J278" s="115"/>
      <c r="K278" s="115"/>
      <c r="L278" s="115"/>
      <c r="M278" s="115"/>
      <c r="N278" s="115"/>
      <c r="O278" s="115">
        <v>45817</v>
      </c>
      <c r="P278" s="115">
        <v>45825</v>
      </c>
      <c r="Q278" s="115">
        <v>45825</v>
      </c>
      <c r="R278" s="115"/>
      <c r="S278" s="115"/>
      <c r="T278" s="7" t="s">
        <v>22</v>
      </c>
      <c r="U278" s="34" t="s">
        <v>1799</v>
      </c>
      <c r="V278" s="16">
        <v>45811</v>
      </c>
      <c r="W278" s="16">
        <v>45840</v>
      </c>
      <c r="X278" s="4"/>
      <c r="Y278" s="100"/>
      <c r="Z278" s="30" t="s">
        <v>778</v>
      </c>
      <c r="AA278" s="8">
        <v>45843</v>
      </c>
      <c r="AB278" s="10"/>
      <c r="AC278" s="22">
        <v>30072.5</v>
      </c>
      <c r="AD278" s="21"/>
      <c r="AE278" s="21"/>
      <c r="AF278" s="21"/>
      <c r="AG278" s="45"/>
      <c r="AH278" s="23">
        <v>30072.5</v>
      </c>
    </row>
    <row r="279" spans="1:34" s="9" customFormat="1" ht="122.25" customHeight="1">
      <c r="A279" s="9">
        <f t="shared" ca="1" si="3"/>
        <v>355</v>
      </c>
      <c r="B279" s="31">
        <v>45734</v>
      </c>
      <c r="C279" s="2" t="s">
        <v>694</v>
      </c>
      <c r="D279" s="2" t="s">
        <v>1295</v>
      </c>
      <c r="E279" s="11" t="s">
        <v>1296</v>
      </c>
      <c r="F279" s="30" t="s">
        <v>31</v>
      </c>
      <c r="G279" s="30" t="s">
        <v>1297</v>
      </c>
      <c r="H279" s="16">
        <v>45839</v>
      </c>
      <c r="I279" s="115"/>
      <c r="J279" s="115"/>
      <c r="K279" s="115"/>
      <c r="L279" s="115"/>
      <c r="M279" s="115"/>
      <c r="N279" s="115"/>
      <c r="O279" s="115"/>
      <c r="P279" s="115"/>
      <c r="Q279" s="115">
        <v>45854</v>
      </c>
      <c r="R279" s="115"/>
      <c r="S279" s="115">
        <v>45842</v>
      </c>
      <c r="T279" s="7" t="s">
        <v>22</v>
      </c>
      <c r="U279" s="2" t="s">
        <v>2056</v>
      </c>
      <c r="V279" s="16">
        <v>45811</v>
      </c>
      <c r="W279" s="16">
        <v>45830</v>
      </c>
      <c r="X279" s="126"/>
      <c r="Y279" s="100"/>
      <c r="Z279" s="30" t="s">
        <v>1615</v>
      </c>
      <c r="AA279" s="8">
        <v>45761</v>
      </c>
      <c r="AB279" s="22">
        <f>236362.7+11067.87</f>
        <v>247430.57</v>
      </c>
      <c r="AC279" s="10"/>
      <c r="AD279" s="21"/>
      <c r="AE279" s="21"/>
      <c r="AF279" s="21"/>
      <c r="AG279" s="45"/>
      <c r="AH279" s="23">
        <v>247430.57</v>
      </c>
    </row>
    <row r="280" spans="1:34" s="9" customFormat="1" ht="122.25" customHeight="1">
      <c r="A280" s="9">
        <f t="shared" ca="1" si="3"/>
        <v>385</v>
      </c>
      <c r="B280" s="31">
        <v>45730</v>
      </c>
      <c r="C280" s="2" t="s">
        <v>694</v>
      </c>
      <c r="D280" s="2" t="s">
        <v>1263</v>
      </c>
      <c r="E280" s="11" t="s">
        <v>1264</v>
      </c>
      <c r="F280" s="30" t="s">
        <v>1265</v>
      </c>
      <c r="G280" s="30" t="s">
        <v>1266</v>
      </c>
      <c r="H280" s="16">
        <v>45809</v>
      </c>
      <c r="I280" s="115"/>
      <c r="J280" s="115"/>
      <c r="K280" s="115"/>
      <c r="L280" s="115"/>
      <c r="M280" s="115"/>
      <c r="N280" s="115"/>
      <c r="O280" s="115"/>
      <c r="P280" s="115">
        <v>45758</v>
      </c>
      <c r="Q280" s="115">
        <v>45811</v>
      </c>
      <c r="R280" s="115"/>
      <c r="S280" s="115">
        <v>45846</v>
      </c>
      <c r="T280" s="7" t="s">
        <v>22</v>
      </c>
      <c r="U280" s="2" t="s">
        <v>2007</v>
      </c>
      <c r="V280" s="16">
        <v>45811</v>
      </c>
      <c r="W280" s="16">
        <v>45836</v>
      </c>
      <c r="X280" s="4"/>
      <c r="Y280" s="100"/>
      <c r="Z280" s="30" t="s">
        <v>1163</v>
      </c>
      <c r="AA280" s="8">
        <v>45758</v>
      </c>
      <c r="AB280" s="10"/>
      <c r="AC280" s="22">
        <v>43018.22</v>
      </c>
      <c r="AD280" s="21"/>
      <c r="AE280" s="21"/>
      <c r="AF280" s="21"/>
      <c r="AG280" s="45"/>
      <c r="AH280" s="23">
        <v>43018.22</v>
      </c>
    </row>
    <row r="281" spans="1:34" s="9" customFormat="1" ht="37.5" customHeight="1">
      <c r="A281" s="9">
        <f t="shared" ca="1" si="3"/>
        <v>390</v>
      </c>
      <c r="B281" s="31">
        <v>45796</v>
      </c>
      <c r="C281" s="2" t="s">
        <v>24</v>
      </c>
      <c r="D281" s="2" t="s">
        <v>1877</v>
      </c>
      <c r="E281" s="11" t="s">
        <v>1878</v>
      </c>
      <c r="F281" s="30" t="s">
        <v>95</v>
      </c>
      <c r="G281" s="30" t="s">
        <v>1214</v>
      </c>
      <c r="H281" s="16">
        <v>45804</v>
      </c>
      <c r="I281" s="115">
        <v>45793</v>
      </c>
      <c r="J281" s="115">
        <v>45796</v>
      </c>
      <c r="K281" s="115">
        <v>45793</v>
      </c>
      <c r="L281" s="115"/>
      <c r="M281" s="115">
        <v>45775</v>
      </c>
      <c r="N281" s="115"/>
      <c r="O281" s="115"/>
      <c r="P281" s="115">
        <v>45796</v>
      </c>
      <c r="Q281" s="115">
        <v>45796</v>
      </c>
      <c r="R281" s="115"/>
      <c r="S281" s="115"/>
      <c r="T281" s="7" t="s">
        <v>22</v>
      </c>
      <c r="U281" s="4" t="s">
        <v>2137</v>
      </c>
      <c r="V281" s="16">
        <v>45778</v>
      </c>
      <c r="W281" s="16">
        <v>45851</v>
      </c>
      <c r="X281" s="215" t="s">
        <v>2273</v>
      </c>
      <c r="Y281" s="100"/>
      <c r="Z281" s="30" t="s">
        <v>33</v>
      </c>
      <c r="AA281" s="8">
        <v>45839</v>
      </c>
      <c r="AB281" s="22">
        <v>147334.32</v>
      </c>
      <c r="AC281" s="10"/>
      <c r="AD281" s="21"/>
      <c r="AE281" s="21"/>
      <c r="AF281" s="21"/>
      <c r="AG281" s="45"/>
      <c r="AH281" s="23">
        <v>147334.32</v>
      </c>
    </row>
    <row r="282" spans="1:34" s="150" customFormat="1" ht="122.25" customHeight="1">
      <c r="A282" s="9">
        <f t="shared" ca="1" si="3"/>
        <v>390</v>
      </c>
      <c r="B282" s="147">
        <v>45720</v>
      </c>
      <c r="C282" s="2" t="s">
        <v>24</v>
      </c>
      <c r="D282" s="2" t="s">
        <v>1212</v>
      </c>
      <c r="E282" s="148" t="s">
        <v>1213</v>
      </c>
      <c r="F282" s="125" t="s">
        <v>521</v>
      </c>
      <c r="G282" s="125" t="s">
        <v>1214</v>
      </c>
      <c r="H282" s="6">
        <v>45804</v>
      </c>
      <c r="I282" s="115"/>
      <c r="J282" s="115"/>
      <c r="K282" s="115"/>
      <c r="L282" s="115"/>
      <c r="M282" s="115">
        <v>45780</v>
      </c>
      <c r="N282" s="115"/>
      <c r="O282" s="115"/>
      <c r="P282" s="115">
        <v>45797</v>
      </c>
      <c r="Q282" s="115">
        <v>45797</v>
      </c>
      <c r="R282" s="115"/>
      <c r="S282" s="115"/>
      <c r="T282" s="124" t="s">
        <v>22</v>
      </c>
      <c r="U282" s="2" t="s">
        <v>2137</v>
      </c>
      <c r="V282" s="16">
        <v>45840</v>
      </c>
      <c r="W282" s="16">
        <v>45850</v>
      </c>
      <c r="X282" s="215" t="s">
        <v>2252</v>
      </c>
      <c r="Y282" s="125"/>
      <c r="Z282" s="125" t="s">
        <v>664</v>
      </c>
      <c r="AA282" s="8">
        <v>45819</v>
      </c>
      <c r="AB282" s="10"/>
      <c r="AC282" s="22">
        <v>30015</v>
      </c>
      <c r="AD282" s="21"/>
      <c r="AE282" s="21"/>
      <c r="AF282" s="21"/>
      <c r="AG282" s="45"/>
      <c r="AH282" s="23">
        <v>30015</v>
      </c>
    </row>
    <row r="283" spans="1:34" s="9" customFormat="1" ht="122.25" customHeight="1">
      <c r="A283" s="9">
        <f t="shared" ca="1" si="3"/>
        <v>422</v>
      </c>
      <c r="B283" s="31">
        <v>45720</v>
      </c>
      <c r="C283" s="2" t="s">
        <v>27</v>
      </c>
      <c r="D283" s="2" t="s">
        <v>1127</v>
      </c>
      <c r="E283" s="11" t="s">
        <v>1128</v>
      </c>
      <c r="F283" s="30" t="s">
        <v>1129</v>
      </c>
      <c r="G283" s="30" t="s">
        <v>90</v>
      </c>
      <c r="H283" s="16">
        <v>45772</v>
      </c>
      <c r="I283" s="115"/>
      <c r="J283" s="115"/>
      <c r="K283" s="115"/>
      <c r="L283" s="115"/>
      <c r="M283" s="115" t="s">
        <v>1397</v>
      </c>
      <c r="N283" s="115"/>
      <c r="O283" s="115"/>
      <c r="P283" s="115">
        <v>45789</v>
      </c>
      <c r="Q283" s="16" t="s">
        <v>860</v>
      </c>
      <c r="R283" s="115">
        <v>45833</v>
      </c>
      <c r="S283" s="115">
        <v>45835</v>
      </c>
      <c r="T283" s="7" t="s">
        <v>25</v>
      </c>
      <c r="U283" s="16" t="s">
        <v>2028</v>
      </c>
      <c r="V283" s="16">
        <v>45777</v>
      </c>
      <c r="W283" s="16" t="s">
        <v>2112</v>
      </c>
      <c r="X283" s="218"/>
      <c r="Y283" s="100"/>
      <c r="Z283" s="30" t="s">
        <v>1130</v>
      </c>
      <c r="AA283" s="8">
        <v>45853</v>
      </c>
      <c r="AB283" s="10"/>
      <c r="AC283" s="10"/>
      <c r="AD283" s="21"/>
      <c r="AE283" s="21"/>
      <c r="AF283" s="22">
        <v>2652</v>
      </c>
      <c r="AG283" s="45"/>
      <c r="AH283" s="23">
        <v>2652</v>
      </c>
    </row>
    <row r="284" spans="1:34" s="9" customFormat="1" ht="122.25" customHeight="1">
      <c r="A284" s="9">
        <f t="shared" ca="1" si="3"/>
        <v>371</v>
      </c>
      <c r="B284" s="31">
        <v>45757</v>
      </c>
      <c r="C284" s="2" t="s">
        <v>27</v>
      </c>
      <c r="D284" s="2" t="s">
        <v>1575</v>
      </c>
      <c r="E284" s="11" t="s">
        <v>1576</v>
      </c>
      <c r="F284" s="30" t="s">
        <v>428</v>
      </c>
      <c r="G284" s="30" t="s">
        <v>90</v>
      </c>
      <c r="H284" s="16">
        <v>45823</v>
      </c>
      <c r="I284" s="115"/>
      <c r="J284" s="115"/>
      <c r="K284" s="115"/>
      <c r="L284" s="115"/>
      <c r="M284" s="115"/>
      <c r="N284" s="115"/>
      <c r="O284" s="115"/>
      <c r="P284" s="115">
        <v>45797</v>
      </c>
      <c r="Q284" s="6"/>
      <c r="R284" s="6">
        <v>45855</v>
      </c>
      <c r="S284" s="6">
        <v>45860</v>
      </c>
      <c r="T284" s="124" t="s">
        <v>20</v>
      </c>
      <c r="U284" s="220" t="s">
        <v>1985</v>
      </c>
      <c r="V284" s="212" t="s">
        <v>1986</v>
      </c>
      <c r="W284" s="212" t="s">
        <v>2243</v>
      </c>
      <c r="X284" s="4" t="s">
        <v>2001</v>
      </c>
      <c r="Y284" s="190"/>
      <c r="Z284" s="30" t="s">
        <v>55</v>
      </c>
      <c r="AA284" s="8">
        <v>45807</v>
      </c>
      <c r="AB284" s="10"/>
      <c r="AC284" s="22">
        <v>4320</v>
      </c>
      <c r="AD284" s="21"/>
      <c r="AE284" s="21"/>
      <c r="AF284" s="21"/>
      <c r="AG284" s="45"/>
      <c r="AH284" s="23">
        <v>4320</v>
      </c>
    </row>
    <row r="285" spans="1:34" s="9" customFormat="1" ht="122.25" customHeight="1">
      <c r="A285" s="9">
        <f t="shared" ca="1" si="3"/>
        <v>371</v>
      </c>
      <c r="B285" s="31">
        <v>45757</v>
      </c>
      <c r="C285" s="2" t="s">
        <v>27</v>
      </c>
      <c r="D285" s="2" t="s">
        <v>1577</v>
      </c>
      <c r="E285" s="11" t="s">
        <v>1578</v>
      </c>
      <c r="F285" s="30" t="s">
        <v>147</v>
      </c>
      <c r="G285" s="30" t="s">
        <v>90</v>
      </c>
      <c r="H285" s="16">
        <v>45823</v>
      </c>
      <c r="I285" s="115"/>
      <c r="J285" s="115"/>
      <c r="K285" s="115"/>
      <c r="L285" s="115"/>
      <c r="M285" s="115"/>
      <c r="N285" s="115"/>
      <c r="O285" s="115"/>
      <c r="P285" s="115">
        <v>45789</v>
      </c>
      <c r="Q285" s="6"/>
      <c r="R285" s="6">
        <v>45855</v>
      </c>
      <c r="S285" s="6">
        <v>45860</v>
      </c>
      <c r="T285" s="124" t="s">
        <v>20</v>
      </c>
      <c r="U285" s="220" t="s">
        <v>1985</v>
      </c>
      <c r="V285" s="212" t="s">
        <v>1986</v>
      </c>
      <c r="W285" s="212" t="s">
        <v>2243</v>
      </c>
      <c r="X285" s="4" t="s">
        <v>2170</v>
      </c>
      <c r="Y285" s="190"/>
      <c r="Z285" s="30" t="s">
        <v>54</v>
      </c>
      <c r="AA285" s="8">
        <v>45837</v>
      </c>
      <c r="AB285" s="10"/>
      <c r="AC285" s="22">
        <v>10545</v>
      </c>
      <c r="AD285" s="21"/>
      <c r="AE285" s="21"/>
      <c r="AF285" s="21"/>
      <c r="AG285" s="45"/>
      <c r="AH285" s="23">
        <v>10545</v>
      </c>
    </row>
    <row r="286" spans="1:34" s="9" customFormat="1" ht="122.25" customHeight="1">
      <c r="B286" s="31">
        <v>45758</v>
      </c>
      <c r="C286" s="2" t="s">
        <v>27</v>
      </c>
      <c r="D286" s="2" t="s">
        <v>1572</v>
      </c>
      <c r="E286" s="11" t="s">
        <v>1573</v>
      </c>
      <c r="F286" s="30" t="s">
        <v>142</v>
      </c>
      <c r="G286" s="30" t="s">
        <v>90</v>
      </c>
      <c r="H286" s="16">
        <v>45823</v>
      </c>
      <c r="I286" s="115"/>
      <c r="J286" s="115"/>
      <c r="K286" s="115"/>
      <c r="L286" s="115"/>
      <c r="M286" s="115">
        <v>45783</v>
      </c>
      <c r="N286" s="115"/>
      <c r="O286" s="115"/>
      <c r="P286" s="115">
        <v>45789</v>
      </c>
      <c r="Q286" s="16"/>
      <c r="R286" s="6">
        <v>45855</v>
      </c>
      <c r="S286" s="6">
        <v>45860</v>
      </c>
      <c r="T286" s="7" t="s">
        <v>20</v>
      </c>
      <c r="U286" s="220" t="s">
        <v>1985</v>
      </c>
      <c r="V286" s="212" t="s">
        <v>1986</v>
      </c>
      <c r="W286" s="212" t="s">
        <v>2243</v>
      </c>
      <c r="X286" s="4" t="s">
        <v>2171</v>
      </c>
      <c r="Y286" s="100"/>
      <c r="Z286" s="30" t="s">
        <v>1574</v>
      </c>
      <c r="AA286" s="8">
        <v>45841</v>
      </c>
      <c r="AB286" s="23"/>
      <c r="AC286" s="22">
        <v>10224</v>
      </c>
      <c r="AD286" s="21"/>
      <c r="AE286" s="21"/>
      <c r="AF286" s="21"/>
      <c r="AG286" s="45"/>
      <c r="AH286" s="10">
        <v>10224</v>
      </c>
    </row>
    <row r="287" spans="1:34" s="9" customFormat="1" ht="122.25" customHeight="1">
      <c r="A287" s="9">
        <f ca="1">TODAY()-H287+1</f>
        <v>371</v>
      </c>
      <c r="B287" s="31">
        <v>45758</v>
      </c>
      <c r="C287" s="2" t="s">
        <v>27</v>
      </c>
      <c r="D287" s="2" t="s">
        <v>1567</v>
      </c>
      <c r="E287" s="11" t="s">
        <v>1568</v>
      </c>
      <c r="F287" s="30" t="s">
        <v>1569</v>
      </c>
      <c r="G287" s="30" t="s">
        <v>90</v>
      </c>
      <c r="H287" s="16">
        <v>45823</v>
      </c>
      <c r="I287" s="115"/>
      <c r="J287" s="115"/>
      <c r="K287" s="115"/>
      <c r="L287" s="115"/>
      <c r="M287" s="115">
        <v>45783</v>
      </c>
      <c r="N287" s="115"/>
      <c r="O287" s="115"/>
      <c r="P287" s="115">
        <v>45789</v>
      </c>
      <c r="Q287" s="16"/>
      <c r="R287" s="6">
        <v>45855</v>
      </c>
      <c r="S287" s="6">
        <v>45860</v>
      </c>
      <c r="T287" s="7" t="s">
        <v>20</v>
      </c>
      <c r="U287" s="220" t="s">
        <v>1985</v>
      </c>
      <c r="V287" s="212" t="s">
        <v>1986</v>
      </c>
      <c r="W287" s="212" t="s">
        <v>2243</v>
      </c>
      <c r="X287" s="4" t="s">
        <v>2172</v>
      </c>
      <c r="Y287" s="100"/>
      <c r="Z287" s="30" t="s">
        <v>23</v>
      </c>
      <c r="AA287" s="8">
        <v>45802</v>
      </c>
      <c r="AB287" s="23"/>
      <c r="AC287" s="22">
        <v>4356</v>
      </c>
      <c r="AD287" s="21"/>
      <c r="AE287" s="21"/>
      <c r="AF287" s="21"/>
      <c r="AG287" s="45"/>
      <c r="AH287" s="23">
        <v>4356</v>
      </c>
    </row>
    <row r="288" spans="1:34" s="9" customFormat="1" ht="122.25" customHeight="1">
      <c r="A288" s="216">
        <f>Q287</f>
        <v>0</v>
      </c>
      <c r="B288" s="31">
        <v>45754</v>
      </c>
      <c r="C288" s="2" t="s">
        <v>27</v>
      </c>
      <c r="D288" s="2" t="s">
        <v>1563</v>
      </c>
      <c r="E288" s="11" t="s">
        <v>1564</v>
      </c>
      <c r="F288" s="30" t="s">
        <v>1565</v>
      </c>
      <c r="G288" s="30" t="s">
        <v>90</v>
      </c>
      <c r="H288" s="16">
        <v>45823</v>
      </c>
      <c r="I288" s="115"/>
      <c r="J288" s="115"/>
      <c r="K288" s="115"/>
      <c r="L288" s="115"/>
      <c r="M288" s="115">
        <v>45783</v>
      </c>
      <c r="N288" s="115"/>
      <c r="O288" s="115"/>
      <c r="P288" s="115">
        <v>45789</v>
      </c>
      <c r="Q288" s="16"/>
      <c r="R288" s="6">
        <v>45855</v>
      </c>
      <c r="S288" s="6">
        <v>45860</v>
      </c>
      <c r="T288" s="7" t="s">
        <v>20</v>
      </c>
      <c r="U288" s="220" t="s">
        <v>1985</v>
      </c>
      <c r="V288" s="212" t="s">
        <v>1986</v>
      </c>
      <c r="W288" s="212" t="s">
        <v>2243</v>
      </c>
      <c r="X288" s="4" t="s">
        <v>2003</v>
      </c>
      <c r="Y288" s="100"/>
      <c r="Z288" s="30" t="s">
        <v>1566</v>
      </c>
      <c r="AA288" s="8">
        <v>45777</v>
      </c>
      <c r="AB288" s="23"/>
      <c r="AC288" s="22">
        <v>348</v>
      </c>
      <c r="AD288" s="21"/>
      <c r="AE288" s="21"/>
      <c r="AF288" s="21"/>
      <c r="AG288" s="45"/>
      <c r="AH288" s="23">
        <v>348</v>
      </c>
    </row>
    <row r="289" spans="1:34" s="9" customFormat="1" ht="122.25" customHeight="1">
      <c r="A289" s="9">
        <f t="shared" ref="A289:A304" ca="1" si="4">TODAY()-H289+1</f>
        <v>371</v>
      </c>
      <c r="B289" s="31">
        <v>45754</v>
      </c>
      <c r="C289" s="2" t="s">
        <v>27</v>
      </c>
      <c r="D289" s="2" t="s">
        <v>1570</v>
      </c>
      <c r="E289" s="11" t="s">
        <v>1571</v>
      </c>
      <c r="F289" s="30" t="s">
        <v>1613</v>
      </c>
      <c r="G289" s="30" t="s">
        <v>90</v>
      </c>
      <c r="H289" s="16">
        <v>45823</v>
      </c>
      <c r="I289" s="115"/>
      <c r="J289" s="115"/>
      <c r="K289" s="115"/>
      <c r="L289" s="115"/>
      <c r="M289" s="115">
        <v>45783</v>
      </c>
      <c r="N289" s="115"/>
      <c r="O289" s="115"/>
      <c r="P289" s="115">
        <v>45789</v>
      </c>
      <c r="Q289" s="16"/>
      <c r="R289" s="6">
        <v>45855</v>
      </c>
      <c r="S289" s="6">
        <v>45860</v>
      </c>
      <c r="T289" s="7" t="s">
        <v>20</v>
      </c>
      <c r="U289" s="220" t="s">
        <v>1985</v>
      </c>
      <c r="V289" s="212" t="s">
        <v>1986</v>
      </c>
      <c r="W289" s="212" t="s">
        <v>2243</v>
      </c>
      <c r="X289" s="4" t="s">
        <v>2049</v>
      </c>
      <c r="Y289" s="100"/>
      <c r="Z289" s="30" t="s">
        <v>1415</v>
      </c>
      <c r="AA289" s="8">
        <v>45793</v>
      </c>
      <c r="AB289" s="23"/>
      <c r="AC289" s="22">
        <v>9255</v>
      </c>
      <c r="AD289" s="21"/>
      <c r="AE289" s="21"/>
      <c r="AF289" s="21"/>
      <c r="AG289" s="45"/>
      <c r="AH289" s="23">
        <v>9255</v>
      </c>
    </row>
    <row r="290" spans="1:34" s="9" customFormat="1" ht="122.25" customHeight="1">
      <c r="A290" s="9">
        <f t="shared" ca="1" si="4"/>
        <v>371</v>
      </c>
      <c r="B290" s="31">
        <v>45754</v>
      </c>
      <c r="C290" s="2" t="s">
        <v>27</v>
      </c>
      <c r="D290" s="2" t="s">
        <v>1560</v>
      </c>
      <c r="E290" s="11" t="s">
        <v>1561</v>
      </c>
      <c r="F290" s="30" t="s">
        <v>1562</v>
      </c>
      <c r="G290" s="30" t="s">
        <v>90</v>
      </c>
      <c r="H290" s="16">
        <v>45823</v>
      </c>
      <c r="I290" s="115"/>
      <c r="J290" s="115"/>
      <c r="K290" s="115"/>
      <c r="L290" s="115"/>
      <c r="M290" s="115">
        <v>45772</v>
      </c>
      <c r="N290" s="115"/>
      <c r="O290" s="115"/>
      <c r="P290" s="115">
        <v>45789</v>
      </c>
      <c r="Q290" s="16"/>
      <c r="R290" s="6">
        <v>45855</v>
      </c>
      <c r="S290" s="6">
        <v>45860</v>
      </c>
      <c r="T290" s="7" t="s">
        <v>20</v>
      </c>
      <c r="U290" s="220" t="s">
        <v>1985</v>
      </c>
      <c r="V290" s="212" t="s">
        <v>1986</v>
      </c>
      <c r="W290" s="212" t="s">
        <v>2243</v>
      </c>
      <c r="X290" s="4" t="s">
        <v>2002</v>
      </c>
      <c r="Y290" s="100"/>
      <c r="Z290" s="191" t="s">
        <v>1969</v>
      </c>
      <c r="AA290" s="8"/>
      <c r="AB290" s="23"/>
      <c r="AC290" s="22">
        <v>5286</v>
      </c>
      <c r="AD290" s="21"/>
      <c r="AE290" s="21"/>
      <c r="AF290" s="21"/>
      <c r="AG290" s="45"/>
      <c r="AH290" s="23">
        <f>(4050+1236)/2</f>
        <v>2643</v>
      </c>
    </row>
    <row r="291" spans="1:34" s="9" customFormat="1" ht="122.25" customHeight="1">
      <c r="A291" s="9">
        <f t="shared" ca="1" si="4"/>
        <v>355</v>
      </c>
      <c r="B291" s="31">
        <v>45730</v>
      </c>
      <c r="C291" s="2" t="s">
        <v>694</v>
      </c>
      <c r="D291" s="2" t="s">
        <v>1267</v>
      </c>
      <c r="E291" s="11" t="s">
        <v>1268</v>
      </c>
      <c r="F291" s="30" t="s">
        <v>41</v>
      </c>
      <c r="G291" s="30" t="s">
        <v>1269</v>
      </c>
      <c r="H291" s="16">
        <v>45839</v>
      </c>
      <c r="I291" s="115"/>
      <c r="J291" s="115"/>
      <c r="K291" s="115"/>
      <c r="L291" s="115"/>
      <c r="M291" s="115"/>
      <c r="N291" s="115"/>
      <c r="O291" s="115"/>
      <c r="P291" s="115">
        <v>45800</v>
      </c>
      <c r="Q291" s="115" t="s">
        <v>2383</v>
      </c>
      <c r="R291" s="115"/>
      <c r="S291" s="115">
        <v>45867</v>
      </c>
      <c r="T291" s="7" t="s">
        <v>28</v>
      </c>
      <c r="U291" s="2" t="s">
        <v>1918</v>
      </c>
      <c r="V291" s="16">
        <v>45803</v>
      </c>
      <c r="W291" s="16">
        <v>45859</v>
      </c>
      <c r="X291" s="4"/>
      <c r="Y291" s="100"/>
      <c r="Z291" s="151" t="s">
        <v>2512</v>
      </c>
      <c r="AA291" s="8"/>
      <c r="AB291" s="10">
        <f>28502.36*2</f>
        <v>57004.72</v>
      </c>
      <c r="AC291" s="10"/>
      <c r="AD291" s="21"/>
      <c r="AE291" s="21"/>
      <c r="AF291" s="21"/>
      <c r="AG291" s="45"/>
      <c r="AH291" s="23">
        <v>28502.36</v>
      </c>
    </row>
    <row r="292" spans="1:34" s="9" customFormat="1" ht="122.25" customHeight="1">
      <c r="A292" s="9">
        <f t="shared" ca="1" si="4"/>
        <v>324</v>
      </c>
      <c r="B292" s="31">
        <v>45754</v>
      </c>
      <c r="C292" s="2" t="s">
        <v>694</v>
      </c>
      <c r="D292" s="2" t="s">
        <v>1450</v>
      </c>
      <c r="E292" s="11" t="s">
        <v>1451</v>
      </c>
      <c r="F292" s="30" t="s">
        <v>31</v>
      </c>
      <c r="G292" s="30" t="s">
        <v>1452</v>
      </c>
      <c r="H292" s="16">
        <v>45870</v>
      </c>
      <c r="I292" s="115"/>
      <c r="J292" s="115"/>
      <c r="K292" s="115"/>
      <c r="L292" s="115"/>
      <c r="M292" s="115"/>
      <c r="N292" s="115"/>
      <c r="O292" s="115"/>
      <c r="P292" s="115"/>
      <c r="Q292" s="115">
        <v>45853</v>
      </c>
      <c r="R292" s="115"/>
      <c r="S292" s="115">
        <v>45861</v>
      </c>
      <c r="T292" s="7" t="s">
        <v>22</v>
      </c>
      <c r="U292" s="2" t="s">
        <v>2380</v>
      </c>
      <c r="V292" s="16">
        <v>45837</v>
      </c>
      <c r="W292" s="16">
        <v>45855</v>
      </c>
      <c r="X292" s="4"/>
      <c r="Y292" s="100"/>
      <c r="Z292" s="30" t="s">
        <v>1453</v>
      </c>
      <c r="AA292" s="8">
        <v>45818</v>
      </c>
      <c r="AB292" s="22">
        <v>124499.14</v>
      </c>
      <c r="AC292" s="10"/>
      <c r="AD292" s="21"/>
      <c r="AE292" s="21"/>
      <c r="AF292" s="21"/>
      <c r="AG292" s="45"/>
      <c r="AH292" s="23">
        <v>124499.14</v>
      </c>
    </row>
    <row r="293" spans="1:34" s="9" customFormat="1" ht="122.25" customHeight="1">
      <c r="A293" s="9">
        <f t="shared" ca="1" si="4"/>
        <v>356</v>
      </c>
      <c r="B293" s="31">
        <v>45784</v>
      </c>
      <c r="C293" s="2" t="s">
        <v>27</v>
      </c>
      <c r="D293" s="2" t="s">
        <v>1819</v>
      </c>
      <c r="E293" s="11" t="s">
        <v>1820</v>
      </c>
      <c r="F293" s="30" t="s">
        <v>1821</v>
      </c>
      <c r="G293" s="30" t="s">
        <v>90</v>
      </c>
      <c r="H293" s="16">
        <v>45838</v>
      </c>
      <c r="I293" s="115">
        <v>45785</v>
      </c>
      <c r="J293" s="115"/>
      <c r="K293" s="115"/>
      <c r="L293" s="115"/>
      <c r="M293" s="115">
        <v>45786</v>
      </c>
      <c r="N293" s="115" t="s">
        <v>2030</v>
      </c>
      <c r="O293" s="115"/>
      <c r="P293" s="16" t="s">
        <v>2387</v>
      </c>
      <c r="Q293" s="16"/>
      <c r="R293" s="16">
        <v>45860</v>
      </c>
      <c r="S293" s="16">
        <v>45862</v>
      </c>
      <c r="T293" s="7" t="s">
        <v>1822</v>
      </c>
      <c r="U293" s="2" t="s">
        <v>2245</v>
      </c>
      <c r="V293" s="16">
        <v>45827</v>
      </c>
      <c r="W293" s="16">
        <v>45856</v>
      </c>
      <c r="X293" s="4" t="s">
        <v>2270</v>
      </c>
      <c r="Y293" s="100"/>
      <c r="Z293" s="30" t="s">
        <v>37</v>
      </c>
      <c r="AA293" s="8">
        <v>45793</v>
      </c>
      <c r="AB293" s="10"/>
      <c r="AC293" s="22">
        <v>2007.9</v>
      </c>
      <c r="AD293" s="21"/>
      <c r="AE293" s="21"/>
      <c r="AF293" s="21"/>
      <c r="AG293" s="45"/>
      <c r="AH293" s="23">
        <v>2007.9</v>
      </c>
    </row>
    <row r="294" spans="1:34" s="9" customFormat="1" ht="122.25" customHeight="1">
      <c r="A294" s="9">
        <f t="shared" ca="1" si="4"/>
        <v>473</v>
      </c>
      <c r="B294" s="31">
        <v>45716</v>
      </c>
      <c r="C294" s="2" t="s">
        <v>24</v>
      </c>
      <c r="D294" s="2" t="s">
        <v>1067</v>
      </c>
      <c r="E294" s="11" t="s">
        <v>1068</v>
      </c>
      <c r="F294" s="30" t="s">
        <v>1069</v>
      </c>
      <c r="G294" s="30" t="s">
        <v>1070</v>
      </c>
      <c r="H294" s="16">
        <v>45721</v>
      </c>
      <c r="I294" s="115"/>
      <c r="J294" s="115"/>
      <c r="K294" s="115"/>
      <c r="L294" s="115"/>
      <c r="M294" s="115">
        <v>45733</v>
      </c>
      <c r="N294" s="115"/>
      <c r="O294" s="115"/>
      <c r="P294" s="115">
        <v>45751</v>
      </c>
      <c r="Q294" s="115">
        <v>45751</v>
      </c>
      <c r="R294" s="115"/>
      <c r="S294" s="115"/>
      <c r="T294" s="7" t="s">
        <v>25</v>
      </c>
      <c r="U294" s="2" t="s">
        <v>1446</v>
      </c>
      <c r="V294" s="16" t="s">
        <v>1445</v>
      </c>
      <c r="W294" s="16">
        <v>45749</v>
      </c>
      <c r="X294" s="24"/>
      <c r="Z294" s="30" t="s">
        <v>1485</v>
      </c>
      <c r="AA294" s="8">
        <v>45853</v>
      </c>
      <c r="AB294" s="22">
        <v>6592</v>
      </c>
      <c r="AC294" s="10"/>
      <c r="AD294" s="21"/>
      <c r="AE294" s="21"/>
      <c r="AF294" s="21"/>
      <c r="AG294" s="45"/>
      <c r="AH294" s="23">
        <v>6592</v>
      </c>
    </row>
    <row r="295" spans="1:34" s="9" customFormat="1" ht="122.25" customHeight="1">
      <c r="A295" s="9">
        <f t="shared" ca="1" si="4"/>
        <v>374</v>
      </c>
      <c r="B295" s="31">
        <v>45803</v>
      </c>
      <c r="C295" s="2" t="s">
        <v>24</v>
      </c>
      <c r="D295" s="2" t="s">
        <v>1965</v>
      </c>
      <c r="E295" s="11" t="s">
        <v>1966</v>
      </c>
      <c r="F295" s="30" t="s">
        <v>295</v>
      </c>
      <c r="G295" s="30" t="s">
        <v>1883</v>
      </c>
      <c r="H295" s="16">
        <v>45820</v>
      </c>
      <c r="I295" s="115">
        <v>45803</v>
      </c>
      <c r="J295" s="115">
        <v>45803</v>
      </c>
      <c r="K295" s="115"/>
      <c r="L295" s="115"/>
      <c r="M295" s="115">
        <v>45796</v>
      </c>
      <c r="N295" s="115"/>
      <c r="O295" s="115"/>
      <c r="P295" s="115">
        <v>45804</v>
      </c>
      <c r="Q295" s="115">
        <v>45803</v>
      </c>
      <c r="R295" s="115"/>
      <c r="S295" s="115"/>
      <c r="T295" s="7" t="s">
        <v>22</v>
      </c>
      <c r="U295" s="11" t="s">
        <v>1967</v>
      </c>
      <c r="V295" s="16">
        <v>45796</v>
      </c>
      <c r="W295" s="16">
        <v>45824</v>
      </c>
      <c r="X295" s="4"/>
      <c r="Y295" s="100"/>
      <c r="Z295" s="30" t="s">
        <v>717</v>
      </c>
      <c r="AA295" s="8">
        <v>45857</v>
      </c>
      <c r="AB295" s="23"/>
      <c r="AC295" s="22">
        <v>112039.2</v>
      </c>
      <c r="AD295" s="21"/>
      <c r="AE295" s="21"/>
      <c r="AF295" s="21"/>
      <c r="AG295" s="45"/>
      <c r="AH295" s="10">
        <v>112039.2</v>
      </c>
    </row>
    <row r="296" spans="1:34" s="9" customFormat="1" ht="122.25" customHeight="1">
      <c r="A296" s="9">
        <f t="shared" ca="1" si="4"/>
        <v>374</v>
      </c>
      <c r="B296" s="31">
        <v>45772</v>
      </c>
      <c r="C296" s="2" t="s">
        <v>24</v>
      </c>
      <c r="D296" s="2" t="s">
        <v>1744</v>
      </c>
      <c r="E296" s="11" t="s">
        <v>1745</v>
      </c>
      <c r="F296" s="30" t="s">
        <v>98</v>
      </c>
      <c r="G296" s="30" t="s">
        <v>1746</v>
      </c>
      <c r="H296" s="16">
        <v>45820</v>
      </c>
      <c r="I296" s="115"/>
      <c r="J296" s="115"/>
      <c r="K296" s="115"/>
      <c r="L296" s="115"/>
      <c r="M296" s="115"/>
      <c r="N296" s="115"/>
      <c r="O296" s="115"/>
      <c r="P296" s="115">
        <v>45814</v>
      </c>
      <c r="Q296" s="115">
        <v>45813</v>
      </c>
      <c r="R296" s="115"/>
      <c r="S296" s="115"/>
      <c r="T296" s="7" t="s">
        <v>22</v>
      </c>
      <c r="U296" s="16" t="s">
        <v>2104</v>
      </c>
      <c r="V296" s="16">
        <v>45797</v>
      </c>
      <c r="W296" s="16">
        <v>45832</v>
      </c>
      <c r="X296" s="4"/>
      <c r="Y296" s="100"/>
      <c r="Z296" s="30" t="s">
        <v>33</v>
      </c>
      <c r="AA296" s="31">
        <v>45859</v>
      </c>
      <c r="AB296" s="43">
        <v>28420.21</v>
      </c>
      <c r="AC296" s="10"/>
      <c r="AD296" s="21"/>
      <c r="AE296" s="21"/>
      <c r="AF296" s="21"/>
      <c r="AG296" s="45"/>
      <c r="AH296" s="58">
        <v>28420.21</v>
      </c>
    </row>
    <row r="297" spans="1:34" s="9" customFormat="1" ht="122.25" customHeight="1">
      <c r="A297" s="9">
        <f t="shared" ca="1" si="4"/>
        <v>46194</v>
      </c>
      <c r="B297" s="31">
        <v>45771</v>
      </c>
      <c r="C297" s="2" t="s">
        <v>24</v>
      </c>
      <c r="D297" s="2" t="s">
        <v>1982</v>
      </c>
      <c r="E297" s="11" t="s">
        <v>1983</v>
      </c>
      <c r="F297" s="30" t="s">
        <v>104</v>
      </c>
      <c r="G297" s="30" t="s">
        <v>1984</v>
      </c>
      <c r="H297" s="16"/>
      <c r="I297" s="115"/>
      <c r="J297" s="115"/>
      <c r="K297" s="115"/>
      <c r="L297" s="115"/>
      <c r="M297" s="115">
        <v>45811</v>
      </c>
      <c r="N297" s="115"/>
      <c r="O297" s="115"/>
      <c r="P297" s="115">
        <v>45817</v>
      </c>
      <c r="Q297" s="115">
        <v>45813</v>
      </c>
      <c r="R297" s="115"/>
      <c r="S297" s="115"/>
      <c r="T297" s="7" t="s">
        <v>20</v>
      </c>
      <c r="U297" s="16" t="s">
        <v>2022</v>
      </c>
      <c r="V297" s="16">
        <v>45824</v>
      </c>
      <c r="W297" s="16">
        <v>45851</v>
      </c>
      <c r="X297" s="4"/>
      <c r="Y297" s="100"/>
      <c r="Z297" s="30" t="s">
        <v>33</v>
      </c>
      <c r="AA297" s="31">
        <v>45873</v>
      </c>
      <c r="AB297" s="23"/>
      <c r="AC297" s="22">
        <v>3050</v>
      </c>
      <c r="AD297" s="21"/>
      <c r="AE297" s="21"/>
      <c r="AF297" s="21"/>
      <c r="AG297" s="45"/>
      <c r="AH297" s="23">
        <v>3050</v>
      </c>
    </row>
    <row r="298" spans="1:34" s="9" customFormat="1" ht="122.25" customHeight="1">
      <c r="A298" s="9">
        <f t="shared" ca="1" si="4"/>
        <v>348</v>
      </c>
      <c r="B298" s="31">
        <v>45770</v>
      </c>
      <c r="C298" s="2" t="s">
        <v>24</v>
      </c>
      <c r="D298" s="2" t="s">
        <v>1979</v>
      </c>
      <c r="E298" s="11" t="s">
        <v>1980</v>
      </c>
      <c r="F298" s="30" t="s">
        <v>104</v>
      </c>
      <c r="G298" s="30" t="s">
        <v>1981</v>
      </c>
      <c r="H298" s="16">
        <v>45846</v>
      </c>
      <c r="I298" s="115"/>
      <c r="J298" s="115"/>
      <c r="K298" s="115"/>
      <c r="L298" s="115"/>
      <c r="M298" s="115">
        <v>45811</v>
      </c>
      <c r="N298" s="115"/>
      <c r="O298" s="115"/>
      <c r="P298" s="115">
        <v>45817</v>
      </c>
      <c r="Q298" s="115">
        <v>45813</v>
      </c>
      <c r="R298" s="115"/>
      <c r="S298" s="115"/>
      <c r="T298" s="7" t="s">
        <v>20</v>
      </c>
      <c r="U298" s="16" t="s">
        <v>2022</v>
      </c>
      <c r="V298" s="16">
        <v>45827</v>
      </c>
      <c r="W298" s="16">
        <v>45851</v>
      </c>
      <c r="X298" s="4"/>
      <c r="Y298" s="100"/>
      <c r="Z298" s="30" t="s">
        <v>33</v>
      </c>
      <c r="AA298" s="31">
        <v>45873</v>
      </c>
      <c r="AB298" s="23"/>
      <c r="AC298" s="22">
        <v>515</v>
      </c>
      <c r="AD298" s="21"/>
      <c r="AE298" s="21"/>
      <c r="AF298" s="21"/>
      <c r="AG298" s="45"/>
      <c r="AH298" s="23">
        <v>515</v>
      </c>
    </row>
    <row r="299" spans="1:34" s="9" customFormat="1" ht="122.25" customHeight="1">
      <c r="A299" s="9">
        <f t="shared" ca="1" si="4"/>
        <v>355</v>
      </c>
      <c r="B299" s="31">
        <v>45735</v>
      </c>
      <c r="C299" s="2" t="s">
        <v>24</v>
      </c>
      <c r="D299" s="2" t="s">
        <v>1312</v>
      </c>
      <c r="E299" s="11" t="s">
        <v>1313</v>
      </c>
      <c r="F299" s="30" t="s">
        <v>36</v>
      </c>
      <c r="G299" s="30" t="s">
        <v>1314</v>
      </c>
      <c r="H299" s="16">
        <v>45839</v>
      </c>
      <c r="I299" s="115"/>
      <c r="J299" s="115"/>
      <c r="K299" s="115"/>
      <c r="L299" s="115"/>
      <c r="M299" s="115">
        <v>45823</v>
      </c>
      <c r="N299" s="115"/>
      <c r="O299" s="115" t="s">
        <v>2111</v>
      </c>
      <c r="P299" s="115">
        <v>45825</v>
      </c>
      <c r="Q299" s="115">
        <v>45825</v>
      </c>
      <c r="R299" s="115" t="s">
        <v>2253</v>
      </c>
      <c r="S299" s="115"/>
      <c r="T299" s="7" t="s">
        <v>30</v>
      </c>
      <c r="U299" s="2" t="s">
        <v>1231</v>
      </c>
      <c r="V299" s="16">
        <v>45826</v>
      </c>
      <c r="W299" s="16">
        <v>45842</v>
      </c>
      <c r="X299" s="221"/>
      <c r="Y299" s="100"/>
      <c r="Z299" s="30" t="s">
        <v>119</v>
      </c>
      <c r="AA299" s="8">
        <v>45864</v>
      </c>
      <c r="AB299" s="22">
        <v>604722.53</v>
      </c>
      <c r="AC299" s="10"/>
      <c r="AD299" s="21"/>
      <c r="AE299" s="21"/>
      <c r="AF299" s="21"/>
      <c r="AG299" s="45"/>
      <c r="AH299" s="23">
        <v>604722.53</v>
      </c>
    </row>
    <row r="300" spans="1:34" s="9" customFormat="1" ht="197.25" customHeight="1">
      <c r="A300" s="9">
        <f t="shared" ca="1" si="4"/>
        <v>355</v>
      </c>
      <c r="B300" s="31">
        <v>45735</v>
      </c>
      <c r="C300" s="2" t="s">
        <v>24</v>
      </c>
      <c r="D300" s="2" t="s">
        <v>1321</v>
      </c>
      <c r="E300" s="11" t="s">
        <v>1320</v>
      </c>
      <c r="F300" s="30" t="s">
        <v>467</v>
      </c>
      <c r="G300" s="30" t="s">
        <v>1322</v>
      </c>
      <c r="H300" s="16">
        <v>45839</v>
      </c>
      <c r="I300" s="115"/>
      <c r="J300" s="115"/>
      <c r="K300" s="115"/>
      <c r="L300" s="115"/>
      <c r="M300" s="115">
        <v>45818</v>
      </c>
      <c r="N300" s="115"/>
      <c r="O300" s="115">
        <v>45832</v>
      </c>
      <c r="P300" s="115">
        <v>45832</v>
      </c>
      <c r="Q300" s="115">
        <v>45832</v>
      </c>
      <c r="R300" s="115"/>
      <c r="S300" s="115"/>
      <c r="T300" s="7" t="s">
        <v>18</v>
      </c>
      <c r="U300" s="2" t="s">
        <v>2089</v>
      </c>
      <c r="V300" s="16">
        <v>45831</v>
      </c>
      <c r="W300" s="16">
        <v>45852</v>
      </c>
      <c r="X300" s="25" t="s">
        <v>2275</v>
      </c>
      <c r="Y300" s="100"/>
      <c r="Z300" s="30" t="s">
        <v>324</v>
      </c>
      <c r="AA300" s="8">
        <v>45872</v>
      </c>
      <c r="AB300" s="105">
        <v>23200.43</v>
      </c>
      <c r="AC300" s="10"/>
      <c r="AD300" s="21"/>
      <c r="AE300" s="21"/>
      <c r="AF300" s="21"/>
      <c r="AG300" s="45"/>
      <c r="AH300" s="23">
        <v>23200.43</v>
      </c>
    </row>
    <row r="301" spans="1:34" s="9" customFormat="1" ht="122.25" customHeight="1">
      <c r="A301" s="9">
        <f t="shared" ca="1" si="4"/>
        <v>324</v>
      </c>
      <c r="B301" s="31">
        <v>45784</v>
      </c>
      <c r="C301" s="2" t="s">
        <v>694</v>
      </c>
      <c r="D301" s="2" t="s">
        <v>1945</v>
      </c>
      <c r="E301" s="11" t="s">
        <v>1946</v>
      </c>
      <c r="F301" s="30" t="s">
        <v>31</v>
      </c>
      <c r="G301" s="30" t="s">
        <v>1947</v>
      </c>
      <c r="H301" s="16">
        <v>45870</v>
      </c>
      <c r="I301" s="115">
        <v>45799</v>
      </c>
      <c r="J301" s="115">
        <v>45800</v>
      </c>
      <c r="K301" s="115">
        <v>45801</v>
      </c>
      <c r="L301" s="115"/>
      <c r="M301" s="115"/>
      <c r="N301" s="115"/>
      <c r="O301" s="115"/>
      <c r="P301" s="115"/>
      <c r="Q301" s="115">
        <v>45853</v>
      </c>
      <c r="R301" s="115"/>
      <c r="S301" s="115"/>
      <c r="T301" s="7" t="s">
        <v>22</v>
      </c>
      <c r="U301" s="2" t="s">
        <v>2380</v>
      </c>
      <c r="V301" s="16">
        <v>45837</v>
      </c>
      <c r="W301" s="16">
        <v>45855</v>
      </c>
      <c r="X301" s="24"/>
      <c r="Y301" s="100"/>
      <c r="Z301" s="30" t="s">
        <v>1453</v>
      </c>
      <c r="AA301" s="8">
        <v>45821</v>
      </c>
      <c r="AB301" s="22">
        <v>72931.63</v>
      </c>
      <c r="AC301" s="10"/>
      <c r="AD301" s="21"/>
      <c r="AE301" s="21"/>
      <c r="AF301" s="21"/>
      <c r="AG301" s="45"/>
      <c r="AH301" s="23">
        <v>72931.62</v>
      </c>
    </row>
    <row r="302" spans="1:34" s="9" customFormat="1" ht="122.25" customHeight="1">
      <c r="A302" s="9">
        <f t="shared" ca="1" si="4"/>
        <v>750</v>
      </c>
      <c r="B302" s="31">
        <v>45390</v>
      </c>
      <c r="C302" s="2" t="s">
        <v>694</v>
      </c>
      <c r="D302" s="2" t="s">
        <v>139</v>
      </c>
      <c r="E302" s="11" t="s">
        <v>140</v>
      </c>
      <c r="F302" s="30" t="s">
        <v>105</v>
      </c>
      <c r="G302" s="30" t="s">
        <v>1422</v>
      </c>
      <c r="H302" s="16">
        <v>45444</v>
      </c>
      <c r="I302" s="115"/>
      <c r="J302" s="115"/>
      <c r="K302" s="115"/>
      <c r="L302" s="115"/>
      <c r="M302" s="115"/>
      <c r="N302" s="115"/>
      <c r="O302" s="115"/>
      <c r="P302" s="115">
        <v>45733</v>
      </c>
      <c r="Q302" s="115">
        <v>45770</v>
      </c>
      <c r="R302" s="115"/>
      <c r="S302" s="115"/>
      <c r="T302" s="7" t="s">
        <v>22</v>
      </c>
      <c r="U302" s="16" t="s">
        <v>1351</v>
      </c>
      <c r="V302" s="16">
        <v>45754</v>
      </c>
      <c r="W302" s="16">
        <v>45782</v>
      </c>
      <c r="X302" s="4"/>
      <c r="Y302" s="100"/>
      <c r="Z302" s="30" t="s">
        <v>29</v>
      </c>
      <c r="AA302" s="31">
        <v>45815</v>
      </c>
      <c r="AB302" s="22">
        <v>177883.85</v>
      </c>
      <c r="AC302" s="10"/>
      <c r="AD302" s="21"/>
      <c r="AE302" s="21"/>
      <c r="AF302" s="21"/>
      <c r="AG302" s="45"/>
      <c r="AH302" s="23">
        <v>177883.85</v>
      </c>
    </row>
    <row r="303" spans="1:34" s="9" customFormat="1" ht="104.25" customHeight="1">
      <c r="A303" s="9">
        <f t="shared" ca="1" si="4"/>
        <v>453</v>
      </c>
      <c r="B303" s="31">
        <v>45698</v>
      </c>
      <c r="C303" s="11" t="s">
        <v>694</v>
      </c>
      <c r="D303" s="2" t="s">
        <v>804</v>
      </c>
      <c r="E303" s="11" t="s">
        <v>805</v>
      </c>
      <c r="F303" s="30" t="s">
        <v>806</v>
      </c>
      <c r="G303" s="30" t="s">
        <v>807</v>
      </c>
      <c r="H303" s="16">
        <v>45741</v>
      </c>
      <c r="I303" s="115"/>
      <c r="J303" s="115"/>
      <c r="K303" s="115"/>
      <c r="L303" s="115"/>
      <c r="M303" s="115"/>
      <c r="N303" s="115"/>
      <c r="O303" s="115"/>
      <c r="P303" s="115"/>
      <c r="Q303" s="115">
        <v>45861</v>
      </c>
      <c r="R303" s="115"/>
      <c r="S303" s="115">
        <v>45873</v>
      </c>
      <c r="T303" s="7" t="s">
        <v>28</v>
      </c>
      <c r="U303" s="2" t="s">
        <v>1838</v>
      </c>
      <c r="V303" s="16">
        <v>45841</v>
      </c>
      <c r="W303" s="16">
        <v>45860</v>
      </c>
      <c r="X303" s="24"/>
      <c r="Z303" s="30" t="s">
        <v>2526</v>
      </c>
      <c r="AA303" s="8"/>
      <c r="AB303" s="22">
        <v>16063.3</v>
      </c>
      <c r="AD303" s="21"/>
      <c r="AE303" s="21"/>
      <c r="AF303" s="21"/>
      <c r="AG303" s="45"/>
      <c r="AH303" s="23">
        <v>16036.3</v>
      </c>
    </row>
    <row r="304" spans="1:34" s="9" customFormat="1" ht="122.25" customHeight="1">
      <c r="A304" s="9">
        <f t="shared" ca="1" si="4"/>
        <v>293</v>
      </c>
      <c r="B304" s="31">
        <v>45819</v>
      </c>
      <c r="C304" s="2" t="s">
        <v>694</v>
      </c>
      <c r="D304" s="2" t="s">
        <v>2064</v>
      </c>
      <c r="E304" s="11" t="s">
        <v>2065</v>
      </c>
      <c r="F304" s="30" t="s">
        <v>740</v>
      </c>
      <c r="G304" s="30" t="s">
        <v>2066</v>
      </c>
      <c r="H304" s="16">
        <v>45901</v>
      </c>
      <c r="I304" s="115">
        <v>45818</v>
      </c>
      <c r="J304" s="115">
        <v>45818</v>
      </c>
      <c r="K304" s="115">
        <v>45818</v>
      </c>
      <c r="L304" s="115"/>
      <c r="M304" s="115"/>
      <c r="N304" s="115"/>
      <c r="O304" s="115"/>
      <c r="P304" s="115">
        <v>45847</v>
      </c>
      <c r="Q304" s="115"/>
      <c r="R304" s="115"/>
      <c r="S304" s="115">
        <v>45869</v>
      </c>
      <c r="T304" s="7" t="s">
        <v>22</v>
      </c>
      <c r="U304" s="7" t="s">
        <v>2532</v>
      </c>
      <c r="V304" s="16">
        <v>45844</v>
      </c>
      <c r="W304" s="16" t="s">
        <v>2271</v>
      </c>
      <c r="X304" s="24"/>
      <c r="Y304" s="100"/>
      <c r="Z304" s="30" t="s">
        <v>742</v>
      </c>
      <c r="AA304" s="8">
        <v>45848</v>
      </c>
      <c r="AB304" s="22">
        <v>29544.080000000002</v>
      </c>
      <c r="AC304" s="10"/>
      <c r="AD304" s="21"/>
      <c r="AE304" s="21"/>
      <c r="AF304" s="21"/>
      <c r="AG304" s="45"/>
      <c r="AH304" s="10">
        <v>29544.080000000002</v>
      </c>
    </row>
    <row r="305" spans="1:35" s="9" customFormat="1" ht="122.25" customHeight="1">
      <c r="A305" s="9">
        <v>55</v>
      </c>
      <c r="B305" s="31">
        <v>45782</v>
      </c>
      <c r="C305" s="2" t="s">
        <v>27</v>
      </c>
      <c r="D305" s="2" t="s">
        <v>1753</v>
      </c>
      <c r="E305" s="11" t="s">
        <v>1754</v>
      </c>
      <c r="F305" s="30" t="s">
        <v>145</v>
      </c>
      <c r="G305" s="30" t="s">
        <v>94</v>
      </c>
      <c r="H305" s="16">
        <v>45823</v>
      </c>
      <c r="I305" s="115"/>
      <c r="J305" s="115"/>
      <c r="K305" s="115"/>
      <c r="L305" s="115"/>
      <c r="M305" s="115" t="s">
        <v>1833</v>
      </c>
      <c r="N305" s="115" t="s">
        <v>2063</v>
      </c>
      <c r="O305" s="115"/>
      <c r="P305" s="115">
        <v>45810</v>
      </c>
      <c r="Q305" s="16"/>
      <c r="R305" s="16" t="s">
        <v>1150</v>
      </c>
      <c r="S305" s="16"/>
      <c r="T305" s="7" t="s">
        <v>20</v>
      </c>
      <c r="U305" s="2" t="s">
        <v>2032</v>
      </c>
      <c r="V305" s="16">
        <v>45827</v>
      </c>
      <c r="W305" s="16">
        <v>45853</v>
      </c>
      <c r="X305" s="4" t="s">
        <v>2386</v>
      </c>
      <c r="Y305" s="100"/>
      <c r="Z305" s="30" t="s">
        <v>1755</v>
      </c>
      <c r="AA305" s="31">
        <v>45810</v>
      </c>
      <c r="AB305" s="23"/>
      <c r="AC305" s="22">
        <v>3384</v>
      </c>
      <c r="AD305" s="21"/>
      <c r="AE305" s="21"/>
      <c r="AF305" s="21"/>
      <c r="AG305" s="45"/>
      <c r="AH305" s="23">
        <v>3384</v>
      </c>
    </row>
    <row r="306" spans="1:35" s="9" customFormat="1" ht="122.25" customHeight="1">
      <c r="A306" s="9">
        <v>55</v>
      </c>
      <c r="B306" s="31">
        <v>45777</v>
      </c>
      <c r="C306" s="2" t="s">
        <v>27</v>
      </c>
      <c r="D306" s="2" t="s">
        <v>1724</v>
      </c>
      <c r="E306" s="11" t="s">
        <v>1725</v>
      </c>
      <c r="F306" s="30" t="s">
        <v>1726</v>
      </c>
      <c r="G306" s="30" t="s">
        <v>90</v>
      </c>
      <c r="H306" s="16">
        <v>45823</v>
      </c>
      <c r="I306" s="115"/>
      <c r="J306" s="115"/>
      <c r="K306" s="115"/>
      <c r="L306" s="115"/>
      <c r="M306" s="115" t="s">
        <v>1834</v>
      </c>
      <c r="N306" s="115" t="s">
        <v>2050</v>
      </c>
      <c r="O306" s="115" t="s">
        <v>2557</v>
      </c>
      <c r="P306" s="115">
        <v>45852</v>
      </c>
      <c r="Q306" s="16"/>
      <c r="R306" s="16" t="s">
        <v>1150</v>
      </c>
      <c r="S306" s="16"/>
      <c r="T306" s="7" t="s">
        <v>20</v>
      </c>
      <c r="U306" s="2" t="s">
        <v>2032</v>
      </c>
      <c r="V306" s="16">
        <v>45827</v>
      </c>
      <c r="W306" s="16">
        <v>45853</v>
      </c>
      <c r="X306" s="4" t="s">
        <v>2394</v>
      </c>
      <c r="Y306" s="100"/>
      <c r="Z306" s="151" t="s">
        <v>4272</v>
      </c>
      <c r="AA306" s="8"/>
      <c r="AB306" s="10"/>
      <c r="AC306" s="10">
        <v>19648</v>
      </c>
      <c r="AD306" s="21"/>
      <c r="AE306" s="21"/>
      <c r="AF306" s="21"/>
      <c r="AG306" s="45"/>
      <c r="AH306" s="10">
        <v>19648</v>
      </c>
    </row>
    <row r="307" spans="1:35" s="9" customFormat="1" ht="122.25" customHeight="1">
      <c r="B307" s="31">
        <v>45784</v>
      </c>
      <c r="C307" s="2" t="s">
        <v>27</v>
      </c>
      <c r="D307" s="2" t="s">
        <v>1809</v>
      </c>
      <c r="E307" s="11" t="s">
        <v>1810</v>
      </c>
      <c r="F307" s="30" t="s">
        <v>1811</v>
      </c>
      <c r="G307" s="30" t="s">
        <v>90</v>
      </c>
      <c r="H307" s="16">
        <v>45838</v>
      </c>
      <c r="I307" s="115">
        <v>45785</v>
      </c>
      <c r="J307" s="115"/>
      <c r="K307" s="115"/>
      <c r="L307" s="115"/>
      <c r="M307" s="115"/>
      <c r="N307" s="115"/>
      <c r="O307" s="115"/>
      <c r="P307" s="16" t="s">
        <v>2376</v>
      </c>
      <c r="Q307" s="16"/>
      <c r="R307" s="16" t="s">
        <v>1150</v>
      </c>
      <c r="S307" s="16"/>
      <c r="T307" s="7" t="s">
        <v>20</v>
      </c>
      <c r="U307" s="2" t="s">
        <v>2032</v>
      </c>
      <c r="V307" s="16">
        <v>45827</v>
      </c>
      <c r="W307" s="16">
        <v>45853</v>
      </c>
      <c r="X307" s="4" t="s">
        <v>2244</v>
      </c>
      <c r="Y307" s="100"/>
      <c r="Z307" s="30" t="s">
        <v>61</v>
      </c>
      <c r="AA307" s="8">
        <v>45797</v>
      </c>
      <c r="AB307" s="10"/>
      <c r="AC307" s="22">
        <v>9688.2000000000007</v>
      </c>
      <c r="AD307" s="21"/>
      <c r="AE307" s="21"/>
      <c r="AF307" s="21"/>
      <c r="AG307" s="45"/>
      <c r="AH307" s="23">
        <v>9688.2000000000007</v>
      </c>
    </row>
    <row r="308" spans="1:35" s="9" customFormat="1" ht="122.25" customHeight="1">
      <c r="B308" s="31">
        <v>45784</v>
      </c>
      <c r="C308" s="2" t="s">
        <v>27</v>
      </c>
      <c r="D308" s="2" t="s">
        <v>1817</v>
      </c>
      <c r="E308" s="11" t="s">
        <v>1818</v>
      </c>
      <c r="F308" s="30" t="s">
        <v>2033</v>
      </c>
      <c r="G308" s="30" t="s">
        <v>90</v>
      </c>
      <c r="H308" s="16">
        <v>45838</v>
      </c>
      <c r="I308" s="115">
        <v>45785</v>
      </c>
      <c r="J308" s="115"/>
      <c r="K308" s="115"/>
      <c r="L308" s="115"/>
      <c r="M308" s="115" t="s">
        <v>1835</v>
      </c>
      <c r="N308" s="115" t="s">
        <v>2034</v>
      </c>
      <c r="O308" s="115"/>
      <c r="P308" s="16" t="s">
        <v>2376</v>
      </c>
      <c r="Q308" s="16"/>
      <c r="R308" s="16" t="s">
        <v>1150</v>
      </c>
      <c r="S308" s="16"/>
      <c r="T308" s="7" t="s">
        <v>20</v>
      </c>
      <c r="U308" s="2" t="s">
        <v>2032</v>
      </c>
      <c r="V308" s="16">
        <v>45827</v>
      </c>
      <c r="W308" s="16">
        <v>45853</v>
      </c>
      <c r="X308" s="4" t="s">
        <v>2244</v>
      </c>
      <c r="Y308" s="100"/>
      <c r="Z308" s="30" t="s">
        <v>61</v>
      </c>
      <c r="AA308" s="8">
        <v>45800</v>
      </c>
      <c r="AB308" s="10"/>
      <c r="AC308" s="22">
        <v>10076</v>
      </c>
      <c r="AD308" s="21"/>
      <c r="AE308" s="21"/>
      <c r="AF308" s="21"/>
      <c r="AG308" s="45"/>
      <c r="AH308" s="23">
        <v>10076</v>
      </c>
    </row>
    <row r="309" spans="1:35" s="9" customFormat="1" ht="122.25" customHeight="1">
      <c r="B309" s="31">
        <v>45784</v>
      </c>
      <c r="C309" s="2" t="s">
        <v>27</v>
      </c>
      <c r="D309" s="2" t="s">
        <v>1823</v>
      </c>
      <c r="E309" s="11" t="s">
        <v>1824</v>
      </c>
      <c r="F309" s="30" t="s">
        <v>1825</v>
      </c>
      <c r="G309" s="30" t="s">
        <v>90</v>
      </c>
      <c r="H309" s="16">
        <v>45838</v>
      </c>
      <c r="I309" s="115">
        <v>45785</v>
      </c>
      <c r="J309" s="115"/>
      <c r="K309" s="115"/>
      <c r="L309" s="115"/>
      <c r="M309" s="115" t="s">
        <v>1910</v>
      </c>
      <c r="N309" s="115" t="s">
        <v>2051</v>
      </c>
      <c r="O309" s="115" t="s">
        <v>2558</v>
      </c>
      <c r="P309" s="16" t="s">
        <v>2376</v>
      </c>
      <c r="Q309" s="16"/>
      <c r="R309" s="16" t="s">
        <v>1150</v>
      </c>
      <c r="S309" s="16"/>
      <c r="T309" s="7" t="s">
        <v>20</v>
      </c>
      <c r="U309" s="2" t="s">
        <v>2032</v>
      </c>
      <c r="V309" s="16">
        <v>45827</v>
      </c>
      <c r="W309" s="16">
        <v>45853</v>
      </c>
      <c r="X309" s="4" t="s">
        <v>2244</v>
      </c>
      <c r="Y309" s="100"/>
      <c r="Z309" s="30" t="s">
        <v>61</v>
      </c>
      <c r="AA309" s="8">
        <v>45800</v>
      </c>
      <c r="AB309" s="10"/>
      <c r="AC309" s="22">
        <v>10136.5</v>
      </c>
      <c r="AD309" s="21"/>
      <c r="AE309" s="21"/>
      <c r="AF309" s="21"/>
      <c r="AG309" s="45"/>
      <c r="AH309" s="23">
        <v>10136</v>
      </c>
    </row>
    <row r="310" spans="1:35" s="9" customFormat="1" ht="122.25" customHeight="1">
      <c r="A310" s="9">
        <f ca="1">TODAY()-H310+1</f>
        <v>416</v>
      </c>
      <c r="B310" s="31">
        <v>45726</v>
      </c>
      <c r="C310" s="2" t="s">
        <v>27</v>
      </c>
      <c r="D310" s="2" t="s">
        <v>1197</v>
      </c>
      <c r="E310" s="11" t="s">
        <v>1198</v>
      </c>
      <c r="F310" s="30" t="s">
        <v>1199</v>
      </c>
      <c r="G310" s="30" t="s">
        <v>90</v>
      </c>
      <c r="H310" s="16">
        <v>45778</v>
      </c>
      <c r="I310" s="115"/>
      <c r="J310" s="115"/>
      <c r="K310" s="115"/>
      <c r="L310" s="115"/>
      <c r="M310" s="115">
        <v>45796</v>
      </c>
      <c r="N310" s="231"/>
      <c r="O310" s="236"/>
      <c r="P310" s="115">
        <v>45835</v>
      </c>
      <c r="Q310" s="16" t="s">
        <v>860</v>
      </c>
      <c r="R310" s="115"/>
      <c r="S310" s="16" t="s">
        <v>2393</v>
      </c>
      <c r="T310" s="7" t="s">
        <v>22</v>
      </c>
      <c r="U310" s="31" t="s">
        <v>1988</v>
      </c>
      <c r="V310" s="16">
        <v>45830</v>
      </c>
      <c r="W310" s="16">
        <v>45839</v>
      </c>
      <c r="X310" s="24" t="s">
        <v>2554</v>
      </c>
      <c r="Y310" s="30" t="s">
        <v>1417</v>
      </c>
      <c r="Z310" s="151" t="s">
        <v>4271</v>
      </c>
      <c r="AA310" s="8"/>
      <c r="AB310" s="10">
        <v>18540</v>
      </c>
      <c r="AC310" s="10"/>
      <c r="AD310" s="21"/>
      <c r="AE310" s="21"/>
      <c r="AF310" s="21"/>
      <c r="AG310" s="45"/>
      <c r="AH310" s="237" t="s">
        <v>2247</v>
      </c>
    </row>
    <row r="311" spans="1:35" s="9" customFormat="1" ht="122.25" customHeight="1">
      <c r="A311" s="9">
        <v>321</v>
      </c>
      <c r="B311" s="31">
        <v>45446</v>
      </c>
      <c r="C311" s="11" t="s">
        <v>27</v>
      </c>
      <c r="D311" s="2" t="s">
        <v>171</v>
      </c>
      <c r="E311" s="11" t="s">
        <v>172</v>
      </c>
      <c r="F311" s="30" t="s">
        <v>1933</v>
      </c>
      <c r="G311" s="30" t="s">
        <v>1624</v>
      </c>
      <c r="H311" s="16">
        <v>45529</v>
      </c>
      <c r="I311" s="115"/>
      <c r="J311" s="115"/>
      <c r="K311" s="115"/>
      <c r="L311" s="115"/>
      <c r="M311" s="115" t="s">
        <v>1844</v>
      </c>
      <c r="N311" s="115"/>
      <c r="O311" s="115"/>
      <c r="P311" s="115">
        <v>45806</v>
      </c>
      <c r="Q311" s="16"/>
      <c r="R311" s="115">
        <v>45818</v>
      </c>
      <c r="S311" s="115">
        <v>45821</v>
      </c>
      <c r="T311" s="7" t="s">
        <v>22</v>
      </c>
      <c r="U311" s="233" t="s">
        <v>1843</v>
      </c>
      <c r="V311" s="16">
        <v>45806</v>
      </c>
      <c r="W311" s="186">
        <v>45812</v>
      </c>
      <c r="X311" s="24"/>
      <c r="Z311" s="30" t="s">
        <v>33</v>
      </c>
      <c r="AA311" s="8">
        <v>45861</v>
      </c>
      <c r="AB311" s="10"/>
      <c r="AC311" s="69"/>
      <c r="AD311" s="10"/>
      <c r="AE311" s="77">
        <v>681977.75</v>
      </c>
      <c r="AF311" s="21"/>
      <c r="AG311" s="45"/>
      <c r="AH311" s="21">
        <v>681977.75</v>
      </c>
      <c r="AI311" s="9" t="s">
        <v>2199</v>
      </c>
    </row>
    <row r="312" spans="1:35" s="9" customFormat="1" ht="122.25" customHeight="1">
      <c r="A312" s="9">
        <v>196</v>
      </c>
      <c r="B312" s="31">
        <v>45551</v>
      </c>
      <c r="C312" s="11" t="s">
        <v>27</v>
      </c>
      <c r="D312" s="2" t="s">
        <v>309</v>
      </c>
      <c r="E312" s="11" t="s">
        <v>310</v>
      </c>
      <c r="F312" s="30" t="s">
        <v>1933</v>
      </c>
      <c r="G312" s="30" t="s">
        <v>1845</v>
      </c>
      <c r="H312" s="16">
        <v>45654</v>
      </c>
      <c r="I312" s="115"/>
      <c r="J312" s="115"/>
      <c r="K312" s="115"/>
      <c r="L312" s="115"/>
      <c r="M312" s="115" t="s">
        <v>1846</v>
      </c>
      <c r="N312" s="115"/>
      <c r="O312" s="115"/>
      <c r="P312" s="115">
        <v>45806</v>
      </c>
      <c r="Q312" s="16"/>
      <c r="R312" s="115">
        <v>45818</v>
      </c>
      <c r="S312" s="115">
        <v>45821</v>
      </c>
      <c r="T312" s="7" t="s">
        <v>22</v>
      </c>
      <c r="U312" s="233" t="s">
        <v>1843</v>
      </c>
      <c r="V312" s="31">
        <v>45806</v>
      </c>
      <c r="W312" s="16">
        <v>45812</v>
      </c>
      <c r="X312" s="208"/>
      <c r="Y312" s="100"/>
      <c r="Z312" s="30" t="s">
        <v>33</v>
      </c>
      <c r="AA312" s="8">
        <v>45861</v>
      </c>
      <c r="AB312" s="10"/>
      <c r="AC312" s="10"/>
      <c r="AD312" s="21"/>
      <c r="AE312" s="22">
        <v>171167.9</v>
      </c>
      <c r="AF312" s="21"/>
      <c r="AG312" s="45"/>
      <c r="AH312" s="10">
        <v>171167.9</v>
      </c>
    </row>
    <row r="313" spans="1:35" s="150" customFormat="1" ht="122.25" customHeight="1">
      <c r="A313" s="9">
        <v>161</v>
      </c>
      <c r="B313" s="147">
        <v>45579</v>
      </c>
      <c r="C313" s="148" t="s">
        <v>27</v>
      </c>
      <c r="D313" s="34" t="s">
        <v>350</v>
      </c>
      <c r="E313" s="148" t="s">
        <v>351</v>
      </c>
      <c r="F313" s="30" t="s">
        <v>1933</v>
      </c>
      <c r="G313" s="125" t="s">
        <v>1847</v>
      </c>
      <c r="H313" s="6">
        <v>45689</v>
      </c>
      <c r="I313" s="115"/>
      <c r="J313" s="115"/>
      <c r="K313" s="115"/>
      <c r="L313" s="115"/>
      <c r="M313" s="115" t="s">
        <v>1848</v>
      </c>
      <c r="N313" s="115"/>
      <c r="O313" s="115"/>
      <c r="P313" s="115">
        <v>45806</v>
      </c>
      <c r="Q313" s="6"/>
      <c r="R313" s="115">
        <v>45818</v>
      </c>
      <c r="S313" s="115">
        <v>45821</v>
      </c>
      <c r="T313" s="124" t="s">
        <v>22</v>
      </c>
      <c r="U313" s="233" t="s">
        <v>1843</v>
      </c>
      <c r="V313" s="223">
        <v>45806</v>
      </c>
      <c r="W313" s="224">
        <v>45812</v>
      </c>
      <c r="X313" s="208"/>
      <c r="Z313" s="125" t="s">
        <v>33</v>
      </c>
      <c r="AA313" s="8">
        <v>45861</v>
      </c>
      <c r="AB313" s="10"/>
      <c r="AC313" s="10"/>
      <c r="AD313" s="10"/>
      <c r="AE313" s="22">
        <v>1073603.5</v>
      </c>
      <c r="AF313" s="21"/>
      <c r="AG313" s="45"/>
      <c r="AH313" s="10">
        <v>1073603.5</v>
      </c>
      <c r="AI313" s="150" t="s">
        <v>2200</v>
      </c>
    </row>
    <row r="314" spans="1:35" s="9" customFormat="1" ht="122.25" customHeight="1">
      <c r="A314" s="9">
        <f t="shared" ref="A314:A329" ca="1" si="5">TODAY()-H314+1</f>
        <v>477</v>
      </c>
      <c r="B314" s="31">
        <v>45614</v>
      </c>
      <c r="C314" s="11" t="s">
        <v>27</v>
      </c>
      <c r="D314" s="2" t="s">
        <v>496</v>
      </c>
      <c r="E314" s="11" t="s">
        <v>497</v>
      </c>
      <c r="F314" s="30" t="s">
        <v>1933</v>
      </c>
      <c r="G314" s="30" t="s">
        <v>1474</v>
      </c>
      <c r="H314" s="16">
        <v>45717</v>
      </c>
      <c r="I314" s="115"/>
      <c r="J314" s="115"/>
      <c r="K314" s="115"/>
      <c r="L314" s="115"/>
      <c r="M314" s="115"/>
      <c r="N314" s="115"/>
      <c r="O314" s="115"/>
      <c r="P314" s="115">
        <v>45772</v>
      </c>
      <c r="Q314" s="6"/>
      <c r="R314" s="115"/>
      <c r="S314" s="115">
        <v>45785</v>
      </c>
      <c r="T314" s="7" t="s">
        <v>22</v>
      </c>
      <c r="U314" s="13" t="s">
        <v>1448</v>
      </c>
      <c r="V314" s="16">
        <v>45759</v>
      </c>
      <c r="W314" s="16">
        <v>45772</v>
      </c>
      <c r="X314" s="24" t="s">
        <v>2088</v>
      </c>
      <c r="Z314" s="30" t="s">
        <v>54</v>
      </c>
      <c r="AA314" s="8">
        <v>45817</v>
      </c>
      <c r="AB314" s="10"/>
      <c r="AC314" s="10"/>
      <c r="AD314" s="10"/>
      <c r="AE314" s="22">
        <v>557987.96</v>
      </c>
      <c r="AF314" s="21"/>
      <c r="AG314" s="45"/>
      <c r="AH314" s="23">
        <v>557987.96</v>
      </c>
    </row>
    <row r="315" spans="1:35" s="9" customFormat="1" ht="122.25" customHeight="1">
      <c r="A315" s="9">
        <f t="shared" ca="1" si="5"/>
        <v>426</v>
      </c>
      <c r="B315" s="31">
        <v>45708</v>
      </c>
      <c r="C315" s="2" t="s">
        <v>27</v>
      </c>
      <c r="D315" s="2" t="s">
        <v>1095</v>
      </c>
      <c r="E315" s="11" t="s">
        <v>1096</v>
      </c>
      <c r="F315" s="30" t="s">
        <v>1933</v>
      </c>
      <c r="G315" s="30" t="s">
        <v>1975</v>
      </c>
      <c r="H315" s="16">
        <v>45768</v>
      </c>
      <c r="I315" s="115"/>
      <c r="J315" s="115"/>
      <c r="K315" s="115"/>
      <c r="L315" s="115"/>
      <c r="M315" s="115"/>
      <c r="N315" s="115"/>
      <c r="O315" s="115"/>
      <c r="P315" s="115">
        <v>45772</v>
      </c>
      <c r="Q315" s="16"/>
      <c r="R315" s="115"/>
      <c r="S315" s="115">
        <v>45785</v>
      </c>
      <c r="T315" s="7" t="s">
        <v>22</v>
      </c>
      <c r="U315" s="6" t="s">
        <v>1448</v>
      </c>
      <c r="V315" s="16">
        <v>45760</v>
      </c>
      <c r="W315" s="16">
        <v>45772</v>
      </c>
      <c r="X315" s="24" t="s">
        <v>2088</v>
      </c>
      <c r="Z315" s="30" t="s">
        <v>33</v>
      </c>
      <c r="AA315" s="8">
        <v>45817</v>
      </c>
      <c r="AB315" s="10"/>
      <c r="AC315" s="10"/>
      <c r="AD315" s="21"/>
      <c r="AE315" s="22">
        <v>1137662.6499999999</v>
      </c>
      <c r="AF315" s="21"/>
      <c r="AG315" s="45"/>
      <c r="AH315" s="23">
        <v>1137662.6499999999</v>
      </c>
    </row>
    <row r="316" spans="1:35" s="9" customFormat="1" ht="56.25">
      <c r="A316" s="9">
        <f t="shared" ca="1" si="5"/>
        <v>446</v>
      </c>
      <c r="B316" s="31">
        <v>45638</v>
      </c>
      <c r="C316" s="11" t="s">
        <v>27</v>
      </c>
      <c r="D316" s="2" t="s">
        <v>567</v>
      </c>
      <c r="E316" s="11" t="s">
        <v>568</v>
      </c>
      <c r="F316" s="30" t="s">
        <v>1933</v>
      </c>
      <c r="G316" s="30" t="s">
        <v>1425</v>
      </c>
      <c r="H316" s="16">
        <v>45748</v>
      </c>
      <c r="I316" s="115"/>
      <c r="J316" s="115"/>
      <c r="K316" s="115"/>
      <c r="L316" s="115"/>
      <c r="M316" s="115"/>
      <c r="N316" s="115"/>
      <c r="O316" s="115"/>
      <c r="P316" s="115">
        <v>45772</v>
      </c>
      <c r="Q316" s="6" t="s">
        <v>851</v>
      </c>
      <c r="R316" s="115"/>
      <c r="S316" s="6"/>
      <c r="T316" s="7" t="s">
        <v>22</v>
      </c>
      <c r="U316" s="13" t="s">
        <v>1448</v>
      </c>
      <c r="V316" s="16">
        <v>45759</v>
      </c>
      <c r="W316" s="6">
        <v>45772</v>
      </c>
      <c r="X316" s="24" t="s">
        <v>2088</v>
      </c>
      <c r="Y316" s="100"/>
      <c r="Z316" s="30" t="s">
        <v>33</v>
      </c>
      <c r="AA316" s="8">
        <v>45817</v>
      </c>
      <c r="AB316" s="30"/>
      <c r="AC316" s="10"/>
      <c r="AD316" s="21"/>
      <c r="AE316" s="105">
        <v>493185.32</v>
      </c>
      <c r="AF316" s="21"/>
      <c r="AG316" s="45"/>
      <c r="AH316" s="23">
        <v>493185.32</v>
      </c>
    </row>
    <row r="317" spans="1:35" s="9" customFormat="1" ht="122.25" customHeight="1">
      <c r="A317" s="9">
        <f t="shared" ca="1" si="5"/>
        <v>402</v>
      </c>
      <c r="B317" s="31">
        <v>45735</v>
      </c>
      <c r="C317" s="2" t="s">
        <v>27</v>
      </c>
      <c r="D317" s="2" t="s">
        <v>1385</v>
      </c>
      <c r="E317" s="11" t="s">
        <v>1389</v>
      </c>
      <c r="F317" s="30" t="s">
        <v>1381</v>
      </c>
      <c r="G317" s="30" t="s">
        <v>1390</v>
      </c>
      <c r="H317" s="16">
        <v>45792</v>
      </c>
      <c r="I317" s="115"/>
      <c r="J317" s="115"/>
      <c r="K317" s="115"/>
      <c r="L317" s="115"/>
      <c r="M317" s="115"/>
      <c r="N317" s="115"/>
      <c r="O317" s="115"/>
      <c r="P317" s="115">
        <v>45763</v>
      </c>
      <c r="Q317" s="6"/>
      <c r="R317" s="115">
        <v>45792</v>
      </c>
      <c r="S317" s="115">
        <v>45799</v>
      </c>
      <c r="T317" s="7" t="s">
        <v>1960</v>
      </c>
      <c r="U317" s="2" t="s">
        <v>1548</v>
      </c>
      <c r="V317" s="16">
        <v>45740</v>
      </c>
      <c r="W317" s="16">
        <v>45777</v>
      </c>
      <c r="X317" s="4"/>
      <c r="Y317" s="100"/>
      <c r="Z317" s="30" t="s">
        <v>103</v>
      </c>
      <c r="AA317" s="8">
        <v>45826</v>
      </c>
      <c r="AB317" s="10"/>
      <c r="AC317" s="22">
        <v>28126.04</v>
      </c>
      <c r="AD317" s="21"/>
      <c r="AE317" s="21"/>
      <c r="AF317" s="21"/>
      <c r="AG317" s="45"/>
      <c r="AH317" s="23">
        <v>28126.04</v>
      </c>
    </row>
    <row r="318" spans="1:35" s="9" customFormat="1" ht="122.25" customHeight="1">
      <c r="A318" s="9">
        <f t="shared" ca="1" si="5"/>
        <v>402</v>
      </c>
      <c r="B318" s="31">
        <v>45735</v>
      </c>
      <c r="C318" s="2" t="s">
        <v>27</v>
      </c>
      <c r="D318" s="2" t="s">
        <v>1386</v>
      </c>
      <c r="E318" s="11" t="s">
        <v>1388</v>
      </c>
      <c r="F318" s="30" t="s">
        <v>1381</v>
      </c>
      <c r="G318" s="30" t="s">
        <v>1387</v>
      </c>
      <c r="H318" s="16">
        <v>45792</v>
      </c>
      <c r="I318" s="115"/>
      <c r="J318" s="115"/>
      <c r="K318" s="115"/>
      <c r="L318" s="115"/>
      <c r="M318" s="115"/>
      <c r="N318" s="115"/>
      <c r="O318" s="115"/>
      <c r="P318" s="115">
        <v>45763</v>
      </c>
      <c r="Q318" s="6"/>
      <c r="R318" s="115"/>
      <c r="S318" s="115">
        <v>45796</v>
      </c>
      <c r="T318" s="7" t="s">
        <v>20</v>
      </c>
      <c r="U318" s="2" t="s">
        <v>1548</v>
      </c>
      <c r="V318" s="16">
        <v>45740</v>
      </c>
      <c r="W318" s="16">
        <v>45777</v>
      </c>
      <c r="X318" s="4"/>
      <c r="Y318" s="100"/>
      <c r="Z318" s="30" t="s">
        <v>103</v>
      </c>
      <c r="AA318" s="8">
        <v>45827</v>
      </c>
      <c r="AB318" s="10"/>
      <c r="AC318" s="22">
        <v>34510.94</v>
      </c>
      <c r="AD318" s="21"/>
      <c r="AE318" s="21"/>
      <c r="AF318" s="21"/>
      <c r="AG318" s="45"/>
      <c r="AH318" s="23">
        <v>34510.94</v>
      </c>
    </row>
    <row r="319" spans="1:35" s="9" customFormat="1" ht="37.5" customHeight="1">
      <c r="A319" s="9">
        <f t="shared" ca="1" si="5"/>
        <v>362</v>
      </c>
      <c r="B319" s="31">
        <v>45796</v>
      </c>
      <c r="C319" s="2" t="s">
        <v>24</v>
      </c>
      <c r="D319" s="2" t="s">
        <v>1879</v>
      </c>
      <c r="E319" s="11" t="s">
        <v>1880</v>
      </c>
      <c r="F319" s="30" t="s">
        <v>95</v>
      </c>
      <c r="G319" s="30" t="s">
        <v>2702</v>
      </c>
      <c r="H319" s="16">
        <v>45832</v>
      </c>
      <c r="I319" s="115">
        <v>45793</v>
      </c>
      <c r="J319" s="115">
        <v>45796</v>
      </c>
      <c r="K319" s="115">
        <v>45793</v>
      </c>
      <c r="L319" s="115"/>
      <c r="M319" s="115">
        <v>45815</v>
      </c>
      <c r="N319" s="115"/>
      <c r="O319" s="115">
        <v>45819</v>
      </c>
      <c r="P319" s="115">
        <v>45821</v>
      </c>
      <c r="Q319" s="115">
        <v>45821</v>
      </c>
      <c r="R319" s="115"/>
      <c r="S319" s="115"/>
      <c r="T319" s="7" t="s">
        <v>22</v>
      </c>
      <c r="U319" s="11" t="s">
        <v>2032</v>
      </c>
      <c r="V319" s="16">
        <v>45816</v>
      </c>
      <c r="W319" s="16">
        <v>45854</v>
      </c>
      <c r="X319" s="4" t="s">
        <v>2471</v>
      </c>
      <c r="Y319" s="100"/>
      <c r="Z319" s="30" t="s">
        <v>33</v>
      </c>
      <c r="AA319" s="8">
        <v>45877</v>
      </c>
      <c r="AB319" s="10"/>
      <c r="AC319" s="22">
        <v>146486.16</v>
      </c>
      <c r="AD319" s="21"/>
      <c r="AE319" s="21"/>
      <c r="AF319" s="21"/>
      <c r="AG319" s="45"/>
      <c r="AH319" s="23">
        <v>146486.16</v>
      </c>
    </row>
    <row r="320" spans="1:35" s="9" customFormat="1" ht="122.25" customHeight="1">
      <c r="A320" s="9">
        <f t="shared" ca="1" si="5"/>
        <v>342</v>
      </c>
      <c r="B320" s="31">
        <v>45770</v>
      </c>
      <c r="C320" s="2" t="s">
        <v>24</v>
      </c>
      <c r="D320" s="2" t="s">
        <v>1977</v>
      </c>
      <c r="E320" s="11" t="s">
        <v>1978</v>
      </c>
      <c r="F320" s="30" t="s">
        <v>521</v>
      </c>
      <c r="G320" s="30" t="s">
        <v>2705</v>
      </c>
      <c r="H320" s="16">
        <v>45852</v>
      </c>
      <c r="I320" s="115"/>
      <c r="J320" s="115"/>
      <c r="K320" s="115"/>
      <c r="L320" s="115"/>
      <c r="M320" s="115">
        <v>45834</v>
      </c>
      <c r="N320" s="115"/>
      <c r="O320" s="115"/>
      <c r="P320" s="115">
        <v>45845</v>
      </c>
      <c r="Q320" s="115">
        <v>45845</v>
      </c>
      <c r="R320" s="115"/>
      <c r="S320" s="115"/>
      <c r="T320" s="7" t="s">
        <v>22</v>
      </c>
      <c r="U320" s="34" t="s">
        <v>2232</v>
      </c>
      <c r="V320" s="16">
        <v>45837</v>
      </c>
      <c r="W320" s="16">
        <v>45870</v>
      </c>
      <c r="X320" s="4" t="s">
        <v>2272</v>
      </c>
      <c r="Y320" s="100"/>
      <c r="Z320" s="30" t="s">
        <v>1469</v>
      </c>
      <c r="AA320" s="8">
        <v>45870</v>
      </c>
      <c r="AB320" s="10"/>
      <c r="AC320" s="22">
        <v>30015</v>
      </c>
      <c r="AD320" s="21"/>
      <c r="AE320" s="21"/>
      <c r="AF320" s="21"/>
      <c r="AG320" s="45"/>
      <c r="AH320" s="23"/>
    </row>
    <row r="321" spans="1:34" s="9" customFormat="1" ht="122.25" customHeight="1">
      <c r="A321" s="9">
        <f t="shared" ca="1" si="5"/>
        <v>263</v>
      </c>
      <c r="B321" s="31">
        <v>45817</v>
      </c>
      <c r="C321" s="2" t="s">
        <v>694</v>
      </c>
      <c r="D321" s="2" t="s">
        <v>2038</v>
      </c>
      <c r="E321" s="11" t="s">
        <v>2039</v>
      </c>
      <c r="F321" s="30" t="s">
        <v>740</v>
      </c>
      <c r="G321" s="30" t="s">
        <v>2040</v>
      </c>
      <c r="H321" s="16">
        <v>45931</v>
      </c>
      <c r="I321" s="115">
        <v>45817</v>
      </c>
      <c r="J321" s="115">
        <v>45817</v>
      </c>
      <c r="K321" s="115">
        <v>45817</v>
      </c>
      <c r="L321" s="115"/>
      <c r="M321" s="115"/>
      <c r="N321" s="115"/>
      <c r="O321" s="115"/>
      <c r="P321" s="115">
        <v>45847</v>
      </c>
      <c r="Q321" s="115">
        <v>45876</v>
      </c>
      <c r="R321" s="115"/>
      <c r="S321" s="115">
        <v>45881</v>
      </c>
      <c r="T321" s="7" t="s">
        <v>22</v>
      </c>
      <c r="U321" s="7" t="s">
        <v>2166</v>
      </c>
      <c r="V321" s="16">
        <v>45842</v>
      </c>
      <c r="W321" s="16">
        <v>45873</v>
      </c>
      <c r="X321" s="24"/>
      <c r="Y321" s="100"/>
      <c r="Z321" s="30" t="s">
        <v>742</v>
      </c>
      <c r="AA321" s="8">
        <v>45901</v>
      </c>
      <c r="AB321" s="22">
        <v>1966.5</v>
      </c>
      <c r="AC321" s="10"/>
      <c r="AD321" s="21"/>
      <c r="AE321" s="21"/>
      <c r="AF321" s="21"/>
      <c r="AG321" s="45"/>
      <c r="AH321" s="10">
        <v>1966.5</v>
      </c>
    </row>
    <row r="322" spans="1:34" s="9" customFormat="1" ht="122.25" customHeight="1">
      <c r="A322" s="9">
        <f t="shared" ca="1" si="5"/>
        <v>416</v>
      </c>
      <c r="B322" s="31">
        <v>45708</v>
      </c>
      <c r="C322" s="2" t="s">
        <v>694</v>
      </c>
      <c r="D322" s="2" t="s">
        <v>919</v>
      </c>
      <c r="E322" s="11" t="s">
        <v>920</v>
      </c>
      <c r="F322" s="30" t="s">
        <v>173</v>
      </c>
      <c r="G322" s="30" t="s">
        <v>1916</v>
      </c>
      <c r="H322" s="16">
        <v>45778</v>
      </c>
      <c r="I322" s="115"/>
      <c r="J322" s="115"/>
      <c r="K322" s="115"/>
      <c r="L322" s="115"/>
      <c r="M322" s="115">
        <v>45771</v>
      </c>
      <c r="N322" s="115"/>
      <c r="O322" s="115"/>
      <c r="P322" s="115">
        <v>45798</v>
      </c>
      <c r="Q322" s="115">
        <v>45798</v>
      </c>
      <c r="R322" s="115"/>
      <c r="S322" s="115">
        <v>45817</v>
      </c>
      <c r="T322" s="7" t="s">
        <v>22</v>
      </c>
      <c r="U322" s="2" t="s">
        <v>1917</v>
      </c>
      <c r="V322" s="16">
        <v>45771</v>
      </c>
      <c r="W322" s="16">
        <v>45805</v>
      </c>
      <c r="X322" s="4"/>
      <c r="Z322" s="30" t="s">
        <v>1006</v>
      </c>
      <c r="AA322" s="8">
        <v>45832</v>
      </c>
      <c r="AB322" s="22">
        <v>276205.40000000002</v>
      </c>
      <c r="AC322" s="10"/>
      <c r="AD322" s="21"/>
      <c r="AE322" s="21"/>
      <c r="AF322" s="21"/>
      <c r="AG322" s="45"/>
      <c r="AH322" s="23">
        <v>276205.40000000002</v>
      </c>
    </row>
    <row r="323" spans="1:34" s="9" customFormat="1" ht="146.25" customHeight="1">
      <c r="A323" s="9">
        <f t="shared" ca="1" si="5"/>
        <v>355</v>
      </c>
      <c r="B323" s="31">
        <v>45741</v>
      </c>
      <c r="C323" s="2" t="s">
        <v>694</v>
      </c>
      <c r="D323" s="2" t="s">
        <v>1373</v>
      </c>
      <c r="E323" s="11" t="s">
        <v>1374</v>
      </c>
      <c r="F323" s="30" t="s">
        <v>1375</v>
      </c>
      <c r="G323" s="30" t="s">
        <v>1974</v>
      </c>
      <c r="H323" s="16">
        <v>45839</v>
      </c>
      <c r="I323" s="115"/>
      <c r="J323" s="115"/>
      <c r="K323" s="115"/>
      <c r="L323" s="115"/>
      <c r="M323" s="115"/>
      <c r="N323" s="115"/>
      <c r="O323" s="115"/>
      <c r="P323" s="115">
        <v>45785</v>
      </c>
      <c r="Q323" s="115">
        <v>45848</v>
      </c>
      <c r="R323" s="115">
        <v>45813</v>
      </c>
      <c r="S323" s="115">
        <v>45818</v>
      </c>
      <c r="T323" s="7" t="s">
        <v>20</v>
      </c>
      <c r="U323" s="2" t="s">
        <v>649</v>
      </c>
      <c r="V323" s="16">
        <v>45783</v>
      </c>
      <c r="W323" s="104">
        <v>45818</v>
      </c>
      <c r="X323" s="4"/>
      <c r="Y323" s="100"/>
      <c r="Z323" s="30" t="s">
        <v>2746</v>
      </c>
      <c r="AA323" s="8"/>
      <c r="AB323" s="10"/>
      <c r="AC323" s="22">
        <f>21990.59*2</f>
        <v>43981.18</v>
      </c>
      <c r="AD323" s="21"/>
      <c r="AE323" s="21"/>
      <c r="AF323" s="21"/>
      <c r="AG323" s="45"/>
      <c r="AH323" s="23">
        <v>21990.58</v>
      </c>
    </row>
    <row r="324" spans="1:34" s="9" customFormat="1" ht="146.25" customHeight="1">
      <c r="A324" s="9">
        <f t="shared" ca="1" si="5"/>
        <v>355</v>
      </c>
      <c r="B324" s="31">
        <v>45741</v>
      </c>
      <c r="C324" s="2" t="s">
        <v>694</v>
      </c>
      <c r="D324" s="2" t="s">
        <v>1373</v>
      </c>
      <c r="E324" s="11" t="s">
        <v>1374</v>
      </c>
      <c r="F324" s="30" t="s">
        <v>1375</v>
      </c>
      <c r="G324" s="30" t="s">
        <v>1925</v>
      </c>
      <c r="H324" s="16">
        <v>45839</v>
      </c>
      <c r="I324" s="115"/>
      <c r="J324" s="115"/>
      <c r="K324" s="115"/>
      <c r="L324" s="115"/>
      <c r="M324" s="115"/>
      <c r="N324" s="115"/>
      <c r="O324" s="115"/>
      <c r="P324" s="115">
        <v>45806</v>
      </c>
      <c r="Q324" s="115">
        <v>45848</v>
      </c>
      <c r="R324" s="115">
        <v>45846</v>
      </c>
      <c r="S324" s="115">
        <v>45846</v>
      </c>
      <c r="T324" s="7" t="s">
        <v>20</v>
      </c>
      <c r="U324" s="2" t="s">
        <v>2006</v>
      </c>
      <c r="V324" s="16">
        <v>45812</v>
      </c>
      <c r="W324" s="104">
        <v>45836</v>
      </c>
      <c r="X324" s="4"/>
      <c r="Y324" s="100"/>
      <c r="Z324" s="30" t="s">
        <v>2747</v>
      </c>
      <c r="AA324" s="8"/>
      <c r="AB324" s="10"/>
      <c r="AC324" s="22">
        <f>21990.59*2</f>
        <v>43981.18</v>
      </c>
      <c r="AD324" s="21"/>
      <c r="AE324" s="21"/>
      <c r="AF324" s="21"/>
      <c r="AG324" s="45"/>
      <c r="AH324" s="23">
        <v>21990.58</v>
      </c>
    </row>
    <row r="325" spans="1:34" s="9" customFormat="1" ht="222" customHeight="1">
      <c r="A325" s="9">
        <f t="shared" ca="1" si="5"/>
        <v>355</v>
      </c>
      <c r="B325" s="31">
        <v>45754</v>
      </c>
      <c r="C325" s="2" t="s">
        <v>694</v>
      </c>
      <c r="D325" s="2" t="s">
        <v>1459</v>
      </c>
      <c r="E325" s="11" t="s">
        <v>1460</v>
      </c>
      <c r="F325" s="30" t="s">
        <v>105</v>
      </c>
      <c r="G325" s="30" t="s">
        <v>1544</v>
      </c>
      <c r="H325" s="16">
        <v>45839</v>
      </c>
      <c r="I325" s="115"/>
      <c r="J325" s="115"/>
      <c r="K325" s="115"/>
      <c r="L325" s="115"/>
      <c r="M325" s="115"/>
      <c r="N325" s="115" t="s">
        <v>878</v>
      </c>
      <c r="O325" s="115"/>
      <c r="P325" s="115">
        <v>45828</v>
      </c>
      <c r="Q325" s="115">
        <v>45820</v>
      </c>
      <c r="R325" s="115"/>
      <c r="S325" s="115"/>
      <c r="T325" s="7" t="s">
        <v>22</v>
      </c>
      <c r="U325" s="2" t="s">
        <v>1769</v>
      </c>
      <c r="V325" s="16">
        <v>45813</v>
      </c>
      <c r="W325" s="16">
        <v>45828</v>
      </c>
      <c r="X325" s="16"/>
      <c r="Y325" s="100"/>
      <c r="Z325" s="30" t="s">
        <v>1538</v>
      </c>
      <c r="AA325" s="8">
        <v>45853</v>
      </c>
      <c r="AB325" s="22">
        <v>187465.46</v>
      </c>
      <c r="AC325" s="10"/>
      <c r="AD325" s="21"/>
      <c r="AE325" s="21"/>
      <c r="AF325" s="21"/>
      <c r="AG325" s="45"/>
      <c r="AH325" s="23">
        <v>187465.46</v>
      </c>
    </row>
    <row r="326" spans="1:34" s="9" customFormat="1" ht="122.25" customHeight="1">
      <c r="A326" s="216">
        <f t="shared" ca="1" si="5"/>
        <v>324</v>
      </c>
      <c r="B326" s="31">
        <v>45730</v>
      </c>
      <c r="C326" s="2" t="s">
        <v>694</v>
      </c>
      <c r="D326" s="2" t="s">
        <v>1272</v>
      </c>
      <c r="E326" s="11" t="s">
        <v>1273</v>
      </c>
      <c r="F326" s="30" t="s">
        <v>173</v>
      </c>
      <c r="G326" s="30" t="s">
        <v>2530</v>
      </c>
      <c r="H326" s="16">
        <v>45870</v>
      </c>
      <c r="I326" s="115"/>
      <c r="J326" s="115"/>
      <c r="K326" s="115"/>
      <c r="L326" s="115"/>
      <c r="M326" s="115"/>
      <c r="N326" s="115"/>
      <c r="O326" s="115"/>
      <c r="P326" s="115"/>
      <c r="Q326" s="115">
        <v>45846</v>
      </c>
      <c r="R326" s="115"/>
      <c r="S326" s="115"/>
      <c r="T326" s="7" t="s">
        <v>22</v>
      </c>
      <c r="U326" s="2" t="s">
        <v>2118</v>
      </c>
      <c r="V326" s="16">
        <v>45820</v>
      </c>
      <c r="W326" s="16">
        <v>45842</v>
      </c>
      <c r="X326" s="134"/>
      <c r="Y326" s="100"/>
      <c r="Z326" s="30" t="s">
        <v>89</v>
      </c>
      <c r="AA326" s="8">
        <v>45873</v>
      </c>
      <c r="AB326" s="22">
        <v>159490.21</v>
      </c>
      <c r="AC326" s="10"/>
      <c r="AD326" s="21"/>
      <c r="AE326" s="21"/>
      <c r="AF326" s="21"/>
      <c r="AG326" s="45"/>
      <c r="AH326" s="23">
        <v>159490.21</v>
      </c>
    </row>
    <row r="327" spans="1:34" s="9" customFormat="1" ht="122.25" customHeight="1">
      <c r="A327" s="9">
        <f t="shared" ca="1" si="5"/>
        <v>339</v>
      </c>
      <c r="B327" s="31">
        <v>45772</v>
      </c>
      <c r="C327" s="2" t="s">
        <v>24</v>
      </c>
      <c r="D327" s="2" t="s">
        <v>1747</v>
      </c>
      <c r="E327" s="11" t="s">
        <v>1748</v>
      </c>
      <c r="F327" s="30" t="s">
        <v>98</v>
      </c>
      <c r="G327" s="30" t="s">
        <v>2695</v>
      </c>
      <c r="H327" s="16">
        <v>45855</v>
      </c>
      <c r="I327" s="115"/>
      <c r="J327" s="115"/>
      <c r="K327" s="115"/>
      <c r="L327" s="115"/>
      <c r="M327" s="115"/>
      <c r="N327" s="115"/>
      <c r="O327" s="115"/>
      <c r="P327" s="115">
        <v>45848</v>
      </c>
      <c r="Q327" s="115">
        <v>45849</v>
      </c>
      <c r="R327" s="115"/>
      <c r="S327" s="115"/>
      <c r="T327" s="7" t="s">
        <v>22</v>
      </c>
      <c r="U327" s="16" t="s">
        <v>2469</v>
      </c>
      <c r="V327" s="16">
        <v>45839</v>
      </c>
      <c r="W327" s="16" t="s">
        <v>2697</v>
      </c>
      <c r="X327" s="4" t="s">
        <v>2432</v>
      </c>
      <c r="Y327" s="100"/>
      <c r="Z327" s="30" t="s">
        <v>33</v>
      </c>
      <c r="AA327" s="31">
        <v>45870</v>
      </c>
      <c r="AB327" s="22">
        <v>56700</v>
      </c>
      <c r="AC327" s="10"/>
      <c r="AD327" s="21"/>
      <c r="AE327" s="21"/>
      <c r="AF327" s="21"/>
      <c r="AG327" s="45"/>
      <c r="AH327" s="118">
        <v>56700</v>
      </c>
    </row>
    <row r="328" spans="1:34" s="9" customFormat="1" ht="122.25" customHeight="1">
      <c r="A328" s="9">
        <f t="shared" ca="1" si="5"/>
        <v>331</v>
      </c>
      <c r="B328" s="31">
        <v>45789</v>
      </c>
      <c r="C328" s="2" t="s">
        <v>694</v>
      </c>
      <c r="D328" s="2" t="s">
        <v>1792</v>
      </c>
      <c r="E328" s="11" t="s">
        <v>1897</v>
      </c>
      <c r="F328" s="30" t="s">
        <v>737</v>
      </c>
      <c r="G328" s="30" t="s">
        <v>2622</v>
      </c>
      <c r="H328" s="16">
        <v>45863</v>
      </c>
      <c r="I328" s="115">
        <v>45789</v>
      </c>
      <c r="J328" s="115">
        <v>45789</v>
      </c>
      <c r="K328" s="115">
        <v>45789</v>
      </c>
      <c r="L328" s="115"/>
      <c r="M328" s="115">
        <v>45839</v>
      </c>
      <c r="N328" s="115"/>
      <c r="O328" s="115"/>
      <c r="P328" s="115"/>
      <c r="Q328" s="115">
        <v>45848</v>
      </c>
      <c r="R328" s="115"/>
      <c r="S328" s="115"/>
      <c r="T328" s="7" t="s">
        <v>20</v>
      </c>
      <c r="U328" s="7" t="s">
        <v>2524</v>
      </c>
      <c r="V328" s="16">
        <v>45845</v>
      </c>
      <c r="W328" s="16">
        <v>45872</v>
      </c>
      <c r="X328" s="16"/>
      <c r="Y328" s="100"/>
      <c r="Z328" s="30" t="s">
        <v>2621</v>
      </c>
      <c r="AA328" s="8"/>
      <c r="AB328" s="22">
        <v>117810</v>
      </c>
      <c r="AC328" s="10"/>
      <c r="AD328" s="21"/>
      <c r="AE328" s="21"/>
      <c r="AF328" s="21"/>
      <c r="AG328" s="45"/>
      <c r="AH328" s="23">
        <v>117810</v>
      </c>
    </row>
    <row r="329" spans="1:34" s="9" customFormat="1" ht="122.25" customHeight="1">
      <c r="A329" s="9">
        <f t="shared" ca="1" si="5"/>
        <v>355</v>
      </c>
      <c r="B329" s="31">
        <v>45734</v>
      </c>
      <c r="C329" s="2" t="s">
        <v>694</v>
      </c>
      <c r="D329" s="2" t="s">
        <v>1293</v>
      </c>
      <c r="E329" s="11" t="s">
        <v>1294</v>
      </c>
      <c r="F329" s="30" t="s">
        <v>44</v>
      </c>
      <c r="G329" s="30" t="s">
        <v>1923</v>
      </c>
      <c r="H329" s="16">
        <v>45839</v>
      </c>
      <c r="I329" s="115"/>
      <c r="J329" s="115"/>
      <c r="K329" s="115"/>
      <c r="L329" s="115"/>
      <c r="M329" s="115">
        <v>45804</v>
      </c>
      <c r="N329" s="115"/>
      <c r="O329" s="115"/>
      <c r="P329" s="115">
        <v>45834</v>
      </c>
      <c r="Q329" s="115">
        <v>45827</v>
      </c>
      <c r="R329" s="115"/>
      <c r="S329" s="115"/>
      <c r="T329" s="7" t="s">
        <v>22</v>
      </c>
      <c r="U329" s="2" t="s">
        <v>2240</v>
      </c>
      <c r="V329" s="16">
        <v>45808</v>
      </c>
      <c r="W329" s="16">
        <v>45875</v>
      </c>
      <c r="X329" s="4"/>
      <c r="Y329" s="100"/>
      <c r="Z329" s="30" t="s">
        <v>33</v>
      </c>
      <c r="AA329" s="8">
        <v>45863</v>
      </c>
      <c r="AB329" s="10"/>
      <c r="AC329" s="22">
        <v>136741.76000000001</v>
      </c>
      <c r="AD329" s="21"/>
      <c r="AE329" s="21"/>
      <c r="AF329" s="21"/>
      <c r="AG329" s="45"/>
      <c r="AH329" s="23">
        <v>136741.76000000001</v>
      </c>
    </row>
    <row r="330" spans="1:34" s="9" customFormat="1" ht="122.25" customHeight="1">
      <c r="B330" s="31">
        <v>45784</v>
      </c>
      <c r="C330" s="2" t="s">
        <v>2689</v>
      </c>
      <c r="D330" s="2" t="s">
        <v>1812</v>
      </c>
      <c r="E330" s="11" t="s">
        <v>1813</v>
      </c>
      <c r="F330" s="30" t="s">
        <v>1814</v>
      </c>
      <c r="G330" s="30" t="s">
        <v>90</v>
      </c>
      <c r="H330" s="16">
        <v>45838</v>
      </c>
      <c r="I330" s="115">
        <v>45785</v>
      </c>
      <c r="J330" s="115"/>
      <c r="K330" s="115"/>
      <c r="L330" s="115"/>
      <c r="M330" s="115"/>
      <c r="N330" s="115"/>
      <c r="O330" s="115" t="s">
        <v>2449</v>
      </c>
      <c r="P330" s="115">
        <v>45849</v>
      </c>
      <c r="Q330" s="16" t="s">
        <v>860</v>
      </c>
      <c r="R330" s="115"/>
      <c r="S330" s="115">
        <v>45891</v>
      </c>
      <c r="T330" s="7" t="s">
        <v>20</v>
      </c>
      <c r="U330" s="2" t="s">
        <v>2032</v>
      </c>
      <c r="V330" s="16">
        <v>45827</v>
      </c>
      <c r="W330" s="16">
        <v>45853</v>
      </c>
      <c r="X330" s="280" t="s">
        <v>2815</v>
      </c>
      <c r="Y330" s="100"/>
      <c r="Z330" s="30" t="s">
        <v>55</v>
      </c>
      <c r="AA330" s="8">
        <v>45838</v>
      </c>
      <c r="AB330" s="10"/>
      <c r="AC330" s="22">
        <v>9960</v>
      </c>
      <c r="AD330" s="21"/>
      <c r="AE330" s="21"/>
      <c r="AF330" s="21"/>
      <c r="AG330" s="45"/>
      <c r="AH330" s="23">
        <v>9960</v>
      </c>
    </row>
    <row r="331" spans="1:34" s="9" customFormat="1" ht="168.75">
      <c r="A331" s="9">
        <f ca="1">TODAY()-H331+1</f>
        <v>361</v>
      </c>
      <c r="B331" s="31">
        <v>45796</v>
      </c>
      <c r="C331" s="2" t="s">
        <v>2689</v>
      </c>
      <c r="D331" s="2" t="s">
        <v>2377</v>
      </c>
      <c r="E331" s="11" t="s">
        <v>1912</v>
      </c>
      <c r="F331" s="30" t="s">
        <v>1911</v>
      </c>
      <c r="G331" s="30" t="s">
        <v>90</v>
      </c>
      <c r="H331" s="16">
        <v>45833</v>
      </c>
      <c r="I331" s="115">
        <v>45793</v>
      </c>
      <c r="J331" s="115"/>
      <c r="K331" s="115"/>
      <c r="L331" s="115"/>
      <c r="M331" s="115">
        <v>45805</v>
      </c>
      <c r="N331" s="115"/>
      <c r="O331" s="115"/>
      <c r="P331" s="115" t="s">
        <v>2387</v>
      </c>
      <c r="Q331" s="16" t="s">
        <v>860</v>
      </c>
      <c r="R331" s="115"/>
      <c r="S331" s="115">
        <v>45895</v>
      </c>
      <c r="T331" s="7" t="s">
        <v>20</v>
      </c>
      <c r="U331" s="16" t="s">
        <v>2246</v>
      </c>
      <c r="V331" s="16">
        <v>45838</v>
      </c>
      <c r="W331" s="16">
        <v>45872</v>
      </c>
      <c r="X331" s="4" t="s">
        <v>2752</v>
      </c>
      <c r="Y331" s="100"/>
      <c r="Z331" s="30" t="s">
        <v>1592</v>
      </c>
      <c r="AA331" s="8">
        <v>45803</v>
      </c>
      <c r="AB331" s="10"/>
      <c r="AC331" s="135">
        <v>5407.5</v>
      </c>
      <c r="AD331" s="21"/>
      <c r="AE331" s="21"/>
      <c r="AF331" s="21"/>
      <c r="AG331" s="45"/>
      <c r="AH331" s="23">
        <v>5407.5</v>
      </c>
    </row>
    <row r="332" spans="1:34" s="9" customFormat="1" ht="122.25" customHeight="1">
      <c r="A332" s="9">
        <f ca="1">TODAY()-H332+1</f>
        <v>331</v>
      </c>
      <c r="B332" s="31">
        <v>45790</v>
      </c>
      <c r="C332" s="2" t="s">
        <v>2689</v>
      </c>
      <c r="D332" s="2" t="s">
        <v>1943</v>
      </c>
      <c r="E332" s="11" t="s">
        <v>1944</v>
      </c>
      <c r="F332" s="30" t="s">
        <v>2691</v>
      </c>
      <c r="G332" s="30" t="s">
        <v>90</v>
      </c>
      <c r="H332" s="16">
        <v>45863</v>
      </c>
      <c r="I332" s="115">
        <v>45799</v>
      </c>
      <c r="J332" s="115"/>
      <c r="K332" s="115"/>
      <c r="L332" s="115"/>
      <c r="M332" s="115">
        <v>45811</v>
      </c>
      <c r="N332" s="115"/>
      <c r="O332" s="115"/>
      <c r="P332" s="115" t="s">
        <v>2559</v>
      </c>
      <c r="Q332" s="16" t="s">
        <v>860</v>
      </c>
      <c r="R332" s="115"/>
      <c r="S332" s="115">
        <v>45895</v>
      </c>
      <c r="T332" s="7" t="s">
        <v>20</v>
      </c>
      <c r="U332" s="16" t="s">
        <v>2246</v>
      </c>
      <c r="V332" s="16">
        <v>45838</v>
      </c>
      <c r="W332" s="16">
        <v>45872</v>
      </c>
      <c r="X332" s="4" t="s">
        <v>2798</v>
      </c>
      <c r="Y332" s="100"/>
      <c r="Z332" s="30" t="s">
        <v>61</v>
      </c>
      <c r="AA332" s="8">
        <v>45803</v>
      </c>
      <c r="AB332" s="10"/>
      <c r="AC332" s="22">
        <v>1470</v>
      </c>
      <c r="AD332" s="21"/>
      <c r="AE332" s="10"/>
      <c r="AF332" s="21"/>
      <c r="AG332" s="45"/>
      <c r="AH332" s="10">
        <v>1470</v>
      </c>
    </row>
    <row r="333" spans="1:34" s="9" customFormat="1" ht="253.5" customHeight="1">
      <c r="B333" s="31">
        <v>45468</v>
      </c>
      <c r="C333" s="11" t="s">
        <v>694</v>
      </c>
      <c r="D333" s="2" t="s">
        <v>202</v>
      </c>
      <c r="E333" s="11" t="s">
        <v>203</v>
      </c>
      <c r="F333" s="30" t="s">
        <v>1461</v>
      </c>
      <c r="G333" s="85" t="s">
        <v>2054</v>
      </c>
      <c r="H333" s="16" t="s">
        <v>1119</v>
      </c>
      <c r="I333" s="115"/>
      <c r="J333" s="115"/>
      <c r="K333" s="115"/>
      <c r="L333" s="115"/>
      <c r="M333" s="115"/>
      <c r="N333" s="115"/>
      <c r="O333" s="115"/>
      <c r="P333" s="115"/>
      <c r="Q333" s="115">
        <v>45883</v>
      </c>
      <c r="R333" s="115"/>
      <c r="S333" s="115"/>
      <c r="T333" s="7" t="s">
        <v>22</v>
      </c>
      <c r="U333" s="16" t="s">
        <v>2597</v>
      </c>
      <c r="V333" s="16">
        <v>45828</v>
      </c>
      <c r="W333" s="16">
        <v>45880</v>
      </c>
      <c r="X333" s="4" t="s">
        <v>2053</v>
      </c>
      <c r="Y333" s="100"/>
      <c r="Z333" s="30" t="s">
        <v>33</v>
      </c>
      <c r="AA333" s="8">
        <v>45888</v>
      </c>
      <c r="AB333" s="22">
        <v>102913.9</v>
      </c>
      <c r="AC333" s="10"/>
      <c r="AD333" s="21"/>
      <c r="AE333" s="21"/>
      <c r="AF333" s="21"/>
      <c r="AG333" s="45"/>
      <c r="AH333" s="10">
        <v>102913.9</v>
      </c>
    </row>
    <row r="334" spans="1:34" s="9" customFormat="1" ht="122.25" customHeight="1">
      <c r="A334" s="9">
        <f t="shared" ref="A334:A340" ca="1" si="6">TODAY()-H334+1</f>
        <v>402</v>
      </c>
      <c r="B334" s="31">
        <v>45735</v>
      </c>
      <c r="C334" s="2" t="s">
        <v>27</v>
      </c>
      <c r="D334" s="2" t="s">
        <v>1383</v>
      </c>
      <c r="E334" s="11" t="s">
        <v>1384</v>
      </c>
      <c r="F334" s="30" t="s">
        <v>1381</v>
      </c>
      <c r="G334" s="30" t="s">
        <v>1382</v>
      </c>
      <c r="H334" s="16">
        <v>45792</v>
      </c>
      <c r="I334" s="115"/>
      <c r="J334" s="115"/>
      <c r="K334" s="115"/>
      <c r="L334" s="115"/>
      <c r="M334" s="115"/>
      <c r="N334" s="115"/>
      <c r="O334" s="115"/>
      <c r="P334" s="115"/>
      <c r="Q334" s="6"/>
      <c r="R334" s="115"/>
      <c r="S334" s="115">
        <v>45797</v>
      </c>
      <c r="T334" s="7" t="s">
        <v>20</v>
      </c>
      <c r="U334" s="16" t="s">
        <v>1549</v>
      </c>
      <c r="V334" s="31">
        <v>45756</v>
      </c>
      <c r="W334" s="16">
        <v>45781</v>
      </c>
      <c r="X334" s="4"/>
      <c r="Y334" s="100"/>
      <c r="Z334" s="30" t="s">
        <v>103</v>
      </c>
      <c r="AA334" s="8">
        <v>45835</v>
      </c>
      <c r="AB334" s="10"/>
      <c r="AC334" s="22">
        <v>30186.5</v>
      </c>
      <c r="AD334" s="21"/>
      <c r="AE334" s="21"/>
      <c r="AF334" s="21"/>
      <c r="AG334" s="45"/>
      <c r="AH334" s="23"/>
    </row>
    <row r="335" spans="1:34" s="9" customFormat="1" ht="122.25" customHeight="1">
      <c r="A335" s="9">
        <f t="shared" ca="1" si="6"/>
        <v>402</v>
      </c>
      <c r="B335" s="31">
        <v>45735</v>
      </c>
      <c r="C335" s="2" t="s">
        <v>27</v>
      </c>
      <c r="D335" s="2" t="s">
        <v>1379</v>
      </c>
      <c r="E335" s="11" t="s">
        <v>1380</v>
      </c>
      <c r="F335" s="30" t="s">
        <v>1381</v>
      </c>
      <c r="G335" s="30" t="s">
        <v>1391</v>
      </c>
      <c r="H335" s="16">
        <v>45792</v>
      </c>
      <c r="I335" s="115"/>
      <c r="J335" s="115"/>
      <c r="K335" s="115"/>
      <c r="L335" s="115"/>
      <c r="M335" s="115" t="s">
        <v>1368</v>
      </c>
      <c r="N335" s="115"/>
      <c r="O335" s="115" t="s">
        <v>1913</v>
      </c>
      <c r="P335" s="115">
        <v>45785</v>
      </c>
      <c r="Q335" s="6"/>
      <c r="R335" s="115">
        <v>45798</v>
      </c>
      <c r="S335" s="115">
        <v>45806</v>
      </c>
      <c r="T335" s="7" t="s">
        <v>20</v>
      </c>
      <c r="U335" s="16" t="s">
        <v>1550</v>
      </c>
      <c r="V335" s="16">
        <v>45759</v>
      </c>
      <c r="W335" s="16">
        <v>45788</v>
      </c>
      <c r="X335" s="4" t="s">
        <v>1972</v>
      </c>
      <c r="Y335" s="100"/>
      <c r="Z335" s="30" t="s">
        <v>103</v>
      </c>
      <c r="AA335" s="8">
        <v>45847</v>
      </c>
      <c r="AB335" s="10"/>
      <c r="AC335" s="22">
        <v>43879.7</v>
      </c>
      <c r="AD335" s="21"/>
      <c r="AE335" s="21"/>
      <c r="AF335" s="21"/>
      <c r="AG335" s="45"/>
      <c r="AH335" s="23"/>
    </row>
    <row r="336" spans="1:34" s="9" customFormat="1" ht="122.25" customHeight="1">
      <c r="A336" s="9">
        <f t="shared" ca="1" si="6"/>
        <v>356</v>
      </c>
      <c r="B336" s="31">
        <v>45744</v>
      </c>
      <c r="C336" s="2" t="s">
        <v>27</v>
      </c>
      <c r="D336" s="2" t="s">
        <v>1439</v>
      </c>
      <c r="E336" s="11" t="s">
        <v>1440</v>
      </c>
      <c r="F336" s="30" t="s">
        <v>1441</v>
      </c>
      <c r="G336" s="30" t="s">
        <v>90</v>
      </c>
      <c r="H336" s="16">
        <v>45838</v>
      </c>
      <c r="I336" s="115"/>
      <c r="J336" s="115"/>
      <c r="K336" s="115"/>
      <c r="L336" s="115"/>
      <c r="M336" s="115"/>
      <c r="N336" s="115"/>
      <c r="O336" s="115"/>
      <c r="P336" s="115">
        <v>45770</v>
      </c>
      <c r="Q336" s="16" t="s">
        <v>860</v>
      </c>
      <c r="R336" s="115"/>
      <c r="S336" s="115">
        <v>45775</v>
      </c>
      <c r="T336" s="7" t="s">
        <v>20</v>
      </c>
      <c r="U336" s="2" t="s">
        <v>1582</v>
      </c>
      <c r="V336" s="16">
        <v>45762</v>
      </c>
      <c r="W336" s="16">
        <v>45766</v>
      </c>
      <c r="X336" s="4"/>
      <c r="Y336" s="100"/>
      <c r="Z336" s="30" t="s">
        <v>1442</v>
      </c>
      <c r="AA336" s="8">
        <v>45828</v>
      </c>
      <c r="AB336" s="10"/>
      <c r="AC336" s="22">
        <v>19470</v>
      </c>
      <c r="AD336" s="21"/>
      <c r="AE336" s="21"/>
      <c r="AF336" s="21"/>
      <c r="AG336" s="45"/>
      <c r="AH336" s="23">
        <v>19470</v>
      </c>
    </row>
    <row r="337" spans="1:35" s="9" customFormat="1" ht="122.25" customHeight="1">
      <c r="A337" s="9">
        <f t="shared" ca="1" si="6"/>
        <v>422</v>
      </c>
      <c r="B337" s="31">
        <v>45677</v>
      </c>
      <c r="C337" s="11" t="s">
        <v>27</v>
      </c>
      <c r="D337" s="2" t="s">
        <v>828</v>
      </c>
      <c r="E337" s="11" t="s">
        <v>829</v>
      </c>
      <c r="F337" s="30" t="s">
        <v>1933</v>
      </c>
      <c r="G337" s="30" t="s">
        <v>1475</v>
      </c>
      <c r="H337" s="16">
        <v>45772</v>
      </c>
      <c r="I337" s="115"/>
      <c r="J337" s="115"/>
      <c r="K337" s="115"/>
      <c r="L337" s="115"/>
      <c r="M337" s="115"/>
      <c r="N337" s="115"/>
      <c r="O337" s="115"/>
      <c r="P337" s="115">
        <v>45772</v>
      </c>
      <c r="Q337" s="6"/>
      <c r="R337" s="115"/>
      <c r="S337" s="115">
        <v>45786</v>
      </c>
      <c r="T337" s="7" t="s">
        <v>22</v>
      </c>
      <c r="U337" s="6" t="s">
        <v>1448</v>
      </c>
      <c r="V337" s="16">
        <v>45760</v>
      </c>
      <c r="W337" s="16">
        <v>45772</v>
      </c>
      <c r="X337" s="24" t="s">
        <v>2087</v>
      </c>
      <c r="Y337" s="100"/>
      <c r="Z337" s="30" t="s">
        <v>54</v>
      </c>
      <c r="AA337" s="8">
        <v>45817</v>
      </c>
      <c r="AB337" s="10"/>
      <c r="AC337" s="10"/>
      <c r="AD337" s="21"/>
      <c r="AE337" s="22">
        <v>493185.32</v>
      </c>
      <c r="AF337" s="21"/>
      <c r="AG337" s="45"/>
      <c r="AH337" s="23">
        <v>493185.32</v>
      </c>
    </row>
    <row r="338" spans="1:35" s="9" customFormat="1" ht="122.25" customHeight="1">
      <c r="A338" s="9">
        <f t="shared" ca="1" si="6"/>
        <v>422</v>
      </c>
      <c r="B338" s="31">
        <v>45726</v>
      </c>
      <c r="C338" s="2" t="s">
        <v>27</v>
      </c>
      <c r="D338" s="2" t="s">
        <v>1195</v>
      </c>
      <c r="E338" s="11" t="s">
        <v>1194</v>
      </c>
      <c r="F338" s="30" t="s">
        <v>1196</v>
      </c>
      <c r="G338" s="125" t="s">
        <v>1628</v>
      </c>
      <c r="H338" s="16">
        <v>45772</v>
      </c>
      <c r="I338" s="115"/>
      <c r="J338" s="115"/>
      <c r="K338" s="115"/>
      <c r="L338" s="115"/>
      <c r="M338" s="115"/>
      <c r="N338" s="115"/>
      <c r="O338" s="115"/>
      <c r="P338" s="115">
        <v>45796</v>
      </c>
      <c r="Q338" s="16" t="s">
        <v>860</v>
      </c>
      <c r="R338" s="115">
        <v>45803</v>
      </c>
      <c r="S338" s="115">
        <v>45803</v>
      </c>
      <c r="T338" s="7" t="s">
        <v>22</v>
      </c>
      <c r="U338" s="4" t="s">
        <v>1621</v>
      </c>
      <c r="V338" s="16">
        <v>45780</v>
      </c>
      <c r="W338" s="16">
        <v>45790</v>
      </c>
      <c r="X338" s="24" t="s">
        <v>2048</v>
      </c>
      <c r="Y338" s="100"/>
      <c r="Z338" s="30" t="s">
        <v>29</v>
      </c>
      <c r="AA338" s="8">
        <v>45837</v>
      </c>
      <c r="AB338" s="10"/>
      <c r="AC338" s="10"/>
      <c r="AD338" s="21"/>
      <c r="AE338" s="29">
        <v>320000</v>
      </c>
      <c r="AF338" s="21"/>
      <c r="AG338" s="45"/>
      <c r="AH338" s="23">
        <v>320000</v>
      </c>
    </row>
    <row r="339" spans="1:35" s="150" customFormat="1" ht="122.25" customHeight="1">
      <c r="A339" s="9">
        <f t="shared" ca="1" si="6"/>
        <v>423</v>
      </c>
      <c r="B339" s="147">
        <v>45719</v>
      </c>
      <c r="C339" s="34" t="s">
        <v>27</v>
      </c>
      <c r="D339" s="34" t="s">
        <v>1141</v>
      </c>
      <c r="E339" s="148" t="s">
        <v>1142</v>
      </c>
      <c r="F339" s="125" t="s">
        <v>825</v>
      </c>
      <c r="G339" s="125" t="s">
        <v>1376</v>
      </c>
      <c r="H339" s="6">
        <v>45771</v>
      </c>
      <c r="I339" s="115"/>
      <c r="J339" s="115"/>
      <c r="K339" s="115"/>
      <c r="L339" s="115"/>
      <c r="M339" s="115">
        <v>45761</v>
      </c>
      <c r="N339" s="115"/>
      <c r="O339" s="115"/>
      <c r="P339" s="115">
        <v>45789</v>
      </c>
      <c r="Q339" s="16" t="s">
        <v>860</v>
      </c>
      <c r="R339" s="115"/>
      <c r="S339" s="115">
        <v>45831</v>
      </c>
      <c r="T339" s="124" t="s">
        <v>20</v>
      </c>
      <c r="U339" s="213" t="s">
        <v>1795</v>
      </c>
      <c r="V339" s="212" t="s">
        <v>1794</v>
      </c>
      <c r="W339" s="212" t="s">
        <v>2105</v>
      </c>
      <c r="X339" s="149"/>
      <c r="Y339" s="125"/>
      <c r="Z339" s="125" t="s">
        <v>1143</v>
      </c>
      <c r="AA339" s="8">
        <v>45860</v>
      </c>
      <c r="AB339" s="10"/>
      <c r="AC339" s="22">
        <v>2394.6</v>
      </c>
      <c r="AD339" s="21"/>
      <c r="AE339" s="21"/>
      <c r="AF339" s="21"/>
      <c r="AG339" s="45"/>
      <c r="AH339" s="23">
        <v>2394.6</v>
      </c>
    </row>
    <row r="340" spans="1:35" s="9" customFormat="1" ht="122.25" customHeight="1">
      <c r="A340" s="9">
        <f t="shared" ca="1" si="6"/>
        <v>423</v>
      </c>
      <c r="B340" s="31">
        <v>45733</v>
      </c>
      <c r="C340" s="2" t="s">
        <v>27</v>
      </c>
      <c r="D340" s="2" t="s">
        <v>1284</v>
      </c>
      <c r="E340" s="11" t="s">
        <v>1142</v>
      </c>
      <c r="F340" s="30" t="s">
        <v>825</v>
      </c>
      <c r="G340" s="30" t="s">
        <v>1285</v>
      </c>
      <c r="H340" s="16">
        <v>45771</v>
      </c>
      <c r="I340" s="115"/>
      <c r="J340" s="115"/>
      <c r="K340" s="115"/>
      <c r="L340" s="115"/>
      <c r="M340" s="115">
        <v>45750</v>
      </c>
      <c r="N340" s="115"/>
      <c r="O340" s="115"/>
      <c r="P340" s="115">
        <v>45796</v>
      </c>
      <c r="Q340" s="16" t="s">
        <v>860</v>
      </c>
      <c r="R340" s="115" t="s">
        <v>1971</v>
      </c>
      <c r="S340" s="115">
        <v>45808</v>
      </c>
      <c r="T340" s="7" t="s">
        <v>20</v>
      </c>
      <c r="U340" s="2" t="s">
        <v>1610</v>
      </c>
      <c r="V340" s="16">
        <v>45780</v>
      </c>
      <c r="W340" s="16">
        <v>45790</v>
      </c>
      <c r="X340" s="24" t="s">
        <v>2174</v>
      </c>
      <c r="Y340" s="100"/>
      <c r="Z340" s="30" t="s">
        <v>1286</v>
      </c>
      <c r="AA340" s="8">
        <v>45866</v>
      </c>
      <c r="AB340" s="10"/>
      <c r="AC340" s="22">
        <v>2595.6</v>
      </c>
      <c r="AD340" s="21"/>
      <c r="AE340" s="21"/>
      <c r="AF340" s="21"/>
      <c r="AG340" s="45"/>
      <c r="AH340" s="23">
        <v>2595.6</v>
      </c>
    </row>
    <row r="341" spans="1:35" s="9" customFormat="1" ht="18.75" customHeight="1" thickBot="1">
      <c r="A341" s="9">
        <v>66</v>
      </c>
      <c r="B341" s="31">
        <v>45638</v>
      </c>
      <c r="C341" s="11" t="s">
        <v>27</v>
      </c>
      <c r="D341" s="2" t="s">
        <v>569</v>
      </c>
      <c r="E341" s="11" t="s">
        <v>570</v>
      </c>
      <c r="F341" s="30" t="s">
        <v>1933</v>
      </c>
      <c r="G341" s="30" t="s">
        <v>1371</v>
      </c>
      <c r="H341" s="16">
        <v>45748</v>
      </c>
      <c r="I341" s="115"/>
      <c r="J341" s="115"/>
      <c r="K341" s="115"/>
      <c r="L341" s="115"/>
      <c r="M341" s="115"/>
      <c r="N341" s="115"/>
      <c r="O341" s="115"/>
      <c r="P341" s="115">
        <v>45806</v>
      </c>
      <c r="Q341" s="6" t="s">
        <v>860</v>
      </c>
      <c r="R341" s="115">
        <v>45818</v>
      </c>
      <c r="S341" s="115">
        <v>45821</v>
      </c>
      <c r="T341" s="7" t="s">
        <v>22</v>
      </c>
      <c r="U341" s="233" t="s">
        <v>1843</v>
      </c>
      <c r="V341" s="16">
        <v>45806</v>
      </c>
      <c r="W341" s="203">
        <v>45812</v>
      </c>
      <c r="X341" s="227" t="s">
        <v>2013</v>
      </c>
      <c r="Y341" s="100"/>
      <c r="Z341" s="30" t="s">
        <v>571</v>
      </c>
      <c r="AA341" s="8">
        <v>45861</v>
      </c>
      <c r="AB341" s="10"/>
      <c r="AC341" s="10"/>
      <c r="AD341" s="21"/>
      <c r="AE341" s="22">
        <v>1088466.56</v>
      </c>
      <c r="AF341" s="21"/>
      <c r="AG341" s="45"/>
      <c r="AH341" s="10">
        <v>1088466.56</v>
      </c>
      <c r="AI341" s="9" t="s">
        <v>2200</v>
      </c>
    </row>
    <row r="342" spans="1:35" s="9" customFormat="1" ht="225">
      <c r="A342" s="9">
        <v>82</v>
      </c>
      <c r="B342" s="31">
        <v>45708</v>
      </c>
      <c r="C342" s="2" t="s">
        <v>27</v>
      </c>
      <c r="D342" s="34" t="s">
        <v>1095</v>
      </c>
      <c r="E342" s="11" t="s">
        <v>1096</v>
      </c>
      <c r="F342" s="30" t="s">
        <v>1933</v>
      </c>
      <c r="G342" s="30" t="s">
        <v>1976</v>
      </c>
      <c r="H342" s="16">
        <v>45768</v>
      </c>
      <c r="I342" s="115"/>
      <c r="J342" s="115"/>
      <c r="K342" s="115"/>
      <c r="L342" s="219" t="s">
        <v>1931</v>
      </c>
      <c r="M342" s="115"/>
      <c r="N342" s="115"/>
      <c r="O342" s="115"/>
      <c r="P342" s="115">
        <v>45806</v>
      </c>
      <c r="Q342" s="16"/>
      <c r="R342" s="115"/>
      <c r="S342" s="115">
        <v>45799</v>
      </c>
      <c r="T342" s="7" t="s">
        <v>22</v>
      </c>
      <c r="U342" s="2" t="s">
        <v>1842</v>
      </c>
      <c r="V342" s="16">
        <v>45785</v>
      </c>
      <c r="W342" s="16">
        <v>45794</v>
      </c>
      <c r="X342" s="24" t="s">
        <v>2201</v>
      </c>
      <c r="Z342" s="30" t="s">
        <v>33</v>
      </c>
      <c r="AA342" s="8">
        <v>45853</v>
      </c>
      <c r="AB342" s="10"/>
      <c r="AC342" s="10"/>
      <c r="AD342" s="21"/>
      <c r="AE342" s="22">
        <v>1248939.18</v>
      </c>
      <c r="AF342" s="21"/>
      <c r="AG342" s="45"/>
      <c r="AH342" s="23">
        <v>1248939.18</v>
      </c>
      <c r="AI342" s="9" t="s">
        <v>2248</v>
      </c>
    </row>
    <row r="343" spans="1:35" s="9" customFormat="1" ht="122.25" customHeight="1">
      <c r="A343" s="9">
        <v>11</v>
      </c>
      <c r="B343" s="31">
        <v>45726</v>
      </c>
      <c r="C343" s="2" t="s">
        <v>27</v>
      </c>
      <c r="D343" s="2" t="s">
        <v>1401</v>
      </c>
      <c r="E343" s="11" t="s">
        <v>1402</v>
      </c>
      <c r="F343" s="30" t="s">
        <v>1933</v>
      </c>
      <c r="G343" s="30" t="s">
        <v>1855</v>
      </c>
      <c r="H343" s="16">
        <v>45839</v>
      </c>
      <c r="I343" s="115"/>
      <c r="J343" s="115"/>
      <c r="K343" s="115"/>
      <c r="L343" s="115"/>
      <c r="M343" s="115"/>
      <c r="N343" s="115"/>
      <c r="O343" s="115"/>
      <c r="P343" s="115">
        <v>45799</v>
      </c>
      <c r="Q343" s="16"/>
      <c r="R343" s="115"/>
      <c r="S343" s="115">
        <v>45799</v>
      </c>
      <c r="T343" s="7" t="s">
        <v>22</v>
      </c>
      <c r="U343" s="2" t="s">
        <v>1842</v>
      </c>
      <c r="V343" s="16">
        <v>45785</v>
      </c>
      <c r="W343" s="16">
        <v>45794</v>
      </c>
      <c r="X343" s="4" t="s">
        <v>2202</v>
      </c>
      <c r="Y343" s="100"/>
      <c r="Z343" s="30" t="s">
        <v>54</v>
      </c>
      <c r="AA343" s="8">
        <v>45853</v>
      </c>
      <c r="AB343" s="10"/>
      <c r="AC343" s="10"/>
      <c r="AD343" s="21"/>
      <c r="AE343" s="105">
        <v>600662.76</v>
      </c>
      <c r="AF343" s="21"/>
      <c r="AG343" s="45"/>
      <c r="AH343" s="61">
        <v>600662.76</v>
      </c>
      <c r="AI343" s="9" t="s">
        <v>2200</v>
      </c>
    </row>
    <row r="344" spans="1:35" s="9" customFormat="1" ht="122.25" customHeight="1">
      <c r="A344" s="9">
        <v>11</v>
      </c>
      <c r="B344" s="31">
        <v>45726</v>
      </c>
      <c r="C344" s="2" t="s">
        <v>27</v>
      </c>
      <c r="D344" s="2" t="s">
        <v>1401</v>
      </c>
      <c r="E344" s="11" t="s">
        <v>1402</v>
      </c>
      <c r="F344" s="30" t="s">
        <v>1933</v>
      </c>
      <c r="G344" s="30" t="s">
        <v>1856</v>
      </c>
      <c r="H344" s="16">
        <v>45839</v>
      </c>
      <c r="I344" s="115"/>
      <c r="J344" s="115"/>
      <c r="K344" s="115"/>
      <c r="L344" s="115"/>
      <c r="M344" s="115" t="s">
        <v>1852</v>
      </c>
      <c r="N344" s="115"/>
      <c r="O344" s="115"/>
      <c r="P344" s="115"/>
      <c r="Q344" s="16"/>
      <c r="R344" s="115">
        <v>45818</v>
      </c>
      <c r="S344" s="115">
        <v>45821</v>
      </c>
      <c r="T344" s="7" t="s">
        <v>22</v>
      </c>
      <c r="U344" s="233" t="s">
        <v>1843</v>
      </c>
      <c r="V344" s="16">
        <v>45806</v>
      </c>
      <c r="W344" s="16">
        <v>45812</v>
      </c>
      <c r="X344" s="4"/>
      <c r="Y344" s="100"/>
      <c r="Z344" s="30" t="s">
        <v>54</v>
      </c>
      <c r="AA344" s="8">
        <v>45860</v>
      </c>
      <c r="AB344" s="10"/>
      <c r="AC344" s="10"/>
      <c r="AD344" s="21"/>
      <c r="AE344" s="105">
        <v>146850.4</v>
      </c>
      <c r="AF344" s="21"/>
      <c r="AG344" s="45"/>
      <c r="AH344" s="23">
        <v>146850.4</v>
      </c>
      <c r="AI344" s="9" t="s">
        <v>2200</v>
      </c>
    </row>
    <row r="345" spans="1:35" s="9" customFormat="1" ht="122.25" customHeight="1">
      <c r="A345" s="9">
        <f t="shared" ref="A345:A356" ca="1" si="7">TODAY()-H345+1</f>
        <v>477</v>
      </c>
      <c r="B345" s="31">
        <v>45614</v>
      </c>
      <c r="C345" s="11" t="s">
        <v>27</v>
      </c>
      <c r="D345" s="2" t="s">
        <v>496</v>
      </c>
      <c r="E345" s="11" t="s">
        <v>497</v>
      </c>
      <c r="F345" s="30" t="s">
        <v>1933</v>
      </c>
      <c r="G345" s="30" t="s">
        <v>1783</v>
      </c>
      <c r="H345" s="16">
        <v>45717</v>
      </c>
      <c r="I345" s="115"/>
      <c r="J345" s="115"/>
      <c r="K345" s="115"/>
      <c r="L345" s="115"/>
      <c r="M345" s="115"/>
      <c r="N345" s="115"/>
      <c r="O345" s="115"/>
      <c r="P345" s="115">
        <v>45806</v>
      </c>
      <c r="Q345" s="6"/>
      <c r="R345" s="115">
        <v>45818</v>
      </c>
      <c r="S345" s="115">
        <v>45821</v>
      </c>
      <c r="T345" s="7" t="s">
        <v>22</v>
      </c>
      <c r="U345" s="233" t="s">
        <v>1843</v>
      </c>
      <c r="V345" s="16">
        <v>45806</v>
      </c>
      <c r="W345" s="16">
        <v>45812</v>
      </c>
      <c r="X345" s="208" t="s">
        <v>2060</v>
      </c>
      <c r="Z345" s="30" t="s">
        <v>54</v>
      </c>
      <c r="AA345" s="8">
        <v>45130</v>
      </c>
      <c r="AB345" s="10"/>
      <c r="AC345" s="10"/>
      <c r="AD345" s="10"/>
      <c r="AE345" s="22" t="s">
        <v>2457</v>
      </c>
      <c r="AF345" s="21"/>
      <c r="AG345" s="45"/>
      <c r="AH345" s="10" t="s">
        <v>2457</v>
      </c>
    </row>
    <row r="346" spans="1:35" s="9" customFormat="1" ht="122.25" customHeight="1">
      <c r="A346" s="150">
        <f t="shared" ca="1" si="7"/>
        <v>422</v>
      </c>
      <c r="B346" s="31">
        <v>45677</v>
      </c>
      <c r="C346" s="11" t="s">
        <v>27</v>
      </c>
      <c r="D346" s="2" t="s">
        <v>830</v>
      </c>
      <c r="E346" s="11" t="s">
        <v>831</v>
      </c>
      <c r="F346" s="30" t="s">
        <v>1933</v>
      </c>
      <c r="G346" s="30" t="s">
        <v>1850</v>
      </c>
      <c r="H346" s="16">
        <v>45772</v>
      </c>
      <c r="I346" s="115"/>
      <c r="J346" s="115"/>
      <c r="K346" s="115"/>
      <c r="L346" s="115"/>
      <c r="M346" s="115" t="s">
        <v>1852</v>
      </c>
      <c r="N346" s="115"/>
      <c r="O346" s="115"/>
      <c r="P346" s="115">
        <v>45806</v>
      </c>
      <c r="Q346" s="6"/>
      <c r="R346" s="115">
        <v>45818</v>
      </c>
      <c r="S346" s="115">
        <v>45821</v>
      </c>
      <c r="T346" s="7" t="s">
        <v>22</v>
      </c>
      <c r="U346" s="233" t="s">
        <v>1843</v>
      </c>
      <c r="V346" s="16">
        <v>45806</v>
      </c>
      <c r="W346" s="16">
        <v>45812</v>
      </c>
      <c r="X346" s="209"/>
      <c r="Y346" s="100"/>
      <c r="Z346" s="30" t="s">
        <v>54</v>
      </c>
      <c r="AA346" s="8">
        <v>45860</v>
      </c>
      <c r="AB346" s="10"/>
      <c r="AC346" s="10"/>
      <c r="AD346" s="21"/>
      <c r="AE346" s="22">
        <v>905305.12</v>
      </c>
      <c r="AF346" s="21"/>
      <c r="AG346" s="45"/>
      <c r="AH346" s="23">
        <v>905305.12</v>
      </c>
    </row>
    <row r="347" spans="1:35" s="9" customFormat="1" ht="122.25" customHeight="1">
      <c r="A347" s="9">
        <f t="shared" ca="1" si="7"/>
        <v>689</v>
      </c>
      <c r="B347" s="31">
        <v>45460</v>
      </c>
      <c r="C347" s="11" t="s">
        <v>27</v>
      </c>
      <c r="D347" s="2" t="s">
        <v>200</v>
      </c>
      <c r="E347" s="11" t="s">
        <v>201</v>
      </c>
      <c r="F347" s="30" t="s">
        <v>1933</v>
      </c>
      <c r="G347" s="30" t="s">
        <v>1366</v>
      </c>
      <c r="H347" s="16">
        <v>45505</v>
      </c>
      <c r="I347" s="115"/>
      <c r="J347" s="115"/>
      <c r="K347" s="115"/>
      <c r="L347" s="115"/>
      <c r="M347" s="115"/>
      <c r="N347" s="115"/>
      <c r="O347" s="115"/>
      <c r="P347" s="115"/>
      <c r="Q347" s="16"/>
      <c r="R347" s="115"/>
      <c r="S347" s="115">
        <v>45764</v>
      </c>
      <c r="T347" s="7" t="s">
        <v>22</v>
      </c>
      <c r="U347" s="2" t="s">
        <v>1280</v>
      </c>
      <c r="V347" s="16">
        <v>45741</v>
      </c>
      <c r="W347" s="16">
        <v>45752</v>
      </c>
      <c r="X347" s="187" t="s">
        <v>2409</v>
      </c>
      <c r="Z347" s="30" t="s">
        <v>190</v>
      </c>
      <c r="AA347" s="8">
        <v>45853</v>
      </c>
      <c r="AB347" s="10"/>
      <c r="AC347" s="69"/>
      <c r="AD347" s="10"/>
      <c r="AE347" s="22">
        <v>1392462.43</v>
      </c>
      <c r="AF347" s="21"/>
      <c r="AG347" s="45"/>
      <c r="AH347" s="10">
        <v>1392462.43</v>
      </c>
      <c r="AI347" s="9" t="s">
        <v>2200</v>
      </c>
    </row>
    <row r="348" spans="1:35" s="9" customFormat="1" ht="122.25" customHeight="1">
      <c r="A348" s="9">
        <f t="shared" ca="1" si="7"/>
        <v>385</v>
      </c>
      <c r="B348" s="31">
        <v>45708</v>
      </c>
      <c r="C348" s="2" t="s">
        <v>27</v>
      </c>
      <c r="D348" s="2" t="s">
        <v>1091</v>
      </c>
      <c r="E348" s="11" t="s">
        <v>1092</v>
      </c>
      <c r="F348" s="30" t="s">
        <v>74</v>
      </c>
      <c r="G348" s="30" t="s">
        <v>2113</v>
      </c>
      <c r="H348" s="16">
        <v>45809</v>
      </c>
      <c r="I348" s="115"/>
      <c r="J348" s="115"/>
      <c r="K348" s="115"/>
      <c r="L348" s="115"/>
      <c r="M348" s="115">
        <v>45772</v>
      </c>
      <c r="N348" s="115"/>
      <c r="O348" s="115"/>
      <c r="P348" s="115">
        <v>45819</v>
      </c>
      <c r="Q348" s="16"/>
      <c r="R348" s="115">
        <v>45869</v>
      </c>
      <c r="S348" s="6"/>
      <c r="T348" s="7" t="s">
        <v>22</v>
      </c>
      <c r="U348" s="182" t="s">
        <v>2114</v>
      </c>
      <c r="V348" s="16" t="s">
        <v>2062</v>
      </c>
      <c r="W348" s="16">
        <v>45844</v>
      </c>
      <c r="X348" s="134" t="s">
        <v>2116</v>
      </c>
      <c r="Z348" s="30" t="s">
        <v>54</v>
      </c>
      <c r="AA348" s="8">
        <v>45853</v>
      </c>
      <c r="AB348" s="10"/>
      <c r="AC348" s="10"/>
      <c r="AD348" s="21"/>
      <c r="AE348" s="22">
        <v>437046.68</v>
      </c>
      <c r="AF348" s="21"/>
      <c r="AG348" s="45"/>
      <c r="AH348" s="23">
        <v>437064.68</v>
      </c>
    </row>
    <row r="349" spans="1:35" s="9" customFormat="1" ht="122.25" customHeight="1">
      <c r="A349" s="9">
        <f t="shared" ca="1" si="7"/>
        <v>293</v>
      </c>
      <c r="B349" s="31">
        <v>45790</v>
      </c>
      <c r="C349" s="2" t="s">
        <v>694</v>
      </c>
      <c r="D349" s="2" t="s">
        <v>1948</v>
      </c>
      <c r="E349" s="11" t="s">
        <v>1949</v>
      </c>
      <c r="F349" s="30" t="s">
        <v>1950</v>
      </c>
      <c r="G349" s="30" t="s">
        <v>2634</v>
      </c>
      <c r="H349" s="16">
        <v>45901</v>
      </c>
      <c r="I349" s="115">
        <v>45797</v>
      </c>
      <c r="J349" s="115">
        <v>45798</v>
      </c>
      <c r="K349" s="115">
        <v>45799</v>
      </c>
      <c r="L349" s="115">
        <v>45822</v>
      </c>
      <c r="M349" s="115"/>
      <c r="N349" s="115"/>
      <c r="O349" s="115"/>
      <c r="P349" s="115"/>
      <c r="Q349" s="115">
        <v>45876</v>
      </c>
      <c r="R349" s="115"/>
      <c r="S349" s="115"/>
      <c r="T349" s="7" t="s">
        <v>22</v>
      </c>
      <c r="U349" s="7" t="s">
        <v>2606</v>
      </c>
      <c r="V349" s="16">
        <v>45852</v>
      </c>
      <c r="W349" s="16">
        <v>45886</v>
      </c>
      <c r="X349" s="24" t="s">
        <v>2608</v>
      </c>
      <c r="Y349" s="100"/>
      <c r="Z349" s="30" t="s">
        <v>2607</v>
      </c>
      <c r="AA349" s="8"/>
      <c r="AB349" s="10">
        <v>31832.639999999999</v>
      </c>
      <c r="AC349" s="10"/>
      <c r="AD349" s="21"/>
      <c r="AE349" s="10"/>
      <c r="AF349" s="21"/>
      <c r="AG349" s="45"/>
      <c r="AH349" s="10">
        <v>31832.639999999999</v>
      </c>
      <c r="AI349" s="10"/>
    </row>
    <row r="350" spans="1:35" s="9" customFormat="1" ht="122.25" customHeight="1">
      <c r="A350" s="9">
        <f t="shared" ca="1" si="7"/>
        <v>324</v>
      </c>
      <c r="B350" s="31">
        <v>45803</v>
      </c>
      <c r="C350" s="2" t="s">
        <v>694</v>
      </c>
      <c r="D350" s="2" t="s">
        <v>1963</v>
      </c>
      <c r="E350" s="11" t="s">
        <v>1964</v>
      </c>
      <c r="F350" s="30" t="s">
        <v>71</v>
      </c>
      <c r="G350" s="30" t="s">
        <v>2635</v>
      </c>
      <c r="H350" s="16">
        <v>45870</v>
      </c>
      <c r="I350" s="115">
        <v>45803</v>
      </c>
      <c r="J350" s="115">
        <v>45803</v>
      </c>
      <c r="K350" s="115">
        <v>45804</v>
      </c>
      <c r="L350" s="115"/>
      <c r="M350" s="115">
        <v>45818</v>
      </c>
      <c r="N350" s="115"/>
      <c r="O350" s="115"/>
      <c r="P350" s="115"/>
      <c r="Q350" s="115">
        <v>45848</v>
      </c>
      <c r="R350" s="115"/>
      <c r="S350" s="115"/>
      <c r="T350" s="7" t="s">
        <v>22</v>
      </c>
      <c r="U350" s="7" t="s">
        <v>2609</v>
      </c>
      <c r="V350" s="16">
        <v>45836</v>
      </c>
      <c r="W350" s="16">
        <v>45880</v>
      </c>
      <c r="X350" s="4" t="s">
        <v>2610</v>
      </c>
      <c r="Y350" s="100"/>
      <c r="Z350" s="30" t="s">
        <v>46</v>
      </c>
      <c r="AA350" s="8">
        <v>45856</v>
      </c>
      <c r="AB350" s="22">
        <v>33769.94</v>
      </c>
      <c r="AC350" s="10"/>
      <c r="AD350" s="21"/>
      <c r="AE350" s="21"/>
      <c r="AF350" s="21"/>
      <c r="AG350" s="45"/>
      <c r="AH350" s="10">
        <v>33769.94</v>
      </c>
    </row>
    <row r="351" spans="1:35" s="9" customFormat="1" ht="122.25" customHeight="1">
      <c r="A351" s="9">
        <f t="shared" ca="1" si="7"/>
        <v>355</v>
      </c>
      <c r="B351" s="31">
        <v>45783</v>
      </c>
      <c r="C351" s="2" t="s">
        <v>694</v>
      </c>
      <c r="D351" s="2" t="s">
        <v>1762</v>
      </c>
      <c r="E351" s="11" t="s">
        <v>1763</v>
      </c>
      <c r="F351" s="30" t="s">
        <v>44</v>
      </c>
      <c r="G351" s="30" t="s">
        <v>2529</v>
      </c>
      <c r="H351" s="16">
        <v>45839</v>
      </c>
      <c r="I351" s="115"/>
      <c r="J351" s="115"/>
      <c r="K351" s="115"/>
      <c r="L351" s="115"/>
      <c r="M351" s="115"/>
      <c r="N351" s="115"/>
      <c r="O351" s="115"/>
      <c r="P351" s="115"/>
      <c r="Q351" s="115" t="s">
        <v>2531</v>
      </c>
      <c r="R351" s="115"/>
      <c r="S351" s="115"/>
      <c r="T351" s="7" t="s">
        <v>22</v>
      </c>
      <c r="U351" s="2" t="s">
        <v>2615</v>
      </c>
      <c r="V351" s="16">
        <v>45840</v>
      </c>
      <c r="W351" s="16">
        <v>45894</v>
      </c>
      <c r="X351" s="4" t="s">
        <v>2614</v>
      </c>
      <c r="Y351" s="100"/>
      <c r="Z351" s="30" t="s">
        <v>54</v>
      </c>
      <c r="AA351" s="8">
        <v>45884</v>
      </c>
      <c r="AB351" s="10"/>
      <c r="AC351" s="22">
        <v>63335.17</v>
      </c>
      <c r="AD351" s="21"/>
      <c r="AE351" s="21"/>
      <c r="AF351" s="21"/>
      <c r="AG351" s="45"/>
      <c r="AH351" s="10">
        <v>63335.17</v>
      </c>
    </row>
    <row r="352" spans="1:35" s="9" customFormat="1" ht="122.25" customHeight="1">
      <c r="A352" s="9">
        <f t="shared" ca="1" si="7"/>
        <v>313</v>
      </c>
      <c r="B352" s="31">
        <v>45813</v>
      </c>
      <c r="C352" s="2" t="s">
        <v>24</v>
      </c>
      <c r="D352" s="2" t="s">
        <v>2025</v>
      </c>
      <c r="E352" s="11" t="s">
        <v>2026</v>
      </c>
      <c r="F352" s="30" t="s">
        <v>521</v>
      </c>
      <c r="G352" s="30" t="s">
        <v>2707</v>
      </c>
      <c r="H352" s="16">
        <v>45881</v>
      </c>
      <c r="I352" s="115">
        <v>45814</v>
      </c>
      <c r="J352" s="115">
        <v>45814</v>
      </c>
      <c r="K352" s="115">
        <v>45814</v>
      </c>
      <c r="L352" s="115"/>
      <c r="M352" s="115"/>
      <c r="N352" s="115"/>
      <c r="O352" s="115"/>
      <c r="P352" s="115">
        <v>45859</v>
      </c>
      <c r="Q352" s="115">
        <v>45859</v>
      </c>
      <c r="R352" s="115"/>
      <c r="S352" s="115"/>
      <c r="T352" s="7" t="s">
        <v>22</v>
      </c>
      <c r="U352" s="11" t="s">
        <v>2443</v>
      </c>
      <c r="V352" s="16">
        <v>45851</v>
      </c>
      <c r="W352" s="16">
        <v>45881</v>
      </c>
      <c r="X352" s="4" t="s">
        <v>2596</v>
      </c>
      <c r="Y352" s="100"/>
      <c r="Z352" s="30" t="s">
        <v>2027</v>
      </c>
      <c r="AA352" s="8">
        <v>45883</v>
      </c>
      <c r="AC352" s="22">
        <v>30187.5</v>
      </c>
      <c r="AD352" s="21"/>
      <c r="AE352" s="21"/>
      <c r="AF352" s="21"/>
      <c r="AG352" s="45"/>
      <c r="AH352" s="118">
        <v>30187.5</v>
      </c>
    </row>
    <row r="353" spans="1:35" s="9" customFormat="1" ht="122.25" customHeight="1">
      <c r="A353" s="9">
        <f t="shared" ca="1" si="7"/>
        <v>324</v>
      </c>
      <c r="B353" s="31">
        <v>45818</v>
      </c>
      <c r="C353" s="2" t="s">
        <v>694</v>
      </c>
      <c r="D353" s="2" t="s">
        <v>2044</v>
      </c>
      <c r="E353" s="11" t="s">
        <v>2045</v>
      </c>
      <c r="F353" s="30" t="s">
        <v>1722</v>
      </c>
      <c r="G353" s="30" t="s">
        <v>2046</v>
      </c>
      <c r="H353" s="16">
        <v>45870</v>
      </c>
      <c r="I353" s="115">
        <v>45817</v>
      </c>
      <c r="J353" s="115">
        <v>45817</v>
      </c>
      <c r="K353" s="115">
        <v>45817</v>
      </c>
      <c r="L353" s="115"/>
      <c r="M353" s="115"/>
      <c r="N353" s="115"/>
      <c r="O353" s="115"/>
      <c r="P353" s="115"/>
      <c r="Q353" s="115">
        <v>45902</v>
      </c>
      <c r="R353" s="115"/>
      <c r="S353" s="115"/>
      <c r="T353" s="7" t="s">
        <v>22</v>
      </c>
      <c r="U353" s="7" t="s">
        <v>2809</v>
      </c>
      <c r="V353" s="16">
        <v>45881</v>
      </c>
      <c r="W353" s="16">
        <v>45889</v>
      </c>
      <c r="X353" s="4"/>
      <c r="Y353" s="100"/>
      <c r="Z353" s="30" t="s">
        <v>2047</v>
      </c>
      <c r="AA353" s="8">
        <v>45908</v>
      </c>
      <c r="AB353" s="10"/>
      <c r="AC353" s="10"/>
      <c r="AD353" s="21"/>
      <c r="AE353" s="29">
        <v>144561</v>
      </c>
      <c r="AF353" s="21"/>
      <c r="AG353" s="45"/>
      <c r="AH353" s="118">
        <v>144561</v>
      </c>
    </row>
    <row r="354" spans="1:35" s="9" customFormat="1" ht="122.25" customHeight="1">
      <c r="A354" s="9">
        <f t="shared" ca="1" si="7"/>
        <v>505</v>
      </c>
      <c r="B354" s="31">
        <v>45579</v>
      </c>
      <c r="C354" s="11" t="s">
        <v>27</v>
      </c>
      <c r="D354" s="2" t="s">
        <v>352</v>
      </c>
      <c r="E354" s="11" t="s">
        <v>353</v>
      </c>
      <c r="F354" s="30" t="s">
        <v>1933</v>
      </c>
      <c r="G354" s="30" t="s">
        <v>1841</v>
      </c>
      <c r="H354" s="16">
        <v>45689</v>
      </c>
      <c r="I354" s="115"/>
      <c r="J354" s="115"/>
      <c r="K354" s="115"/>
      <c r="L354" s="115"/>
      <c r="M354" s="115"/>
      <c r="N354" s="115"/>
      <c r="O354" s="115"/>
      <c r="P354" s="115">
        <v>45775</v>
      </c>
      <c r="Q354" s="6"/>
      <c r="R354" s="115"/>
      <c r="S354" s="115">
        <v>45786</v>
      </c>
      <c r="T354" s="7" t="s">
        <v>22</v>
      </c>
      <c r="U354" s="16" t="s">
        <v>1448</v>
      </c>
      <c r="V354" s="79">
        <v>45759</v>
      </c>
      <c r="W354" s="81">
        <v>45772</v>
      </c>
      <c r="X354" s="24"/>
      <c r="Z354" s="30" t="s">
        <v>33</v>
      </c>
      <c r="AA354" s="8">
        <v>45817</v>
      </c>
      <c r="AB354" s="10"/>
      <c r="AC354" s="10"/>
      <c r="AD354" s="10"/>
      <c r="AE354" s="22">
        <v>493185.2</v>
      </c>
      <c r="AF354" s="21"/>
      <c r="AG354" s="45"/>
      <c r="AH354" s="23">
        <v>493185.2</v>
      </c>
    </row>
    <row r="355" spans="1:35" s="9" customFormat="1" ht="122.25" customHeight="1">
      <c r="A355" s="9">
        <f t="shared" ca="1" si="7"/>
        <v>416</v>
      </c>
      <c r="B355" s="31">
        <v>45677</v>
      </c>
      <c r="C355" s="11" t="s">
        <v>27</v>
      </c>
      <c r="D355" s="2" t="s">
        <v>832</v>
      </c>
      <c r="E355" s="11" t="s">
        <v>833</v>
      </c>
      <c r="F355" s="30" t="s">
        <v>74</v>
      </c>
      <c r="G355" s="30" t="s">
        <v>1279</v>
      </c>
      <c r="H355" s="16">
        <v>45778</v>
      </c>
      <c r="I355" s="115"/>
      <c r="J355" s="115"/>
      <c r="K355" s="115"/>
      <c r="L355" s="115"/>
      <c r="M355" s="115"/>
      <c r="N355" s="115"/>
      <c r="O355" s="115"/>
      <c r="P355" s="115"/>
      <c r="Q355" s="6" t="s">
        <v>860</v>
      </c>
      <c r="R355" s="115"/>
      <c r="S355" s="6"/>
      <c r="T355" s="7" t="s">
        <v>22</v>
      </c>
      <c r="U355" s="16" t="s">
        <v>1428</v>
      </c>
      <c r="V355" s="16">
        <v>45741</v>
      </c>
      <c r="W355" s="16">
        <v>45760</v>
      </c>
      <c r="X355" s="17"/>
      <c r="Y355" s="100"/>
      <c r="Z355" s="30" t="s">
        <v>54</v>
      </c>
      <c r="AA355" s="8">
        <v>45799</v>
      </c>
      <c r="AB355" s="10"/>
      <c r="AC355" s="10"/>
      <c r="AD355" s="21"/>
      <c r="AE355" s="22">
        <v>906369.45</v>
      </c>
      <c r="AF355" s="21"/>
      <c r="AG355" s="45"/>
      <c r="AH355" s="23"/>
    </row>
    <row r="356" spans="1:35" s="9" customFormat="1" ht="122.25" customHeight="1">
      <c r="A356" s="9">
        <f t="shared" ca="1" si="7"/>
        <v>361</v>
      </c>
      <c r="B356" s="31">
        <v>45688</v>
      </c>
      <c r="C356" s="2" t="s">
        <v>24</v>
      </c>
      <c r="D356" s="2" t="s">
        <v>846</v>
      </c>
      <c r="E356" s="11" t="s">
        <v>847</v>
      </c>
      <c r="F356" s="30" t="s">
        <v>102</v>
      </c>
      <c r="G356" s="30" t="s">
        <v>848</v>
      </c>
      <c r="H356" s="16">
        <v>45833</v>
      </c>
      <c r="I356" s="115"/>
      <c r="J356" s="115"/>
      <c r="K356" s="115"/>
      <c r="L356" s="115"/>
      <c r="M356" s="115" t="s">
        <v>1968</v>
      </c>
      <c r="N356" s="115"/>
      <c r="O356" s="115"/>
      <c r="P356" s="115">
        <v>45825</v>
      </c>
      <c r="Q356" s="115">
        <v>45713</v>
      </c>
      <c r="R356" s="115">
        <v>45832</v>
      </c>
      <c r="S356" s="115"/>
      <c r="T356" s="7" t="s">
        <v>28</v>
      </c>
      <c r="U356" s="16" t="s">
        <v>1967</v>
      </c>
      <c r="V356" s="203">
        <v>45793</v>
      </c>
      <c r="W356" s="16">
        <v>45825</v>
      </c>
      <c r="X356" s="4"/>
      <c r="Y356" s="100"/>
      <c r="Z356" s="30" t="s">
        <v>103</v>
      </c>
      <c r="AA356" s="8">
        <v>45875</v>
      </c>
      <c r="AB356" s="10"/>
      <c r="AC356" s="10"/>
      <c r="AD356" s="22">
        <v>57048.27</v>
      </c>
      <c r="AE356" s="21"/>
      <c r="AF356" s="21"/>
      <c r="AG356" s="45"/>
      <c r="AH356" s="23">
        <v>57048.27</v>
      </c>
    </row>
    <row r="357" spans="1:35" s="9" customFormat="1" ht="122.25" customHeight="1">
      <c r="A357" s="9">
        <v>82</v>
      </c>
      <c r="B357" s="31">
        <v>45708</v>
      </c>
      <c r="C357" s="2" t="s">
        <v>27</v>
      </c>
      <c r="D357" s="2" t="s">
        <v>1095</v>
      </c>
      <c r="E357" s="11" t="s">
        <v>1096</v>
      </c>
      <c r="F357" s="30" t="s">
        <v>1933</v>
      </c>
      <c r="G357" s="30" t="s">
        <v>1853</v>
      </c>
      <c r="H357" s="16">
        <v>45768</v>
      </c>
      <c r="I357" s="115"/>
      <c r="J357" s="115"/>
      <c r="K357" s="115"/>
      <c r="L357" s="115"/>
      <c r="M357" s="115" t="s">
        <v>1854</v>
      </c>
      <c r="N357" s="115"/>
      <c r="O357" s="115"/>
      <c r="P357" s="115">
        <v>45806</v>
      </c>
      <c r="Q357" s="16"/>
      <c r="R357" s="115">
        <v>45818</v>
      </c>
      <c r="S357" s="115">
        <v>45821</v>
      </c>
      <c r="T357" s="7" t="s">
        <v>22</v>
      </c>
      <c r="U357" s="233" t="s">
        <v>1843</v>
      </c>
      <c r="V357" s="16">
        <v>45806</v>
      </c>
      <c r="W357" s="16">
        <v>45812</v>
      </c>
      <c r="X357" s="24" t="s">
        <v>2866</v>
      </c>
      <c r="Z357" s="30" t="s">
        <v>33</v>
      </c>
      <c r="AA357" s="8">
        <v>45861</v>
      </c>
      <c r="AB357" s="10"/>
      <c r="AC357" s="10"/>
      <c r="AD357" s="21"/>
      <c r="AE357" s="22">
        <v>1219287.3600000001</v>
      </c>
      <c r="AF357" s="21"/>
      <c r="AG357" s="45"/>
      <c r="AH357" s="10">
        <v>1219287.3600000001</v>
      </c>
      <c r="AI357" s="9" t="s">
        <v>2200</v>
      </c>
    </row>
    <row r="358" spans="1:35" s="150" customFormat="1" ht="122.25" customHeight="1">
      <c r="A358" s="9">
        <f t="shared" ref="A358:A364" ca="1" si="8">TODAY()-H358+1</f>
        <v>315</v>
      </c>
      <c r="B358" s="147">
        <v>45720</v>
      </c>
      <c r="C358" s="2" t="s">
        <v>24</v>
      </c>
      <c r="D358" s="2" t="s">
        <v>1217</v>
      </c>
      <c r="E358" s="148" t="s">
        <v>1218</v>
      </c>
      <c r="F358" s="125" t="s">
        <v>1219</v>
      </c>
      <c r="G358" s="125" t="s">
        <v>1220</v>
      </c>
      <c r="H358" s="6">
        <v>45879</v>
      </c>
      <c r="I358" s="115"/>
      <c r="J358" s="115"/>
      <c r="K358" s="115"/>
      <c r="L358" s="115"/>
      <c r="M358" s="115">
        <v>45797</v>
      </c>
      <c r="N358" s="115"/>
      <c r="O358" s="115"/>
      <c r="P358" s="115">
        <v>45825</v>
      </c>
      <c r="Q358" s="115">
        <v>45810</v>
      </c>
      <c r="R358" s="115"/>
      <c r="S358" s="115"/>
      <c r="T358" s="124" t="s">
        <v>20</v>
      </c>
      <c r="U358" s="2" t="s">
        <v>1800</v>
      </c>
      <c r="V358" s="6">
        <v>45797</v>
      </c>
      <c r="W358" s="6">
        <v>45822</v>
      </c>
      <c r="X358" s="149" t="s">
        <v>2251</v>
      </c>
      <c r="Y358" s="125"/>
      <c r="Z358" s="125" t="s">
        <v>1143</v>
      </c>
      <c r="AA358" s="8">
        <v>45887</v>
      </c>
      <c r="AB358" s="10"/>
      <c r="AC358" s="22">
        <v>3261.54</v>
      </c>
      <c r="AD358" s="21"/>
      <c r="AE358" s="21"/>
      <c r="AF358" s="21"/>
      <c r="AG358" s="45"/>
      <c r="AH358" s="23">
        <v>3261.54</v>
      </c>
    </row>
    <row r="359" spans="1:35" s="150" customFormat="1" ht="122.25" customHeight="1">
      <c r="A359" s="9">
        <f t="shared" ca="1" si="8"/>
        <v>505</v>
      </c>
      <c r="B359" s="147">
        <v>45579</v>
      </c>
      <c r="C359" s="148" t="s">
        <v>27</v>
      </c>
      <c r="D359" s="34" t="s">
        <v>350</v>
      </c>
      <c r="E359" s="148" t="s">
        <v>351</v>
      </c>
      <c r="F359" s="30" t="s">
        <v>1933</v>
      </c>
      <c r="G359" s="125" t="s">
        <v>2009</v>
      </c>
      <c r="H359" s="6">
        <v>45689</v>
      </c>
      <c r="I359" s="115"/>
      <c r="J359" s="115"/>
      <c r="K359" s="115"/>
      <c r="L359" s="115"/>
      <c r="M359" s="115"/>
      <c r="N359" s="115"/>
      <c r="O359" s="115"/>
      <c r="P359" s="115">
        <v>45847</v>
      </c>
      <c r="Q359" s="6"/>
      <c r="R359" s="115">
        <v>45853</v>
      </c>
      <c r="S359" s="115">
        <v>45859</v>
      </c>
      <c r="T359" s="124" t="s">
        <v>22</v>
      </c>
      <c r="U359" s="230" t="s">
        <v>2052</v>
      </c>
      <c r="V359" s="16">
        <v>45827</v>
      </c>
      <c r="W359" s="16">
        <v>45844</v>
      </c>
      <c r="X359" s="208"/>
      <c r="Z359" s="125" t="s">
        <v>33</v>
      </c>
      <c r="AA359" s="8">
        <v>45885</v>
      </c>
      <c r="AB359" s="10"/>
      <c r="AC359" s="10"/>
      <c r="AD359" s="10"/>
      <c r="AE359" s="22">
        <v>1656618.96</v>
      </c>
      <c r="AF359" s="21"/>
      <c r="AG359" s="45"/>
      <c r="AH359" s="269">
        <v>1656618.96</v>
      </c>
    </row>
    <row r="360" spans="1:35" s="9" customFormat="1" ht="122.25" customHeight="1" thickBot="1">
      <c r="A360" s="9">
        <f t="shared" ca="1" si="8"/>
        <v>477</v>
      </c>
      <c r="B360" s="31">
        <v>45614</v>
      </c>
      <c r="C360" s="11" t="s">
        <v>27</v>
      </c>
      <c r="D360" s="2" t="s">
        <v>496</v>
      </c>
      <c r="E360" s="11" t="s">
        <v>497</v>
      </c>
      <c r="F360" s="30" t="s">
        <v>1933</v>
      </c>
      <c r="G360" s="30" t="s">
        <v>2458</v>
      </c>
      <c r="H360" s="16">
        <v>45717</v>
      </c>
      <c r="I360" s="115"/>
      <c r="J360" s="115"/>
      <c r="K360" s="115"/>
      <c r="L360" s="115" t="s">
        <v>1929</v>
      </c>
      <c r="M360" s="115"/>
      <c r="N360" s="115"/>
      <c r="O360" s="115"/>
      <c r="P360" s="115">
        <v>45847</v>
      </c>
      <c r="Q360" s="6"/>
      <c r="R360" s="115">
        <v>45853</v>
      </c>
      <c r="S360" s="115">
        <v>45859</v>
      </c>
      <c r="T360" s="7" t="s">
        <v>22</v>
      </c>
      <c r="U360" s="230" t="s">
        <v>2052</v>
      </c>
      <c r="V360" s="16">
        <v>45827</v>
      </c>
      <c r="W360" s="16">
        <v>45844</v>
      </c>
      <c r="X360" s="232" t="s">
        <v>2117</v>
      </c>
      <c r="Z360" s="30" t="s">
        <v>54</v>
      </c>
      <c r="AA360" s="8">
        <v>45885</v>
      </c>
      <c r="AB360" s="10"/>
      <c r="AC360" s="10"/>
      <c r="AD360" s="10"/>
      <c r="AE360" s="22">
        <v>276103.15999999997</v>
      </c>
      <c r="AF360" s="21"/>
      <c r="AG360" s="45"/>
      <c r="AH360" s="23">
        <v>276103.15999999997</v>
      </c>
    </row>
    <row r="361" spans="1:35" s="9" customFormat="1" ht="122.25" customHeight="1">
      <c r="A361" s="9">
        <f t="shared" ca="1" si="8"/>
        <v>370</v>
      </c>
      <c r="B361" s="31">
        <v>45726</v>
      </c>
      <c r="C361" s="2" t="s">
        <v>27</v>
      </c>
      <c r="D361" s="2" t="s">
        <v>1403</v>
      </c>
      <c r="E361" s="11" t="s">
        <v>1404</v>
      </c>
      <c r="F361" s="30" t="s">
        <v>1933</v>
      </c>
      <c r="G361" s="30" t="s">
        <v>1405</v>
      </c>
      <c r="H361" s="16">
        <v>45824</v>
      </c>
      <c r="I361" s="115"/>
      <c r="J361" s="115"/>
      <c r="K361" s="115"/>
      <c r="L361" s="205"/>
      <c r="M361" s="226" t="s">
        <v>1928</v>
      </c>
      <c r="N361" s="115"/>
      <c r="O361" s="115"/>
      <c r="P361" s="115">
        <v>45847</v>
      </c>
      <c r="Q361" s="16"/>
      <c r="R361" s="115">
        <v>45853</v>
      </c>
      <c r="S361" s="115">
        <v>45861</v>
      </c>
      <c r="T361" s="7" t="s">
        <v>1406</v>
      </c>
      <c r="U361" s="230" t="s">
        <v>2052</v>
      </c>
      <c r="V361" s="16">
        <v>45827</v>
      </c>
      <c r="W361" s="16">
        <v>45844</v>
      </c>
      <c r="X361" s="4"/>
      <c r="Y361" s="100"/>
      <c r="Z361" s="30" t="s">
        <v>54</v>
      </c>
      <c r="AA361" s="8">
        <v>45885</v>
      </c>
      <c r="AB361" s="10"/>
      <c r="AC361" s="10"/>
      <c r="AD361" s="21"/>
      <c r="AE361" s="105">
        <v>2599703.7200000002</v>
      </c>
      <c r="AF361" s="21"/>
      <c r="AG361" s="45"/>
      <c r="AH361" s="23">
        <v>2599703.7200000002</v>
      </c>
    </row>
    <row r="362" spans="1:35" s="9" customFormat="1" ht="122.25" customHeight="1">
      <c r="A362" s="9">
        <f t="shared" ca="1" si="8"/>
        <v>422</v>
      </c>
      <c r="B362" s="31">
        <v>45677</v>
      </c>
      <c r="C362" s="11" t="s">
        <v>27</v>
      </c>
      <c r="D362" s="2" t="s">
        <v>830</v>
      </c>
      <c r="E362" s="11" t="s">
        <v>831</v>
      </c>
      <c r="F362" s="30" t="s">
        <v>1933</v>
      </c>
      <c r="G362" s="30" t="s">
        <v>1851</v>
      </c>
      <c r="H362" s="16">
        <v>45772</v>
      </c>
      <c r="I362" s="115"/>
      <c r="J362" s="115"/>
      <c r="K362" s="115"/>
      <c r="L362" s="115"/>
      <c r="M362" s="115"/>
      <c r="N362" s="115"/>
      <c r="O362" s="115"/>
      <c r="P362" s="115">
        <v>45847</v>
      </c>
      <c r="Q362" s="6"/>
      <c r="R362" s="115">
        <v>45853</v>
      </c>
      <c r="S362" s="6"/>
      <c r="T362" s="7" t="s">
        <v>22</v>
      </c>
      <c r="U362" s="230" t="s">
        <v>2052</v>
      </c>
      <c r="V362" s="16">
        <v>45827</v>
      </c>
      <c r="W362" s="16">
        <v>45844</v>
      </c>
      <c r="X362" s="209" t="s">
        <v>2410</v>
      </c>
      <c r="Y362" s="100"/>
      <c r="Z362" s="30" t="s">
        <v>54</v>
      </c>
      <c r="AA362" s="8">
        <v>45885</v>
      </c>
      <c r="AB362" s="10"/>
      <c r="AC362" s="10"/>
      <c r="AD362" s="21"/>
      <c r="AE362" s="22">
        <v>1857421.26</v>
      </c>
      <c r="AF362" s="21"/>
      <c r="AG362" s="45"/>
      <c r="AH362" s="23">
        <v>1857421.26</v>
      </c>
    </row>
    <row r="363" spans="1:35" s="9" customFormat="1" ht="122.25" customHeight="1">
      <c r="A363" s="9">
        <f t="shared" ca="1" si="8"/>
        <v>355</v>
      </c>
      <c r="B363" s="31">
        <v>45790</v>
      </c>
      <c r="C363" s="2" t="s">
        <v>24</v>
      </c>
      <c r="D363" s="2" t="s">
        <v>1895</v>
      </c>
      <c r="E363" s="11" t="s">
        <v>1896</v>
      </c>
      <c r="F363" s="30" t="s">
        <v>295</v>
      </c>
      <c r="G363" s="30" t="s">
        <v>1885</v>
      </c>
      <c r="H363" s="16">
        <v>45839</v>
      </c>
      <c r="I363" s="115">
        <v>45790</v>
      </c>
      <c r="J363" s="115">
        <v>45796</v>
      </c>
      <c r="K363" s="115">
        <v>45790</v>
      </c>
      <c r="L363" s="115"/>
      <c r="M363" s="115">
        <v>45822</v>
      </c>
      <c r="N363" s="115"/>
      <c r="O363" s="115"/>
      <c r="P363" s="115">
        <v>45825</v>
      </c>
      <c r="Q363" s="115">
        <v>45834</v>
      </c>
      <c r="R363" s="115"/>
      <c r="S363" s="115"/>
      <c r="T363" s="7" t="s">
        <v>22</v>
      </c>
      <c r="U363" s="16" t="s">
        <v>2032</v>
      </c>
      <c r="V363" s="16">
        <v>45824</v>
      </c>
      <c r="W363" s="16">
        <v>45850</v>
      </c>
      <c r="X363" s="4"/>
      <c r="Y363" s="100"/>
      <c r="Z363" s="30" t="s">
        <v>29</v>
      </c>
      <c r="AA363" s="8">
        <v>45886</v>
      </c>
      <c r="AB363" s="10"/>
      <c r="AC363" s="22">
        <v>112266</v>
      </c>
      <c r="AD363" s="21"/>
      <c r="AE363" s="21"/>
      <c r="AF363" s="21"/>
      <c r="AG363" s="45"/>
      <c r="AH363" s="23">
        <v>112266</v>
      </c>
    </row>
    <row r="364" spans="1:35" s="9" customFormat="1" ht="122.25" customHeight="1">
      <c r="A364" s="9">
        <f t="shared" ca="1" si="8"/>
        <v>416</v>
      </c>
      <c r="B364" s="31">
        <v>45726</v>
      </c>
      <c r="C364" s="2" t="s">
        <v>27</v>
      </c>
      <c r="D364" s="2" t="s">
        <v>1197</v>
      </c>
      <c r="E364" s="11" t="s">
        <v>1198</v>
      </c>
      <c r="F364" s="30" t="s">
        <v>1199</v>
      </c>
      <c r="G364" s="30" t="s">
        <v>90</v>
      </c>
      <c r="H364" s="16">
        <v>45778</v>
      </c>
      <c r="I364" s="115"/>
      <c r="J364" s="115"/>
      <c r="K364" s="115"/>
      <c r="L364" s="115"/>
      <c r="M364" s="115">
        <v>45796</v>
      </c>
      <c r="N364" s="231"/>
      <c r="O364" s="236"/>
      <c r="P364" s="115">
        <v>45835</v>
      </c>
      <c r="Q364" s="16" t="s">
        <v>860</v>
      </c>
      <c r="R364" s="115"/>
      <c r="S364" s="16" t="s">
        <v>2393</v>
      </c>
      <c r="T364" s="7" t="s">
        <v>22</v>
      </c>
      <c r="U364" s="31" t="s">
        <v>1988</v>
      </c>
      <c r="V364" s="16">
        <v>45830</v>
      </c>
      <c r="W364" s="16">
        <v>45839</v>
      </c>
      <c r="X364" s="24" t="s">
        <v>2554</v>
      </c>
      <c r="Y364" s="30" t="s">
        <v>1417</v>
      </c>
      <c r="Z364" s="30" t="s">
        <v>2915</v>
      </c>
      <c r="AA364" s="8"/>
      <c r="AB364" s="22">
        <v>18540</v>
      </c>
      <c r="AC364" s="10"/>
      <c r="AD364" s="21"/>
      <c r="AE364" s="21"/>
      <c r="AF364" s="21"/>
      <c r="AG364" s="45"/>
      <c r="AH364" s="237" t="s">
        <v>2247</v>
      </c>
    </row>
    <row r="365" spans="1:35" s="9" customFormat="1" ht="122.25" customHeight="1">
      <c r="A365" s="9">
        <v>99</v>
      </c>
      <c r="B365" s="31">
        <v>45667</v>
      </c>
      <c r="C365" s="11" t="s">
        <v>27</v>
      </c>
      <c r="D365" s="2" t="s">
        <v>828</v>
      </c>
      <c r="E365" s="11" t="s">
        <v>829</v>
      </c>
      <c r="F365" s="30" t="s">
        <v>1933</v>
      </c>
      <c r="G365" s="30" t="s">
        <v>2010</v>
      </c>
      <c r="H365" s="16">
        <v>45772</v>
      </c>
      <c r="I365" s="115"/>
      <c r="J365" s="115"/>
      <c r="K365" s="115"/>
      <c r="L365" s="115"/>
      <c r="M365" s="115"/>
      <c r="N365" s="115"/>
      <c r="O365" s="115"/>
      <c r="P365" s="115">
        <v>45847</v>
      </c>
      <c r="Q365" s="16"/>
      <c r="R365" s="115">
        <v>45853</v>
      </c>
      <c r="S365" s="6">
        <v>45861</v>
      </c>
      <c r="T365" s="7" t="s">
        <v>22</v>
      </c>
      <c r="U365" s="230" t="s">
        <v>2052</v>
      </c>
      <c r="V365" s="16">
        <v>45827</v>
      </c>
      <c r="W365" s="16">
        <v>45844</v>
      </c>
      <c r="X365" s="225" t="s">
        <v>2408</v>
      </c>
      <c r="Y365" s="100"/>
      <c r="Z365" s="30" t="s">
        <v>33</v>
      </c>
      <c r="AA365" s="8">
        <v>45885</v>
      </c>
      <c r="AB365" s="10"/>
      <c r="AC365" s="10"/>
      <c r="AD365" s="21"/>
      <c r="AE365" s="29">
        <v>245374.64</v>
      </c>
      <c r="AF365" s="21"/>
      <c r="AG365" s="45"/>
      <c r="AH365" s="65">
        <v>245374.64</v>
      </c>
    </row>
    <row r="366" spans="1:35" s="9" customFormat="1" ht="146.25" customHeight="1">
      <c r="A366" s="150">
        <f t="shared" ref="A366:A389" ca="1" si="9">TODAY()-H366+1</f>
        <v>385</v>
      </c>
      <c r="B366" s="31">
        <v>45708</v>
      </c>
      <c r="C366" s="2" t="s">
        <v>27</v>
      </c>
      <c r="D366" s="2" t="s">
        <v>1093</v>
      </c>
      <c r="E366" s="11" t="s">
        <v>1094</v>
      </c>
      <c r="F366" s="30" t="s">
        <v>1933</v>
      </c>
      <c r="G366" s="30" t="s">
        <v>2411</v>
      </c>
      <c r="H366" s="16">
        <v>45809</v>
      </c>
      <c r="I366" s="115"/>
      <c r="J366" s="115"/>
      <c r="K366" s="115"/>
      <c r="L366" s="115" t="s">
        <v>1930</v>
      </c>
      <c r="M366" s="115"/>
      <c r="N366" s="115"/>
      <c r="O366" s="115"/>
      <c r="P366" s="115">
        <v>45847</v>
      </c>
      <c r="Q366" s="16"/>
      <c r="R366" s="115">
        <v>45853</v>
      </c>
      <c r="S366" s="115">
        <v>45854</v>
      </c>
      <c r="T366" s="7" t="s">
        <v>22</v>
      </c>
      <c r="U366" s="230" t="s">
        <v>2052</v>
      </c>
      <c r="V366" s="16">
        <v>45096</v>
      </c>
      <c r="W366" s="16">
        <v>45844</v>
      </c>
      <c r="X366" s="24"/>
      <c r="Z366" s="30" t="s">
        <v>54</v>
      </c>
      <c r="AA366" s="8">
        <v>45885</v>
      </c>
      <c r="AB366" s="10"/>
      <c r="AC366" s="10"/>
      <c r="AD366" s="21"/>
      <c r="AE366" s="285">
        <v>2183724.9900000002</v>
      </c>
      <c r="AF366" s="21"/>
      <c r="AG366" s="45"/>
      <c r="AH366" s="264">
        <v>2183724.9900000002</v>
      </c>
    </row>
    <row r="367" spans="1:35" s="9" customFormat="1" ht="122.25" customHeight="1">
      <c r="A367" s="9">
        <f t="shared" ca="1" si="9"/>
        <v>446</v>
      </c>
      <c r="B367" s="31">
        <v>45638</v>
      </c>
      <c r="C367" s="11" t="s">
        <v>27</v>
      </c>
      <c r="D367" s="2" t="s">
        <v>565</v>
      </c>
      <c r="E367" s="11" t="s">
        <v>566</v>
      </c>
      <c r="F367" s="30" t="s">
        <v>74</v>
      </c>
      <c r="G367" s="181" t="s">
        <v>1715</v>
      </c>
      <c r="H367" s="16">
        <v>45748</v>
      </c>
      <c r="I367" s="115"/>
      <c r="J367" s="115"/>
      <c r="K367" s="115"/>
      <c r="L367" s="115" t="s">
        <v>1781</v>
      </c>
      <c r="M367" s="115">
        <v>45798</v>
      </c>
      <c r="N367" s="115"/>
      <c r="O367" s="115"/>
      <c r="P367" s="115">
        <v>45848</v>
      </c>
      <c r="Q367" s="6"/>
      <c r="R367" s="115">
        <v>45869</v>
      </c>
      <c r="S367" s="115">
        <v>45863</v>
      </c>
      <c r="T367" s="7" t="s">
        <v>22</v>
      </c>
      <c r="U367" s="16" t="s">
        <v>2014</v>
      </c>
      <c r="V367" s="16" t="s">
        <v>2062</v>
      </c>
      <c r="W367" s="16">
        <v>45844</v>
      </c>
      <c r="X367" s="16" t="s">
        <v>2061</v>
      </c>
      <c r="Y367" s="100"/>
      <c r="Z367" s="30" t="s">
        <v>54</v>
      </c>
      <c r="AA367" s="8">
        <v>45873</v>
      </c>
      <c r="AB367" s="30"/>
      <c r="AC367" s="10"/>
      <c r="AD367" s="21"/>
      <c r="AE367" s="105">
        <v>543191.26</v>
      </c>
      <c r="AF367" s="21"/>
      <c r="AG367" s="45"/>
      <c r="AH367" s="23">
        <v>543191.26</v>
      </c>
    </row>
    <row r="368" spans="1:35" s="9" customFormat="1" ht="49.9" customHeight="1">
      <c r="A368" s="9">
        <f t="shared" ca="1" si="9"/>
        <v>538</v>
      </c>
      <c r="B368" s="31">
        <v>45477</v>
      </c>
      <c r="C368" s="11" t="s">
        <v>27</v>
      </c>
      <c r="D368" s="2" t="s">
        <v>209</v>
      </c>
      <c r="E368" s="11" t="s">
        <v>210</v>
      </c>
      <c r="F368" s="30" t="s">
        <v>211</v>
      </c>
      <c r="G368" s="30" t="s">
        <v>2673</v>
      </c>
      <c r="H368" s="16">
        <v>45656</v>
      </c>
      <c r="I368" s="115"/>
      <c r="J368" s="115"/>
      <c r="K368" s="115"/>
      <c r="L368" s="115"/>
      <c r="M368" s="115"/>
      <c r="N368" s="115"/>
      <c r="O368" s="115"/>
      <c r="P368" s="6"/>
      <c r="Q368" s="7"/>
      <c r="R368" s="2"/>
      <c r="S368" s="16"/>
      <c r="T368" s="16"/>
      <c r="U368" s="202"/>
      <c r="V368" s="100"/>
      <c r="W368" s="16"/>
      <c r="X368" s="4" t="s">
        <v>2674</v>
      </c>
      <c r="Y368" s="10"/>
      <c r="Z368" s="30" t="s">
        <v>2675</v>
      </c>
      <c r="AA368" s="170">
        <v>45882</v>
      </c>
      <c r="AB368" s="23"/>
      <c r="AC368" s="21"/>
      <c r="AD368" s="45"/>
      <c r="AE368" s="105">
        <v>7952.01667</v>
      </c>
      <c r="AH368" s="65">
        <v>7952.02</v>
      </c>
    </row>
    <row r="369" spans="1:34" s="9" customFormat="1" ht="55.15" customHeight="1">
      <c r="A369" s="9">
        <f t="shared" ca="1" si="9"/>
        <v>538</v>
      </c>
      <c r="B369" s="31">
        <v>45464</v>
      </c>
      <c r="C369" s="11" t="s">
        <v>27</v>
      </c>
      <c r="D369" s="2" t="s">
        <v>193</v>
      </c>
      <c r="E369" s="11" t="s">
        <v>194</v>
      </c>
      <c r="F369" s="30" t="s">
        <v>73</v>
      </c>
      <c r="G369" s="30" t="s">
        <v>818</v>
      </c>
      <c r="H369" s="16">
        <v>45656</v>
      </c>
      <c r="I369" s="115"/>
      <c r="J369" s="115"/>
      <c r="K369" s="115"/>
      <c r="L369" s="115"/>
      <c r="M369" s="115"/>
      <c r="N369" s="115"/>
      <c r="O369" s="115"/>
      <c r="P369" s="6"/>
      <c r="Q369" s="7"/>
      <c r="R369" s="83"/>
      <c r="S369" s="16"/>
      <c r="T369" s="16"/>
      <c r="U369" s="202"/>
      <c r="V369" s="100"/>
      <c r="W369" s="30"/>
      <c r="X369" s="4" t="s">
        <v>2674</v>
      </c>
      <c r="Y369" s="65"/>
      <c r="Z369" s="30" t="s">
        <v>2675</v>
      </c>
      <c r="AA369" s="170">
        <v>45882</v>
      </c>
      <c r="AB369" s="23"/>
      <c r="AC369" s="21"/>
      <c r="AD369" s="45"/>
      <c r="AE369" s="105">
        <v>7952.02</v>
      </c>
      <c r="AH369" s="65">
        <v>7952.02</v>
      </c>
    </row>
    <row r="370" spans="1:34" s="9" customFormat="1" ht="42" customHeight="1">
      <c r="A370" s="9">
        <f t="shared" ca="1" si="9"/>
        <v>507</v>
      </c>
      <c r="B370" s="31">
        <v>45464</v>
      </c>
      <c r="C370" s="11" t="s">
        <v>27</v>
      </c>
      <c r="D370" s="2" t="s">
        <v>196</v>
      </c>
      <c r="E370" s="11" t="s">
        <v>197</v>
      </c>
      <c r="F370" s="30" t="s">
        <v>73</v>
      </c>
      <c r="G370" s="30" t="s">
        <v>2676</v>
      </c>
      <c r="H370" s="16">
        <v>45687</v>
      </c>
      <c r="I370" s="115"/>
      <c r="J370" s="115"/>
      <c r="K370" s="115"/>
      <c r="L370" s="115"/>
      <c r="M370" s="115"/>
      <c r="N370" s="115"/>
      <c r="O370" s="115"/>
      <c r="P370" s="115"/>
      <c r="Q370" s="6"/>
      <c r="R370" s="7"/>
      <c r="S370" s="2"/>
      <c r="T370" s="16"/>
      <c r="U370" s="16"/>
      <c r="V370" s="24"/>
      <c r="W370" s="30"/>
      <c r="X370" s="4" t="s">
        <v>2674</v>
      </c>
      <c r="Y370" s="65"/>
      <c r="Z370" s="30" t="s">
        <v>2675</v>
      </c>
      <c r="AA370" s="170">
        <v>45882</v>
      </c>
      <c r="AB370" s="23"/>
      <c r="AC370" s="21"/>
      <c r="AD370" s="45"/>
      <c r="AE370" s="105">
        <v>7952.02</v>
      </c>
      <c r="AH370" s="65">
        <v>7952.02</v>
      </c>
    </row>
    <row r="371" spans="1:34" s="9" customFormat="1" ht="52.9" customHeight="1">
      <c r="A371" s="9">
        <f t="shared" ca="1" si="9"/>
        <v>507</v>
      </c>
      <c r="B371" s="31">
        <v>45446</v>
      </c>
      <c r="C371" s="11" t="s">
        <v>27</v>
      </c>
      <c r="D371" s="2" t="s">
        <v>171</v>
      </c>
      <c r="E371" s="11" t="s">
        <v>172</v>
      </c>
      <c r="F371" s="30" t="s">
        <v>73</v>
      </c>
      <c r="G371" s="30" t="s">
        <v>2677</v>
      </c>
      <c r="H371" s="16">
        <v>45687</v>
      </c>
      <c r="I371" s="115"/>
      <c r="J371" s="115"/>
      <c r="K371" s="115"/>
      <c r="L371" s="115"/>
      <c r="M371" s="115"/>
      <c r="N371" s="115"/>
      <c r="O371" s="115"/>
      <c r="P371" s="6"/>
      <c r="Q371" s="7"/>
      <c r="R371" s="94"/>
      <c r="S371" s="16"/>
      <c r="T371" s="16"/>
      <c r="U371" s="24"/>
      <c r="W371" s="30"/>
      <c r="X371" s="4" t="s">
        <v>2674</v>
      </c>
      <c r="Y371" s="10"/>
      <c r="Z371" s="30" t="s">
        <v>2675</v>
      </c>
      <c r="AA371" s="170">
        <v>45882</v>
      </c>
      <c r="AB371" s="65"/>
      <c r="AC371" s="21"/>
      <c r="AD371" s="45"/>
      <c r="AE371" s="105">
        <v>42007.28</v>
      </c>
      <c r="AG371" s="113"/>
      <c r="AH371" s="10">
        <v>42007.28</v>
      </c>
    </row>
    <row r="372" spans="1:34" s="9" customFormat="1" ht="122.25" customHeight="1">
      <c r="A372" s="9">
        <f t="shared" ca="1" si="9"/>
        <v>665</v>
      </c>
      <c r="B372" s="31">
        <v>45464</v>
      </c>
      <c r="C372" s="11" t="s">
        <v>27</v>
      </c>
      <c r="D372" s="2" t="s">
        <v>2678</v>
      </c>
      <c r="E372" s="11" t="s">
        <v>2679</v>
      </c>
      <c r="F372" s="30" t="s">
        <v>73</v>
      </c>
      <c r="G372" s="30" t="s">
        <v>110</v>
      </c>
      <c r="H372" s="16">
        <v>45529</v>
      </c>
      <c r="I372" s="115"/>
      <c r="J372" s="115"/>
      <c r="K372" s="115"/>
      <c r="L372" s="115"/>
      <c r="M372" s="115"/>
      <c r="N372" s="115"/>
      <c r="O372" s="115"/>
      <c r="P372" s="16"/>
      <c r="Q372" s="16"/>
      <c r="R372" s="16"/>
      <c r="S372" s="16"/>
      <c r="T372" s="7"/>
      <c r="U372" s="202"/>
      <c r="V372" s="16"/>
      <c r="W372" s="16"/>
      <c r="X372" s="4" t="s">
        <v>2674</v>
      </c>
      <c r="Y372" s="100"/>
      <c r="Z372" s="30" t="s">
        <v>2675</v>
      </c>
      <c r="AA372" s="274">
        <v>45882</v>
      </c>
      <c r="AB372" s="10"/>
      <c r="AC372" s="10"/>
      <c r="AD372" s="21"/>
      <c r="AE372" s="105">
        <v>42007.28</v>
      </c>
      <c r="AF372" s="21"/>
      <c r="AG372" s="45"/>
      <c r="AH372" s="118">
        <v>42007.28</v>
      </c>
    </row>
    <row r="373" spans="1:34" s="9" customFormat="1" ht="122.25" customHeight="1">
      <c r="A373" s="9">
        <f t="shared" ca="1" si="9"/>
        <v>324</v>
      </c>
      <c r="B373" s="31">
        <v>45776</v>
      </c>
      <c r="C373" s="2" t="s">
        <v>694</v>
      </c>
      <c r="D373" s="2" t="s">
        <v>1719</v>
      </c>
      <c r="E373" s="11" t="s">
        <v>1721</v>
      </c>
      <c r="F373" s="30" t="s">
        <v>1722</v>
      </c>
      <c r="G373" s="30" t="s">
        <v>1723</v>
      </c>
      <c r="H373" s="16">
        <v>45870</v>
      </c>
      <c r="I373" s="115"/>
      <c r="J373" s="115"/>
      <c r="K373" s="115"/>
      <c r="L373" s="115"/>
      <c r="M373" s="115"/>
      <c r="N373" s="115"/>
      <c r="O373" s="115"/>
      <c r="P373" s="115"/>
      <c r="Q373" s="115">
        <v>45876</v>
      </c>
      <c r="R373" s="115"/>
      <c r="S373" s="115">
        <v>45881</v>
      </c>
      <c r="T373" s="7" t="s">
        <v>22</v>
      </c>
      <c r="U373" s="7" t="s">
        <v>2523</v>
      </c>
      <c r="V373" s="16">
        <v>45859</v>
      </c>
      <c r="W373" s="16">
        <v>45876</v>
      </c>
      <c r="X373" s="4"/>
      <c r="Y373" s="100"/>
      <c r="Z373" s="30" t="s">
        <v>1469</v>
      </c>
      <c r="AA373" s="8">
        <v>45890</v>
      </c>
      <c r="AB373" s="10"/>
      <c r="AC373" s="10"/>
      <c r="AD373" s="21"/>
      <c r="AE373" s="29">
        <v>136500</v>
      </c>
      <c r="AF373" s="21"/>
      <c r="AG373" s="45"/>
      <c r="AH373" s="23"/>
    </row>
    <row r="374" spans="1:34" s="9" customFormat="1" ht="99" customHeight="1">
      <c r="A374" s="9">
        <f t="shared" ca="1" si="9"/>
        <v>324</v>
      </c>
      <c r="B374" s="31">
        <v>45821</v>
      </c>
      <c r="C374" s="11" t="s">
        <v>24</v>
      </c>
      <c r="D374" s="2" t="s">
        <v>2122</v>
      </c>
      <c r="E374" s="11" t="s">
        <v>2123</v>
      </c>
      <c r="F374" s="30" t="s">
        <v>97</v>
      </c>
      <c r="G374" s="30" t="s">
        <v>2464</v>
      </c>
      <c r="H374" s="16">
        <v>45870</v>
      </c>
      <c r="I374" s="115">
        <v>45821</v>
      </c>
      <c r="J374" s="115">
        <v>45821</v>
      </c>
      <c r="K374" s="115">
        <v>45821</v>
      </c>
      <c r="L374" s="115"/>
      <c r="M374" s="115"/>
      <c r="N374" s="115"/>
      <c r="O374" s="115"/>
      <c r="P374" s="115">
        <v>45868</v>
      </c>
      <c r="Q374" s="115">
        <v>45866</v>
      </c>
      <c r="R374" s="115"/>
      <c r="S374" s="115"/>
      <c r="T374" s="7" t="s">
        <v>25</v>
      </c>
      <c r="U374" s="2" t="s">
        <v>1335</v>
      </c>
      <c r="V374" s="16" t="s">
        <v>2619</v>
      </c>
      <c r="W374" s="16" t="s">
        <v>2681</v>
      </c>
      <c r="X374" s="4" t="s">
        <v>2682</v>
      </c>
      <c r="Y374" s="100"/>
      <c r="Z374" s="30" t="s">
        <v>2392</v>
      </c>
      <c r="AA374" s="8">
        <v>45890</v>
      </c>
      <c r="AB374" s="10"/>
      <c r="AC374" s="22">
        <v>4195</v>
      </c>
      <c r="AD374" s="21"/>
      <c r="AE374" s="21"/>
      <c r="AF374" s="21"/>
      <c r="AG374" s="45"/>
      <c r="AH374" s="118">
        <v>4195</v>
      </c>
    </row>
    <row r="375" spans="1:34" s="9" customFormat="1" ht="37.5" customHeight="1">
      <c r="A375" s="9">
        <f t="shared" ca="1" si="9"/>
        <v>338</v>
      </c>
      <c r="B375" s="31">
        <v>45796</v>
      </c>
      <c r="C375" s="2" t="s">
        <v>24</v>
      </c>
      <c r="D375" s="2" t="s">
        <v>1881</v>
      </c>
      <c r="E375" s="11" t="s">
        <v>1882</v>
      </c>
      <c r="F375" s="30" t="s">
        <v>95</v>
      </c>
      <c r="G375" s="30" t="s">
        <v>2703</v>
      </c>
      <c r="H375" s="16">
        <v>45856</v>
      </c>
      <c r="I375" s="115">
        <v>45793</v>
      </c>
      <c r="J375" s="115">
        <v>45796</v>
      </c>
      <c r="K375" s="115">
        <v>45793</v>
      </c>
      <c r="L375" s="115"/>
      <c r="M375" s="115">
        <v>45827</v>
      </c>
      <c r="N375" s="115"/>
      <c r="O375" s="115">
        <v>45833</v>
      </c>
      <c r="P375" s="115">
        <v>45862</v>
      </c>
      <c r="Q375" s="115">
        <v>45875</v>
      </c>
      <c r="R375" s="115"/>
      <c r="S375" s="115"/>
      <c r="T375" s="7" t="s">
        <v>22</v>
      </c>
      <c r="U375" s="11" t="s">
        <v>2431</v>
      </c>
      <c r="V375" s="16">
        <v>45830</v>
      </c>
      <c r="W375" s="16">
        <v>45873</v>
      </c>
      <c r="X375" s="4" t="s">
        <v>2595</v>
      </c>
      <c r="Y375" s="100"/>
      <c r="Z375" s="30" t="s">
        <v>33</v>
      </c>
      <c r="AA375" s="8">
        <v>45892</v>
      </c>
      <c r="AB375" s="10"/>
      <c r="AC375" s="22">
        <v>146106.72</v>
      </c>
      <c r="AD375" s="21"/>
      <c r="AE375" s="21"/>
      <c r="AF375" s="21"/>
      <c r="AG375" s="45"/>
      <c r="AH375" s="23">
        <v>146106.72</v>
      </c>
    </row>
    <row r="376" spans="1:34" s="9" customFormat="1" ht="138" customHeight="1">
      <c r="A376" s="9">
        <f t="shared" ca="1" si="9"/>
        <v>446</v>
      </c>
      <c r="B376" s="31">
        <v>45638</v>
      </c>
      <c r="C376" s="2" t="s">
        <v>2690</v>
      </c>
      <c r="D376" s="2" t="s">
        <v>565</v>
      </c>
      <c r="E376" s="11" t="s">
        <v>566</v>
      </c>
      <c r="F376" s="30" t="s">
        <v>74</v>
      </c>
      <c r="G376" s="101" t="s">
        <v>2017</v>
      </c>
      <c r="H376" s="16">
        <v>45748</v>
      </c>
      <c r="I376" s="115"/>
      <c r="J376" s="115"/>
      <c r="K376" s="115"/>
      <c r="L376" s="115"/>
      <c r="M376" s="115"/>
      <c r="N376" s="115"/>
      <c r="O376" s="115"/>
      <c r="P376" s="115">
        <v>45819</v>
      </c>
      <c r="Q376" s="6" t="s">
        <v>1716</v>
      </c>
      <c r="R376" s="115">
        <v>45869</v>
      </c>
      <c r="S376" s="115" t="s">
        <v>2669</v>
      </c>
      <c r="T376" s="7" t="s">
        <v>22</v>
      </c>
      <c r="U376" s="16" t="s">
        <v>2014</v>
      </c>
      <c r="V376" s="16">
        <v>45806</v>
      </c>
      <c r="W376" s="16">
        <v>45844</v>
      </c>
      <c r="X376" s="16" t="s">
        <v>2115</v>
      </c>
      <c r="Y376" s="100"/>
      <c r="Z376" s="30" t="s">
        <v>54</v>
      </c>
      <c r="AA376" s="8">
        <v>45853</v>
      </c>
      <c r="AB376" s="30"/>
      <c r="AC376" s="10"/>
      <c r="AD376" s="21"/>
      <c r="AE376" s="105">
        <v>705314.33</v>
      </c>
      <c r="AF376" s="21"/>
      <c r="AG376" s="45"/>
      <c r="AH376" s="23">
        <v>705314.33</v>
      </c>
    </row>
    <row r="377" spans="1:34" s="9" customFormat="1" ht="122.25" customHeight="1">
      <c r="A377" s="9">
        <f t="shared" ca="1" si="9"/>
        <v>385</v>
      </c>
      <c r="B377" s="31">
        <v>45708</v>
      </c>
      <c r="C377" s="2" t="s">
        <v>2690</v>
      </c>
      <c r="D377" s="2" t="s">
        <v>1091</v>
      </c>
      <c r="E377" s="11" t="s">
        <v>1092</v>
      </c>
      <c r="F377" s="30" t="s">
        <v>74</v>
      </c>
      <c r="G377" s="30" t="s">
        <v>2113</v>
      </c>
      <c r="H377" s="16">
        <v>45809</v>
      </c>
      <c r="I377" s="115"/>
      <c r="J377" s="115"/>
      <c r="K377" s="115"/>
      <c r="L377" s="115"/>
      <c r="M377" s="115">
        <v>45772</v>
      </c>
      <c r="N377" s="115"/>
      <c r="O377" s="115"/>
      <c r="P377" s="115">
        <v>45819</v>
      </c>
      <c r="Q377" s="16"/>
      <c r="R377" s="115">
        <v>45869</v>
      </c>
      <c r="S377" s="115" t="s">
        <v>2669</v>
      </c>
      <c r="T377" s="7" t="s">
        <v>22</v>
      </c>
      <c r="U377" s="182" t="s">
        <v>2114</v>
      </c>
      <c r="V377" s="16" t="s">
        <v>2062</v>
      </c>
      <c r="W377" s="16">
        <v>45844</v>
      </c>
      <c r="X377" s="134" t="s">
        <v>2116</v>
      </c>
      <c r="Z377" s="30" t="s">
        <v>54</v>
      </c>
      <c r="AA377" s="8">
        <v>45853</v>
      </c>
      <c r="AB377" s="10"/>
      <c r="AC377" s="10"/>
      <c r="AD377" s="21"/>
      <c r="AE377" s="22">
        <v>437046.68</v>
      </c>
      <c r="AF377" s="21"/>
      <c r="AG377" s="45"/>
      <c r="AH377" s="23"/>
    </row>
    <row r="378" spans="1:34" s="9" customFormat="1" ht="122.25" customHeight="1">
      <c r="A378" s="9">
        <f t="shared" ca="1" si="9"/>
        <v>307</v>
      </c>
      <c r="B378" s="31">
        <v>45852</v>
      </c>
      <c r="C378" s="11" t="s">
        <v>694</v>
      </c>
      <c r="D378" s="2" t="s">
        <v>2370</v>
      </c>
      <c r="E378" s="11" t="s">
        <v>2371</v>
      </c>
      <c r="F378" s="30" t="s">
        <v>1161</v>
      </c>
      <c r="G378" s="30" t="s">
        <v>2639</v>
      </c>
      <c r="H378" s="16">
        <v>45887</v>
      </c>
      <c r="I378" s="115">
        <v>45853</v>
      </c>
      <c r="J378" s="115">
        <v>45853</v>
      </c>
      <c r="K378" s="115">
        <v>45854</v>
      </c>
      <c r="L378" s="115"/>
      <c r="M378" s="115"/>
      <c r="N378" s="115"/>
      <c r="O378" s="115"/>
      <c r="P378" s="115"/>
      <c r="Q378" s="16" t="s">
        <v>2800</v>
      </c>
      <c r="R378" s="115"/>
      <c r="S378" s="115">
        <v>45891</v>
      </c>
      <c r="T378" s="7" t="s">
        <v>20</v>
      </c>
      <c r="U378" s="202"/>
      <c r="V378" s="16"/>
      <c r="W378" s="16"/>
      <c r="X378" s="4"/>
      <c r="Y378" s="100"/>
      <c r="Z378" s="30" t="s">
        <v>61</v>
      </c>
      <c r="AA378" s="8">
        <v>45856</v>
      </c>
      <c r="AB378" s="10"/>
      <c r="AC378" s="10"/>
      <c r="AD378" s="29">
        <v>19933.75</v>
      </c>
      <c r="AE378" s="21"/>
      <c r="AF378" s="21"/>
      <c r="AG378" s="45"/>
      <c r="AH378" s="21">
        <v>19933.75</v>
      </c>
    </row>
    <row r="379" spans="1:34" s="9" customFormat="1" ht="261" customHeight="1">
      <c r="A379" s="9">
        <f t="shared" ca="1" si="9"/>
        <v>394</v>
      </c>
      <c r="B379" s="31">
        <v>45708</v>
      </c>
      <c r="C379" s="2" t="s">
        <v>24</v>
      </c>
      <c r="D379" s="2" t="s">
        <v>1074</v>
      </c>
      <c r="E379" s="11" t="s">
        <v>1075</v>
      </c>
      <c r="F379" s="30" t="s">
        <v>36</v>
      </c>
      <c r="G379" s="30" t="s">
        <v>1907</v>
      </c>
      <c r="H379" s="16">
        <v>45800</v>
      </c>
      <c r="I379" s="115"/>
      <c r="J379" s="115"/>
      <c r="K379" s="115"/>
      <c r="L379" s="115"/>
      <c r="M379" s="115">
        <v>45837</v>
      </c>
      <c r="N379" s="115"/>
      <c r="O379" s="115"/>
      <c r="P379" s="115">
        <v>45847</v>
      </c>
      <c r="Q379" s="115">
        <v>45847</v>
      </c>
      <c r="R379" s="115"/>
      <c r="S379" s="115"/>
      <c r="T379" s="7" t="s">
        <v>30</v>
      </c>
      <c r="U379" s="2" t="s">
        <v>2137</v>
      </c>
      <c r="V379" s="16">
        <v>45840</v>
      </c>
      <c r="W379" s="16">
        <v>45850</v>
      </c>
      <c r="X379" s="103"/>
      <c r="Z379" s="30" t="s">
        <v>119</v>
      </c>
      <c r="AA379" s="8">
        <v>45877</v>
      </c>
      <c r="AB379" s="22">
        <v>951382.53</v>
      </c>
      <c r="AC379" s="10"/>
      <c r="AD379" s="21"/>
      <c r="AE379" s="21"/>
      <c r="AF379" s="21"/>
      <c r="AG379" s="45"/>
      <c r="AH379" s="23">
        <v>951382.53</v>
      </c>
    </row>
    <row r="380" spans="1:34" s="9" customFormat="1" ht="249" customHeight="1">
      <c r="A380" s="9">
        <f t="shared" ca="1" si="9"/>
        <v>332</v>
      </c>
      <c r="B380" s="31">
        <v>45761</v>
      </c>
      <c r="C380" s="2" t="s">
        <v>24</v>
      </c>
      <c r="D380" s="2" t="s">
        <v>1554</v>
      </c>
      <c r="E380" s="11" t="s">
        <v>1555</v>
      </c>
      <c r="F380" s="30" t="s">
        <v>36</v>
      </c>
      <c r="G380" s="30" t="s">
        <v>2342</v>
      </c>
      <c r="H380" s="16">
        <v>45862</v>
      </c>
      <c r="I380" s="115"/>
      <c r="J380" s="115"/>
      <c r="K380" s="115"/>
      <c r="L380" s="115">
        <v>45834</v>
      </c>
      <c r="M380" s="115">
        <v>45843</v>
      </c>
      <c r="N380" s="115"/>
      <c r="O380" s="115"/>
      <c r="P380" s="115">
        <v>45853</v>
      </c>
      <c r="Q380" s="115">
        <v>45853</v>
      </c>
      <c r="R380" s="115"/>
      <c r="S380" s="115"/>
      <c r="T380" s="7" t="s">
        <v>30</v>
      </c>
      <c r="U380" s="2" t="s">
        <v>1446</v>
      </c>
      <c r="V380" s="16">
        <v>45849</v>
      </c>
      <c r="W380" s="16">
        <v>45852</v>
      </c>
      <c r="X380" s="4"/>
      <c r="Y380" s="100"/>
      <c r="Z380" s="30" t="s">
        <v>119</v>
      </c>
      <c r="AA380" s="8">
        <v>45886</v>
      </c>
      <c r="AB380" s="22">
        <v>41362.51</v>
      </c>
      <c r="AC380" s="10"/>
      <c r="AD380" s="21"/>
      <c r="AE380" s="21"/>
      <c r="AF380" s="21"/>
      <c r="AG380" s="45"/>
      <c r="AH380" s="23">
        <v>41362.51</v>
      </c>
    </row>
    <row r="381" spans="1:34" s="9" customFormat="1" ht="249" customHeight="1">
      <c r="A381" s="9">
        <f t="shared" ca="1" si="9"/>
        <v>332</v>
      </c>
      <c r="B381" s="31">
        <v>45761</v>
      </c>
      <c r="C381" s="2" t="s">
        <v>24</v>
      </c>
      <c r="D381" s="2" t="s">
        <v>1554</v>
      </c>
      <c r="E381" s="11" t="s">
        <v>1555</v>
      </c>
      <c r="F381" s="30" t="s">
        <v>36</v>
      </c>
      <c r="G381" s="30" t="s">
        <v>1556</v>
      </c>
      <c r="H381" s="16">
        <v>45862</v>
      </c>
      <c r="I381" s="115"/>
      <c r="J381" s="115"/>
      <c r="K381" s="115"/>
      <c r="L381" s="115">
        <v>45834</v>
      </c>
      <c r="M381" s="115">
        <v>45843</v>
      </c>
      <c r="N381" s="115"/>
      <c r="O381" s="115"/>
      <c r="P381" s="115">
        <v>45853</v>
      </c>
      <c r="Q381" s="115">
        <v>45853</v>
      </c>
      <c r="R381" s="115"/>
      <c r="S381" s="115"/>
      <c r="T381" s="7" t="s">
        <v>30</v>
      </c>
      <c r="U381" s="2" t="s">
        <v>2138</v>
      </c>
      <c r="V381" s="16">
        <v>45851</v>
      </c>
      <c r="W381" s="16">
        <v>45856</v>
      </c>
      <c r="X381" s="4"/>
      <c r="Y381" s="100"/>
      <c r="Z381" s="30" t="s">
        <v>119</v>
      </c>
      <c r="AA381" s="8">
        <v>45891</v>
      </c>
      <c r="AB381" s="22">
        <v>106815.03999999999</v>
      </c>
      <c r="AC381" s="10"/>
      <c r="AD381" s="21"/>
      <c r="AE381" s="21"/>
      <c r="AF381" s="21"/>
      <c r="AG381" s="45"/>
      <c r="AH381" s="23">
        <v>106815.03999999999</v>
      </c>
    </row>
    <row r="382" spans="1:34" s="9" customFormat="1" ht="122.25" customHeight="1">
      <c r="A382" s="9">
        <f t="shared" ca="1" si="9"/>
        <v>46194</v>
      </c>
      <c r="B382" s="31">
        <v>45786</v>
      </c>
      <c r="C382" s="2" t="s">
        <v>24</v>
      </c>
      <c r="D382" s="2" t="s">
        <v>1803</v>
      </c>
      <c r="E382" s="11" t="s">
        <v>1804</v>
      </c>
      <c r="F382" s="30" t="s">
        <v>36</v>
      </c>
      <c r="G382" s="30" t="s">
        <v>1805</v>
      </c>
      <c r="H382" s="16"/>
      <c r="I382" s="115"/>
      <c r="J382" s="115"/>
      <c r="K382" s="115"/>
      <c r="L382" s="115"/>
      <c r="M382" s="115"/>
      <c r="N382" s="115"/>
      <c r="O382" s="115"/>
      <c r="P382" s="115">
        <v>45853</v>
      </c>
      <c r="Q382" s="115">
        <v>45853</v>
      </c>
      <c r="R382" s="115"/>
      <c r="S382" s="115"/>
      <c r="T382" s="7" t="s">
        <v>30</v>
      </c>
      <c r="U382" s="2" t="s">
        <v>2138</v>
      </c>
      <c r="V382" s="16">
        <v>45851</v>
      </c>
      <c r="W382" s="16">
        <v>45856</v>
      </c>
      <c r="X382" s="16"/>
      <c r="Y382" s="100"/>
      <c r="Z382" s="30" t="s">
        <v>113</v>
      </c>
      <c r="AA382" s="8">
        <v>45891</v>
      </c>
      <c r="AB382" s="22">
        <v>4232.47</v>
      </c>
      <c r="AC382" s="10"/>
      <c r="AD382" s="21"/>
      <c r="AE382" s="21"/>
      <c r="AF382" s="21"/>
      <c r="AG382" s="45"/>
      <c r="AH382" s="23">
        <v>4232.47</v>
      </c>
    </row>
    <row r="383" spans="1:34" s="9" customFormat="1" ht="122.25" customHeight="1">
      <c r="A383" s="9">
        <f t="shared" ca="1" si="9"/>
        <v>293</v>
      </c>
      <c r="B383" s="31">
        <v>45765</v>
      </c>
      <c r="C383" s="2" t="s">
        <v>694</v>
      </c>
      <c r="D383" s="2" t="s">
        <v>1859</v>
      </c>
      <c r="E383" s="11" t="s">
        <v>1860</v>
      </c>
      <c r="F383" s="30" t="s">
        <v>1830</v>
      </c>
      <c r="G383" s="30" t="s">
        <v>2625</v>
      </c>
      <c r="H383" s="16">
        <v>45901</v>
      </c>
      <c r="I383" s="115"/>
      <c r="J383" s="115"/>
      <c r="K383" s="115"/>
      <c r="L383" s="115"/>
      <c r="M383" s="115"/>
      <c r="N383" s="115"/>
      <c r="O383" s="115"/>
      <c r="P383" s="115"/>
      <c r="Q383" s="115">
        <v>45848</v>
      </c>
      <c r="R383" s="115"/>
      <c r="S383" s="115">
        <v>45870</v>
      </c>
      <c r="T383" s="7" t="s">
        <v>22</v>
      </c>
      <c r="U383" s="2" t="s">
        <v>2120</v>
      </c>
      <c r="V383" s="16">
        <v>45837</v>
      </c>
      <c r="W383" s="16">
        <v>45860</v>
      </c>
      <c r="X383" s="4"/>
      <c r="Y383" s="100"/>
      <c r="Z383" s="30" t="s">
        <v>717</v>
      </c>
      <c r="AA383" s="8">
        <v>45896</v>
      </c>
      <c r="AB383" s="22">
        <v>115173.27</v>
      </c>
      <c r="AC383" s="10"/>
      <c r="AD383" s="21"/>
      <c r="AE383" s="21"/>
      <c r="AF383" s="21"/>
      <c r="AG383" s="45"/>
      <c r="AH383" s="23">
        <v>115173.27</v>
      </c>
    </row>
    <row r="384" spans="1:34" s="9" customFormat="1" ht="122.25" customHeight="1">
      <c r="A384" s="9">
        <f t="shared" ca="1" si="9"/>
        <v>317</v>
      </c>
      <c r="B384" s="31">
        <v>45813</v>
      </c>
      <c r="C384" s="2" t="s">
        <v>24</v>
      </c>
      <c r="D384" s="2" t="s">
        <v>2018</v>
      </c>
      <c r="E384" s="11" t="s">
        <v>2019</v>
      </c>
      <c r="F384" s="30" t="s">
        <v>98</v>
      </c>
      <c r="G384" s="30" t="s">
        <v>2696</v>
      </c>
      <c r="H384" s="16">
        <v>45877</v>
      </c>
      <c r="I384" s="115">
        <v>45814</v>
      </c>
      <c r="J384" s="115">
        <v>45814</v>
      </c>
      <c r="K384" s="115"/>
      <c r="L384" s="115"/>
      <c r="M384" s="115"/>
      <c r="N384" s="115"/>
      <c r="O384" s="115"/>
      <c r="P384" s="115">
        <v>45848</v>
      </c>
      <c r="Q384" s="115">
        <v>45856</v>
      </c>
      <c r="R384" s="115"/>
      <c r="S384" s="115"/>
      <c r="T384" s="7" t="s">
        <v>22</v>
      </c>
      <c r="U384" s="16" t="s">
        <v>2469</v>
      </c>
      <c r="V384" s="16">
        <v>45839</v>
      </c>
      <c r="W384" s="16" t="s">
        <v>2697</v>
      </c>
      <c r="X384" s="4" t="s">
        <v>2470</v>
      </c>
      <c r="Y384" s="100"/>
      <c r="Z384" s="30" t="s">
        <v>33</v>
      </c>
      <c r="AA384" s="8">
        <v>45902</v>
      </c>
      <c r="AB384" s="22">
        <v>84601.8</v>
      </c>
      <c r="AC384" s="10"/>
      <c r="AD384" s="21"/>
      <c r="AE384" s="21"/>
      <c r="AF384" s="21"/>
      <c r="AG384" s="45"/>
      <c r="AH384" s="118">
        <v>84601.8</v>
      </c>
    </row>
    <row r="385" spans="1:34" s="9" customFormat="1" ht="122.25" customHeight="1">
      <c r="A385" s="9">
        <f t="shared" ca="1" si="9"/>
        <v>355</v>
      </c>
      <c r="B385" s="31">
        <v>45734</v>
      </c>
      <c r="C385" s="2" t="s">
        <v>694</v>
      </c>
      <c r="D385" s="2" t="s">
        <v>1293</v>
      </c>
      <c r="E385" s="11" t="s">
        <v>1294</v>
      </c>
      <c r="F385" s="30" t="s">
        <v>44</v>
      </c>
      <c r="G385" s="30" t="s">
        <v>1924</v>
      </c>
      <c r="H385" s="16">
        <v>45839</v>
      </c>
      <c r="I385" s="115"/>
      <c r="J385" s="115"/>
      <c r="K385" s="115"/>
      <c r="L385" s="115"/>
      <c r="M385" s="115"/>
      <c r="N385" s="115"/>
      <c r="O385" s="115"/>
      <c r="P385" s="115"/>
      <c r="Q385" s="115" t="s">
        <v>2531</v>
      </c>
      <c r="R385" s="115"/>
      <c r="S385" s="115">
        <v>45903</v>
      </c>
      <c r="T385" s="7" t="s">
        <v>22</v>
      </c>
      <c r="U385" s="2" t="s">
        <v>2527</v>
      </c>
      <c r="V385" s="16">
        <v>45840</v>
      </c>
      <c r="W385" s="16">
        <v>45894</v>
      </c>
      <c r="X385" s="4" t="s">
        <v>2612</v>
      </c>
      <c r="Y385" s="100"/>
      <c r="Z385" s="30" t="s">
        <v>33</v>
      </c>
      <c r="AA385" s="8">
        <v>45894</v>
      </c>
      <c r="AB385" s="10"/>
      <c r="AC385" s="22">
        <v>23023</v>
      </c>
      <c r="AD385" s="21"/>
      <c r="AE385" s="21"/>
      <c r="AF385" s="21"/>
      <c r="AG385" s="45"/>
      <c r="AH385" s="23">
        <v>23023</v>
      </c>
    </row>
    <row r="386" spans="1:34" s="9" customFormat="1" ht="122.25" customHeight="1">
      <c r="A386" s="9">
        <f t="shared" ca="1" si="9"/>
        <v>324</v>
      </c>
      <c r="B386" s="31">
        <v>45765</v>
      </c>
      <c r="C386" s="2" t="s">
        <v>694</v>
      </c>
      <c r="D386" s="2" t="s">
        <v>1585</v>
      </c>
      <c r="E386" s="11" t="s">
        <v>1586</v>
      </c>
      <c r="F386" s="30" t="s">
        <v>1587</v>
      </c>
      <c r="G386" s="30" t="s">
        <v>2121</v>
      </c>
      <c r="H386" s="16">
        <v>45870</v>
      </c>
      <c r="I386" s="115"/>
      <c r="J386" s="115"/>
      <c r="K386" s="115"/>
      <c r="L386" s="115"/>
      <c r="M386" s="115"/>
      <c r="N386" s="115"/>
      <c r="O386" s="115"/>
      <c r="P386" s="115">
        <v>45834</v>
      </c>
      <c r="Q386" s="115">
        <v>45834</v>
      </c>
      <c r="R386" s="115"/>
      <c r="S386" s="115">
        <v>45896</v>
      </c>
      <c r="T386" s="7" t="s">
        <v>22</v>
      </c>
      <c r="U386" s="2" t="s">
        <v>2110</v>
      </c>
      <c r="V386" s="16">
        <v>45826</v>
      </c>
      <c r="W386" s="16">
        <v>45894</v>
      </c>
      <c r="X386" s="24" t="s">
        <v>2898</v>
      </c>
      <c r="Y386" s="100"/>
      <c r="Z386" s="30" t="s">
        <v>1469</v>
      </c>
      <c r="AA386" s="8">
        <v>45867</v>
      </c>
      <c r="AB386" s="22">
        <v>41515.980000000003</v>
      </c>
      <c r="AC386" s="10"/>
      <c r="AD386" s="21"/>
      <c r="AE386" s="21"/>
      <c r="AF386" s="21"/>
      <c r="AG386" s="45"/>
      <c r="AH386" s="23">
        <v>41515.980000000003</v>
      </c>
    </row>
    <row r="387" spans="1:34" s="9" customFormat="1" ht="122.25" customHeight="1">
      <c r="A387" s="9">
        <f t="shared" ca="1" si="9"/>
        <v>324</v>
      </c>
      <c r="B387" s="31">
        <v>45800</v>
      </c>
      <c r="C387" s="2" t="s">
        <v>694</v>
      </c>
      <c r="D387" s="2" t="s">
        <v>1954</v>
      </c>
      <c r="E387" s="11" t="s">
        <v>1955</v>
      </c>
      <c r="F387" s="30" t="s">
        <v>44</v>
      </c>
      <c r="G387" s="30" t="s">
        <v>2528</v>
      </c>
      <c r="H387" s="16">
        <v>45870</v>
      </c>
      <c r="I387" s="115">
        <v>45793</v>
      </c>
      <c r="J387" s="115">
        <v>45793</v>
      </c>
      <c r="K387" s="115"/>
      <c r="L387" s="115"/>
      <c r="M387" s="115"/>
      <c r="N387" s="115"/>
      <c r="O387" s="115"/>
      <c r="P387" s="115"/>
      <c r="Q387" s="115" t="s">
        <v>2531</v>
      </c>
      <c r="R387" s="115"/>
      <c r="S387" s="115">
        <v>45903</v>
      </c>
      <c r="T387" s="7" t="s">
        <v>22</v>
      </c>
      <c r="U387" s="11" t="s">
        <v>2527</v>
      </c>
      <c r="V387" s="7">
        <v>45840</v>
      </c>
      <c r="W387" s="16">
        <v>45894</v>
      </c>
      <c r="X387" s="4" t="s">
        <v>2613</v>
      </c>
      <c r="Y387" s="100"/>
      <c r="Z387" s="30" t="s">
        <v>54</v>
      </c>
      <c r="AA387" s="8">
        <v>45895</v>
      </c>
      <c r="AB387" s="10"/>
      <c r="AC387" s="22">
        <v>162585.85</v>
      </c>
      <c r="AD387" s="21"/>
      <c r="AE387" s="21"/>
      <c r="AF387" s="21"/>
      <c r="AG387" s="45"/>
      <c r="AH387" s="118">
        <v>162585.85</v>
      </c>
    </row>
    <row r="388" spans="1:34" s="9" customFormat="1" ht="122.25" customHeight="1">
      <c r="A388" s="9">
        <f t="shared" ca="1" si="9"/>
        <v>446</v>
      </c>
      <c r="B388" s="31">
        <v>45638</v>
      </c>
      <c r="C388" s="11" t="s">
        <v>27</v>
      </c>
      <c r="D388" s="2" t="s">
        <v>569</v>
      </c>
      <c r="E388" s="11" t="s">
        <v>570</v>
      </c>
      <c r="F388" s="30" t="s">
        <v>1933</v>
      </c>
      <c r="G388" s="30" t="s">
        <v>1627</v>
      </c>
      <c r="H388" s="16">
        <v>45748</v>
      </c>
      <c r="I388" s="115"/>
      <c r="J388" s="115"/>
      <c r="K388" s="115"/>
      <c r="L388" s="115"/>
      <c r="M388" s="115"/>
      <c r="N388" s="115"/>
      <c r="O388" s="115"/>
      <c r="P388" s="115">
        <v>45806</v>
      </c>
      <c r="Q388" s="6" t="s">
        <v>860</v>
      </c>
      <c r="R388" s="115"/>
      <c r="S388" s="115">
        <v>45799</v>
      </c>
      <c r="T388" s="7" t="s">
        <v>22</v>
      </c>
      <c r="U388" s="2" t="s">
        <v>1842</v>
      </c>
      <c r="V388" s="16">
        <v>45787</v>
      </c>
      <c r="W388" s="16">
        <v>45794</v>
      </c>
      <c r="X388" s="35" t="s">
        <v>2090</v>
      </c>
      <c r="Y388" s="100"/>
      <c r="Z388" s="30" t="s">
        <v>571</v>
      </c>
      <c r="AA388" s="8">
        <v>45837</v>
      </c>
      <c r="AB388" s="30"/>
      <c r="AC388" s="10"/>
      <c r="AD388" s="21"/>
      <c r="AE388" s="105">
        <v>2737900</v>
      </c>
      <c r="AF388" s="21"/>
      <c r="AG388" s="45"/>
      <c r="AH388" s="23">
        <v>2737900</v>
      </c>
    </row>
    <row r="389" spans="1:34" s="9" customFormat="1" ht="223.5" customHeight="1">
      <c r="A389" s="9">
        <f t="shared" ca="1" si="9"/>
        <v>385</v>
      </c>
      <c r="B389" s="31">
        <v>45730</v>
      </c>
      <c r="C389" s="2" t="s">
        <v>694</v>
      </c>
      <c r="D389" s="2" t="s">
        <v>1270</v>
      </c>
      <c r="E389" s="11" t="s">
        <v>1271</v>
      </c>
      <c r="F389" s="30" t="s">
        <v>105</v>
      </c>
      <c r="G389" s="30" t="s">
        <v>1305</v>
      </c>
      <c r="H389" s="16">
        <v>45809</v>
      </c>
      <c r="I389" s="115"/>
      <c r="J389" s="115"/>
      <c r="K389" s="115"/>
      <c r="L389" s="115"/>
      <c r="M389" s="115"/>
      <c r="N389" s="115"/>
      <c r="O389" s="115"/>
      <c r="P389" s="115">
        <v>45785</v>
      </c>
      <c r="Q389" s="115">
        <v>45789</v>
      </c>
      <c r="R389" s="115"/>
      <c r="S389" s="115"/>
      <c r="T389" s="7" t="s">
        <v>22</v>
      </c>
      <c r="U389" s="2" t="s">
        <v>1306</v>
      </c>
      <c r="V389" s="16">
        <v>45785</v>
      </c>
      <c r="W389" s="16">
        <v>45807</v>
      </c>
      <c r="X389" s="4"/>
      <c r="Y389" s="100"/>
      <c r="Z389" s="30" t="s">
        <v>89</v>
      </c>
      <c r="AA389" s="8">
        <v>45844</v>
      </c>
      <c r="AB389" s="22">
        <v>192260.03</v>
      </c>
      <c r="AC389" s="10"/>
      <c r="AD389" s="21"/>
      <c r="AE389" s="21"/>
      <c r="AF389" s="21"/>
      <c r="AG389" s="45"/>
      <c r="AH389" s="23">
        <v>192206.03</v>
      </c>
    </row>
    <row r="390" spans="1:34" s="9" customFormat="1" ht="122.25" customHeight="1">
      <c r="A390" s="9">
        <v>209</v>
      </c>
      <c r="B390" s="31">
        <v>45551</v>
      </c>
      <c r="C390" s="11" t="s">
        <v>27</v>
      </c>
      <c r="D390" s="2" t="s">
        <v>309</v>
      </c>
      <c r="E390" s="11" t="s">
        <v>310</v>
      </c>
      <c r="F390" s="30" t="s">
        <v>1933</v>
      </c>
      <c r="G390" s="30" t="s">
        <v>2450</v>
      </c>
      <c r="H390" s="16">
        <v>45654</v>
      </c>
      <c r="I390" s="115"/>
      <c r="J390" s="115"/>
      <c r="K390" s="115"/>
      <c r="L390" s="115"/>
      <c r="M390" s="115"/>
      <c r="N390" s="115"/>
      <c r="O390" s="115"/>
      <c r="P390" s="115">
        <v>45847</v>
      </c>
      <c r="Q390" s="6"/>
      <c r="R390" s="115">
        <v>45853</v>
      </c>
      <c r="S390" s="6"/>
      <c r="T390" s="7" t="s">
        <v>22</v>
      </c>
      <c r="U390" s="161" t="s">
        <v>1231</v>
      </c>
      <c r="V390" s="16">
        <v>45827</v>
      </c>
      <c r="W390" s="16">
        <v>45844</v>
      </c>
      <c r="X390" s="270" t="s">
        <v>1478</v>
      </c>
      <c r="Y390" s="100"/>
      <c r="Z390" s="30" t="s">
        <v>33</v>
      </c>
      <c r="AA390" s="8">
        <v>45885</v>
      </c>
      <c r="AB390" s="10"/>
      <c r="AC390" s="10"/>
      <c r="AD390" s="21"/>
      <c r="AE390" s="22">
        <v>100401.15</v>
      </c>
      <c r="AF390" s="21"/>
      <c r="AG390" s="45"/>
      <c r="AH390" s="118">
        <v>100401.15</v>
      </c>
    </row>
    <row r="391" spans="1:34" s="9" customFormat="1" ht="149.25" customHeight="1">
      <c r="A391" s="9">
        <f ca="1">TODAY()-H391+1</f>
        <v>324</v>
      </c>
      <c r="B391" s="31">
        <v>45771</v>
      </c>
      <c r="C391" s="2" t="s">
        <v>694</v>
      </c>
      <c r="D391" s="2" t="s">
        <v>1764</v>
      </c>
      <c r="E391" s="11" t="s">
        <v>1765</v>
      </c>
      <c r="F391" s="30" t="s">
        <v>87</v>
      </c>
      <c r="G391" s="30" t="s">
        <v>1766</v>
      </c>
      <c r="H391" s="16">
        <v>45870</v>
      </c>
      <c r="I391" s="115"/>
      <c r="J391" s="115"/>
      <c r="K391" s="115"/>
      <c r="L391" s="115"/>
      <c r="M391" s="115"/>
      <c r="N391" s="115"/>
      <c r="O391" s="115"/>
      <c r="P391" s="115"/>
      <c r="Q391" s="115">
        <v>45868</v>
      </c>
      <c r="R391" s="115"/>
      <c r="S391" s="115"/>
      <c r="T391" s="7" t="s">
        <v>1767</v>
      </c>
      <c r="U391" s="2" t="s">
        <v>2119</v>
      </c>
      <c r="V391" s="16">
        <v>45838</v>
      </c>
      <c r="W391" s="16">
        <v>45872</v>
      </c>
      <c r="X391" s="4"/>
      <c r="Y391" s="100"/>
      <c r="Z391" s="30" t="s">
        <v>1768</v>
      </c>
      <c r="AA391" s="8">
        <v>45894</v>
      </c>
      <c r="AB391" s="10"/>
      <c r="AC391" s="22">
        <v>76988.34</v>
      </c>
      <c r="AD391" s="21"/>
      <c r="AE391" s="21"/>
      <c r="AF391" s="21"/>
      <c r="AG391" s="45"/>
      <c r="AH391" s="23">
        <v>76988.34</v>
      </c>
    </row>
    <row r="392" spans="1:34" s="9" customFormat="1" ht="122.25" customHeight="1">
      <c r="A392" s="9">
        <f ca="1">TODAY()-H392+1</f>
        <v>293</v>
      </c>
      <c r="B392" s="31">
        <v>45642</v>
      </c>
      <c r="C392" s="11" t="s">
        <v>694</v>
      </c>
      <c r="D392" s="2" t="s">
        <v>581</v>
      </c>
      <c r="E392" s="11" t="s">
        <v>582</v>
      </c>
      <c r="F392" s="30" t="s">
        <v>583</v>
      </c>
      <c r="G392" s="30" t="s">
        <v>2623</v>
      </c>
      <c r="H392" s="16">
        <v>45901</v>
      </c>
      <c r="I392" s="115"/>
      <c r="J392" s="115"/>
      <c r="K392" s="115"/>
      <c r="L392" s="115"/>
      <c r="M392" s="115"/>
      <c r="N392" s="115"/>
      <c r="O392" s="115"/>
      <c r="P392" s="115"/>
      <c r="Q392" s="115">
        <v>45882</v>
      </c>
      <c r="R392" s="115">
        <v>45910</v>
      </c>
      <c r="S392" s="115"/>
      <c r="T392" s="7" t="s">
        <v>22</v>
      </c>
      <c r="U392" s="2" t="s">
        <v>2720</v>
      </c>
      <c r="V392" s="16">
        <v>45884</v>
      </c>
      <c r="W392" s="16">
        <v>45903</v>
      </c>
      <c r="X392" s="4" t="s">
        <v>2808</v>
      </c>
      <c r="Y392" s="100"/>
      <c r="Z392" s="30" t="s">
        <v>116</v>
      </c>
      <c r="AA392" s="8">
        <v>45888</v>
      </c>
      <c r="AB392" s="22">
        <v>103747.11</v>
      </c>
      <c r="AC392" s="10"/>
      <c r="AD392" s="21"/>
      <c r="AE392" s="21"/>
      <c r="AF392" s="21"/>
      <c r="AG392" s="45"/>
      <c r="AH392" s="23">
        <v>103747.11</v>
      </c>
    </row>
    <row r="393" spans="1:34" s="9" customFormat="1" ht="249" customHeight="1">
      <c r="A393" s="9">
        <f ca="1">TODAY()-H393+1</f>
        <v>324</v>
      </c>
      <c r="B393" s="31">
        <v>45761</v>
      </c>
      <c r="C393" s="2" t="s">
        <v>24</v>
      </c>
      <c r="D393" s="2" t="s">
        <v>1554</v>
      </c>
      <c r="E393" s="11" t="s">
        <v>1555</v>
      </c>
      <c r="F393" s="30" t="s">
        <v>36</v>
      </c>
      <c r="G393" s="30" t="s">
        <v>2343</v>
      </c>
      <c r="H393" s="16">
        <v>45870</v>
      </c>
      <c r="I393" s="115"/>
      <c r="J393" s="115"/>
      <c r="K393" s="115"/>
      <c r="L393" s="115"/>
      <c r="M393" s="115">
        <v>45877</v>
      </c>
      <c r="N393" s="115"/>
      <c r="O393" s="115"/>
      <c r="P393" s="115">
        <v>45882</v>
      </c>
      <c r="Q393" s="115">
        <v>45882</v>
      </c>
      <c r="R393" s="115"/>
      <c r="S393" s="115"/>
      <c r="T393" s="7" t="s">
        <v>30</v>
      </c>
      <c r="U393" s="2" t="s">
        <v>2473</v>
      </c>
      <c r="V393" s="16">
        <v>45879</v>
      </c>
      <c r="W393" s="16">
        <v>45891</v>
      </c>
      <c r="X393" s="4" t="s">
        <v>2896</v>
      </c>
      <c r="Y393" s="100"/>
      <c r="Z393" s="30" t="s">
        <v>119</v>
      </c>
      <c r="AA393" s="8">
        <v>45908</v>
      </c>
      <c r="AB393" s="22">
        <v>941303</v>
      </c>
      <c r="AC393" s="10"/>
      <c r="AD393" s="21"/>
      <c r="AE393" s="21"/>
      <c r="AF393" s="21"/>
      <c r="AG393" s="45"/>
      <c r="AH393" s="23">
        <v>941303</v>
      </c>
    </row>
    <row r="394" spans="1:34" s="9" customFormat="1" ht="56.25">
      <c r="A394" s="9">
        <f ca="1">TODAY()-H394+1</f>
        <v>293</v>
      </c>
      <c r="B394" s="31">
        <v>45789</v>
      </c>
      <c r="C394" s="2" t="s">
        <v>24</v>
      </c>
      <c r="D394" s="2" t="s">
        <v>1898</v>
      </c>
      <c r="E394" s="11" t="s">
        <v>1899</v>
      </c>
      <c r="F394" s="30" t="s">
        <v>36</v>
      </c>
      <c r="G394" s="30" t="s">
        <v>2475</v>
      </c>
      <c r="H394" s="16">
        <v>45901</v>
      </c>
      <c r="I394" s="115">
        <v>45789</v>
      </c>
      <c r="J394" s="115">
        <v>45796</v>
      </c>
      <c r="K394" s="115">
        <v>45789</v>
      </c>
      <c r="L394" s="115"/>
      <c r="M394" s="115">
        <v>45877</v>
      </c>
      <c r="N394" s="115"/>
      <c r="O394" s="115"/>
      <c r="P394" s="115">
        <v>45882</v>
      </c>
      <c r="Q394" s="115">
        <v>45882</v>
      </c>
      <c r="R394" s="115"/>
      <c r="S394" s="115"/>
      <c r="T394" s="7" t="s">
        <v>30</v>
      </c>
      <c r="U394" s="2" t="s">
        <v>2473</v>
      </c>
      <c r="V394" s="16">
        <v>45879</v>
      </c>
      <c r="W394" s="16">
        <v>45890</v>
      </c>
      <c r="X394" s="4" t="s">
        <v>2892</v>
      </c>
      <c r="Y394" s="100"/>
      <c r="Z394" s="30" t="s">
        <v>113</v>
      </c>
      <c r="AA394" s="8">
        <v>45908</v>
      </c>
      <c r="AB394" s="22">
        <v>1450</v>
      </c>
      <c r="AC394" s="10"/>
      <c r="AD394" s="21"/>
      <c r="AE394" s="21"/>
      <c r="AF394" s="21"/>
      <c r="AG394" s="45"/>
      <c r="AH394" s="23">
        <v>1450</v>
      </c>
    </row>
    <row r="395" spans="1:34" s="9" customFormat="1" ht="122.25" customHeight="1">
      <c r="A395" s="9">
        <f ca="1">TODAY()-H395+1</f>
        <v>355</v>
      </c>
      <c r="B395" s="31">
        <v>45726</v>
      </c>
      <c r="C395" s="34" t="s">
        <v>40</v>
      </c>
      <c r="D395" s="2" t="s">
        <v>1401</v>
      </c>
      <c r="E395" s="11" t="s">
        <v>1402</v>
      </c>
      <c r="F395" s="30" t="s">
        <v>1933</v>
      </c>
      <c r="G395" s="30" t="s">
        <v>2775</v>
      </c>
      <c r="H395" s="16">
        <v>45839</v>
      </c>
      <c r="I395" s="115"/>
      <c r="J395" s="115"/>
      <c r="K395" s="115"/>
      <c r="L395" s="115"/>
      <c r="M395" s="115"/>
      <c r="N395" s="115"/>
      <c r="O395" s="115"/>
      <c r="P395" s="115"/>
      <c r="Q395" s="16" t="s">
        <v>1449</v>
      </c>
      <c r="R395" s="115"/>
      <c r="S395" s="115">
        <v>45901</v>
      </c>
      <c r="T395" s="7" t="s">
        <v>22</v>
      </c>
      <c r="U395" s="2" t="s">
        <v>2473</v>
      </c>
      <c r="V395" s="16">
        <v>45879</v>
      </c>
      <c r="W395" s="16">
        <v>45891</v>
      </c>
      <c r="X395" s="16"/>
      <c r="Y395" s="100"/>
      <c r="Z395" s="30" t="s">
        <v>54</v>
      </c>
      <c r="AA395" s="8">
        <v>45903</v>
      </c>
      <c r="AB395" s="10"/>
      <c r="AC395" s="10"/>
      <c r="AD395" s="21"/>
      <c r="AE395" s="105">
        <v>586661.19999999995</v>
      </c>
      <c r="AF395" s="21"/>
      <c r="AG395" s="45"/>
      <c r="AH395" s="70">
        <v>586661.19999999995</v>
      </c>
    </row>
    <row r="396" spans="1:34" s="9" customFormat="1" ht="122.25" customHeight="1">
      <c r="A396" s="9">
        <v>84</v>
      </c>
      <c r="B396" s="2">
        <v>45733</v>
      </c>
      <c r="C396" s="11" t="s">
        <v>40</v>
      </c>
      <c r="D396" s="2" t="s">
        <v>1399</v>
      </c>
      <c r="E396" s="11" t="s">
        <v>1400</v>
      </c>
      <c r="F396" s="30" t="s">
        <v>74</v>
      </c>
      <c r="G396" s="30" t="s">
        <v>2670</v>
      </c>
      <c r="H396" s="16">
        <v>45839</v>
      </c>
      <c r="I396" s="16"/>
      <c r="J396" s="16"/>
      <c r="K396" s="16"/>
      <c r="L396" s="16"/>
      <c r="M396" s="16"/>
      <c r="N396" s="16"/>
      <c r="O396" s="16"/>
      <c r="P396" s="16">
        <v>45882</v>
      </c>
      <c r="Q396" s="16" t="s">
        <v>1449</v>
      </c>
      <c r="R396" s="16"/>
      <c r="S396" s="16">
        <v>45916</v>
      </c>
      <c r="T396" s="7" t="s">
        <v>22</v>
      </c>
      <c r="U396" s="202" t="s">
        <v>2776</v>
      </c>
      <c r="V396" s="16">
        <v>45882</v>
      </c>
      <c r="W396" s="16">
        <v>45905</v>
      </c>
      <c r="X396" s="4" t="s">
        <v>2944</v>
      </c>
      <c r="Y396" s="100"/>
      <c r="Z396" s="30" t="s">
        <v>33</v>
      </c>
      <c r="AA396" s="8">
        <v>45917</v>
      </c>
      <c r="AB396" s="10"/>
      <c r="AC396" s="10"/>
      <c r="AD396" s="21"/>
      <c r="AE396" s="29">
        <v>1068004.83</v>
      </c>
      <c r="AF396" s="21"/>
      <c r="AG396" s="45"/>
      <c r="AH396" s="118">
        <v>1068004.83</v>
      </c>
    </row>
    <row r="397" spans="1:34" s="9" customFormat="1" ht="168.75">
      <c r="A397" s="9">
        <f t="shared" ref="A397:A405" ca="1" si="10">TODAY()-H397+1</f>
        <v>328</v>
      </c>
      <c r="B397" s="31">
        <v>45796</v>
      </c>
      <c r="C397" s="2" t="s">
        <v>24</v>
      </c>
      <c r="D397" s="2" t="s">
        <v>1889</v>
      </c>
      <c r="E397" s="11" t="s">
        <v>1890</v>
      </c>
      <c r="F397" s="30" t="s">
        <v>1891</v>
      </c>
      <c r="G397" s="3" t="s">
        <v>1990</v>
      </c>
      <c r="H397" s="16">
        <v>45866</v>
      </c>
      <c r="I397" s="115">
        <v>45793</v>
      </c>
      <c r="J397" s="115">
        <v>45796</v>
      </c>
      <c r="K397" s="115">
        <v>45793</v>
      </c>
      <c r="L397" s="115"/>
      <c r="M397" s="115">
        <v>45830</v>
      </c>
      <c r="N397" s="115"/>
      <c r="O397" s="115"/>
      <c r="P397" s="115">
        <v>45817</v>
      </c>
      <c r="Q397" s="115">
        <v>45811</v>
      </c>
      <c r="R397" s="115"/>
      <c r="S397" s="115"/>
      <c r="T397" s="7" t="s">
        <v>28</v>
      </c>
      <c r="U397" s="11" t="s">
        <v>2431</v>
      </c>
      <c r="V397" s="16">
        <v>45833</v>
      </c>
      <c r="W397" s="16">
        <v>45873</v>
      </c>
      <c r="X397" s="4" t="s">
        <v>2341</v>
      </c>
      <c r="Y397" s="100"/>
      <c r="Z397" s="30" t="s">
        <v>103</v>
      </c>
      <c r="AA397" s="8">
        <v>45918</v>
      </c>
      <c r="AB397" s="22">
        <v>203895</v>
      </c>
      <c r="AC397" s="10"/>
      <c r="AD397" s="21"/>
      <c r="AE397" s="21"/>
      <c r="AF397" s="21"/>
      <c r="AG397" s="45"/>
      <c r="AH397" s="23">
        <v>203895</v>
      </c>
    </row>
    <row r="398" spans="1:34" s="9" customFormat="1" ht="122.25" customHeight="1">
      <c r="A398" s="9">
        <f t="shared" ca="1" si="10"/>
        <v>294</v>
      </c>
      <c r="B398" s="31">
        <v>45789</v>
      </c>
      <c r="C398" s="2" t="s">
        <v>694</v>
      </c>
      <c r="D398" s="2" t="s">
        <v>1786</v>
      </c>
      <c r="E398" s="11" t="s">
        <v>1787</v>
      </c>
      <c r="F398" s="30" t="s">
        <v>733</v>
      </c>
      <c r="G398" s="30" t="s">
        <v>3073</v>
      </c>
      <c r="H398" s="16">
        <v>45900</v>
      </c>
      <c r="I398" s="115">
        <v>45789</v>
      </c>
      <c r="J398" s="115">
        <v>45789</v>
      </c>
      <c r="K398" s="115">
        <v>45791</v>
      </c>
      <c r="L398" s="115"/>
      <c r="M398" s="115">
        <v>45863</v>
      </c>
      <c r="N398" s="115">
        <v>45876</v>
      </c>
      <c r="O398" s="115"/>
      <c r="P398" s="115"/>
      <c r="Q398" s="115">
        <v>45895</v>
      </c>
      <c r="R398" s="115"/>
      <c r="S398" s="115"/>
      <c r="T398" s="7" t="s">
        <v>20</v>
      </c>
      <c r="U398" s="7" t="s">
        <v>2688</v>
      </c>
      <c r="V398" s="16">
        <v>45876</v>
      </c>
      <c r="W398" s="16">
        <v>45903</v>
      </c>
      <c r="X398" s="16" t="s">
        <v>2787</v>
      </c>
      <c r="Y398" s="100"/>
      <c r="Z398" s="30" t="s">
        <v>3120</v>
      </c>
      <c r="AA398" s="8"/>
      <c r="AB398" s="10"/>
      <c r="AC398" s="10">
        <v>85821.2</v>
      </c>
      <c r="AD398" s="21"/>
      <c r="AE398" s="21"/>
      <c r="AF398" s="21"/>
      <c r="AG398" s="45"/>
      <c r="AH398" s="23">
        <v>42910.6</v>
      </c>
    </row>
    <row r="399" spans="1:34" s="9" customFormat="1" ht="122.25" customHeight="1">
      <c r="A399" s="9">
        <f t="shared" ca="1" si="10"/>
        <v>371</v>
      </c>
      <c r="B399" s="31">
        <v>45754</v>
      </c>
      <c r="C399" s="2" t="s">
        <v>694</v>
      </c>
      <c r="D399" s="2" t="s">
        <v>1466</v>
      </c>
      <c r="E399" s="11" t="s">
        <v>1467</v>
      </c>
      <c r="F399" s="30" t="s">
        <v>1468</v>
      </c>
      <c r="G399" s="30" t="s">
        <v>3071</v>
      </c>
      <c r="H399" s="16">
        <v>45823</v>
      </c>
      <c r="I399" s="115"/>
      <c r="J399" s="115"/>
      <c r="K399" s="115"/>
      <c r="L399" s="115"/>
      <c r="M399" s="115" t="s">
        <v>2136</v>
      </c>
      <c r="N399" s="115"/>
      <c r="O399" s="115"/>
      <c r="P399" s="115"/>
      <c r="Q399" s="115">
        <v>45896</v>
      </c>
      <c r="R399" s="115">
        <v>45910</v>
      </c>
      <c r="S399" s="115"/>
      <c r="T399" s="7" t="s">
        <v>22</v>
      </c>
      <c r="U399" s="2" t="s">
        <v>2780</v>
      </c>
      <c r="V399" s="16">
        <v>45893</v>
      </c>
      <c r="W399" s="16">
        <v>45905</v>
      </c>
      <c r="X399" s="4" t="s">
        <v>2779</v>
      </c>
      <c r="Y399" s="100"/>
      <c r="Z399" s="30" t="s">
        <v>1469</v>
      </c>
      <c r="AA399" s="8">
        <v>45901</v>
      </c>
      <c r="AB399" s="22">
        <v>126605.18</v>
      </c>
      <c r="AC399" s="10"/>
      <c r="AD399" s="21"/>
      <c r="AE399" s="21"/>
      <c r="AF399" s="21"/>
      <c r="AG399" s="45"/>
      <c r="AH399" s="23">
        <v>126605.18</v>
      </c>
    </row>
    <row r="400" spans="1:34" s="9" customFormat="1" ht="217.5" customHeight="1">
      <c r="A400" s="9">
        <f t="shared" ca="1" si="10"/>
        <v>310</v>
      </c>
      <c r="B400" s="31">
        <v>45819</v>
      </c>
      <c r="C400" s="2" t="s">
        <v>694</v>
      </c>
      <c r="D400" s="2" t="s">
        <v>2080</v>
      </c>
      <c r="E400" s="11" t="s">
        <v>2081</v>
      </c>
      <c r="F400" s="30" t="s">
        <v>71</v>
      </c>
      <c r="G400" s="30" t="s">
        <v>3076</v>
      </c>
      <c r="H400" s="16">
        <v>45884</v>
      </c>
      <c r="I400" s="115">
        <v>45818</v>
      </c>
      <c r="J400" s="115">
        <v>45818</v>
      </c>
      <c r="K400" s="115">
        <v>45819</v>
      </c>
      <c r="L400" s="115"/>
      <c r="M400" s="115"/>
      <c r="N400" s="115"/>
      <c r="O400" s="115"/>
      <c r="P400" s="115"/>
      <c r="Q400" s="115">
        <v>45876</v>
      </c>
      <c r="R400" s="115">
        <v>45911</v>
      </c>
      <c r="S400" s="115">
        <v>45917</v>
      </c>
      <c r="T400" s="7" t="s">
        <v>22</v>
      </c>
      <c r="U400" s="4" t="s">
        <v>2611</v>
      </c>
      <c r="V400" s="286">
        <v>45869</v>
      </c>
      <c r="W400" s="16">
        <v>45902</v>
      </c>
      <c r="X400" s="292" t="s">
        <v>2806</v>
      </c>
      <c r="Y400" s="100"/>
      <c r="Z400" s="30" t="s">
        <v>46</v>
      </c>
      <c r="AA400" s="8">
        <v>45890</v>
      </c>
      <c r="AB400" s="22">
        <v>34375</v>
      </c>
      <c r="AC400" s="10"/>
      <c r="AD400" s="21"/>
      <c r="AE400" s="21"/>
      <c r="AF400" s="21"/>
      <c r="AG400" s="45"/>
      <c r="AH400" s="118">
        <v>34375</v>
      </c>
    </row>
    <row r="401" spans="1:34" s="9" customFormat="1" ht="122.25" customHeight="1">
      <c r="A401" s="9">
        <f t="shared" ca="1" si="10"/>
        <v>331</v>
      </c>
      <c r="B401" s="31">
        <v>45789</v>
      </c>
      <c r="C401" s="2" t="s">
        <v>694</v>
      </c>
      <c r="D401" s="2" t="s">
        <v>1784</v>
      </c>
      <c r="E401" s="11" t="s">
        <v>1785</v>
      </c>
      <c r="F401" s="30" t="s">
        <v>733</v>
      </c>
      <c r="G401" s="30" t="s">
        <v>3075</v>
      </c>
      <c r="H401" s="16">
        <v>45863</v>
      </c>
      <c r="I401" s="115">
        <v>45789</v>
      </c>
      <c r="J401" s="115">
        <v>45789</v>
      </c>
      <c r="K401" s="115">
        <v>45791</v>
      </c>
      <c r="L401" s="115"/>
      <c r="M401" s="115"/>
      <c r="N401" s="115"/>
      <c r="O401" s="115"/>
      <c r="P401" s="115"/>
      <c r="Q401" s="115">
        <v>45876</v>
      </c>
      <c r="R401" s="115"/>
      <c r="S401" s="115"/>
      <c r="T401" s="7" t="s">
        <v>20</v>
      </c>
      <c r="U401" s="7" t="s">
        <v>2381</v>
      </c>
      <c r="V401" s="16" t="s">
        <v>2382</v>
      </c>
      <c r="W401" s="16">
        <v>45878</v>
      </c>
      <c r="X401" s="16" t="s">
        <v>1478</v>
      </c>
      <c r="Y401" s="100"/>
      <c r="Z401" s="30" t="s">
        <v>2744</v>
      </c>
      <c r="AA401" s="8"/>
      <c r="AB401" s="10"/>
      <c r="AC401" s="22">
        <v>89375.2</v>
      </c>
      <c r="AD401" s="21"/>
      <c r="AE401" s="21"/>
      <c r="AF401" s="21"/>
      <c r="AG401" s="45"/>
      <c r="AH401" s="23">
        <v>42910.6</v>
      </c>
    </row>
    <row r="402" spans="1:34" s="9" customFormat="1" ht="122.25" customHeight="1">
      <c r="A402" s="9">
        <f t="shared" ca="1" si="10"/>
        <v>331</v>
      </c>
      <c r="B402" s="31">
        <v>45433</v>
      </c>
      <c r="C402" s="2" t="s">
        <v>2690</v>
      </c>
      <c r="D402" s="2" t="s">
        <v>159</v>
      </c>
      <c r="E402" s="11" t="s">
        <v>158</v>
      </c>
      <c r="F402" s="30" t="s">
        <v>1933</v>
      </c>
      <c r="G402" s="30" t="s">
        <v>2173</v>
      </c>
      <c r="H402" s="16">
        <v>45863</v>
      </c>
      <c r="I402" s="115"/>
      <c r="J402" s="115"/>
      <c r="K402" s="115"/>
      <c r="L402" s="115"/>
      <c r="M402" s="115"/>
      <c r="N402" s="115"/>
      <c r="O402" s="115"/>
      <c r="P402" s="204">
        <v>45859</v>
      </c>
      <c r="Q402" s="10"/>
      <c r="R402" s="115"/>
      <c r="S402" s="115"/>
      <c r="T402" s="7" t="s">
        <v>22</v>
      </c>
      <c r="U402" s="2" t="s">
        <v>2137</v>
      </c>
      <c r="V402" s="16">
        <v>45830</v>
      </c>
      <c r="W402" s="16">
        <v>45850</v>
      </c>
      <c r="X402" s="24"/>
      <c r="Y402" s="100"/>
      <c r="Z402" s="30" t="s">
        <v>33</v>
      </c>
      <c r="AA402" s="8">
        <v>45918</v>
      </c>
      <c r="AE402" s="29">
        <v>3917342.52</v>
      </c>
      <c r="AH402" s="65">
        <v>3917342.52</v>
      </c>
    </row>
    <row r="403" spans="1:34" s="9" customFormat="1" ht="122.25" customHeight="1">
      <c r="A403" s="9">
        <f t="shared" ca="1" si="10"/>
        <v>317</v>
      </c>
      <c r="B403" s="31">
        <v>45790</v>
      </c>
      <c r="C403" s="2" t="s">
        <v>24</v>
      </c>
      <c r="D403" s="2" t="s">
        <v>1903</v>
      </c>
      <c r="E403" s="11" t="s">
        <v>1904</v>
      </c>
      <c r="F403" s="30" t="s">
        <v>295</v>
      </c>
      <c r="G403" s="30" t="s">
        <v>2698</v>
      </c>
      <c r="H403" s="16">
        <v>45877</v>
      </c>
      <c r="I403" s="115">
        <v>45790</v>
      </c>
      <c r="J403" s="115">
        <v>45796</v>
      </c>
      <c r="K403" s="115">
        <v>45790</v>
      </c>
      <c r="L403" s="115"/>
      <c r="M403" s="115">
        <v>45848</v>
      </c>
      <c r="N403" s="115"/>
      <c r="O403" s="115"/>
      <c r="P403" s="115">
        <v>45856</v>
      </c>
      <c r="Q403" s="115">
        <v>45856</v>
      </c>
      <c r="R403" s="115"/>
      <c r="S403" s="115"/>
      <c r="T403" s="7" t="s">
        <v>22</v>
      </c>
      <c r="U403" s="16" t="s">
        <v>2441</v>
      </c>
      <c r="V403" s="16">
        <v>45859</v>
      </c>
      <c r="W403" s="16" t="s">
        <v>2895</v>
      </c>
      <c r="X403" s="4" t="s">
        <v>2442</v>
      </c>
      <c r="Y403" s="100"/>
      <c r="Z403" s="30" t="s">
        <v>29</v>
      </c>
      <c r="AA403" s="8">
        <v>45922</v>
      </c>
      <c r="AB403" s="10"/>
      <c r="AC403" s="22">
        <v>173162.93</v>
      </c>
      <c r="AD403" s="21"/>
      <c r="AE403" s="21"/>
      <c r="AF403" s="21"/>
      <c r="AG403" s="45"/>
      <c r="AH403" s="23">
        <v>173162.93</v>
      </c>
    </row>
    <row r="404" spans="1:34" s="9" customFormat="1" ht="122.25" customHeight="1">
      <c r="A404" s="9">
        <f t="shared" ca="1" si="10"/>
        <v>324</v>
      </c>
      <c r="B404" s="31">
        <v>45819</v>
      </c>
      <c r="C404" s="2" t="s">
        <v>694</v>
      </c>
      <c r="D404" s="2" t="s">
        <v>2076</v>
      </c>
      <c r="E404" s="11" t="s">
        <v>2077</v>
      </c>
      <c r="F404" s="30" t="s">
        <v>2078</v>
      </c>
      <c r="G404" s="30" t="s">
        <v>2079</v>
      </c>
      <c r="H404" s="16">
        <v>45870</v>
      </c>
      <c r="I404" s="115">
        <v>45818</v>
      </c>
      <c r="J404" s="115">
        <v>45818</v>
      </c>
      <c r="K404" s="115">
        <v>45818</v>
      </c>
      <c r="L404" s="115"/>
      <c r="M404" s="115"/>
      <c r="N404" s="115"/>
      <c r="O404" s="115"/>
      <c r="P404" s="115"/>
      <c r="Q404" s="115">
        <v>45861</v>
      </c>
      <c r="R404" s="115"/>
      <c r="S404" s="115"/>
      <c r="T404" s="7" t="s">
        <v>20</v>
      </c>
      <c r="U404" s="4" t="s">
        <v>2441</v>
      </c>
      <c r="V404" s="7">
        <v>45861</v>
      </c>
      <c r="W404" s="16">
        <v>45889</v>
      </c>
      <c r="X404" s="4" t="s">
        <v>2618</v>
      </c>
      <c r="Y404" s="100"/>
      <c r="Z404" s="30" t="s">
        <v>33</v>
      </c>
      <c r="AA404" s="8">
        <v>45918</v>
      </c>
      <c r="AB404" s="10"/>
      <c r="AC404" s="22">
        <v>35531.15</v>
      </c>
      <c r="AD404" s="21"/>
      <c r="AE404" s="21"/>
      <c r="AF404" s="21"/>
      <c r="AG404" s="45"/>
      <c r="AH404" s="118">
        <v>35531.15</v>
      </c>
    </row>
    <row r="405" spans="1:34" s="9" customFormat="1" ht="56.25">
      <c r="A405" s="9">
        <f t="shared" ca="1" si="10"/>
        <v>324</v>
      </c>
      <c r="B405" s="31">
        <v>45744</v>
      </c>
      <c r="C405" s="2" t="s">
        <v>24</v>
      </c>
      <c r="D405" s="2" t="s">
        <v>1411</v>
      </c>
      <c r="E405" s="11" t="s">
        <v>1413</v>
      </c>
      <c r="F405" s="30" t="s">
        <v>97</v>
      </c>
      <c r="G405" s="30" t="s">
        <v>2254</v>
      </c>
      <c r="H405" s="16">
        <v>45870</v>
      </c>
      <c r="I405" s="115"/>
      <c r="J405" s="115"/>
      <c r="K405" s="115"/>
      <c r="L405" s="115"/>
      <c r="M405" s="115">
        <v>45881</v>
      </c>
      <c r="N405" s="115"/>
      <c r="O405" s="115"/>
      <c r="P405" s="115"/>
      <c r="Q405" s="115">
        <v>45890</v>
      </c>
      <c r="R405" s="115"/>
      <c r="S405" s="115"/>
      <c r="T405" s="7" t="s">
        <v>25</v>
      </c>
      <c r="U405" s="2" t="s">
        <v>1335</v>
      </c>
      <c r="V405" s="16">
        <v>45896</v>
      </c>
      <c r="W405" s="16">
        <v>45897</v>
      </c>
      <c r="X405" s="214" t="s">
        <v>2402</v>
      </c>
      <c r="Y405" s="100"/>
      <c r="Z405" s="30" t="s">
        <v>1415</v>
      </c>
      <c r="AA405" s="8">
        <v>45925</v>
      </c>
      <c r="AB405" s="10"/>
      <c r="AC405" s="22">
        <v>2180</v>
      </c>
      <c r="AD405" s="21"/>
      <c r="AE405" s="21"/>
      <c r="AF405" s="21"/>
      <c r="AG405" s="45"/>
      <c r="AH405" s="23">
        <v>2180</v>
      </c>
    </row>
    <row r="407" spans="1:34" s="9" customFormat="1" ht="249" customHeight="1">
      <c r="A407" s="9">
        <f ca="1">TODAY()-H407+1</f>
        <v>324</v>
      </c>
      <c r="B407" s="31">
        <v>45761</v>
      </c>
      <c r="C407" s="2" t="s">
        <v>24</v>
      </c>
      <c r="D407" s="2" t="s">
        <v>1554</v>
      </c>
      <c r="E407" s="11" t="s">
        <v>1555</v>
      </c>
      <c r="F407" s="30" t="s">
        <v>36</v>
      </c>
      <c r="G407" s="30" t="s">
        <v>2891</v>
      </c>
      <c r="H407" s="16">
        <v>45870</v>
      </c>
      <c r="I407" s="115"/>
      <c r="J407" s="115"/>
      <c r="K407" s="115"/>
      <c r="L407" s="115"/>
      <c r="M407" s="115">
        <v>45877</v>
      </c>
      <c r="N407" s="115"/>
      <c r="O407" s="115"/>
      <c r="P407" s="115">
        <v>45882</v>
      </c>
      <c r="Q407" s="115">
        <v>45882</v>
      </c>
      <c r="R407" s="115"/>
      <c r="S407" s="115"/>
      <c r="T407" s="7" t="s">
        <v>30</v>
      </c>
      <c r="U407" s="2" t="s">
        <v>2473</v>
      </c>
      <c r="V407" s="16">
        <v>45879</v>
      </c>
      <c r="W407" s="16">
        <v>45891</v>
      </c>
      <c r="X407" s="4" t="s">
        <v>3016</v>
      </c>
      <c r="Y407" s="100"/>
      <c r="Z407" s="30" t="s">
        <v>119</v>
      </c>
      <c r="AA407" s="8">
        <v>45919</v>
      </c>
      <c r="AB407" s="22">
        <v>5600</v>
      </c>
      <c r="AC407" s="10"/>
      <c r="AD407" s="21"/>
      <c r="AE407" s="21"/>
      <c r="AF407" s="21"/>
      <c r="AG407" s="45"/>
      <c r="AH407" s="23"/>
    </row>
    <row r="408" spans="1:34" s="9" customFormat="1" ht="122.25" customHeight="1">
      <c r="A408" s="9">
        <f ca="1">TODAY()-H408+1</f>
        <v>320</v>
      </c>
      <c r="B408" s="31">
        <v>45833</v>
      </c>
      <c r="C408" s="2" t="s">
        <v>40</v>
      </c>
      <c r="D408" s="2" t="s">
        <v>2217</v>
      </c>
      <c r="E408" s="2" t="s">
        <v>2216</v>
      </c>
      <c r="F408" s="30" t="s">
        <v>1124</v>
      </c>
      <c r="G408" s="30" t="s">
        <v>2218</v>
      </c>
      <c r="H408" s="16">
        <v>45874</v>
      </c>
      <c r="I408" s="115"/>
      <c r="J408" s="115"/>
      <c r="K408" s="115"/>
      <c r="L408" s="115"/>
      <c r="M408" s="115"/>
      <c r="N408" s="115"/>
      <c r="O408" s="115"/>
      <c r="P408" s="115">
        <v>45873</v>
      </c>
      <c r="Q408" s="6" t="s">
        <v>1449</v>
      </c>
      <c r="R408" s="115" t="s">
        <v>2385</v>
      </c>
      <c r="S408" s="115"/>
      <c r="T408" s="7" t="s">
        <v>25</v>
      </c>
      <c r="U408" s="84" t="s">
        <v>2851</v>
      </c>
      <c r="V408" s="16">
        <v>45875</v>
      </c>
      <c r="W408" s="16" t="s">
        <v>2904</v>
      </c>
      <c r="X408" s="4" t="s">
        <v>2905</v>
      </c>
      <c r="Y408" s="100"/>
      <c r="Z408" s="30" t="s">
        <v>2219</v>
      </c>
      <c r="AA408" s="8">
        <v>47023</v>
      </c>
      <c r="AB408" s="10"/>
      <c r="AC408" s="22">
        <v>77366.100000000006</v>
      </c>
      <c r="AD408" s="21"/>
      <c r="AE408" s="21"/>
      <c r="AF408" s="21"/>
      <c r="AG408" s="45"/>
      <c r="AH408" s="118">
        <v>77366.100000000006</v>
      </c>
    </row>
    <row r="409" spans="1:34" s="9" customFormat="1" ht="90" customHeight="1">
      <c r="A409" s="9">
        <f ca="1">TODAY()-H409+1</f>
        <v>385</v>
      </c>
      <c r="B409" s="31">
        <v>45708</v>
      </c>
      <c r="C409" s="34" t="s">
        <v>40</v>
      </c>
      <c r="D409" s="2" t="s">
        <v>1091</v>
      </c>
      <c r="E409" s="11" t="s">
        <v>1092</v>
      </c>
      <c r="F409" s="30" t="s">
        <v>74</v>
      </c>
      <c r="G409" s="30" t="s">
        <v>1717</v>
      </c>
      <c r="H409" s="16">
        <v>45809</v>
      </c>
      <c r="I409" s="115"/>
      <c r="J409" s="115"/>
      <c r="K409" s="115"/>
      <c r="L409" s="115"/>
      <c r="M409" s="115"/>
      <c r="N409" s="115"/>
      <c r="O409" s="115"/>
      <c r="P409" s="115">
        <v>45873</v>
      </c>
      <c r="Q409" s="16"/>
      <c r="R409" s="115"/>
      <c r="S409" s="115">
        <v>45918</v>
      </c>
      <c r="T409" s="7" t="s">
        <v>22</v>
      </c>
      <c r="U409" s="2" t="s">
        <v>2577</v>
      </c>
      <c r="V409" s="16">
        <v>45847</v>
      </c>
      <c r="W409" s="182" t="s">
        <v>2822</v>
      </c>
      <c r="X409" s="134"/>
      <c r="Z409" s="30" t="s">
        <v>54</v>
      </c>
      <c r="AA409" s="8">
        <v>45889</v>
      </c>
      <c r="AB409" s="10"/>
      <c r="AC409" s="10"/>
      <c r="AD409" s="21"/>
      <c r="AE409" s="22">
        <v>1139157.75</v>
      </c>
      <c r="AF409" s="21"/>
      <c r="AG409" s="45"/>
      <c r="AH409" s="23">
        <v>1139157.75</v>
      </c>
    </row>
    <row r="410" spans="1:34" s="9" customFormat="1" ht="122.25" customHeight="1">
      <c r="B410" s="31">
        <v>45784</v>
      </c>
      <c r="C410" s="2" t="s">
        <v>40</v>
      </c>
      <c r="D410" s="2" t="s">
        <v>1815</v>
      </c>
      <c r="E410" s="11" t="s">
        <v>1816</v>
      </c>
      <c r="F410" s="30" t="s">
        <v>844</v>
      </c>
      <c r="G410" s="30" t="s">
        <v>3158</v>
      </c>
      <c r="H410" s="16">
        <v>45868</v>
      </c>
      <c r="I410" s="115"/>
      <c r="J410" s="115"/>
      <c r="K410" s="115"/>
      <c r="L410" s="228"/>
      <c r="M410" s="229">
        <v>45803</v>
      </c>
      <c r="N410" s="115"/>
      <c r="O410" s="115"/>
      <c r="P410" s="115">
        <v>45873</v>
      </c>
      <c r="Q410" s="16" t="s">
        <v>1840</v>
      </c>
      <c r="R410" s="115" t="s">
        <v>878</v>
      </c>
      <c r="S410" s="115">
        <v>45917</v>
      </c>
      <c r="T410" s="7" t="s">
        <v>22</v>
      </c>
      <c r="U410" s="84" t="s">
        <v>2555</v>
      </c>
      <c r="V410" s="16" t="s">
        <v>2556</v>
      </c>
      <c r="W410" s="16" t="s">
        <v>2996</v>
      </c>
      <c r="X410" s="84" t="s">
        <v>2643</v>
      </c>
      <c r="Y410" s="100"/>
      <c r="Z410" s="30" t="s">
        <v>55</v>
      </c>
      <c r="AA410" s="8">
        <v>45870</v>
      </c>
      <c r="AB410" s="22">
        <v>14964</v>
      </c>
      <c r="AC410" s="10"/>
      <c r="AD410" s="21"/>
      <c r="AE410" s="21"/>
      <c r="AF410" s="21"/>
      <c r="AG410" s="45"/>
      <c r="AH410" s="10">
        <v>14964</v>
      </c>
    </row>
    <row r="411" spans="1:34" s="9" customFormat="1" ht="75">
      <c r="A411" s="9">
        <f ca="1">TODAY()-H411+1</f>
        <v>324</v>
      </c>
      <c r="B411" s="31">
        <v>45776</v>
      </c>
      <c r="C411" s="2" t="s">
        <v>694</v>
      </c>
      <c r="D411" s="2" t="s">
        <v>1718</v>
      </c>
      <c r="E411" s="11" t="s">
        <v>1720</v>
      </c>
      <c r="F411" s="30" t="s">
        <v>105</v>
      </c>
      <c r="G411" s="30" t="s">
        <v>2626</v>
      </c>
      <c r="H411" s="16">
        <v>45870</v>
      </c>
      <c r="I411" s="115"/>
      <c r="J411" s="115"/>
      <c r="K411" s="115"/>
      <c r="L411" s="115"/>
      <c r="M411" s="115"/>
      <c r="N411" s="115"/>
      <c r="O411" s="115"/>
      <c r="P411" s="115"/>
      <c r="Q411" s="115" t="s">
        <v>2531</v>
      </c>
      <c r="R411" s="115"/>
      <c r="S411" s="115">
        <v>45870</v>
      </c>
      <c r="T411" s="2" t="s">
        <v>22</v>
      </c>
      <c r="U411" s="2" t="s">
        <v>2120</v>
      </c>
      <c r="V411" s="16">
        <v>45836</v>
      </c>
      <c r="W411" s="16">
        <v>45858</v>
      </c>
      <c r="X411" s="16"/>
      <c r="Y411" s="100"/>
      <c r="Z411" s="30" t="s">
        <v>89</v>
      </c>
      <c r="AA411" s="8">
        <v>45896</v>
      </c>
      <c r="AB411" s="22">
        <v>233135.65</v>
      </c>
      <c r="AC411" s="10"/>
      <c r="AD411" s="21"/>
      <c r="AE411" s="21"/>
      <c r="AF411" s="21"/>
      <c r="AG411" s="45"/>
      <c r="AH411" s="23">
        <v>233135.65</v>
      </c>
    </row>
    <row r="412" spans="1:34" s="9" customFormat="1" ht="286.5" customHeight="1">
      <c r="A412" s="9">
        <f ca="1">TODAY()-H412+1</f>
        <v>324</v>
      </c>
      <c r="B412" s="31">
        <v>45776</v>
      </c>
      <c r="C412" s="2" t="s">
        <v>694</v>
      </c>
      <c r="D412" s="2" t="s">
        <v>1718</v>
      </c>
      <c r="E412" s="11" t="s">
        <v>1720</v>
      </c>
      <c r="F412" s="30" t="s">
        <v>105</v>
      </c>
      <c r="G412" s="30" t="s">
        <v>2627</v>
      </c>
      <c r="H412" s="16">
        <v>45870</v>
      </c>
      <c r="I412" s="115"/>
      <c r="J412" s="115"/>
      <c r="K412" s="115"/>
      <c r="L412" s="115"/>
      <c r="M412" s="115"/>
      <c r="N412" s="115"/>
      <c r="O412" s="115"/>
      <c r="P412" s="115"/>
      <c r="Q412" s="115" t="s">
        <v>2531</v>
      </c>
      <c r="R412" s="115"/>
      <c r="S412" s="115">
        <v>45870</v>
      </c>
      <c r="T412" s="7" t="s">
        <v>22</v>
      </c>
      <c r="U412" s="2" t="s">
        <v>2233</v>
      </c>
      <c r="V412" s="16">
        <v>45842</v>
      </c>
      <c r="W412" s="16">
        <v>45859</v>
      </c>
      <c r="X412" s="4"/>
      <c r="Y412" s="100"/>
      <c r="Z412" s="30" t="s">
        <v>89</v>
      </c>
      <c r="AA412" s="8">
        <v>45896</v>
      </c>
      <c r="AB412" s="22">
        <v>210315.02</v>
      </c>
      <c r="AC412" s="10"/>
      <c r="AD412" s="21"/>
      <c r="AE412" s="21"/>
      <c r="AF412" s="21"/>
      <c r="AG412" s="45"/>
      <c r="AH412" s="23">
        <v>210315.02</v>
      </c>
    </row>
    <row r="413" spans="1:34" s="9" customFormat="1" ht="225">
      <c r="A413" s="9">
        <f ca="1">TODAY()-H413+1</f>
        <v>324</v>
      </c>
      <c r="B413" s="31">
        <v>45743</v>
      </c>
      <c r="C413" s="2" t="s">
        <v>24</v>
      </c>
      <c r="D413" s="2" t="s">
        <v>1410</v>
      </c>
      <c r="E413" s="11" t="s">
        <v>1412</v>
      </c>
      <c r="F413" s="30" t="s">
        <v>45</v>
      </c>
      <c r="G413" s="30" t="s">
        <v>2403</v>
      </c>
      <c r="H413" s="16">
        <v>45870</v>
      </c>
      <c r="I413" s="115"/>
      <c r="J413" s="115"/>
      <c r="K413" s="115"/>
      <c r="L413" s="115"/>
      <c r="M413" s="115">
        <v>45825</v>
      </c>
      <c r="N413" s="115"/>
      <c r="O413" s="115"/>
      <c r="P413" s="115">
        <v>45847</v>
      </c>
      <c r="Q413" s="115">
        <v>45847</v>
      </c>
      <c r="R413" s="115"/>
      <c r="S413" s="115"/>
      <c r="T413" s="7" t="s">
        <v>1414</v>
      </c>
      <c r="U413" s="2" t="s">
        <v>2883</v>
      </c>
      <c r="V413" s="16" t="s">
        <v>2810</v>
      </c>
      <c r="W413" s="16" t="s">
        <v>3117</v>
      </c>
      <c r="X413" s="4" t="s">
        <v>3021</v>
      </c>
      <c r="Y413" s="100"/>
      <c r="Z413" s="30" t="s">
        <v>717</v>
      </c>
      <c r="AA413" s="8">
        <v>45891</v>
      </c>
      <c r="AB413" s="10"/>
      <c r="AC413" s="10"/>
      <c r="AD413" s="29">
        <v>2225</v>
      </c>
      <c r="AE413" s="21"/>
      <c r="AF413" s="21"/>
      <c r="AG413" s="45"/>
      <c r="AH413" s="23">
        <v>2225</v>
      </c>
    </row>
    <row r="414" spans="1:34" s="9" customFormat="1" ht="122.25" customHeight="1">
      <c r="B414" s="31">
        <v>45784</v>
      </c>
      <c r="C414" s="2" t="s">
        <v>27</v>
      </c>
      <c r="D414" s="2" t="s">
        <v>1815</v>
      </c>
      <c r="E414" s="11" t="s">
        <v>1816</v>
      </c>
      <c r="F414" s="30" t="s">
        <v>844</v>
      </c>
      <c r="G414" s="30" t="s">
        <v>2031</v>
      </c>
      <c r="H414" s="16">
        <v>45868</v>
      </c>
      <c r="I414" s="115"/>
      <c r="J414" s="115"/>
      <c r="K414" s="115"/>
      <c r="L414" s="228"/>
      <c r="M414" s="229">
        <v>45856</v>
      </c>
      <c r="N414" s="115"/>
      <c r="O414" s="115"/>
      <c r="P414" s="115">
        <v>45873</v>
      </c>
      <c r="Q414" s="16" t="s">
        <v>1840</v>
      </c>
      <c r="R414" s="115" t="s">
        <v>3161</v>
      </c>
      <c r="S414" s="115">
        <v>45926</v>
      </c>
      <c r="T414" s="7" t="s">
        <v>22</v>
      </c>
      <c r="U414" s="275" t="s">
        <v>2969</v>
      </c>
      <c r="V414" s="16" t="s">
        <v>2797</v>
      </c>
      <c r="W414" s="16" t="s">
        <v>2968</v>
      </c>
      <c r="X414" s="84" t="s">
        <v>2970</v>
      </c>
      <c r="Y414" s="100"/>
      <c r="Z414" s="30" t="s">
        <v>55</v>
      </c>
      <c r="AA414" s="8">
        <v>45884</v>
      </c>
      <c r="AB414" s="22">
        <v>14964</v>
      </c>
      <c r="AC414" s="10"/>
      <c r="AD414" s="21"/>
      <c r="AE414" s="21"/>
      <c r="AF414" s="21"/>
      <c r="AG414" s="45"/>
      <c r="AH414" s="23">
        <v>14964</v>
      </c>
    </row>
    <row r="415" spans="1:34" s="9" customFormat="1" ht="56.25">
      <c r="A415" s="9">
        <f t="shared" ref="A415:A424" ca="1" si="11">TODAY()-H415+1</f>
        <v>303</v>
      </c>
      <c r="B415" s="31">
        <v>45796</v>
      </c>
      <c r="C415" s="2" t="s">
        <v>24</v>
      </c>
      <c r="D415" s="2" t="s">
        <v>1884</v>
      </c>
      <c r="E415" s="11" t="s">
        <v>1887</v>
      </c>
      <c r="F415" s="30" t="s">
        <v>95</v>
      </c>
      <c r="G415" s="30" t="s">
        <v>2767</v>
      </c>
      <c r="H415" s="16">
        <v>45891</v>
      </c>
      <c r="I415" s="115">
        <v>45793</v>
      </c>
      <c r="J415" s="115">
        <v>45796</v>
      </c>
      <c r="K415" s="115">
        <v>45793</v>
      </c>
      <c r="L415" s="115"/>
      <c r="M415" s="115">
        <v>45864</v>
      </c>
      <c r="N415" s="115"/>
      <c r="O415" s="115">
        <v>45874</v>
      </c>
      <c r="P415" s="115">
        <v>45875</v>
      </c>
      <c r="Q415" s="115">
        <v>45875</v>
      </c>
      <c r="R415" s="115"/>
      <c r="S415" s="115"/>
      <c r="T415" s="7" t="s">
        <v>22</v>
      </c>
      <c r="U415" s="2" t="s">
        <v>2888</v>
      </c>
      <c r="V415" s="2" t="s">
        <v>2889</v>
      </c>
      <c r="W415" s="16" t="s">
        <v>2948</v>
      </c>
      <c r="X415" s="84" t="s">
        <v>2887</v>
      </c>
      <c r="Y415" s="100"/>
      <c r="Z415" s="30" t="s">
        <v>33</v>
      </c>
      <c r="AA415" s="8">
        <v>45933</v>
      </c>
      <c r="AB415" s="10"/>
      <c r="AC415" s="22">
        <v>168225.84</v>
      </c>
      <c r="AD415" s="21"/>
      <c r="AE415" s="21"/>
      <c r="AF415" s="21"/>
      <c r="AG415" s="45"/>
      <c r="AH415" s="23">
        <v>168225.84</v>
      </c>
    </row>
    <row r="416" spans="1:34" s="9" customFormat="1" ht="291.75" customHeight="1">
      <c r="A416" s="9">
        <f t="shared" ca="1" si="11"/>
        <v>293</v>
      </c>
      <c r="B416" s="31">
        <v>45789</v>
      </c>
      <c r="C416" s="2" t="s">
        <v>24</v>
      </c>
      <c r="D416" s="2" t="s">
        <v>1898</v>
      </c>
      <c r="E416" s="11" t="s">
        <v>1899</v>
      </c>
      <c r="F416" s="30" t="s">
        <v>36</v>
      </c>
      <c r="G416" s="30" t="s">
        <v>2474</v>
      </c>
      <c r="H416" s="16">
        <v>45901</v>
      </c>
      <c r="I416" s="115">
        <v>45789</v>
      </c>
      <c r="J416" s="115">
        <v>45796</v>
      </c>
      <c r="K416" s="115">
        <v>45789</v>
      </c>
      <c r="L416" s="115"/>
      <c r="M416" s="115">
        <v>45898</v>
      </c>
      <c r="N416" s="115"/>
      <c r="O416" s="115">
        <v>45887</v>
      </c>
      <c r="P416" s="115">
        <v>45888</v>
      </c>
      <c r="Q416" s="115">
        <v>45888</v>
      </c>
      <c r="R416" s="115"/>
      <c r="S416" s="115"/>
      <c r="T416" s="7" t="s">
        <v>30</v>
      </c>
      <c r="U416" s="2" t="s">
        <v>2719</v>
      </c>
      <c r="V416" s="16">
        <v>45893</v>
      </c>
      <c r="W416" s="16" t="s">
        <v>2946</v>
      </c>
      <c r="X416" s="4" t="s">
        <v>3017</v>
      </c>
      <c r="Y416" s="100"/>
      <c r="Z416" s="30" t="s">
        <v>113</v>
      </c>
      <c r="AA416" s="8">
        <v>45928</v>
      </c>
      <c r="AB416" s="22">
        <v>2126067.06</v>
      </c>
      <c r="AC416" s="10"/>
      <c r="AD416" s="21"/>
      <c r="AE416" s="21"/>
      <c r="AF416" s="21"/>
      <c r="AG416" s="45"/>
      <c r="AH416" s="23">
        <v>2126067.06</v>
      </c>
    </row>
    <row r="417" spans="1:35" s="7" customFormat="1" ht="122.25" customHeight="1">
      <c r="A417" s="9">
        <f t="shared" ca="1" si="11"/>
        <v>324</v>
      </c>
      <c r="B417" s="31">
        <v>45819</v>
      </c>
      <c r="C417" s="2" t="s">
        <v>694</v>
      </c>
      <c r="D417" s="2" t="s">
        <v>2082</v>
      </c>
      <c r="E417" s="11" t="s">
        <v>2083</v>
      </c>
      <c r="F417" s="30" t="s">
        <v>2084</v>
      </c>
      <c r="G417" s="30" t="s">
        <v>2085</v>
      </c>
      <c r="H417" s="16">
        <v>45870</v>
      </c>
      <c r="I417" s="115">
        <v>45819</v>
      </c>
      <c r="J417" s="115">
        <v>45819</v>
      </c>
      <c r="K417" s="115">
        <v>45819</v>
      </c>
      <c r="L417" s="115"/>
      <c r="M417" s="115"/>
      <c r="N417" s="115"/>
      <c r="O417" s="115"/>
      <c r="P417" s="115"/>
      <c r="Q417" s="115">
        <v>45924</v>
      </c>
      <c r="R417" s="115" t="s">
        <v>3093</v>
      </c>
      <c r="S417" s="115">
        <v>45929</v>
      </c>
      <c r="T417" s="7" t="s">
        <v>2086</v>
      </c>
      <c r="U417" s="16" t="s">
        <v>2863</v>
      </c>
      <c r="V417" s="286">
        <v>45882</v>
      </c>
      <c r="W417" s="16">
        <v>45925</v>
      </c>
      <c r="X417" s="292" t="s">
        <v>2864</v>
      </c>
      <c r="Y417" s="100"/>
      <c r="Z417" s="30" t="s">
        <v>54</v>
      </c>
      <c r="AA417" s="8">
        <v>45929</v>
      </c>
      <c r="AB417" s="10"/>
      <c r="AC417" s="22">
        <v>6116.45</v>
      </c>
      <c r="AD417" s="21"/>
      <c r="AE417" s="21"/>
      <c r="AF417" s="21"/>
      <c r="AG417" s="45"/>
      <c r="AH417" s="118">
        <v>6116.45</v>
      </c>
      <c r="AI417" s="9"/>
    </row>
    <row r="418" spans="1:35" s="9" customFormat="1" ht="122.25" customHeight="1">
      <c r="A418" s="9">
        <f t="shared" ca="1" si="11"/>
        <v>355</v>
      </c>
      <c r="B418" s="31">
        <v>45754</v>
      </c>
      <c r="C418" s="2" t="s">
        <v>694</v>
      </c>
      <c r="D418" s="2" t="s">
        <v>1470</v>
      </c>
      <c r="E418" s="11" t="s">
        <v>1471</v>
      </c>
      <c r="F418" s="30" t="s">
        <v>806</v>
      </c>
      <c r="G418" s="30" t="s">
        <v>3070</v>
      </c>
      <c r="H418" s="16">
        <v>45839</v>
      </c>
      <c r="I418" s="115"/>
      <c r="J418" s="115"/>
      <c r="K418" s="115"/>
      <c r="L418" s="115"/>
      <c r="M418" s="115">
        <v>45869</v>
      </c>
      <c r="N418" s="115"/>
      <c r="O418" s="115"/>
      <c r="P418" s="115"/>
      <c r="Q418" s="115">
        <v>45911</v>
      </c>
      <c r="R418" s="115"/>
      <c r="S418" s="115">
        <v>45924</v>
      </c>
      <c r="T418" s="7" t="s">
        <v>28</v>
      </c>
      <c r="U418" s="2" t="s">
        <v>2579</v>
      </c>
      <c r="V418" s="16">
        <v>45882</v>
      </c>
      <c r="W418" s="16">
        <v>45916</v>
      </c>
      <c r="X418" s="291" t="s">
        <v>2578</v>
      </c>
      <c r="Y418" s="100"/>
      <c r="Z418" s="30" t="s">
        <v>3144</v>
      </c>
      <c r="AA418" s="8"/>
      <c r="AB418" s="22">
        <v>151856.9</v>
      </c>
      <c r="AC418" s="10"/>
      <c r="AD418" s="21"/>
      <c r="AE418" s="21"/>
      <c r="AF418" s="21"/>
      <c r="AG418" s="45"/>
      <c r="AH418" s="23">
        <v>151856.9</v>
      </c>
    </row>
    <row r="419" spans="1:35" s="9" customFormat="1" ht="63" customHeight="1">
      <c r="A419" s="9">
        <f t="shared" ca="1" si="11"/>
        <v>293</v>
      </c>
      <c r="B419" s="31">
        <v>45800</v>
      </c>
      <c r="C419" s="2" t="s">
        <v>694</v>
      </c>
      <c r="D419" s="2" t="s">
        <v>1952</v>
      </c>
      <c r="E419" s="11" t="s">
        <v>1953</v>
      </c>
      <c r="F419" s="30" t="s">
        <v>311</v>
      </c>
      <c r="G419" s="30" t="s">
        <v>2633</v>
      </c>
      <c r="H419" s="16">
        <v>45901</v>
      </c>
      <c r="I419" s="115">
        <v>45800</v>
      </c>
      <c r="J419" s="115">
        <v>45800</v>
      </c>
      <c r="K419" s="115">
        <v>45800</v>
      </c>
      <c r="L419" s="115"/>
      <c r="M419" s="115"/>
      <c r="N419" s="115"/>
      <c r="O419" s="115"/>
      <c r="P419" s="115"/>
      <c r="Q419" s="115">
        <v>45882</v>
      </c>
      <c r="R419" s="115">
        <v>45911</v>
      </c>
      <c r="S419" s="115">
        <v>45916</v>
      </c>
      <c r="T419" s="7" t="s">
        <v>22</v>
      </c>
      <c r="U419" s="297" t="s">
        <v>2723</v>
      </c>
      <c r="V419" s="286">
        <v>45874</v>
      </c>
      <c r="W419" s="16">
        <v>45900</v>
      </c>
      <c r="X419" s="292" t="s">
        <v>2722</v>
      </c>
      <c r="Y419" s="100"/>
      <c r="Z419" s="30" t="s">
        <v>46</v>
      </c>
      <c r="AA419" s="8">
        <v>45895</v>
      </c>
      <c r="AB419" s="22">
        <v>20565</v>
      </c>
      <c r="AC419" s="10"/>
      <c r="AD419" s="21"/>
      <c r="AE419" s="21"/>
      <c r="AF419" s="21"/>
      <c r="AG419" s="45"/>
      <c r="AH419" s="118">
        <v>20565</v>
      </c>
    </row>
    <row r="420" spans="1:35" s="9" customFormat="1" ht="122.25" customHeight="1">
      <c r="A420" s="9">
        <f t="shared" ca="1" si="11"/>
        <v>293</v>
      </c>
      <c r="B420" s="31">
        <v>45800</v>
      </c>
      <c r="C420" s="2" t="s">
        <v>694</v>
      </c>
      <c r="D420" s="2" t="s">
        <v>1939</v>
      </c>
      <c r="E420" s="11" t="s">
        <v>1940</v>
      </c>
      <c r="F420" s="30" t="s">
        <v>31</v>
      </c>
      <c r="G420" s="30" t="s">
        <v>1941</v>
      </c>
      <c r="H420" s="16">
        <v>45901</v>
      </c>
      <c r="I420" s="115">
        <v>45800</v>
      </c>
      <c r="J420" s="115">
        <v>45800</v>
      </c>
      <c r="K420" s="115">
        <v>45827</v>
      </c>
      <c r="L420" s="115"/>
      <c r="M420" s="115"/>
      <c r="N420" s="115"/>
      <c r="O420" s="115"/>
      <c r="P420" s="115"/>
      <c r="Q420" s="115">
        <v>45904</v>
      </c>
      <c r="R420" s="115"/>
      <c r="S420" s="115">
        <v>45910</v>
      </c>
      <c r="T420" s="7" t="s">
        <v>22</v>
      </c>
      <c r="U420" s="4" t="s">
        <v>2781</v>
      </c>
      <c r="V420" s="286">
        <v>45873</v>
      </c>
      <c r="W420" s="16">
        <v>45900</v>
      </c>
      <c r="X420" s="291" t="s">
        <v>2718</v>
      </c>
      <c r="Y420" s="100"/>
      <c r="Z420" s="30" t="s">
        <v>1942</v>
      </c>
      <c r="AA420" s="8">
        <v>45853</v>
      </c>
      <c r="AB420" s="22">
        <v>560887.47</v>
      </c>
      <c r="AC420" s="10"/>
      <c r="AD420" s="21"/>
      <c r="AE420" s="21"/>
      <c r="AF420" s="21"/>
      <c r="AG420" s="45"/>
      <c r="AH420" s="10">
        <v>560887.47</v>
      </c>
    </row>
    <row r="421" spans="1:35" s="9" customFormat="1" ht="75">
      <c r="A421" s="9">
        <f t="shared" ca="1" si="11"/>
        <v>310</v>
      </c>
      <c r="B421" s="31">
        <v>45819</v>
      </c>
      <c r="C421" s="2" t="s">
        <v>694</v>
      </c>
      <c r="D421" s="2" t="s">
        <v>2067</v>
      </c>
      <c r="E421" s="11" t="s">
        <v>2068</v>
      </c>
      <c r="F421" s="30" t="s">
        <v>2069</v>
      </c>
      <c r="G421" s="30" t="s">
        <v>2070</v>
      </c>
      <c r="H421" s="16">
        <v>45884</v>
      </c>
      <c r="I421" s="115">
        <v>45818</v>
      </c>
      <c r="J421" s="115">
        <v>45819</v>
      </c>
      <c r="K421" s="115">
        <v>45827</v>
      </c>
      <c r="L421" s="115"/>
      <c r="M421" s="115"/>
      <c r="N421" s="115"/>
      <c r="O421" s="115"/>
      <c r="P421" s="115"/>
      <c r="Q421" s="115">
        <v>45882</v>
      </c>
      <c r="R421" s="115" t="s">
        <v>3153</v>
      </c>
      <c r="S421" s="115" t="s">
        <v>3297</v>
      </c>
      <c r="T421" s="7" t="s">
        <v>22</v>
      </c>
      <c r="U421" s="7" t="s">
        <v>2817</v>
      </c>
      <c r="V421" s="286">
        <v>45898</v>
      </c>
      <c r="W421" s="16">
        <v>45918</v>
      </c>
      <c r="X421" s="294" t="s">
        <v>2816</v>
      </c>
      <c r="Y421" s="100"/>
      <c r="Z421" s="30" t="s">
        <v>23</v>
      </c>
      <c r="AA421" s="8">
        <v>45901</v>
      </c>
      <c r="AB421" s="22">
        <v>17742.7</v>
      </c>
      <c r="AC421" s="10"/>
      <c r="AD421" s="21"/>
      <c r="AE421" s="21"/>
      <c r="AF421" s="21"/>
      <c r="AG421" s="45"/>
      <c r="AH421" s="118">
        <v>17742.7</v>
      </c>
    </row>
    <row r="422" spans="1:35" s="9" customFormat="1" ht="122.25" customHeight="1">
      <c r="A422" s="9">
        <f t="shared" ca="1" si="11"/>
        <v>293</v>
      </c>
      <c r="B422" s="31">
        <v>45819</v>
      </c>
      <c r="C422" s="2" t="s">
        <v>694</v>
      </c>
      <c r="D422" s="2" t="s">
        <v>2071</v>
      </c>
      <c r="E422" s="11" t="s">
        <v>2072</v>
      </c>
      <c r="F422" s="30" t="s">
        <v>87</v>
      </c>
      <c r="G422" s="30" t="s">
        <v>2073</v>
      </c>
      <c r="H422" s="16">
        <v>45901</v>
      </c>
      <c r="I422" s="115">
        <v>45818</v>
      </c>
      <c r="J422" s="115">
        <v>45818</v>
      </c>
      <c r="K422" s="115">
        <v>45818</v>
      </c>
      <c r="L422" s="115"/>
      <c r="M422" s="115"/>
      <c r="N422" s="115"/>
      <c r="O422" s="115"/>
      <c r="P422" s="115"/>
      <c r="Q422" s="115">
        <v>45873</v>
      </c>
      <c r="R422" s="115">
        <v>45909</v>
      </c>
      <c r="S422" s="115">
        <v>45910</v>
      </c>
      <c r="T422" s="7" t="s">
        <v>20</v>
      </c>
      <c r="U422" s="2" t="s">
        <v>2601</v>
      </c>
      <c r="V422" s="286">
        <v>45869</v>
      </c>
      <c r="W422" s="16">
        <v>45901</v>
      </c>
      <c r="X422" s="294" t="s">
        <v>2600</v>
      </c>
      <c r="Y422" s="100"/>
      <c r="Z422" s="30" t="s">
        <v>33</v>
      </c>
      <c r="AA422" s="8">
        <v>45927</v>
      </c>
      <c r="AB422" s="10"/>
      <c r="AC422" s="22">
        <v>38407.760000000002</v>
      </c>
      <c r="AD422" s="21"/>
      <c r="AE422" s="21"/>
      <c r="AF422" s="21"/>
      <c r="AG422" s="45"/>
      <c r="AH422" s="118">
        <v>38407.760000000002</v>
      </c>
    </row>
    <row r="423" spans="1:35" s="9" customFormat="1" ht="131.25">
      <c r="A423" s="9">
        <f t="shared" ca="1" si="11"/>
        <v>385</v>
      </c>
      <c r="B423" s="31">
        <v>45708</v>
      </c>
      <c r="C423" s="34" t="s">
        <v>40</v>
      </c>
      <c r="D423" s="2" t="s">
        <v>1093</v>
      </c>
      <c r="E423" s="11" t="s">
        <v>1094</v>
      </c>
      <c r="F423" s="30" t="s">
        <v>1933</v>
      </c>
      <c r="G423" s="30" t="s">
        <v>2801</v>
      </c>
      <c r="H423" s="16">
        <v>45809</v>
      </c>
      <c r="I423" s="115"/>
      <c r="J423" s="115"/>
      <c r="K423" s="115"/>
      <c r="L423" s="115"/>
      <c r="M423" s="115"/>
      <c r="N423" s="115"/>
      <c r="O423" s="115"/>
      <c r="P423" s="115">
        <v>45859</v>
      </c>
      <c r="Q423" s="16"/>
      <c r="R423" s="115"/>
      <c r="S423" s="281">
        <v>45875</v>
      </c>
      <c r="T423" s="7" t="s">
        <v>22</v>
      </c>
      <c r="U423" s="2" t="s">
        <v>2137</v>
      </c>
      <c r="V423" s="16">
        <v>45830</v>
      </c>
      <c r="W423" s="16">
        <v>45850</v>
      </c>
      <c r="X423" s="24"/>
      <c r="Z423" s="30" t="s">
        <v>54</v>
      </c>
      <c r="AA423" s="8">
        <v>45923</v>
      </c>
      <c r="AB423" s="10"/>
      <c r="AC423" s="10"/>
      <c r="AD423" s="21"/>
      <c r="AE423" s="29">
        <f>50906.83+431791.54+2183724.99</f>
        <v>2666423.3600000003</v>
      </c>
      <c r="AF423" s="21"/>
      <c r="AG423" s="45"/>
      <c r="AH423" s="21">
        <f>50906.83+431791.54+2183724.99</f>
        <v>2666423.3600000003</v>
      </c>
    </row>
    <row r="424" spans="1:35" s="9" customFormat="1" ht="144.6" customHeight="1">
      <c r="A424" s="9">
        <f t="shared" ca="1" si="11"/>
        <v>355</v>
      </c>
      <c r="B424" s="31">
        <v>45726</v>
      </c>
      <c r="C424" s="34" t="s">
        <v>40</v>
      </c>
      <c r="D424" s="2" t="s">
        <v>1401</v>
      </c>
      <c r="E424" s="11" t="s">
        <v>1402</v>
      </c>
      <c r="F424" s="30" t="s">
        <v>1933</v>
      </c>
      <c r="G424" s="30" t="s">
        <v>2802</v>
      </c>
      <c r="H424" s="16">
        <v>45839</v>
      </c>
      <c r="I424" s="115"/>
      <c r="J424" s="115"/>
      <c r="K424" s="115"/>
      <c r="L424" s="115"/>
      <c r="M424" s="115"/>
      <c r="N424" s="115"/>
      <c r="O424" s="115"/>
      <c r="P424" s="115">
        <v>45859</v>
      </c>
      <c r="Q424" s="16"/>
      <c r="R424" s="115"/>
      <c r="S424" s="78" t="s">
        <v>2589</v>
      </c>
      <c r="T424" s="7" t="s">
        <v>22</v>
      </c>
      <c r="U424" s="2" t="s">
        <v>2137</v>
      </c>
      <c r="V424" s="16">
        <v>45830</v>
      </c>
      <c r="W424" s="16">
        <v>45850</v>
      </c>
      <c r="X424" s="24"/>
      <c r="Y424" s="100"/>
      <c r="Z424" s="30" t="s">
        <v>54</v>
      </c>
      <c r="AA424" s="8">
        <v>45923</v>
      </c>
      <c r="AB424" s="10"/>
      <c r="AC424" s="10"/>
      <c r="AD424" s="21"/>
      <c r="AE424" s="105">
        <f>586661.2+3510345.89+4403441.15+177796.51</f>
        <v>8678244.75</v>
      </c>
      <c r="AF424" s="21"/>
      <c r="AG424" s="45"/>
      <c r="AH424" s="70">
        <f>586661.2+3510345.89+4403441.15+177796.51</f>
        <v>8678244.75</v>
      </c>
    </row>
    <row r="425" spans="1:35" s="9" customFormat="1" ht="78" customHeight="1">
      <c r="A425" s="9">
        <v>41</v>
      </c>
      <c r="B425" s="31">
        <v>45821</v>
      </c>
      <c r="C425" s="2" t="s">
        <v>40</v>
      </c>
      <c r="D425" s="2" t="s">
        <v>2095</v>
      </c>
      <c r="E425" s="11" t="s">
        <v>2096</v>
      </c>
      <c r="F425" s="30" t="s">
        <v>79</v>
      </c>
      <c r="G425" s="30" t="s">
        <v>2099</v>
      </c>
      <c r="H425" s="16">
        <v>45869</v>
      </c>
      <c r="I425" s="115"/>
      <c r="J425" s="115"/>
      <c r="K425" s="115"/>
      <c r="L425" s="115"/>
      <c r="M425" s="115"/>
      <c r="N425" s="115"/>
      <c r="O425" s="115"/>
      <c r="P425" s="115">
        <v>45873</v>
      </c>
      <c r="Q425" s="16" t="s">
        <v>860</v>
      </c>
      <c r="R425" s="115"/>
      <c r="S425" s="115">
        <v>45905</v>
      </c>
      <c r="T425" s="7" t="s">
        <v>20</v>
      </c>
      <c r="U425" s="202" t="s">
        <v>2444</v>
      </c>
      <c r="V425" s="16">
        <v>45859</v>
      </c>
      <c r="W425" s="16">
        <v>45892</v>
      </c>
      <c r="X425" s="268" t="s">
        <v>2446</v>
      </c>
      <c r="Y425" s="100"/>
      <c r="Z425" s="30"/>
      <c r="AA425" s="8">
        <v>45936</v>
      </c>
      <c r="AB425" s="10"/>
      <c r="AC425" s="22">
        <v>23969</v>
      </c>
      <c r="AD425" s="21"/>
      <c r="AE425" s="21"/>
      <c r="AF425" s="21"/>
      <c r="AG425" s="45"/>
      <c r="AH425" s="118">
        <v>23969</v>
      </c>
    </row>
    <row r="426" spans="1:35" s="9" customFormat="1" ht="61.5" customHeight="1">
      <c r="A426" s="9">
        <v>41</v>
      </c>
      <c r="B426" s="31">
        <v>45821</v>
      </c>
      <c r="C426" s="2" t="s">
        <v>40</v>
      </c>
      <c r="D426" s="2" t="s">
        <v>2097</v>
      </c>
      <c r="E426" s="11" t="s">
        <v>2098</v>
      </c>
      <c r="F426" s="30" t="s">
        <v>79</v>
      </c>
      <c r="G426" s="30" t="s">
        <v>1390</v>
      </c>
      <c r="H426" s="16">
        <v>45869</v>
      </c>
      <c r="I426" s="115"/>
      <c r="J426" s="115"/>
      <c r="K426" s="115"/>
      <c r="L426" s="115"/>
      <c r="M426" s="115"/>
      <c r="N426" s="115"/>
      <c r="O426" s="115"/>
      <c r="P426" s="115">
        <v>45873</v>
      </c>
      <c r="Q426" s="16" t="s">
        <v>860</v>
      </c>
      <c r="R426" s="115"/>
      <c r="S426" s="115">
        <v>45905</v>
      </c>
      <c r="T426" s="7" t="s">
        <v>20</v>
      </c>
      <c r="U426" s="202" t="s">
        <v>2444</v>
      </c>
      <c r="V426" s="16">
        <v>45859</v>
      </c>
      <c r="W426" s="16">
        <v>45892</v>
      </c>
      <c r="X426" s="268" t="s">
        <v>2448</v>
      </c>
      <c r="Y426" s="100"/>
      <c r="Z426" s="30"/>
      <c r="AA426" s="8">
        <v>45936</v>
      </c>
      <c r="AB426" s="10"/>
      <c r="AC426" s="22">
        <v>36192.800000000003</v>
      </c>
      <c r="AD426" s="21"/>
      <c r="AE426" s="21"/>
      <c r="AF426" s="21"/>
      <c r="AG426" s="45"/>
      <c r="AH426" s="118">
        <v>36192.800000000003</v>
      </c>
    </row>
    <row r="427" spans="1:35" s="9" customFormat="1" ht="67.900000000000006" customHeight="1">
      <c r="A427" s="9">
        <v>41</v>
      </c>
      <c r="B427" s="31">
        <v>45821</v>
      </c>
      <c r="C427" s="2" t="s">
        <v>40</v>
      </c>
      <c r="D427" s="2" t="s">
        <v>2102</v>
      </c>
      <c r="E427" s="11" t="s">
        <v>2103</v>
      </c>
      <c r="F427" s="30" t="s">
        <v>79</v>
      </c>
      <c r="G427" s="30" t="s">
        <v>1382</v>
      </c>
      <c r="H427" s="16">
        <v>45869</v>
      </c>
      <c r="I427" s="115"/>
      <c r="J427" s="115"/>
      <c r="K427" s="115"/>
      <c r="L427" s="115"/>
      <c r="M427" s="115"/>
      <c r="N427" s="115"/>
      <c r="O427" s="115"/>
      <c r="P427" s="115">
        <v>45873</v>
      </c>
      <c r="Q427" s="16" t="s">
        <v>860</v>
      </c>
      <c r="R427" s="115"/>
      <c r="S427" s="115">
        <v>45905</v>
      </c>
      <c r="T427" s="7" t="s">
        <v>20</v>
      </c>
      <c r="U427" s="95" t="s">
        <v>2444</v>
      </c>
      <c r="V427" s="16">
        <v>45859</v>
      </c>
      <c r="W427" s="16">
        <v>45892</v>
      </c>
      <c r="X427" s="268" t="s">
        <v>2445</v>
      </c>
      <c r="Y427" s="100"/>
      <c r="Z427" s="30"/>
      <c r="AA427" s="8">
        <v>45936</v>
      </c>
      <c r="AB427" s="10"/>
      <c r="AC427" s="22">
        <v>27768.799999999999</v>
      </c>
      <c r="AD427" s="21"/>
      <c r="AE427" s="21"/>
      <c r="AF427" s="21"/>
      <c r="AG427" s="21"/>
      <c r="AH427" s="118">
        <v>27768.799999999999</v>
      </c>
    </row>
    <row r="428" spans="1:35" s="9" customFormat="1" ht="112.5">
      <c r="A428" s="9">
        <f t="shared" ref="A428:A440" ca="1" si="12">TODAY()-H428+1</f>
        <v>324</v>
      </c>
      <c r="B428" s="31">
        <v>45796</v>
      </c>
      <c r="C428" s="34" t="s">
        <v>40</v>
      </c>
      <c r="D428" s="2" t="s">
        <v>2015</v>
      </c>
      <c r="E428" s="11" t="s">
        <v>1932</v>
      </c>
      <c r="F428" s="30" t="s">
        <v>1933</v>
      </c>
      <c r="G428" s="30" t="s">
        <v>2975</v>
      </c>
      <c r="H428" s="16">
        <v>45870</v>
      </c>
      <c r="I428" s="115"/>
      <c r="J428" s="115"/>
      <c r="K428" s="115"/>
      <c r="L428" s="115"/>
      <c r="M428" s="115"/>
      <c r="N428" s="115"/>
      <c r="O428" s="115"/>
      <c r="P428" s="115"/>
      <c r="Q428" s="16" t="s">
        <v>1449</v>
      </c>
      <c r="R428" s="115"/>
      <c r="S428" s="115" t="s">
        <v>2901</v>
      </c>
      <c r="T428" s="7" t="s">
        <v>22</v>
      </c>
      <c r="U428" s="2" t="s">
        <v>2473</v>
      </c>
      <c r="V428" s="16">
        <v>45879</v>
      </c>
      <c r="W428" s="16">
        <v>45891</v>
      </c>
      <c r="X428" s="16" t="s">
        <v>2902</v>
      </c>
      <c r="Y428" s="100"/>
      <c r="Z428" s="30" t="s">
        <v>54</v>
      </c>
      <c r="AA428" s="8">
        <v>45936</v>
      </c>
      <c r="AB428" s="10"/>
      <c r="AC428" s="78"/>
      <c r="AD428" s="21"/>
      <c r="AE428" s="22">
        <v>9997183.25</v>
      </c>
      <c r="AF428" s="21"/>
      <c r="AG428" s="45"/>
      <c r="AH428" s="10">
        <v>9997183.25</v>
      </c>
    </row>
    <row r="429" spans="1:35" s="9" customFormat="1" ht="112.5">
      <c r="A429" s="9">
        <f t="shared" ca="1" si="12"/>
        <v>293</v>
      </c>
      <c r="B429" s="31">
        <v>45796</v>
      </c>
      <c r="C429" s="34" t="s">
        <v>40</v>
      </c>
      <c r="D429" s="2" t="s">
        <v>2015</v>
      </c>
      <c r="E429" s="11" t="s">
        <v>1932</v>
      </c>
      <c r="F429" s="30" t="s">
        <v>1933</v>
      </c>
      <c r="G429" s="30" t="s">
        <v>2803</v>
      </c>
      <c r="H429" s="16">
        <v>45901</v>
      </c>
      <c r="I429" s="115"/>
      <c r="J429" s="115"/>
      <c r="K429" s="115"/>
      <c r="L429" s="115"/>
      <c r="M429" s="115"/>
      <c r="N429" s="115"/>
      <c r="O429" s="115"/>
      <c r="P429" s="115"/>
      <c r="Q429" s="16" t="s">
        <v>1449</v>
      </c>
      <c r="R429" s="115"/>
      <c r="S429" s="115" t="s">
        <v>2903</v>
      </c>
      <c r="T429" s="7" t="s">
        <v>22</v>
      </c>
      <c r="U429" s="2" t="s">
        <v>2473</v>
      </c>
      <c r="V429" s="16">
        <v>45879</v>
      </c>
      <c r="W429" s="16">
        <v>45891</v>
      </c>
      <c r="X429" s="16" t="s">
        <v>2903</v>
      </c>
      <c r="Y429" s="100"/>
      <c r="Z429" s="30" t="s">
        <v>54</v>
      </c>
      <c r="AA429" s="8">
        <v>45936</v>
      </c>
      <c r="AB429" s="10"/>
      <c r="AC429" s="78"/>
      <c r="AD429" s="21"/>
      <c r="AE429" s="29">
        <v>741128.08</v>
      </c>
      <c r="AF429" s="21"/>
      <c r="AG429" s="45"/>
      <c r="AH429" s="23"/>
    </row>
    <row r="430" spans="1:35" s="9" customFormat="1" ht="122.25" customHeight="1">
      <c r="A430" s="9">
        <f t="shared" ca="1" si="12"/>
        <v>341</v>
      </c>
      <c r="B430" s="31">
        <v>45782</v>
      </c>
      <c r="C430" s="2" t="s">
        <v>24</v>
      </c>
      <c r="D430" s="2" t="s">
        <v>1806</v>
      </c>
      <c r="E430" s="11" t="s">
        <v>1807</v>
      </c>
      <c r="F430" s="30" t="s">
        <v>155</v>
      </c>
      <c r="G430" s="30" t="s">
        <v>1808</v>
      </c>
      <c r="H430" s="16">
        <v>45853</v>
      </c>
      <c r="I430" s="115"/>
      <c r="J430" s="115"/>
      <c r="K430" s="115"/>
      <c r="L430" s="115"/>
      <c r="M430" s="115">
        <v>45854</v>
      </c>
      <c r="N430" s="115"/>
      <c r="O430" s="115"/>
      <c r="P430" s="115">
        <v>45874</v>
      </c>
      <c r="Q430" s="115">
        <v>45875</v>
      </c>
      <c r="R430" s="115"/>
      <c r="S430" s="115"/>
      <c r="T430" s="7" t="s">
        <v>20</v>
      </c>
      <c r="U430" s="2" t="s">
        <v>2590</v>
      </c>
      <c r="V430" s="16">
        <v>45875</v>
      </c>
      <c r="W430" s="16" t="s">
        <v>2925</v>
      </c>
      <c r="X430" s="4" t="s">
        <v>2782</v>
      </c>
      <c r="Y430" s="100"/>
      <c r="Z430" s="30" t="s">
        <v>54</v>
      </c>
      <c r="AA430" s="8">
        <v>45931</v>
      </c>
      <c r="AB430" s="10"/>
      <c r="AC430" s="22">
        <v>159872.9</v>
      </c>
      <c r="AD430" s="21"/>
      <c r="AE430" s="21"/>
      <c r="AF430" s="21"/>
      <c r="AG430" s="45"/>
      <c r="AH430" s="23">
        <v>159872.9</v>
      </c>
    </row>
    <row r="431" spans="1:35" s="9" customFormat="1" ht="75">
      <c r="A431" s="9">
        <f t="shared" ca="1" si="12"/>
        <v>324</v>
      </c>
      <c r="B431" s="31">
        <v>45796</v>
      </c>
      <c r="C431" s="34" t="s">
        <v>40</v>
      </c>
      <c r="D431" s="2" t="s">
        <v>2015</v>
      </c>
      <c r="E431" s="11" t="s">
        <v>1932</v>
      </c>
      <c r="F431" s="30" t="s">
        <v>1933</v>
      </c>
      <c r="G431" s="30" t="s">
        <v>2680</v>
      </c>
      <c r="H431" s="16">
        <v>45870</v>
      </c>
      <c r="I431" s="115"/>
      <c r="J431" s="115"/>
      <c r="K431" s="115"/>
      <c r="L431" s="115"/>
      <c r="M431" s="115"/>
      <c r="N431" s="115"/>
      <c r="O431" s="115"/>
      <c r="P431" s="115">
        <v>45859</v>
      </c>
      <c r="Q431" s="16"/>
      <c r="R431" s="115"/>
      <c r="S431" s="281"/>
      <c r="T431" s="7" t="s">
        <v>22</v>
      </c>
      <c r="U431" s="2" t="s">
        <v>2412</v>
      </c>
      <c r="V431" s="16">
        <v>45830</v>
      </c>
      <c r="W431" s="16">
        <v>45850</v>
      </c>
      <c r="X431" s="4"/>
      <c r="Y431" s="100"/>
      <c r="Z431" s="30" t="s">
        <v>54</v>
      </c>
      <c r="AA431" s="8">
        <v>45919</v>
      </c>
      <c r="AB431" s="10"/>
      <c r="AC431" s="78"/>
      <c r="AD431" s="21"/>
      <c r="AE431" s="22">
        <v>1066779.0900000001</v>
      </c>
      <c r="AF431" s="21"/>
      <c r="AG431" s="45"/>
      <c r="AH431" s="10">
        <v>1066779.0900000001</v>
      </c>
    </row>
    <row r="432" spans="1:35" s="9" customFormat="1" ht="122.25" customHeight="1">
      <c r="A432" s="9">
        <f t="shared" ca="1" si="12"/>
        <v>310</v>
      </c>
      <c r="B432" s="31">
        <v>45840</v>
      </c>
      <c r="C432" s="11" t="s">
        <v>24</v>
      </c>
      <c r="D432" s="2" t="s">
        <v>2654</v>
      </c>
      <c r="E432" s="11" t="s">
        <v>2655</v>
      </c>
      <c r="F432" s="30" t="s">
        <v>154</v>
      </c>
      <c r="G432" s="30" t="s">
        <v>2686</v>
      </c>
      <c r="H432" s="16">
        <v>45884</v>
      </c>
      <c r="I432" s="115">
        <v>45841</v>
      </c>
      <c r="J432" s="115">
        <v>45841</v>
      </c>
      <c r="K432" s="115">
        <v>45841</v>
      </c>
      <c r="L432" s="115"/>
      <c r="M432" s="115">
        <v>45863</v>
      </c>
      <c r="N432" s="115"/>
      <c r="O432" s="115"/>
      <c r="P432" s="115">
        <v>45889</v>
      </c>
      <c r="Q432" s="115">
        <v>45889</v>
      </c>
      <c r="R432" s="115"/>
      <c r="S432" s="115"/>
      <c r="T432" s="7" t="s">
        <v>25</v>
      </c>
      <c r="U432" s="2" t="s">
        <v>2812</v>
      </c>
      <c r="V432" s="16">
        <v>45896</v>
      </c>
      <c r="W432" s="16">
        <v>45898</v>
      </c>
      <c r="X432" s="3" t="s">
        <v>2785</v>
      </c>
      <c r="Y432" s="100"/>
      <c r="Z432" s="30" t="s">
        <v>113</v>
      </c>
      <c r="AA432" s="8">
        <v>45939</v>
      </c>
      <c r="AB432" s="10"/>
      <c r="AC432" s="22">
        <v>1103.2</v>
      </c>
      <c r="AD432" s="21"/>
      <c r="AE432" s="21"/>
      <c r="AF432" s="21"/>
      <c r="AG432" s="45"/>
      <c r="AH432" s="118">
        <v>1103.2</v>
      </c>
    </row>
    <row r="433" spans="1:35" s="9" customFormat="1" ht="122.25" customHeight="1">
      <c r="A433" s="9">
        <f t="shared" ca="1" si="12"/>
        <v>310</v>
      </c>
      <c r="B433" s="31">
        <v>45840</v>
      </c>
      <c r="C433" s="11" t="s">
        <v>24</v>
      </c>
      <c r="D433" s="2" t="s">
        <v>2654</v>
      </c>
      <c r="E433" s="11" t="s">
        <v>2655</v>
      </c>
      <c r="F433" s="30" t="s">
        <v>154</v>
      </c>
      <c r="G433" s="30" t="s">
        <v>2693</v>
      </c>
      <c r="H433" s="16">
        <v>45884</v>
      </c>
      <c r="I433" s="115">
        <v>45841</v>
      </c>
      <c r="J433" s="115">
        <v>45841</v>
      </c>
      <c r="K433" s="115">
        <v>45841</v>
      </c>
      <c r="L433" s="115"/>
      <c r="M433" s="115">
        <v>45881</v>
      </c>
      <c r="N433" s="115"/>
      <c r="O433" s="115"/>
      <c r="P433" s="115">
        <v>45889</v>
      </c>
      <c r="Q433" s="115">
        <v>45889</v>
      </c>
      <c r="R433" s="115"/>
      <c r="S433" s="115"/>
      <c r="T433" s="7" t="s">
        <v>25</v>
      </c>
      <c r="U433" s="2" t="s">
        <v>2812</v>
      </c>
      <c r="V433" s="16" t="s">
        <v>2786</v>
      </c>
      <c r="W433" s="16">
        <v>45898</v>
      </c>
      <c r="X433" s="3" t="s">
        <v>2785</v>
      </c>
      <c r="Y433" s="100"/>
      <c r="Z433" s="30" t="s">
        <v>113</v>
      </c>
      <c r="AA433" s="8">
        <v>45939</v>
      </c>
      <c r="AB433" s="10"/>
      <c r="AC433" s="22">
        <v>3004</v>
      </c>
      <c r="AD433" s="21"/>
      <c r="AE433" s="21"/>
      <c r="AF433" s="21"/>
      <c r="AG433" s="45"/>
      <c r="AH433" s="118">
        <v>3004</v>
      </c>
    </row>
    <row r="434" spans="1:35" s="9" customFormat="1" ht="122.25" customHeight="1">
      <c r="A434" s="9">
        <f t="shared" ca="1" si="12"/>
        <v>426</v>
      </c>
      <c r="B434" s="31">
        <v>45708</v>
      </c>
      <c r="C434" s="34" t="s">
        <v>40</v>
      </c>
      <c r="D434" s="2" t="s">
        <v>1095</v>
      </c>
      <c r="E434" s="11" t="s">
        <v>1096</v>
      </c>
      <c r="F434" s="30" t="s">
        <v>1933</v>
      </c>
      <c r="G434" s="30" t="s">
        <v>2774</v>
      </c>
      <c r="H434" s="16">
        <v>45768</v>
      </c>
      <c r="I434" s="115"/>
      <c r="J434" s="115"/>
      <c r="K434" s="115"/>
      <c r="L434" s="115"/>
      <c r="M434" s="115"/>
      <c r="N434" s="115"/>
      <c r="O434" s="115"/>
      <c r="P434" s="115">
        <v>45859</v>
      </c>
      <c r="Q434" s="16"/>
      <c r="R434" s="115"/>
      <c r="S434" s="281">
        <v>45875</v>
      </c>
      <c r="T434" s="7" t="s">
        <v>22</v>
      </c>
      <c r="U434" s="2" t="s">
        <v>2137</v>
      </c>
      <c r="V434" s="16">
        <v>45830</v>
      </c>
      <c r="W434" s="16">
        <v>45850</v>
      </c>
      <c r="X434" s="24"/>
      <c r="Z434" s="30" t="s">
        <v>33</v>
      </c>
      <c r="AA434" s="8">
        <v>45901</v>
      </c>
      <c r="AB434" s="10"/>
      <c r="AC434" s="10"/>
      <c r="AD434" s="21"/>
      <c r="AE434" s="22">
        <f>535647.18+25453.42</f>
        <v>561100.60000000009</v>
      </c>
      <c r="AF434" s="21"/>
      <c r="AG434" s="45"/>
      <c r="AH434" s="10">
        <v>1665462.2</v>
      </c>
    </row>
    <row r="435" spans="1:35" s="9" customFormat="1" ht="56.25">
      <c r="A435" s="9">
        <f t="shared" ca="1" si="12"/>
        <v>263</v>
      </c>
      <c r="B435" s="31">
        <v>45833</v>
      </c>
      <c r="C435" s="2" t="s">
        <v>27</v>
      </c>
      <c r="D435" s="2" t="s">
        <v>2220</v>
      </c>
      <c r="E435" s="11" t="s">
        <v>2221</v>
      </c>
      <c r="F435" s="30" t="s">
        <v>1933</v>
      </c>
      <c r="G435" s="125" t="s">
        <v>2777</v>
      </c>
      <c r="H435" s="16">
        <v>45931</v>
      </c>
      <c r="I435" s="115"/>
      <c r="J435" s="115"/>
      <c r="K435" s="115"/>
      <c r="L435" s="115"/>
      <c r="M435" s="115"/>
      <c r="N435" s="115"/>
      <c r="O435" s="115"/>
      <c r="P435" s="115"/>
      <c r="Q435" s="16" t="s">
        <v>1449</v>
      </c>
      <c r="R435" s="115"/>
      <c r="S435" s="115">
        <v>45900</v>
      </c>
      <c r="T435" s="7" t="s">
        <v>22</v>
      </c>
      <c r="U435" s="2" t="s">
        <v>2473</v>
      </c>
      <c r="V435" s="7">
        <v>45879</v>
      </c>
      <c r="W435" s="16">
        <v>45891</v>
      </c>
      <c r="X435" s="16" t="s">
        <v>2902</v>
      </c>
      <c r="Y435" s="100"/>
      <c r="Z435" s="30" t="s">
        <v>54</v>
      </c>
      <c r="AA435" s="8">
        <v>45936</v>
      </c>
      <c r="AB435" s="10"/>
      <c r="AC435" s="10"/>
      <c r="AD435" s="21"/>
      <c r="AE435" s="77">
        <v>562235.09</v>
      </c>
      <c r="AF435" s="21"/>
      <c r="AG435" s="45"/>
      <c r="AH435" s="16"/>
    </row>
    <row r="436" spans="1:35" s="7" customFormat="1" ht="122.25" customHeight="1">
      <c r="A436" s="9">
        <f t="shared" ca="1" si="12"/>
        <v>289</v>
      </c>
      <c r="B436" s="31">
        <v>45790</v>
      </c>
      <c r="C436" s="2" t="s">
        <v>24</v>
      </c>
      <c r="D436" s="2" t="s">
        <v>1905</v>
      </c>
      <c r="E436" s="11" t="s">
        <v>1904</v>
      </c>
      <c r="F436" s="30" t="s">
        <v>295</v>
      </c>
      <c r="G436" s="30" t="s">
        <v>2699</v>
      </c>
      <c r="H436" s="16">
        <v>45905</v>
      </c>
      <c r="I436" s="115">
        <v>45790</v>
      </c>
      <c r="J436" s="115">
        <v>45796</v>
      </c>
      <c r="K436" s="115">
        <v>45790</v>
      </c>
      <c r="L436" s="115"/>
      <c r="M436" s="115">
        <v>45876</v>
      </c>
      <c r="N436" s="115"/>
      <c r="O436" s="115"/>
      <c r="P436" s="115">
        <v>45888</v>
      </c>
      <c r="Q436" s="115">
        <v>45888</v>
      </c>
      <c r="R436" s="115"/>
      <c r="S436" s="115"/>
      <c r="T436" s="7" t="s">
        <v>22</v>
      </c>
      <c r="U436" s="16" t="s">
        <v>2700</v>
      </c>
      <c r="V436" s="16" t="s">
        <v>2701</v>
      </c>
      <c r="W436" s="16" t="s">
        <v>3015</v>
      </c>
      <c r="X436" s="4" t="s">
        <v>2766</v>
      </c>
      <c r="Y436" s="100"/>
      <c r="Z436" s="30" t="s">
        <v>29</v>
      </c>
      <c r="AA436" s="8">
        <v>45944</v>
      </c>
      <c r="AB436" s="10"/>
      <c r="AC436" s="22">
        <v>173200.76</v>
      </c>
      <c r="AD436" s="21"/>
      <c r="AE436" s="21"/>
      <c r="AF436" s="21"/>
      <c r="AG436" s="45"/>
      <c r="AH436" s="23">
        <v>173200.76</v>
      </c>
      <c r="AI436" s="9"/>
    </row>
    <row r="437" spans="1:35" s="9" customFormat="1" ht="122.25" customHeight="1">
      <c r="A437" s="9">
        <f t="shared" ca="1" si="12"/>
        <v>293</v>
      </c>
      <c r="B437" s="31">
        <v>45790</v>
      </c>
      <c r="C437" s="2" t="s">
        <v>24</v>
      </c>
      <c r="D437" s="2" t="s">
        <v>1900</v>
      </c>
      <c r="E437" s="11" t="s">
        <v>1901</v>
      </c>
      <c r="F437" s="30" t="s">
        <v>467</v>
      </c>
      <c r="G437" s="30" t="s">
        <v>1902</v>
      </c>
      <c r="H437" s="16">
        <v>45901</v>
      </c>
      <c r="I437" s="115">
        <v>45789</v>
      </c>
      <c r="J437" s="115">
        <v>45796</v>
      </c>
      <c r="K437" s="115">
        <v>45789</v>
      </c>
      <c r="L437" s="115"/>
      <c r="M437" s="115" t="s">
        <v>2459</v>
      </c>
      <c r="N437" s="115"/>
      <c r="O437" s="115"/>
      <c r="P437" s="115">
        <v>45903</v>
      </c>
      <c r="Q437" s="115">
        <v>45903</v>
      </c>
      <c r="R437" s="115" t="s">
        <v>3208</v>
      </c>
      <c r="S437" s="115"/>
      <c r="T437" s="7" t="s">
        <v>18</v>
      </c>
      <c r="U437" s="31" t="s">
        <v>2985</v>
      </c>
      <c r="V437" s="31" t="s">
        <v>2947</v>
      </c>
      <c r="W437" s="16" t="s">
        <v>3019</v>
      </c>
      <c r="X437" s="288" t="s">
        <v>3018</v>
      </c>
      <c r="Y437" s="100"/>
      <c r="Z437" s="30" t="s">
        <v>113</v>
      </c>
      <c r="AA437" s="8">
        <v>45927</v>
      </c>
      <c r="AB437" s="22">
        <v>42221.760000000002</v>
      </c>
      <c r="AC437" s="10"/>
      <c r="AD437" s="21"/>
      <c r="AE437" s="21"/>
      <c r="AF437" s="21"/>
      <c r="AG437" s="45"/>
      <c r="AH437" s="23">
        <v>42221.760000000002</v>
      </c>
      <c r="AI437" s="306"/>
    </row>
    <row r="438" spans="1:35" s="9" customFormat="1" ht="155.25" customHeight="1">
      <c r="A438" s="9">
        <f t="shared" ca="1" si="12"/>
        <v>294</v>
      </c>
      <c r="B438" s="31">
        <v>45742</v>
      </c>
      <c r="C438" s="11" t="s">
        <v>24</v>
      </c>
      <c r="D438" s="2" t="s">
        <v>1408</v>
      </c>
      <c r="E438" s="11" t="s">
        <v>1409</v>
      </c>
      <c r="F438" s="30" t="s">
        <v>154</v>
      </c>
      <c r="G438" s="30" t="s">
        <v>2463</v>
      </c>
      <c r="H438" s="16">
        <v>45900</v>
      </c>
      <c r="I438" s="115"/>
      <c r="J438" s="115"/>
      <c r="K438" s="115"/>
      <c r="L438" s="115">
        <v>45846</v>
      </c>
      <c r="M438" s="115">
        <v>45853</v>
      </c>
      <c r="N438" s="115"/>
      <c r="O438" s="115"/>
      <c r="P438" s="115">
        <v>45868</v>
      </c>
      <c r="Q438" s="115">
        <v>45866</v>
      </c>
      <c r="R438" s="115" t="s">
        <v>3303</v>
      </c>
      <c r="S438" s="115"/>
      <c r="T438" s="7" t="s">
        <v>25</v>
      </c>
      <c r="U438" s="2" t="s">
        <v>2881</v>
      </c>
      <c r="V438" s="16" t="s">
        <v>2882</v>
      </c>
      <c r="W438" s="16" t="s">
        <v>3291</v>
      </c>
      <c r="X438" s="4" t="s">
        <v>2979</v>
      </c>
      <c r="Y438" s="100"/>
      <c r="Z438" s="30" t="s">
        <v>113</v>
      </c>
      <c r="AA438" s="8">
        <v>45908</v>
      </c>
      <c r="AB438" s="10"/>
      <c r="AC438" s="22">
        <v>4200</v>
      </c>
      <c r="AD438" s="21"/>
      <c r="AE438" s="21"/>
      <c r="AF438" s="21"/>
      <c r="AG438" s="45"/>
      <c r="AH438" s="23">
        <v>4200</v>
      </c>
    </row>
    <row r="439" spans="1:35" s="9" customFormat="1" ht="122.25" customHeight="1">
      <c r="A439" s="9">
        <f t="shared" ca="1" si="12"/>
        <v>282</v>
      </c>
      <c r="B439" s="31">
        <v>45813</v>
      </c>
      <c r="C439" s="2" t="s">
        <v>24</v>
      </c>
      <c r="D439" s="2" t="s">
        <v>2023</v>
      </c>
      <c r="E439" s="11" t="s">
        <v>2024</v>
      </c>
      <c r="F439" s="30" t="s">
        <v>521</v>
      </c>
      <c r="G439" s="30" t="s">
        <v>2706</v>
      </c>
      <c r="H439" s="16">
        <v>45912</v>
      </c>
      <c r="I439" s="115">
        <v>45814</v>
      </c>
      <c r="J439" s="115">
        <v>45814</v>
      </c>
      <c r="K439" s="115">
        <v>45814</v>
      </c>
      <c r="L439" s="115"/>
      <c r="M439" s="115"/>
      <c r="N439" s="115"/>
      <c r="O439" s="115"/>
      <c r="P439" s="115">
        <v>45903</v>
      </c>
      <c r="Q439" s="115">
        <v>45903</v>
      </c>
      <c r="R439" s="115" t="s">
        <v>3192</v>
      </c>
      <c r="S439" s="115"/>
      <c r="T439" s="7" t="s">
        <v>22</v>
      </c>
      <c r="U439" s="2" t="s">
        <v>2950</v>
      </c>
      <c r="V439" s="2" t="s">
        <v>2890</v>
      </c>
      <c r="W439" s="16" t="s">
        <v>3362</v>
      </c>
      <c r="X439" s="4" t="s">
        <v>2951</v>
      </c>
      <c r="Y439" s="100"/>
      <c r="Z439" s="30" t="s">
        <v>2027</v>
      </c>
      <c r="AA439" s="8">
        <v>45924</v>
      </c>
      <c r="AC439" s="22">
        <v>30992.5</v>
      </c>
      <c r="AD439" s="21"/>
      <c r="AE439" s="21"/>
      <c r="AF439" s="21"/>
      <c r="AG439" s="45"/>
      <c r="AH439" s="118">
        <v>30992.5</v>
      </c>
    </row>
    <row r="440" spans="1:35" s="9" customFormat="1" ht="122.25" customHeight="1">
      <c r="A440" s="9">
        <f t="shared" ca="1" si="12"/>
        <v>293</v>
      </c>
      <c r="B440" s="31">
        <v>45821</v>
      </c>
      <c r="C440" s="34" t="s">
        <v>40</v>
      </c>
      <c r="D440" s="2" t="s">
        <v>2091</v>
      </c>
      <c r="E440" s="11" t="s">
        <v>2092</v>
      </c>
      <c r="F440" s="30" t="s">
        <v>2093</v>
      </c>
      <c r="G440" s="30" t="s">
        <v>2094</v>
      </c>
      <c r="H440" s="16">
        <v>45901</v>
      </c>
      <c r="I440" s="115"/>
      <c r="J440" s="115"/>
      <c r="K440" s="115"/>
      <c r="L440" s="115"/>
      <c r="M440" s="115">
        <v>45852</v>
      </c>
      <c r="N440" s="115"/>
      <c r="O440" s="115"/>
      <c r="P440" s="115"/>
      <c r="Q440" s="115" t="s">
        <v>1449</v>
      </c>
      <c r="R440" s="115"/>
      <c r="S440" s="115"/>
      <c r="T440" s="7" t="s">
        <v>20</v>
      </c>
      <c r="U440" s="16" t="s">
        <v>3162</v>
      </c>
      <c r="V440" s="4" t="s">
        <v>2850</v>
      </c>
      <c r="W440" s="16">
        <v>45941</v>
      </c>
      <c r="X440" s="4" t="s">
        <v>3305</v>
      </c>
      <c r="Y440" s="100"/>
      <c r="Z440" s="30"/>
      <c r="AA440" s="8">
        <v>45828</v>
      </c>
      <c r="AB440" s="10"/>
      <c r="AC440" s="22">
        <v>1204</v>
      </c>
      <c r="AD440" s="21"/>
      <c r="AE440" s="21"/>
      <c r="AF440" s="21"/>
      <c r="AG440" s="45"/>
      <c r="AH440" s="23">
        <v>1204</v>
      </c>
    </row>
    <row r="441" spans="1:35" s="9" customFormat="1" ht="122.25" customHeight="1">
      <c r="B441" s="31">
        <v>45887</v>
      </c>
      <c r="C441" s="2" t="s">
        <v>2689</v>
      </c>
      <c r="D441" s="2" t="s">
        <v>2789</v>
      </c>
      <c r="E441" s="11" t="s">
        <v>2790</v>
      </c>
      <c r="F441" s="30" t="s">
        <v>2791</v>
      </c>
      <c r="G441" s="30" t="s">
        <v>2792</v>
      </c>
      <c r="H441" s="16">
        <v>45945</v>
      </c>
      <c r="I441" s="115">
        <v>45887</v>
      </c>
      <c r="J441" s="115">
        <v>45889</v>
      </c>
      <c r="K441" s="115"/>
      <c r="L441" s="115"/>
      <c r="M441" s="115"/>
      <c r="N441" s="115"/>
      <c r="O441" s="115">
        <v>45898</v>
      </c>
      <c r="P441" s="115">
        <v>45902</v>
      </c>
      <c r="Q441" s="115" t="s">
        <v>1449</v>
      </c>
      <c r="R441" s="115">
        <v>45936</v>
      </c>
      <c r="S441" s="115"/>
      <c r="T441" s="7" t="s">
        <v>20</v>
      </c>
      <c r="U441" s="16" t="s">
        <v>2971</v>
      </c>
      <c r="V441" s="16">
        <v>45907</v>
      </c>
      <c r="W441" s="16">
        <v>45933</v>
      </c>
      <c r="X441" s="4" t="s">
        <v>2916</v>
      </c>
      <c r="Y441" s="100"/>
      <c r="Z441" s="30" t="s">
        <v>61</v>
      </c>
      <c r="AA441" s="8">
        <v>45890</v>
      </c>
      <c r="AB441" s="10"/>
      <c r="AC441" s="22">
        <v>10827</v>
      </c>
      <c r="AD441" s="21"/>
      <c r="AE441" s="21"/>
      <c r="AF441" s="21"/>
      <c r="AG441" s="45"/>
      <c r="AH441" s="118">
        <v>10827</v>
      </c>
    </row>
    <row r="442" spans="1:35" s="9" customFormat="1" ht="56.25" customHeight="1" thickBot="1">
      <c r="B442" s="31">
        <v>45868</v>
      </c>
      <c r="C442" s="2" t="s">
        <v>27</v>
      </c>
      <c r="D442" s="2" t="s">
        <v>2533</v>
      </c>
      <c r="E442" s="11" t="s">
        <v>2534</v>
      </c>
      <c r="F442" s="30" t="s">
        <v>2535</v>
      </c>
      <c r="G442" s="30" t="s">
        <v>2536</v>
      </c>
      <c r="H442" s="16">
        <v>45930</v>
      </c>
      <c r="I442" s="115"/>
      <c r="J442" s="115"/>
      <c r="K442" s="115"/>
      <c r="L442" s="115"/>
      <c r="M442" s="115">
        <v>45873</v>
      </c>
      <c r="N442" s="115" t="s">
        <v>925</v>
      </c>
      <c r="O442" s="115"/>
      <c r="P442" s="115">
        <v>45911</v>
      </c>
      <c r="Q442" s="115" t="s">
        <v>1449</v>
      </c>
      <c r="R442" s="115"/>
      <c r="S442" s="115"/>
      <c r="T442" s="7" t="s">
        <v>20</v>
      </c>
      <c r="U442" s="16" t="s">
        <v>2894</v>
      </c>
      <c r="V442" s="16">
        <v>45912</v>
      </c>
      <c r="W442" s="16">
        <v>45940</v>
      </c>
      <c r="X442" s="295" t="s">
        <v>3294</v>
      </c>
      <c r="Y442" s="100"/>
      <c r="Z442" s="30" t="s">
        <v>2537</v>
      </c>
      <c r="AA442" s="8">
        <v>45941</v>
      </c>
      <c r="AB442" s="10"/>
      <c r="AC442" s="22">
        <v>1784.1</v>
      </c>
      <c r="AD442" s="21"/>
      <c r="AE442" s="21"/>
      <c r="AF442" s="21"/>
      <c r="AG442" s="45"/>
      <c r="AH442" s="118">
        <v>1784.1</v>
      </c>
    </row>
    <row r="443" spans="1:35" s="9" customFormat="1" ht="122.25" customHeight="1">
      <c r="B443" s="31">
        <v>45835</v>
      </c>
      <c r="C443" s="2" t="s">
        <v>2689</v>
      </c>
      <c r="D443" s="2" t="s">
        <v>2241</v>
      </c>
      <c r="E443" s="11" t="s">
        <v>2238</v>
      </c>
      <c r="F443" s="125" t="s">
        <v>504</v>
      </c>
      <c r="G443" s="30" t="s">
        <v>660</v>
      </c>
      <c r="H443" s="16">
        <v>45884</v>
      </c>
      <c r="I443" s="115"/>
      <c r="J443" s="115"/>
      <c r="K443" s="115"/>
      <c r="L443" s="115"/>
      <c r="M443" s="115">
        <v>45887</v>
      </c>
      <c r="N443" s="115" t="s">
        <v>2805</v>
      </c>
      <c r="O443" s="266"/>
      <c r="P443" s="115">
        <v>45911</v>
      </c>
      <c r="Q443" s="115" t="s">
        <v>1449</v>
      </c>
      <c r="R443" s="115" t="s">
        <v>3380</v>
      </c>
      <c r="S443" s="115" t="s">
        <v>3494</v>
      </c>
      <c r="T443" s="7" t="s">
        <v>20</v>
      </c>
      <c r="U443" s="303" t="s">
        <v>2971</v>
      </c>
      <c r="V443" s="16">
        <v>45907</v>
      </c>
      <c r="W443" s="16">
        <v>45933</v>
      </c>
      <c r="X443" s="4" t="s">
        <v>2916</v>
      </c>
      <c r="Y443" s="100"/>
      <c r="Z443" s="30" t="s">
        <v>61</v>
      </c>
      <c r="AA443" s="8">
        <v>45852</v>
      </c>
      <c r="AB443" s="10"/>
      <c r="AC443" s="22">
        <v>2340</v>
      </c>
      <c r="AD443" s="21"/>
      <c r="AE443" s="21"/>
      <c r="AF443" s="21"/>
      <c r="AG443" s="45"/>
      <c r="AH443" s="10">
        <v>2340</v>
      </c>
    </row>
    <row r="444" spans="1:35" s="9" customFormat="1" ht="66" customHeight="1">
      <c r="A444" s="150">
        <f t="shared" ref="A444:A459" ca="1" si="13">TODAY()-H444+1</f>
        <v>387</v>
      </c>
      <c r="B444" s="147">
        <v>45436</v>
      </c>
      <c r="C444" s="34" t="s">
        <v>40</v>
      </c>
      <c r="D444" s="34" t="s">
        <v>166</v>
      </c>
      <c r="E444" s="148" t="s">
        <v>167</v>
      </c>
      <c r="F444" s="125" t="s">
        <v>1933</v>
      </c>
      <c r="G444" s="125" t="s">
        <v>1583</v>
      </c>
      <c r="H444" s="6">
        <v>45807</v>
      </c>
      <c r="I444" s="115"/>
      <c r="J444" s="115"/>
      <c r="K444" s="115"/>
      <c r="L444" s="115"/>
      <c r="M444" s="115"/>
      <c r="N444" s="115"/>
      <c r="O444" s="115"/>
      <c r="P444" s="115">
        <v>45904</v>
      </c>
      <c r="Q444" s="6" t="s">
        <v>1840</v>
      </c>
      <c r="R444" s="115"/>
      <c r="S444" s="115"/>
      <c r="T444" s="124" t="s">
        <v>22</v>
      </c>
      <c r="U444" s="6" t="s">
        <v>2945</v>
      </c>
      <c r="V444" s="6">
        <v>45881</v>
      </c>
      <c r="W444" s="6" t="s">
        <v>2992</v>
      </c>
      <c r="X444" s="277" t="s">
        <v>2993</v>
      </c>
      <c r="Y444" s="190"/>
      <c r="Z444" s="125" t="s">
        <v>33</v>
      </c>
      <c r="AA444" s="8">
        <v>45936</v>
      </c>
      <c r="AB444" s="10"/>
      <c r="AC444" s="10"/>
      <c r="AD444" s="21"/>
      <c r="AE444" s="29">
        <v>282726.38</v>
      </c>
      <c r="AF444" s="21"/>
      <c r="AG444" s="45"/>
      <c r="AH444" s="269">
        <v>282726.38</v>
      </c>
      <c r="AI444" s="150"/>
    </row>
    <row r="445" spans="1:35" s="9" customFormat="1" ht="122.25" customHeight="1">
      <c r="A445" s="9">
        <f t="shared" ca="1" si="13"/>
        <v>293</v>
      </c>
      <c r="B445" s="31">
        <v>45819</v>
      </c>
      <c r="C445" s="2" t="s">
        <v>694</v>
      </c>
      <c r="D445" s="2" t="s">
        <v>2074</v>
      </c>
      <c r="E445" s="11" t="s">
        <v>2075</v>
      </c>
      <c r="F445" s="30" t="s">
        <v>44</v>
      </c>
      <c r="G445" s="30" t="s">
        <v>2617</v>
      </c>
      <c r="H445" s="16">
        <v>45901</v>
      </c>
      <c r="I445" s="115">
        <v>45818</v>
      </c>
      <c r="J445" s="115">
        <v>45818</v>
      </c>
      <c r="K445" s="115">
        <v>45828</v>
      </c>
      <c r="L445" s="115"/>
      <c r="M445" s="115"/>
      <c r="N445" s="115"/>
      <c r="O445" s="115"/>
      <c r="P445" s="115"/>
      <c r="Q445" s="115">
        <v>45880</v>
      </c>
      <c r="R445" s="115">
        <v>45936</v>
      </c>
      <c r="S445" s="115">
        <v>45937</v>
      </c>
      <c r="T445" s="7" t="s">
        <v>22</v>
      </c>
      <c r="U445" s="7" t="s">
        <v>2710</v>
      </c>
      <c r="V445" s="286">
        <v>45880</v>
      </c>
      <c r="W445" s="16">
        <v>45933</v>
      </c>
      <c r="X445" s="294" t="s">
        <v>2807</v>
      </c>
      <c r="Y445" s="100"/>
      <c r="Z445" s="30" t="s">
        <v>33</v>
      </c>
      <c r="AA445" s="8">
        <v>45930</v>
      </c>
      <c r="AB445" s="10"/>
      <c r="AC445" s="22">
        <v>306367.59999999998</v>
      </c>
      <c r="AD445" s="21"/>
      <c r="AE445" s="21"/>
      <c r="AF445" s="21"/>
      <c r="AG445" s="45"/>
      <c r="AH445" s="118">
        <v>306367.59999999998</v>
      </c>
    </row>
    <row r="446" spans="1:35" s="9" customFormat="1" ht="409.5">
      <c r="A446" s="9">
        <f t="shared" ca="1" si="13"/>
        <v>407</v>
      </c>
      <c r="B446" s="31">
        <v>45733</v>
      </c>
      <c r="C446" s="2" t="s">
        <v>24</v>
      </c>
      <c r="D446" s="2" t="s">
        <v>1310</v>
      </c>
      <c r="E446" s="11" t="s">
        <v>1311</v>
      </c>
      <c r="F446" s="30" t="s">
        <v>1069</v>
      </c>
      <c r="G446" s="30" t="s">
        <v>2274</v>
      </c>
      <c r="H446" s="16">
        <v>45787</v>
      </c>
      <c r="I446" s="115"/>
      <c r="J446" s="115"/>
      <c r="K446" s="115"/>
      <c r="L446" s="115">
        <v>45861</v>
      </c>
      <c r="M446" s="115">
        <v>45846</v>
      </c>
      <c r="N446" s="115"/>
      <c r="O446" s="115"/>
      <c r="P446" s="115">
        <v>45848</v>
      </c>
      <c r="Q446" s="115">
        <v>45848</v>
      </c>
      <c r="R446" s="115"/>
      <c r="S446" s="115"/>
      <c r="T446" s="7" t="s">
        <v>25</v>
      </c>
      <c r="U446" s="2" t="s">
        <v>1446</v>
      </c>
      <c r="V446" s="16">
        <v>45849</v>
      </c>
      <c r="W446" s="16">
        <v>45849</v>
      </c>
      <c r="X446" s="214" t="s">
        <v>2433</v>
      </c>
      <c r="Y446" s="100"/>
      <c r="Z446" s="30" t="s">
        <v>1485</v>
      </c>
      <c r="AA446" s="8">
        <v>45956</v>
      </c>
      <c r="AB446" s="105">
        <v>2409</v>
      </c>
      <c r="AC446" s="10"/>
      <c r="AD446" s="21"/>
      <c r="AE446" s="21"/>
      <c r="AF446" s="21"/>
      <c r="AG446" s="45"/>
      <c r="AH446" s="23">
        <v>2409</v>
      </c>
    </row>
    <row r="447" spans="1:35" s="9" customFormat="1" ht="122.25" customHeight="1">
      <c r="A447" s="9">
        <f t="shared" ca="1" si="13"/>
        <v>324</v>
      </c>
      <c r="B447" s="31">
        <v>45772</v>
      </c>
      <c r="C447" s="2" t="s">
        <v>2811</v>
      </c>
      <c r="D447" s="2" t="s">
        <v>1704</v>
      </c>
      <c r="E447" s="11" t="s">
        <v>1705</v>
      </c>
      <c r="F447" s="30" t="s">
        <v>102</v>
      </c>
      <c r="G447" s="30" t="s">
        <v>1752</v>
      </c>
      <c r="H447" s="16">
        <v>45870</v>
      </c>
      <c r="I447" s="115"/>
      <c r="J447" s="115"/>
      <c r="K447" s="115"/>
      <c r="L447" s="115"/>
      <c r="M447" s="115">
        <v>45878</v>
      </c>
      <c r="N447" s="115"/>
      <c r="O447" s="115"/>
      <c r="P447" s="115">
        <v>45875</v>
      </c>
      <c r="Q447" s="115">
        <v>45880</v>
      </c>
      <c r="R447" s="115"/>
      <c r="S447" s="115"/>
      <c r="T447" s="7" t="s">
        <v>28</v>
      </c>
      <c r="U447" s="172" t="s">
        <v>2443</v>
      </c>
      <c r="V447" s="16">
        <v>45855</v>
      </c>
      <c r="W447" s="16">
        <v>45881</v>
      </c>
      <c r="X447" s="4"/>
      <c r="Y447" s="100"/>
      <c r="Z447" s="30" t="s">
        <v>103</v>
      </c>
      <c r="AA447" s="31">
        <v>45948</v>
      </c>
      <c r="AB447" s="58"/>
      <c r="AC447" s="22">
        <v>58394.27</v>
      </c>
      <c r="AD447" s="10"/>
      <c r="AE447" s="21"/>
      <c r="AF447" s="21"/>
      <c r="AG447" s="45"/>
      <c r="AH447" s="118">
        <v>58394.27</v>
      </c>
    </row>
    <row r="448" spans="1:35" s="9" customFormat="1" ht="122.25" customHeight="1">
      <c r="A448" s="9">
        <f t="shared" ca="1" si="13"/>
        <v>324</v>
      </c>
      <c r="B448" s="31">
        <v>45834</v>
      </c>
      <c r="C448" s="11" t="s">
        <v>24</v>
      </c>
      <c r="D448" s="2" t="s">
        <v>2167</v>
      </c>
      <c r="E448" s="11" t="s">
        <v>2168</v>
      </c>
      <c r="F448" s="30" t="s">
        <v>2169</v>
      </c>
      <c r="G448" s="30" t="s">
        <v>2814</v>
      </c>
      <c r="H448" s="16">
        <v>45870</v>
      </c>
      <c r="I448" s="115">
        <v>45834</v>
      </c>
      <c r="J448" s="115">
        <v>45834</v>
      </c>
      <c r="K448" s="115">
        <v>45834</v>
      </c>
      <c r="L448" s="115"/>
      <c r="M448" s="115">
        <v>45868</v>
      </c>
      <c r="N448" s="115"/>
      <c r="O448" s="115"/>
      <c r="P448" s="115">
        <v>45882</v>
      </c>
      <c r="Q448" s="115">
        <v>45882</v>
      </c>
      <c r="R448" s="115"/>
      <c r="S448" s="115"/>
      <c r="T448" s="7" t="s">
        <v>20</v>
      </c>
      <c r="U448" s="2" t="s">
        <v>2692</v>
      </c>
      <c r="V448" s="16">
        <v>45883</v>
      </c>
      <c r="W448" s="16">
        <v>45884</v>
      </c>
      <c r="X448" s="4" t="s">
        <v>2813</v>
      </c>
      <c r="Y448" s="100"/>
      <c r="Z448" s="30" t="s">
        <v>103</v>
      </c>
      <c r="AA448" s="8">
        <v>45957</v>
      </c>
      <c r="AB448" s="10"/>
      <c r="AC448" s="22">
        <v>5306</v>
      </c>
      <c r="AD448" s="21"/>
      <c r="AE448" s="21"/>
      <c r="AF448" s="21"/>
      <c r="AG448" s="45"/>
      <c r="AH448" s="118">
        <v>5306</v>
      </c>
    </row>
    <row r="449" spans="1:34" s="9" customFormat="1" ht="146.25" customHeight="1">
      <c r="A449" s="9">
        <f t="shared" ca="1" si="13"/>
        <v>385</v>
      </c>
      <c r="B449" s="31">
        <v>45708</v>
      </c>
      <c r="C449" s="34" t="s">
        <v>40</v>
      </c>
      <c r="D449" s="2" t="s">
        <v>1093</v>
      </c>
      <c r="E449" s="11" t="s">
        <v>1094</v>
      </c>
      <c r="F449" s="30" t="s">
        <v>1933</v>
      </c>
      <c r="G449" s="30" t="s">
        <v>2804</v>
      </c>
      <c r="H449" s="16">
        <v>45809</v>
      </c>
      <c r="I449" s="115"/>
      <c r="J449" s="115"/>
      <c r="K449" s="115"/>
      <c r="L449" s="115"/>
      <c r="M449" s="115"/>
      <c r="N449" s="115"/>
      <c r="O449" s="115"/>
      <c r="P449" s="115"/>
      <c r="Q449" s="16" t="s">
        <v>1449</v>
      </c>
      <c r="R449" s="115"/>
      <c r="S449" s="115">
        <v>45917</v>
      </c>
      <c r="T449" s="230" t="s">
        <v>22</v>
      </c>
      <c r="U449" s="273" t="s">
        <v>2776</v>
      </c>
      <c r="V449" s="16">
        <v>45893</v>
      </c>
      <c r="W449" s="16">
        <v>45905</v>
      </c>
      <c r="X449" s="287"/>
      <c r="Z449" s="30" t="s">
        <v>54</v>
      </c>
      <c r="AA449" s="68">
        <v>45950</v>
      </c>
      <c r="AB449" s="23"/>
      <c r="AC449" s="23"/>
      <c r="AD449" s="65"/>
      <c r="AE449" s="22">
        <v>566210.16</v>
      </c>
      <c r="AF449" s="65"/>
      <c r="AG449" s="279"/>
      <c r="AH449" s="23">
        <v>566210.16</v>
      </c>
    </row>
    <row r="450" spans="1:34" s="9" customFormat="1" ht="75">
      <c r="A450" s="9">
        <f t="shared" ca="1" si="13"/>
        <v>426</v>
      </c>
      <c r="B450" s="31">
        <v>45708</v>
      </c>
      <c r="C450" s="34" t="s">
        <v>40</v>
      </c>
      <c r="D450" s="2" t="s">
        <v>1095</v>
      </c>
      <c r="E450" s="11" t="s">
        <v>1096</v>
      </c>
      <c r="F450" s="30" t="s">
        <v>1933</v>
      </c>
      <c r="G450" s="30" t="s">
        <v>2671</v>
      </c>
      <c r="H450" s="16">
        <v>45768</v>
      </c>
      <c r="I450" s="115"/>
      <c r="J450" s="115"/>
      <c r="K450" s="115"/>
      <c r="L450" s="115"/>
      <c r="M450" s="115"/>
      <c r="N450" s="115"/>
      <c r="O450" s="115"/>
      <c r="P450" s="115">
        <v>45904</v>
      </c>
      <c r="Q450" s="16" t="s">
        <v>1449</v>
      </c>
      <c r="R450" s="115"/>
      <c r="S450" s="115">
        <v>45917</v>
      </c>
      <c r="T450" s="7" t="s">
        <v>22</v>
      </c>
      <c r="U450" s="273" t="s">
        <v>2776</v>
      </c>
      <c r="V450" s="16">
        <v>45893</v>
      </c>
      <c r="W450" s="16">
        <v>45905</v>
      </c>
      <c r="X450" s="24"/>
      <c r="Z450" s="30" t="s">
        <v>33</v>
      </c>
      <c r="AA450" s="68">
        <v>45950</v>
      </c>
      <c r="AB450" s="23"/>
      <c r="AC450" s="23"/>
      <c r="AD450" s="65"/>
      <c r="AE450" s="135">
        <v>1132420.32</v>
      </c>
      <c r="AF450" s="65"/>
      <c r="AG450" s="279"/>
      <c r="AH450" s="78">
        <v>1132420.32</v>
      </c>
    </row>
    <row r="451" spans="1:34" s="9" customFormat="1" ht="122.25" customHeight="1">
      <c r="A451" s="9">
        <f t="shared" ca="1" si="13"/>
        <v>324</v>
      </c>
      <c r="B451" s="31">
        <v>45779</v>
      </c>
      <c r="C451" s="34" t="s">
        <v>40</v>
      </c>
      <c r="D451" s="2" t="s">
        <v>1857</v>
      </c>
      <c r="E451" s="11" t="s">
        <v>1858</v>
      </c>
      <c r="F451" s="30" t="s">
        <v>1933</v>
      </c>
      <c r="G451" s="30" t="s">
        <v>3159</v>
      </c>
      <c r="H451" s="16">
        <v>45870</v>
      </c>
      <c r="I451" s="115"/>
      <c r="J451" s="115"/>
      <c r="K451" s="115"/>
      <c r="L451" s="115"/>
      <c r="M451" s="115"/>
      <c r="N451" s="115"/>
      <c r="O451" s="115"/>
      <c r="P451" s="115">
        <v>45904</v>
      </c>
      <c r="Q451" s="16" t="s">
        <v>1449</v>
      </c>
      <c r="R451" s="115" t="s">
        <v>1137</v>
      </c>
      <c r="S451" s="115">
        <v>45918</v>
      </c>
      <c r="T451" s="7" t="s">
        <v>22</v>
      </c>
      <c r="U451" s="16" t="s">
        <v>2776</v>
      </c>
      <c r="V451" s="16">
        <v>45893</v>
      </c>
      <c r="W451" s="16">
        <v>45905</v>
      </c>
      <c r="X451" s="256"/>
      <c r="Y451" s="100"/>
      <c r="Z451" s="30" t="s">
        <v>54</v>
      </c>
      <c r="AA451" s="68">
        <v>45950</v>
      </c>
      <c r="AB451" s="23"/>
      <c r="AC451" s="23"/>
      <c r="AD451" s="65"/>
      <c r="AE451" s="22">
        <v>739762.94</v>
      </c>
      <c r="AF451" s="65"/>
      <c r="AG451" s="279"/>
      <c r="AH451" s="23">
        <v>739762.94</v>
      </c>
    </row>
    <row r="452" spans="1:34" s="9" customFormat="1" ht="131.25">
      <c r="A452" s="9">
        <f t="shared" ca="1" si="13"/>
        <v>263</v>
      </c>
      <c r="B452" s="31">
        <v>45833</v>
      </c>
      <c r="C452" s="2" t="s">
        <v>40</v>
      </c>
      <c r="D452" s="2" t="s">
        <v>2249</v>
      </c>
      <c r="E452" s="11" t="s">
        <v>2223</v>
      </c>
      <c r="F452" s="30" t="s">
        <v>149</v>
      </c>
      <c r="G452" s="30" t="s">
        <v>90</v>
      </c>
      <c r="H452" s="16">
        <v>45931</v>
      </c>
      <c r="I452" s="115"/>
      <c r="J452" s="115"/>
      <c r="K452" s="115"/>
      <c r="L452" s="115"/>
      <c r="M452" s="115"/>
      <c r="N452" s="115"/>
      <c r="O452" s="115"/>
      <c r="P452" s="115">
        <v>45873</v>
      </c>
      <c r="Q452" s="16" t="s">
        <v>1449</v>
      </c>
      <c r="R452" s="115">
        <v>45910</v>
      </c>
      <c r="S452" s="115">
        <v>45922</v>
      </c>
      <c r="T452" s="7" t="s">
        <v>22</v>
      </c>
      <c r="U452" s="16" t="s">
        <v>2851</v>
      </c>
      <c r="V452" s="16">
        <v>45878</v>
      </c>
      <c r="W452" s="16">
        <v>45909</v>
      </c>
      <c r="X452" s="84" t="s">
        <v>2994</v>
      </c>
      <c r="Y452" s="100"/>
      <c r="Z452" s="30" t="s">
        <v>103</v>
      </c>
      <c r="AA452" s="8">
        <v>45950</v>
      </c>
      <c r="AB452" s="10"/>
      <c r="AC452" s="22">
        <v>5919</v>
      </c>
      <c r="AD452" s="21"/>
      <c r="AE452" s="21"/>
      <c r="AF452" s="21"/>
      <c r="AG452" s="45"/>
      <c r="AH452" s="118">
        <v>5919</v>
      </c>
    </row>
    <row r="453" spans="1:34" s="9" customFormat="1" ht="112.5">
      <c r="A453" s="9">
        <f t="shared" ca="1" si="13"/>
        <v>293</v>
      </c>
      <c r="B453" s="31">
        <v>45796</v>
      </c>
      <c r="C453" s="34" t="s">
        <v>40</v>
      </c>
      <c r="D453" s="2" t="s">
        <v>2015</v>
      </c>
      <c r="E453" s="11" t="s">
        <v>1932</v>
      </c>
      <c r="F453" s="30" t="s">
        <v>1933</v>
      </c>
      <c r="G453" s="30" t="s">
        <v>3151</v>
      </c>
      <c r="H453" s="16">
        <v>45901</v>
      </c>
      <c r="I453" s="115"/>
      <c r="J453" s="115"/>
      <c r="K453" s="115"/>
      <c r="L453" s="115"/>
      <c r="M453" s="115"/>
      <c r="N453" s="115"/>
      <c r="O453" s="115"/>
      <c r="P453" s="115"/>
      <c r="Q453" s="16" t="s">
        <v>1449</v>
      </c>
      <c r="R453" s="115"/>
      <c r="S453" s="115">
        <v>45917</v>
      </c>
      <c r="T453" s="7" t="s">
        <v>22</v>
      </c>
      <c r="U453" s="16" t="s">
        <v>2776</v>
      </c>
      <c r="V453" s="16" t="s">
        <v>2773</v>
      </c>
      <c r="W453" s="16">
        <v>45905</v>
      </c>
      <c r="X453" s="287"/>
      <c r="Y453" s="100"/>
      <c r="Z453" s="30" t="s">
        <v>54</v>
      </c>
      <c r="AA453" s="68">
        <v>45950</v>
      </c>
      <c r="AB453" s="23"/>
      <c r="AC453" s="179"/>
      <c r="AD453" s="65"/>
      <c r="AE453" s="22">
        <f>953871.09/2</f>
        <v>476935.54499999998</v>
      </c>
      <c r="AF453" s="65"/>
      <c r="AG453" s="279"/>
      <c r="AH453" s="23">
        <v>476935.55</v>
      </c>
    </row>
    <row r="454" spans="1:34" s="9" customFormat="1" ht="150">
      <c r="A454" s="9">
        <f t="shared" ca="1" si="13"/>
        <v>324</v>
      </c>
      <c r="B454" s="31">
        <v>45796</v>
      </c>
      <c r="C454" s="34" t="s">
        <v>40</v>
      </c>
      <c r="D454" s="2" t="s">
        <v>2015</v>
      </c>
      <c r="E454" s="11" t="s">
        <v>1932</v>
      </c>
      <c r="F454" s="30" t="s">
        <v>1933</v>
      </c>
      <c r="G454" s="30" t="s">
        <v>3150</v>
      </c>
      <c r="H454" s="16">
        <v>45870</v>
      </c>
      <c r="I454" s="115"/>
      <c r="J454" s="115"/>
      <c r="K454" s="115"/>
      <c r="L454" s="115"/>
      <c r="M454" s="115"/>
      <c r="N454" s="115"/>
      <c r="O454" s="115"/>
      <c r="P454" s="115">
        <v>45904</v>
      </c>
      <c r="Q454" s="16" t="s">
        <v>1449</v>
      </c>
      <c r="R454" s="115"/>
      <c r="S454" s="115">
        <v>45917</v>
      </c>
      <c r="T454" s="7" t="s">
        <v>22</v>
      </c>
      <c r="U454" s="16" t="s">
        <v>2776</v>
      </c>
      <c r="V454" s="16" t="s">
        <v>2773</v>
      </c>
      <c r="W454" s="16">
        <v>45905</v>
      </c>
      <c r="X454" s="4"/>
      <c r="Y454" s="100"/>
      <c r="Z454" s="30" t="s">
        <v>54</v>
      </c>
      <c r="AA454" s="68">
        <v>45950</v>
      </c>
      <c r="AB454" s="23"/>
      <c r="AC454" s="179"/>
      <c r="AD454" s="65"/>
      <c r="AE454" s="22">
        <f>953871.09/2</f>
        <v>476935.54499999998</v>
      </c>
      <c r="AF454" s="65"/>
      <c r="AG454" s="279"/>
      <c r="AH454" s="23">
        <v>476935.55</v>
      </c>
    </row>
    <row r="455" spans="1:34" s="9" customFormat="1" ht="187.5">
      <c r="A455" s="9">
        <f t="shared" ca="1" si="13"/>
        <v>272</v>
      </c>
      <c r="B455" s="31">
        <v>45796</v>
      </c>
      <c r="C455" s="2" t="s">
        <v>24</v>
      </c>
      <c r="D455" s="2" t="s">
        <v>1892</v>
      </c>
      <c r="E455" s="11" t="s">
        <v>1893</v>
      </c>
      <c r="F455" s="30" t="s">
        <v>1894</v>
      </c>
      <c r="G455" s="30" t="s">
        <v>2407</v>
      </c>
      <c r="H455" s="16">
        <v>45922</v>
      </c>
      <c r="I455" s="115">
        <v>45793</v>
      </c>
      <c r="J455" s="115">
        <v>45796</v>
      </c>
      <c r="K455" s="115">
        <v>45793</v>
      </c>
      <c r="L455" s="115"/>
      <c r="M455" s="115"/>
      <c r="N455" s="115"/>
      <c r="O455" s="115"/>
      <c r="P455" s="115">
        <v>45868</v>
      </c>
      <c r="Q455" s="115">
        <v>45868</v>
      </c>
      <c r="R455" s="115" t="s">
        <v>3131</v>
      </c>
      <c r="S455" s="115">
        <v>45925</v>
      </c>
      <c r="T455" s="7" t="s">
        <v>22</v>
      </c>
      <c r="U455" s="2" t="s">
        <v>2472</v>
      </c>
      <c r="V455" s="12">
        <v>45860</v>
      </c>
      <c r="W455" s="2" t="s">
        <v>2884</v>
      </c>
      <c r="X455" s="4" t="s">
        <v>2694</v>
      </c>
      <c r="Y455" s="100"/>
      <c r="Z455" s="30" t="s">
        <v>103</v>
      </c>
      <c r="AA455" s="8">
        <v>45945</v>
      </c>
      <c r="AB455" s="22">
        <v>250900</v>
      </c>
      <c r="AC455" s="10"/>
      <c r="AD455" s="21"/>
      <c r="AE455" s="21"/>
      <c r="AF455" s="21"/>
      <c r="AG455" s="45"/>
      <c r="AH455" s="23">
        <v>250900</v>
      </c>
    </row>
    <row r="456" spans="1:34" s="9" customFormat="1" ht="122.25" customHeight="1">
      <c r="A456" s="9">
        <f t="shared" ca="1" si="13"/>
        <v>293</v>
      </c>
      <c r="B456" s="31">
        <v>45765</v>
      </c>
      <c r="C456" s="2" t="s">
        <v>694</v>
      </c>
      <c r="D456" s="2" t="s">
        <v>1859</v>
      </c>
      <c r="E456" s="11" t="s">
        <v>1860</v>
      </c>
      <c r="F456" s="30" t="s">
        <v>1830</v>
      </c>
      <c r="G456" s="30" t="s">
        <v>3072</v>
      </c>
      <c r="H456" s="16">
        <v>45901</v>
      </c>
      <c r="I456" s="115"/>
      <c r="J456" s="115"/>
      <c r="K456" s="115"/>
      <c r="L456" s="115"/>
      <c r="M456" s="115"/>
      <c r="N456" s="115"/>
      <c r="O456" s="115"/>
      <c r="P456" s="115"/>
      <c r="Q456" s="115">
        <v>45889</v>
      </c>
      <c r="R456" s="115">
        <v>45911</v>
      </c>
      <c r="S456" s="115">
        <v>45923</v>
      </c>
      <c r="T456" s="7" t="s">
        <v>22</v>
      </c>
      <c r="U456" s="2" t="s">
        <v>2604</v>
      </c>
      <c r="V456" s="16">
        <v>45874</v>
      </c>
      <c r="W456" s="16">
        <v>45903</v>
      </c>
      <c r="X456" s="292" t="s">
        <v>2603</v>
      </c>
      <c r="Y456" s="100"/>
      <c r="Z456" s="30" t="s">
        <v>717</v>
      </c>
      <c r="AA456" s="8">
        <v>45935</v>
      </c>
      <c r="AB456" s="22">
        <v>28793.32</v>
      </c>
      <c r="AC456" s="10"/>
      <c r="AD456" s="21"/>
      <c r="AE456" s="21"/>
      <c r="AF456" s="21"/>
      <c r="AG456" s="45"/>
      <c r="AH456" s="23">
        <v>28793.32</v>
      </c>
    </row>
    <row r="457" spans="1:34" s="9" customFormat="1" ht="252" customHeight="1">
      <c r="A457" s="9">
        <f t="shared" ca="1" si="13"/>
        <v>293</v>
      </c>
      <c r="B457" s="31">
        <v>45833</v>
      </c>
      <c r="C457" s="2" t="s">
        <v>27</v>
      </c>
      <c r="D457" s="2" t="s">
        <v>2207</v>
      </c>
      <c r="E457" s="11" t="s">
        <v>2208</v>
      </c>
      <c r="F457" s="30" t="s">
        <v>2209</v>
      </c>
      <c r="G457" s="30" t="s">
        <v>2210</v>
      </c>
      <c r="H457" s="16">
        <v>45901</v>
      </c>
      <c r="I457" s="115"/>
      <c r="J457" s="115"/>
      <c r="K457" s="115"/>
      <c r="L457" s="115"/>
      <c r="M457" s="115" t="s">
        <v>3171</v>
      </c>
      <c r="N457" s="115">
        <v>45853</v>
      </c>
      <c r="O457" s="115"/>
      <c r="P457" s="115">
        <v>45873</v>
      </c>
      <c r="Q457" s="16" t="s">
        <v>1449</v>
      </c>
      <c r="R457" s="115">
        <v>45933</v>
      </c>
      <c r="S457" s="115">
        <v>45938</v>
      </c>
      <c r="T457" s="7" t="s">
        <v>20</v>
      </c>
      <c r="U457" s="16" t="s">
        <v>2709</v>
      </c>
      <c r="V457" s="16">
        <v>45887</v>
      </c>
      <c r="W457" s="16">
        <v>45912</v>
      </c>
      <c r="X457" s="4" t="s">
        <v>2852</v>
      </c>
      <c r="Y457" s="100"/>
      <c r="Z457" s="30" t="s">
        <v>2799</v>
      </c>
      <c r="AA457" s="8"/>
      <c r="AB457" s="10"/>
      <c r="AC457" s="10"/>
      <c r="AD457" s="10"/>
      <c r="AE457" s="22">
        <v>21247</v>
      </c>
      <c r="AF457" s="21"/>
      <c r="AG457" s="45"/>
      <c r="AH457" s="118">
        <v>10623.75</v>
      </c>
    </row>
    <row r="458" spans="1:34" s="9" customFormat="1" ht="131.25">
      <c r="A458" s="9">
        <f t="shared" ca="1" si="13"/>
        <v>263</v>
      </c>
      <c r="B458" s="31">
        <v>45833</v>
      </c>
      <c r="C458" s="2" t="s">
        <v>27</v>
      </c>
      <c r="D458" s="2" t="s">
        <v>2206</v>
      </c>
      <c r="E458" s="11" t="s">
        <v>2203</v>
      </c>
      <c r="F458" s="30" t="s">
        <v>2204</v>
      </c>
      <c r="G458" s="30" t="s">
        <v>90</v>
      </c>
      <c r="H458" s="16">
        <v>45931</v>
      </c>
      <c r="I458" s="115"/>
      <c r="J458" s="115"/>
      <c r="K458" s="115"/>
      <c r="L458" s="115"/>
      <c r="M458" s="115"/>
      <c r="N458" s="115"/>
      <c r="O458" s="115">
        <v>45929</v>
      </c>
      <c r="P458" s="115">
        <v>45930</v>
      </c>
      <c r="Q458" s="16" t="s">
        <v>1449</v>
      </c>
      <c r="R458" s="115"/>
      <c r="S458" s="115">
        <v>45941</v>
      </c>
      <c r="T458" s="7" t="s">
        <v>22</v>
      </c>
      <c r="U458" s="16" t="s">
        <v>3026</v>
      </c>
      <c r="V458" s="16" t="s">
        <v>3166</v>
      </c>
      <c r="W458" s="16">
        <v>45935</v>
      </c>
      <c r="X458" s="278" t="s">
        <v>3165</v>
      </c>
      <c r="Y458" s="100"/>
      <c r="Z458" s="30" t="s">
        <v>2205</v>
      </c>
      <c r="AA458" s="8">
        <v>45947</v>
      </c>
      <c r="AB458" s="10"/>
      <c r="AC458" s="22">
        <v>90938.4</v>
      </c>
      <c r="AD458" s="21"/>
      <c r="AE458" s="21"/>
      <c r="AF458" s="21"/>
      <c r="AG458" s="45"/>
      <c r="AH458" s="10">
        <v>90938.4</v>
      </c>
    </row>
    <row r="459" spans="1:34" s="9" customFormat="1" ht="122.25" customHeight="1">
      <c r="A459" s="9">
        <f t="shared" ca="1" si="13"/>
        <v>264</v>
      </c>
      <c r="B459" s="31">
        <v>45866</v>
      </c>
      <c r="C459" s="2" t="s">
        <v>27</v>
      </c>
      <c r="D459" s="2" t="s">
        <v>2543</v>
      </c>
      <c r="E459" s="11" t="s">
        <v>2544</v>
      </c>
      <c r="F459" s="30" t="s">
        <v>147</v>
      </c>
      <c r="G459" s="30" t="s">
        <v>2545</v>
      </c>
      <c r="H459" s="16">
        <v>45930</v>
      </c>
      <c r="I459" s="115"/>
      <c r="J459" s="115"/>
      <c r="K459" s="115"/>
      <c r="L459" s="115"/>
      <c r="M459" s="115"/>
      <c r="N459" s="115"/>
      <c r="O459" s="115">
        <v>45932</v>
      </c>
      <c r="P459" s="115">
        <v>45911</v>
      </c>
      <c r="Q459" s="16" t="s">
        <v>1449</v>
      </c>
      <c r="R459" s="115"/>
      <c r="S459" s="6">
        <v>45957</v>
      </c>
      <c r="T459" s="7" t="s">
        <v>20</v>
      </c>
      <c r="U459" s="16" t="s">
        <v>2952</v>
      </c>
      <c r="V459" s="16">
        <v>45918</v>
      </c>
      <c r="W459" s="16">
        <v>45945</v>
      </c>
      <c r="X459" s="100" t="s">
        <v>3164</v>
      </c>
      <c r="Y459" s="100"/>
      <c r="Z459" s="30" t="s">
        <v>54</v>
      </c>
      <c r="AA459" s="8">
        <v>45955</v>
      </c>
      <c r="AB459" s="10"/>
      <c r="AC459" s="22">
        <v>1245</v>
      </c>
      <c r="AD459" s="21"/>
      <c r="AE459" s="10"/>
      <c r="AF459" s="21"/>
      <c r="AG459" s="45"/>
      <c r="AH459" s="118">
        <v>1245</v>
      </c>
    </row>
    <row r="460" spans="1:34" s="9" customFormat="1" ht="122.25" customHeight="1">
      <c r="B460" s="31">
        <v>45866</v>
      </c>
      <c r="C460" s="2" t="s">
        <v>2689</v>
      </c>
      <c r="D460" s="2" t="s">
        <v>2661</v>
      </c>
      <c r="E460" s="11" t="s">
        <v>2662</v>
      </c>
      <c r="F460" s="30" t="s">
        <v>2663</v>
      </c>
      <c r="G460" s="30" t="s">
        <v>2664</v>
      </c>
      <c r="H460" s="16">
        <v>45930</v>
      </c>
      <c r="I460" s="115"/>
      <c r="J460" s="115"/>
      <c r="K460" s="115"/>
      <c r="L460" s="115"/>
      <c r="M460" s="115" t="s">
        <v>3173</v>
      </c>
      <c r="N460" s="115" t="s">
        <v>3173</v>
      </c>
      <c r="O460" s="115"/>
      <c r="P460" s="115">
        <v>45911</v>
      </c>
      <c r="Q460" s="16" t="s">
        <v>1449</v>
      </c>
      <c r="R460" s="115"/>
      <c r="S460" s="115">
        <v>45953</v>
      </c>
      <c r="T460" s="7" t="s">
        <v>20</v>
      </c>
      <c r="U460" s="16" t="s">
        <v>2952</v>
      </c>
      <c r="V460" s="16">
        <v>45912</v>
      </c>
      <c r="W460" s="16">
        <v>45945</v>
      </c>
      <c r="X460" s="295" t="s">
        <v>3164</v>
      </c>
      <c r="Y460" s="100" t="s">
        <v>3493</v>
      </c>
      <c r="Z460" s="30" t="s">
        <v>2665</v>
      </c>
      <c r="AA460" s="8">
        <v>45957</v>
      </c>
      <c r="AB460" s="10"/>
      <c r="AC460" s="22">
        <v>11980.8</v>
      </c>
      <c r="AD460" s="21"/>
      <c r="AE460" s="10"/>
      <c r="AF460" s="21"/>
      <c r="AG460" s="45"/>
      <c r="AH460" s="118">
        <v>11980.8</v>
      </c>
    </row>
    <row r="461" spans="1:34" s="9" customFormat="1" ht="252" customHeight="1">
      <c r="A461" s="9">
        <f ca="1">TODAY()-H461+1</f>
        <v>293</v>
      </c>
      <c r="B461" s="31">
        <v>45833</v>
      </c>
      <c r="C461" s="2" t="s">
        <v>27</v>
      </c>
      <c r="D461" s="2" t="s">
        <v>2211</v>
      </c>
      <c r="E461" s="11" t="s">
        <v>2212</v>
      </c>
      <c r="F461" s="30" t="s">
        <v>2213</v>
      </c>
      <c r="G461" s="30" t="s">
        <v>1090</v>
      </c>
      <c r="H461" s="16">
        <v>45901</v>
      </c>
      <c r="I461" s="115"/>
      <c r="J461" s="115"/>
      <c r="K461" s="115"/>
      <c r="L461" s="115"/>
      <c r="M461" s="115">
        <v>45884</v>
      </c>
      <c r="N461" s="115">
        <v>45884</v>
      </c>
      <c r="O461" s="115"/>
      <c r="P461" s="115">
        <v>45910</v>
      </c>
      <c r="Q461" s="16" t="s">
        <v>1449</v>
      </c>
      <c r="R461" s="115"/>
      <c r="S461" s="115">
        <v>45953</v>
      </c>
      <c r="T461" s="7" t="s">
        <v>20</v>
      </c>
      <c r="U461" s="16" t="s">
        <v>2849</v>
      </c>
      <c r="V461" s="16">
        <v>45917</v>
      </c>
      <c r="W461" s="16">
        <v>45935</v>
      </c>
      <c r="X461" s="4" t="s">
        <v>2984</v>
      </c>
      <c r="Y461" s="100"/>
      <c r="Z461" s="30" t="s">
        <v>3175</v>
      </c>
      <c r="AA461" s="8"/>
      <c r="AB461" s="10"/>
      <c r="AC461" s="10"/>
      <c r="AD461" s="10"/>
      <c r="AE461" s="22">
        <v>449917</v>
      </c>
      <c r="AF461" s="21"/>
      <c r="AG461" s="45"/>
      <c r="AH461" s="118">
        <v>449917</v>
      </c>
    </row>
    <row r="462" spans="1:34" s="9" customFormat="1" ht="122.25" customHeight="1">
      <c r="B462" s="31">
        <v>45835</v>
      </c>
      <c r="C462" s="2" t="s">
        <v>2689</v>
      </c>
      <c r="D462" s="2" t="s">
        <v>2234</v>
      </c>
      <c r="E462" s="11" t="s">
        <v>2235</v>
      </c>
      <c r="F462" s="30" t="s">
        <v>2236</v>
      </c>
      <c r="G462" s="30" t="s">
        <v>2237</v>
      </c>
      <c r="H462" s="16">
        <v>45870</v>
      </c>
      <c r="I462" s="115"/>
      <c r="J462" s="115"/>
      <c r="K462" s="115"/>
      <c r="L462" s="115"/>
      <c r="M462" s="115">
        <v>45860</v>
      </c>
      <c r="N462" s="115">
        <v>45863</v>
      </c>
      <c r="O462" s="115"/>
      <c r="P462" s="115">
        <v>45910</v>
      </c>
      <c r="Q462" s="16" t="s">
        <v>1449</v>
      </c>
      <c r="R462" s="115"/>
      <c r="S462" s="115">
        <v>45940</v>
      </c>
      <c r="T462" s="7" t="s">
        <v>25</v>
      </c>
      <c r="U462" s="296" t="s">
        <v>3028</v>
      </c>
      <c r="V462" s="16">
        <v>45885</v>
      </c>
      <c r="W462" s="182" t="s">
        <v>3027</v>
      </c>
      <c r="X462" s="4" t="s">
        <v>3029</v>
      </c>
      <c r="Y462" s="100"/>
      <c r="Z462" s="30" t="s">
        <v>61</v>
      </c>
      <c r="AA462" s="8">
        <v>45852</v>
      </c>
      <c r="AB462" s="10"/>
      <c r="AC462" s="22">
        <v>19237.5</v>
      </c>
      <c r="AD462" s="21"/>
      <c r="AE462" s="21"/>
      <c r="AF462" s="21"/>
      <c r="AG462" s="45"/>
      <c r="AH462" s="10">
        <v>19237.5</v>
      </c>
    </row>
    <row r="463" spans="1:34" s="9" customFormat="1" ht="73.5" customHeight="1">
      <c r="A463" s="9">
        <f t="shared" ref="A463:A478" ca="1" si="14">TODAY()-H463+1</f>
        <v>202</v>
      </c>
      <c r="B463" s="31">
        <v>45859</v>
      </c>
      <c r="C463" s="11" t="s">
        <v>694</v>
      </c>
      <c r="D463" s="2" t="s">
        <v>2439</v>
      </c>
      <c r="E463" s="11" t="s">
        <v>2440</v>
      </c>
      <c r="F463" s="30" t="s">
        <v>31</v>
      </c>
      <c r="G463" s="30" t="s">
        <v>2672</v>
      </c>
      <c r="H463" s="16">
        <v>45992</v>
      </c>
      <c r="I463" s="115">
        <v>45859</v>
      </c>
      <c r="J463" s="115">
        <v>45860</v>
      </c>
      <c r="K463" s="115">
        <v>45861</v>
      </c>
      <c r="L463" s="115"/>
      <c r="M463" s="115"/>
      <c r="N463" s="115"/>
      <c r="O463" s="115"/>
      <c r="P463" s="115"/>
      <c r="Q463" s="115">
        <v>45959</v>
      </c>
      <c r="R463" s="115">
        <v>45944</v>
      </c>
      <c r="S463" s="115">
        <v>45947</v>
      </c>
      <c r="T463" s="7" t="s">
        <v>22</v>
      </c>
      <c r="U463" s="7" t="s">
        <v>3367</v>
      </c>
      <c r="V463" s="16">
        <v>45900</v>
      </c>
      <c r="W463" s="16">
        <v>45939</v>
      </c>
      <c r="X463" s="311"/>
      <c r="Y463" s="100"/>
      <c r="Z463" s="30" t="s">
        <v>61</v>
      </c>
      <c r="AA463" s="8">
        <v>45882</v>
      </c>
      <c r="AB463" s="22">
        <v>65488.39</v>
      </c>
      <c r="AC463" s="10"/>
      <c r="AD463" s="21"/>
      <c r="AE463" s="10"/>
      <c r="AF463" s="21"/>
      <c r="AG463" s="45"/>
      <c r="AH463" s="118">
        <v>65488.39</v>
      </c>
    </row>
    <row r="464" spans="1:34" s="9" customFormat="1" ht="122.25" customHeight="1">
      <c r="A464" s="9">
        <f t="shared" ca="1" si="14"/>
        <v>355</v>
      </c>
      <c r="B464" s="31">
        <v>45726</v>
      </c>
      <c r="C464" s="34" t="s">
        <v>40</v>
      </c>
      <c r="D464" s="2" t="s">
        <v>1401</v>
      </c>
      <c r="E464" s="11" t="s">
        <v>1402</v>
      </c>
      <c r="F464" s="30" t="s">
        <v>1933</v>
      </c>
      <c r="G464" s="30" t="s">
        <v>3149</v>
      </c>
      <c r="H464" s="16">
        <v>45839</v>
      </c>
      <c r="I464" s="115"/>
      <c r="J464" s="115"/>
      <c r="K464" s="115"/>
      <c r="L464" s="115"/>
      <c r="M464" s="115"/>
      <c r="N464" s="115"/>
      <c r="O464" s="115"/>
      <c r="P464" s="115">
        <v>45904</v>
      </c>
      <c r="Q464" s="16" t="s">
        <v>1449</v>
      </c>
      <c r="R464" s="115"/>
      <c r="S464" s="115">
        <v>45917</v>
      </c>
      <c r="T464" s="7" t="s">
        <v>22</v>
      </c>
      <c r="U464" s="273" t="s">
        <v>2776</v>
      </c>
      <c r="V464" s="16">
        <v>45893</v>
      </c>
      <c r="W464" s="16">
        <v>45905</v>
      </c>
      <c r="X464" s="16"/>
      <c r="Y464" s="100"/>
      <c r="Z464" s="30" t="s">
        <v>54</v>
      </c>
      <c r="AA464" s="68">
        <v>45960</v>
      </c>
      <c r="AB464" s="23"/>
      <c r="AC464" s="23"/>
      <c r="AD464" s="65"/>
      <c r="AE464" s="105">
        <v>178549.23</v>
      </c>
      <c r="AF464" s="65"/>
      <c r="AG464" s="279"/>
      <c r="AH464" s="70">
        <v>178549.23</v>
      </c>
    </row>
    <row r="465" spans="1:35" s="9" customFormat="1" ht="122.25" customHeight="1">
      <c r="A465" s="9">
        <f t="shared" ca="1" si="14"/>
        <v>293</v>
      </c>
      <c r="B465" s="31">
        <v>45790</v>
      </c>
      <c r="C465" s="2" t="s">
        <v>694</v>
      </c>
      <c r="D465" s="2" t="s">
        <v>1826</v>
      </c>
      <c r="E465" s="11" t="s">
        <v>1828</v>
      </c>
      <c r="F465" s="30" t="s">
        <v>1830</v>
      </c>
      <c r="G465" s="30" t="s">
        <v>2628</v>
      </c>
      <c r="H465" s="16">
        <v>45901</v>
      </c>
      <c r="I465" s="115">
        <v>45790</v>
      </c>
      <c r="J465" s="115">
        <v>45790</v>
      </c>
      <c r="K465" s="115">
        <v>45790</v>
      </c>
      <c r="L465" s="115"/>
      <c r="M465" s="115"/>
      <c r="N465" s="115"/>
      <c r="O465" s="115"/>
      <c r="P465" s="115"/>
      <c r="Q465" s="115">
        <v>45889</v>
      </c>
      <c r="R465" s="115">
        <v>45911</v>
      </c>
      <c r="S465" s="115"/>
      <c r="T465" s="7" t="s">
        <v>22</v>
      </c>
      <c r="U465" s="16" t="s">
        <v>2605</v>
      </c>
      <c r="V465" s="16">
        <v>45874</v>
      </c>
      <c r="W465" s="16">
        <v>45902</v>
      </c>
      <c r="X465" s="293" t="s">
        <v>2602</v>
      </c>
      <c r="Y465" s="100"/>
      <c r="Z465" s="30" t="s">
        <v>717</v>
      </c>
      <c r="AA465" s="8">
        <v>45935</v>
      </c>
      <c r="AB465" s="22">
        <v>300699</v>
      </c>
      <c r="AC465" s="10"/>
      <c r="AD465" s="21"/>
      <c r="AE465" s="21"/>
      <c r="AF465" s="21"/>
      <c r="AG465" s="45"/>
      <c r="AH465" s="23">
        <v>300699</v>
      </c>
    </row>
    <row r="466" spans="1:35" s="9" customFormat="1" ht="122.25" customHeight="1">
      <c r="A466" s="9">
        <f t="shared" ca="1" si="14"/>
        <v>293</v>
      </c>
      <c r="B466" s="31">
        <v>45790</v>
      </c>
      <c r="C466" s="2" t="s">
        <v>694</v>
      </c>
      <c r="D466" s="2" t="s">
        <v>1827</v>
      </c>
      <c r="E466" s="11" t="s">
        <v>1829</v>
      </c>
      <c r="F466" s="30" t="s">
        <v>1830</v>
      </c>
      <c r="G466" s="30" t="s">
        <v>2631</v>
      </c>
      <c r="H466" s="16">
        <v>45901</v>
      </c>
      <c r="I466" s="115">
        <v>45790</v>
      </c>
      <c r="J466" s="115">
        <v>45790</v>
      </c>
      <c r="K466" s="115">
        <v>45790</v>
      </c>
      <c r="L466" s="115"/>
      <c r="M466" s="115"/>
      <c r="N466" s="115"/>
      <c r="O466" s="115"/>
      <c r="P466" s="115"/>
      <c r="Q466" s="115">
        <v>45918</v>
      </c>
      <c r="R466" s="115">
        <v>45930</v>
      </c>
      <c r="S466" s="115"/>
      <c r="T466" s="7" t="s">
        <v>22</v>
      </c>
      <c r="U466" s="2" t="s">
        <v>2818</v>
      </c>
      <c r="V466" s="16" t="s">
        <v>2819</v>
      </c>
      <c r="W466" s="16">
        <v>45929</v>
      </c>
      <c r="X466" s="292" t="s">
        <v>2821</v>
      </c>
      <c r="Y466" s="100"/>
      <c r="Z466" s="30" t="s">
        <v>717</v>
      </c>
      <c r="AA466" s="8">
        <v>45959</v>
      </c>
      <c r="AB466" s="22">
        <v>142602.76699999999</v>
      </c>
      <c r="AC466" s="10"/>
      <c r="AD466" s="21"/>
      <c r="AE466" s="21"/>
      <c r="AF466" s="21"/>
      <c r="AG466" s="45"/>
      <c r="AH466" s="23">
        <v>142602.76999999999</v>
      </c>
    </row>
    <row r="467" spans="1:35" s="9" customFormat="1" ht="122.25" customHeight="1">
      <c r="A467" s="9">
        <f t="shared" ca="1" si="14"/>
        <v>263</v>
      </c>
      <c r="B467" s="31">
        <v>45817</v>
      </c>
      <c r="C467" s="2" t="s">
        <v>694</v>
      </c>
      <c r="D467" s="2" t="s">
        <v>2035</v>
      </c>
      <c r="E467" s="11" t="s">
        <v>2036</v>
      </c>
      <c r="F467" s="30" t="s">
        <v>2057</v>
      </c>
      <c r="G467" s="30" t="s">
        <v>2636</v>
      </c>
      <c r="H467" s="16">
        <v>45931</v>
      </c>
      <c r="I467" s="115">
        <v>45817</v>
      </c>
      <c r="J467" s="115">
        <v>45817</v>
      </c>
      <c r="K467" s="115">
        <v>45818</v>
      </c>
      <c r="L467" s="115"/>
      <c r="M467" s="115"/>
      <c r="N467" s="115"/>
      <c r="O467" s="115"/>
      <c r="P467" s="115"/>
      <c r="Q467" s="115">
        <v>45916</v>
      </c>
      <c r="R467" s="115">
        <v>45926</v>
      </c>
      <c r="S467" s="115">
        <v>45930</v>
      </c>
      <c r="T467" s="7" t="s">
        <v>22</v>
      </c>
      <c r="U467" s="16" t="s">
        <v>2820</v>
      </c>
      <c r="V467" s="7" t="s">
        <v>2819</v>
      </c>
      <c r="W467" s="16">
        <v>45924</v>
      </c>
      <c r="X467" s="293" t="s">
        <v>2821</v>
      </c>
      <c r="Y467" s="100"/>
      <c r="Z467" s="30" t="s">
        <v>2037</v>
      </c>
      <c r="AA467" s="8">
        <v>45959</v>
      </c>
      <c r="AB467" s="22">
        <v>39148.6</v>
      </c>
      <c r="AC467" s="10"/>
      <c r="AD467" s="21"/>
      <c r="AE467" s="21"/>
      <c r="AF467" s="21"/>
      <c r="AG467" s="45"/>
      <c r="AH467" s="118">
        <v>39148.6</v>
      </c>
    </row>
    <row r="468" spans="1:35" s="9" customFormat="1" ht="122.25" customHeight="1">
      <c r="A468" s="9">
        <f t="shared" ca="1" si="14"/>
        <v>263</v>
      </c>
      <c r="B468" s="31">
        <v>45868</v>
      </c>
      <c r="C468" s="11" t="s">
        <v>24</v>
      </c>
      <c r="D468" s="2" t="s">
        <v>2741</v>
      </c>
      <c r="E468" s="11" t="s">
        <v>2742</v>
      </c>
      <c r="F468" s="30" t="s">
        <v>97</v>
      </c>
      <c r="G468" s="30" t="s">
        <v>2743</v>
      </c>
      <c r="H468" s="16">
        <v>45931</v>
      </c>
      <c r="I468" s="115">
        <v>45868</v>
      </c>
      <c r="J468" s="115">
        <v>45868</v>
      </c>
      <c r="K468" s="115">
        <v>45868</v>
      </c>
      <c r="L468" s="115"/>
      <c r="M468" s="115">
        <v>45910</v>
      </c>
      <c r="N468" s="115" t="s">
        <v>3204</v>
      </c>
      <c r="O468" s="115"/>
      <c r="P468" s="115"/>
      <c r="Q468" s="115">
        <v>45901</v>
      </c>
      <c r="R468" s="115" t="s">
        <v>3364</v>
      </c>
      <c r="S468" s="115"/>
      <c r="T468" s="7" t="s">
        <v>25</v>
      </c>
      <c r="U468" s="16" t="s">
        <v>75</v>
      </c>
      <c r="V468" s="16">
        <v>45939</v>
      </c>
      <c r="W468" s="16">
        <v>45942</v>
      </c>
      <c r="X468" s="4" t="s">
        <v>3301</v>
      </c>
      <c r="Y468" s="100"/>
      <c r="Z468" s="30" t="s">
        <v>55</v>
      </c>
      <c r="AA468" s="8">
        <v>45958</v>
      </c>
      <c r="AB468" s="10"/>
      <c r="AC468" s="22">
        <v>8390</v>
      </c>
      <c r="AD468" s="21"/>
      <c r="AE468" s="21"/>
      <c r="AF468" s="21"/>
      <c r="AG468" s="45"/>
      <c r="AH468" s="116">
        <v>8390</v>
      </c>
    </row>
    <row r="469" spans="1:35" s="9" customFormat="1" ht="122.25" customHeight="1">
      <c r="A469" s="9">
        <f t="shared" ca="1" si="14"/>
        <v>282</v>
      </c>
      <c r="B469" s="31">
        <v>45813</v>
      </c>
      <c r="C469" s="2" t="s">
        <v>24</v>
      </c>
      <c r="D469" s="2" t="s">
        <v>2020</v>
      </c>
      <c r="E469" s="11" t="s">
        <v>2021</v>
      </c>
      <c r="F469" s="30" t="s">
        <v>98</v>
      </c>
      <c r="G469" s="30" t="s">
        <v>3374</v>
      </c>
      <c r="H469" s="16">
        <v>45912</v>
      </c>
      <c r="I469" s="115">
        <v>45814</v>
      </c>
      <c r="J469" s="115">
        <v>45814</v>
      </c>
      <c r="K469" s="115"/>
      <c r="L469" s="115"/>
      <c r="M469" s="115"/>
      <c r="N469" s="115"/>
      <c r="O469" s="115"/>
      <c r="P469" s="115">
        <v>45925</v>
      </c>
      <c r="Q469" s="115">
        <v>45929</v>
      </c>
      <c r="R469" s="115" t="s">
        <v>3298</v>
      </c>
      <c r="S469" s="115"/>
      <c r="T469" s="7" t="s">
        <v>22</v>
      </c>
      <c r="U469" s="2" t="s">
        <v>3096</v>
      </c>
      <c r="V469" s="2" t="s">
        <v>2886</v>
      </c>
      <c r="W469" s="16" t="s">
        <v>3359</v>
      </c>
      <c r="X469" s="4" t="s">
        <v>3095</v>
      </c>
      <c r="Y469" s="100"/>
      <c r="Z469" s="30" t="s">
        <v>33</v>
      </c>
      <c r="AA469" s="8">
        <v>45962</v>
      </c>
      <c r="AB469" s="22">
        <v>84704.4</v>
      </c>
      <c r="AC469" s="10"/>
      <c r="AD469" s="21"/>
      <c r="AE469" s="21"/>
      <c r="AF469" s="21"/>
      <c r="AG469" s="45"/>
      <c r="AH469" s="118">
        <v>84704.4</v>
      </c>
    </row>
    <row r="470" spans="1:35" s="7" customFormat="1" ht="122.25" customHeight="1">
      <c r="A470" s="9">
        <f t="shared" ca="1" si="14"/>
        <v>263</v>
      </c>
      <c r="B470" s="31">
        <v>45833</v>
      </c>
      <c r="C470" s="11" t="s">
        <v>694</v>
      </c>
      <c r="D470" s="2" t="s">
        <v>2139</v>
      </c>
      <c r="E470" s="11" t="s">
        <v>2140</v>
      </c>
      <c r="F470" s="30" t="s">
        <v>44</v>
      </c>
      <c r="G470" s="30" t="s">
        <v>3200</v>
      </c>
      <c r="H470" s="16">
        <v>45931</v>
      </c>
      <c r="I470" s="115">
        <v>45834</v>
      </c>
      <c r="J470" s="115">
        <v>45834</v>
      </c>
      <c r="K470" s="115">
        <v>45847</v>
      </c>
      <c r="L470" s="115" t="s">
        <v>925</v>
      </c>
      <c r="M470" s="115"/>
      <c r="N470" s="115" t="s">
        <v>1137</v>
      </c>
      <c r="O470" s="115" t="s">
        <v>1137</v>
      </c>
      <c r="P470" s="115" t="s">
        <v>1137</v>
      </c>
      <c r="Q470" s="115">
        <v>45931</v>
      </c>
      <c r="R470" s="115">
        <v>45952</v>
      </c>
      <c r="S470" s="115">
        <v>45957</v>
      </c>
      <c r="T470" s="7" t="s">
        <v>22</v>
      </c>
      <c r="U470" s="7" t="s">
        <v>2943</v>
      </c>
      <c r="V470" s="16">
        <v>45884</v>
      </c>
      <c r="W470" s="16">
        <v>45946</v>
      </c>
      <c r="X470" s="292" t="s">
        <v>3201</v>
      </c>
      <c r="Y470" s="100"/>
      <c r="Z470" s="30" t="s">
        <v>1206</v>
      </c>
      <c r="AA470" s="8">
        <v>45935</v>
      </c>
      <c r="AB470" s="10"/>
      <c r="AC470" s="22">
        <v>39919</v>
      </c>
      <c r="AD470" s="21"/>
      <c r="AE470" s="21"/>
      <c r="AF470" s="21"/>
      <c r="AG470" s="45"/>
      <c r="AH470" s="118">
        <v>39919</v>
      </c>
      <c r="AI470" s="9"/>
    </row>
    <row r="471" spans="1:35" s="9" customFormat="1" ht="253.5" customHeight="1">
      <c r="A471" s="9">
        <f t="shared" ca="1" si="14"/>
        <v>263</v>
      </c>
      <c r="B471" s="31">
        <v>45833</v>
      </c>
      <c r="C471" s="11" t="s">
        <v>694</v>
      </c>
      <c r="D471" s="2" t="s">
        <v>2139</v>
      </c>
      <c r="E471" s="11" t="s">
        <v>2140</v>
      </c>
      <c r="F471" s="30" t="s">
        <v>44</v>
      </c>
      <c r="G471" s="30" t="s">
        <v>3199</v>
      </c>
      <c r="H471" s="16">
        <v>45931</v>
      </c>
      <c r="I471" s="115">
        <v>45834</v>
      </c>
      <c r="J471" s="115">
        <v>45834</v>
      </c>
      <c r="K471" s="115">
        <v>45847</v>
      </c>
      <c r="L471" s="115" t="s">
        <v>925</v>
      </c>
      <c r="M471" s="115"/>
      <c r="N471" s="115" t="s">
        <v>1137</v>
      </c>
      <c r="O471" s="115" t="s">
        <v>1137</v>
      </c>
      <c r="P471" s="115" t="s">
        <v>1137</v>
      </c>
      <c r="Q471" s="115">
        <v>45931</v>
      </c>
      <c r="R471" s="115">
        <v>45947</v>
      </c>
      <c r="S471" s="115">
        <v>45957</v>
      </c>
      <c r="T471" s="7" t="s">
        <v>22</v>
      </c>
      <c r="U471" s="7" t="s">
        <v>2932</v>
      </c>
      <c r="V471" s="16">
        <v>45894</v>
      </c>
      <c r="W471" s="16">
        <v>45946</v>
      </c>
      <c r="X471" s="292" t="s">
        <v>3202</v>
      </c>
      <c r="Y471" s="100"/>
      <c r="Z471" s="30" t="s">
        <v>1206</v>
      </c>
      <c r="AA471" s="8">
        <v>45935</v>
      </c>
      <c r="AB471" s="10"/>
      <c r="AC471" s="22">
        <v>171522.41</v>
      </c>
      <c r="AD471" s="21"/>
      <c r="AE471" s="21"/>
      <c r="AF471" s="21"/>
      <c r="AG471" s="45"/>
      <c r="AH471" s="118">
        <v>171522.41</v>
      </c>
    </row>
    <row r="472" spans="1:35" s="9" customFormat="1" ht="122.25" customHeight="1">
      <c r="A472" s="9">
        <f t="shared" ca="1" si="14"/>
        <v>263</v>
      </c>
      <c r="B472" s="31">
        <v>45842</v>
      </c>
      <c r="C472" s="11" t="s">
        <v>694</v>
      </c>
      <c r="D472" s="2" t="s">
        <v>2226</v>
      </c>
      <c r="E472" s="11" t="s">
        <v>2227</v>
      </c>
      <c r="F472" s="30" t="s">
        <v>87</v>
      </c>
      <c r="G472" s="30" t="s">
        <v>2638</v>
      </c>
      <c r="H472" s="16">
        <v>45931</v>
      </c>
      <c r="I472" s="115">
        <v>45842</v>
      </c>
      <c r="J472" s="115">
        <v>45842</v>
      </c>
      <c r="K472" s="115">
        <v>45846</v>
      </c>
      <c r="L472" s="115"/>
      <c r="M472" s="115"/>
      <c r="N472" s="115"/>
      <c r="O472" s="115"/>
      <c r="P472" s="115"/>
      <c r="Q472" s="115">
        <v>45943</v>
      </c>
      <c r="R472" s="115">
        <v>45951</v>
      </c>
      <c r="S472" s="115">
        <v>45959</v>
      </c>
      <c r="T472" s="7" t="s">
        <v>2228</v>
      </c>
      <c r="U472" s="2" t="s">
        <v>3127</v>
      </c>
      <c r="V472" s="16">
        <v>45903</v>
      </c>
      <c r="W472" s="16">
        <v>45940</v>
      </c>
      <c r="X472" s="292" t="s">
        <v>3126</v>
      </c>
      <c r="Y472" s="100"/>
      <c r="Z472" s="30" t="s">
        <v>54</v>
      </c>
      <c r="AA472" s="8">
        <v>45961</v>
      </c>
      <c r="AB472" s="10"/>
      <c r="AC472" s="22">
        <v>41244.980000000003</v>
      </c>
      <c r="AD472" s="21"/>
      <c r="AE472" s="21"/>
      <c r="AF472" s="21"/>
      <c r="AG472" s="45"/>
      <c r="AH472" s="118">
        <v>41244.980000000003</v>
      </c>
    </row>
    <row r="473" spans="1:35" s="9" customFormat="1" ht="122.25" customHeight="1">
      <c r="A473" s="9">
        <f t="shared" ca="1" si="14"/>
        <v>269</v>
      </c>
      <c r="B473" s="31">
        <v>45842</v>
      </c>
      <c r="C473" s="11" t="s">
        <v>694</v>
      </c>
      <c r="D473" s="2" t="s">
        <v>2229</v>
      </c>
      <c r="E473" s="11" t="s">
        <v>2230</v>
      </c>
      <c r="F473" s="30" t="s">
        <v>2078</v>
      </c>
      <c r="G473" s="30" t="s">
        <v>2231</v>
      </c>
      <c r="H473" s="16">
        <v>45925</v>
      </c>
      <c r="I473" s="115">
        <v>45845</v>
      </c>
      <c r="J473" s="115">
        <v>45845</v>
      </c>
      <c r="K473" s="115">
        <v>45845</v>
      </c>
      <c r="L473" s="115"/>
      <c r="M473" s="115"/>
      <c r="N473" s="115"/>
      <c r="O473" s="115"/>
      <c r="P473" s="115"/>
      <c r="Q473" s="115">
        <v>45895</v>
      </c>
      <c r="R473" s="115" t="s">
        <v>3153</v>
      </c>
      <c r="S473" s="115">
        <v>45931</v>
      </c>
      <c r="T473" s="7" t="s">
        <v>2228</v>
      </c>
      <c r="U473" s="4" t="s">
        <v>2788</v>
      </c>
      <c r="V473" s="16">
        <v>45895</v>
      </c>
      <c r="W473" s="16">
        <v>45924</v>
      </c>
      <c r="X473" s="292" t="s">
        <v>2865</v>
      </c>
      <c r="Y473" s="100"/>
      <c r="Z473" s="30" t="s">
        <v>54</v>
      </c>
      <c r="AA473" s="8">
        <v>45950</v>
      </c>
      <c r="AB473" s="10"/>
      <c r="AC473" s="22">
        <v>25512.959999999999</v>
      </c>
      <c r="AD473" s="21"/>
      <c r="AE473" s="21"/>
      <c r="AF473" s="21"/>
      <c r="AG473" s="45"/>
      <c r="AH473" s="118">
        <v>25512.959999999999</v>
      </c>
    </row>
    <row r="474" spans="1:35" s="9" customFormat="1" ht="122.25" customHeight="1">
      <c r="A474" s="9">
        <f t="shared" ca="1" si="14"/>
        <v>279</v>
      </c>
      <c r="B474" s="31">
        <v>45817</v>
      </c>
      <c r="C474" s="118" t="s">
        <v>694</v>
      </c>
      <c r="D474" s="2" t="s">
        <v>2041</v>
      </c>
      <c r="E474" s="11" t="s">
        <v>2042</v>
      </c>
      <c r="F474" s="30" t="s">
        <v>41</v>
      </c>
      <c r="G474" s="30" t="s">
        <v>2043</v>
      </c>
      <c r="H474" s="16">
        <v>45915</v>
      </c>
      <c r="I474" s="115">
        <v>45817</v>
      </c>
      <c r="J474" s="115">
        <v>45817</v>
      </c>
      <c r="K474" s="115">
        <v>45818</v>
      </c>
      <c r="L474" s="115">
        <v>45819</v>
      </c>
      <c r="M474" s="115" t="s">
        <v>1137</v>
      </c>
      <c r="N474" s="115" t="s">
        <v>1137</v>
      </c>
      <c r="O474" s="115" t="s">
        <v>1137</v>
      </c>
      <c r="P474" s="115" t="s">
        <v>1137</v>
      </c>
      <c r="Q474" s="115">
        <v>45875</v>
      </c>
      <c r="R474" s="115">
        <v>45939</v>
      </c>
      <c r="S474" s="115">
        <v>45941</v>
      </c>
      <c r="T474" s="7" t="s">
        <v>28</v>
      </c>
      <c r="U474" s="16" t="s">
        <v>2599</v>
      </c>
      <c r="V474" s="286">
        <v>45882</v>
      </c>
      <c r="W474" s="16">
        <v>45936</v>
      </c>
      <c r="X474" s="292" t="s">
        <v>2598</v>
      </c>
      <c r="Y474" s="100"/>
      <c r="Z474" s="30" t="s">
        <v>2745</v>
      </c>
      <c r="AA474" s="8">
        <v>45912</v>
      </c>
      <c r="AB474" s="22">
        <v>56406.21</v>
      </c>
      <c r="AC474" s="10"/>
      <c r="AD474" s="21"/>
      <c r="AE474" s="21"/>
      <c r="AF474" s="21"/>
      <c r="AG474" s="45"/>
      <c r="AH474" s="23">
        <v>28203.1</v>
      </c>
      <c r="AI474" s="100"/>
    </row>
    <row r="475" spans="1:35" s="9" customFormat="1" ht="122.25" customHeight="1">
      <c r="A475" s="9">
        <f t="shared" ca="1" si="14"/>
        <v>232</v>
      </c>
      <c r="B475" s="31">
        <v>45824</v>
      </c>
      <c r="C475" s="11" t="s">
        <v>694</v>
      </c>
      <c r="D475" s="2" t="s">
        <v>2108</v>
      </c>
      <c r="E475" s="11" t="s">
        <v>2109</v>
      </c>
      <c r="F475" s="30" t="s">
        <v>1950</v>
      </c>
      <c r="G475" s="30" t="s">
        <v>1951</v>
      </c>
      <c r="H475" s="16">
        <v>45962</v>
      </c>
      <c r="I475" s="115">
        <v>45822</v>
      </c>
      <c r="J475" s="115">
        <v>45824</v>
      </c>
      <c r="K475" s="115">
        <v>45839</v>
      </c>
      <c r="L475" s="115"/>
      <c r="M475" s="115"/>
      <c r="N475" s="115"/>
      <c r="O475" s="115" t="s">
        <v>3313</v>
      </c>
      <c r="P475" s="115"/>
      <c r="Q475" s="115">
        <v>45943</v>
      </c>
      <c r="R475" s="115">
        <v>45954</v>
      </c>
      <c r="S475" s="115">
        <v>45954</v>
      </c>
      <c r="T475" s="7" t="s">
        <v>22</v>
      </c>
      <c r="U475" s="16" t="s">
        <v>3232</v>
      </c>
      <c r="V475" s="286">
        <v>45929</v>
      </c>
      <c r="W475" s="16">
        <v>45945</v>
      </c>
      <c r="X475" s="292" t="s">
        <v>3629</v>
      </c>
      <c r="Y475" s="100"/>
      <c r="Z475" s="30" t="s">
        <v>3630</v>
      </c>
      <c r="AA475" s="8">
        <v>45945</v>
      </c>
      <c r="AB475" s="22">
        <v>31832.639999999999</v>
      </c>
      <c r="AC475" s="10"/>
      <c r="AD475" s="21"/>
      <c r="AE475" s="21"/>
      <c r="AF475" s="21"/>
      <c r="AG475" s="45"/>
      <c r="AH475" s="116">
        <v>31832.639999999999</v>
      </c>
    </row>
    <row r="476" spans="1:35" s="9" customFormat="1" ht="122.25" customHeight="1">
      <c r="A476" s="9">
        <f t="shared" ca="1" si="14"/>
        <v>263</v>
      </c>
      <c r="B476" s="31">
        <v>45824</v>
      </c>
      <c r="C476" s="11" t="s">
        <v>694</v>
      </c>
      <c r="D476" s="2" t="s">
        <v>2106</v>
      </c>
      <c r="E476" s="11" t="s">
        <v>2107</v>
      </c>
      <c r="F476" s="30" t="s">
        <v>311</v>
      </c>
      <c r="G476" s="30" t="s">
        <v>2384</v>
      </c>
      <c r="H476" s="16">
        <v>45931</v>
      </c>
      <c r="I476" s="115">
        <v>45822</v>
      </c>
      <c r="J476" s="115">
        <v>45824</v>
      </c>
      <c r="K476" s="115">
        <v>45824</v>
      </c>
      <c r="L476" s="115"/>
      <c r="M476" s="115"/>
      <c r="N476" s="115"/>
      <c r="O476" s="115"/>
      <c r="P476" s="115"/>
      <c r="Q476" s="115">
        <v>45924</v>
      </c>
      <c r="R476" s="115">
        <v>45946</v>
      </c>
      <c r="S476" s="115">
        <v>45951</v>
      </c>
      <c r="T476" s="7" t="s">
        <v>22</v>
      </c>
      <c r="U476" s="16" t="s">
        <v>3125</v>
      </c>
      <c r="V476" s="104">
        <v>45913</v>
      </c>
      <c r="W476" s="286">
        <v>45945</v>
      </c>
      <c r="X476" s="292" t="s">
        <v>3124</v>
      </c>
      <c r="Y476" s="100"/>
      <c r="Z476" s="30" t="s">
        <v>46</v>
      </c>
      <c r="AA476" s="8">
        <v>45934</v>
      </c>
      <c r="AB476" s="22">
        <v>20565</v>
      </c>
      <c r="AC476" s="10"/>
      <c r="AD476" s="21"/>
      <c r="AE476" s="21"/>
      <c r="AF476" s="21"/>
      <c r="AG476" s="45"/>
      <c r="AH476" s="118">
        <v>20565</v>
      </c>
    </row>
    <row r="477" spans="1:35" s="9" customFormat="1" ht="122.25" customHeight="1">
      <c r="A477" s="9">
        <f t="shared" ca="1" si="14"/>
        <v>300</v>
      </c>
      <c r="B477" s="31">
        <v>45833</v>
      </c>
      <c r="C477" s="11" t="s">
        <v>694</v>
      </c>
      <c r="D477" s="2" t="s">
        <v>2141</v>
      </c>
      <c r="E477" s="11" t="s">
        <v>2142</v>
      </c>
      <c r="F477" s="30" t="s">
        <v>737</v>
      </c>
      <c r="G477" s="30" t="s">
        <v>3077</v>
      </c>
      <c r="H477" s="16">
        <v>45894</v>
      </c>
      <c r="I477" s="115">
        <v>45834</v>
      </c>
      <c r="J477" s="115">
        <v>45834</v>
      </c>
      <c r="K477" s="115">
        <v>45835</v>
      </c>
      <c r="L477" s="115"/>
      <c r="M477" s="115"/>
      <c r="N477" s="115"/>
      <c r="O477" s="115"/>
      <c r="P477" s="115"/>
      <c r="Q477" s="115">
        <v>45902</v>
      </c>
      <c r="R477" s="115">
        <v>45944</v>
      </c>
      <c r="S477" s="115">
        <v>45952</v>
      </c>
      <c r="T477" s="7" t="s">
        <v>20</v>
      </c>
      <c r="U477" s="16" t="s">
        <v>2868</v>
      </c>
      <c r="V477" s="16">
        <v>45889</v>
      </c>
      <c r="W477" s="16">
        <v>45938</v>
      </c>
      <c r="X477" s="292" t="s">
        <v>2867</v>
      </c>
      <c r="Y477" s="100"/>
      <c r="Z477" s="191" t="s">
        <v>3180</v>
      </c>
      <c r="AA477" s="8">
        <v>45924</v>
      </c>
      <c r="AB477" s="22">
        <v>428400</v>
      </c>
      <c r="AC477" s="10"/>
      <c r="AD477" s="21"/>
      <c r="AE477" s="21"/>
      <c r="AF477" s="21"/>
      <c r="AG477" s="45"/>
      <c r="AH477" s="10">
        <v>428400</v>
      </c>
    </row>
    <row r="478" spans="1:35" s="9" customFormat="1" ht="54" customHeight="1">
      <c r="A478" s="9">
        <f t="shared" ca="1" si="14"/>
        <v>242</v>
      </c>
      <c r="B478" s="31">
        <v>45852</v>
      </c>
      <c r="C478" s="11" t="s">
        <v>694</v>
      </c>
      <c r="D478" s="2" t="s">
        <v>2404</v>
      </c>
      <c r="E478" s="11" t="s">
        <v>2405</v>
      </c>
      <c r="F478" s="30" t="s">
        <v>2620</v>
      </c>
      <c r="G478" s="30" t="s">
        <v>2406</v>
      </c>
      <c r="H478" s="16">
        <v>45952</v>
      </c>
      <c r="I478" s="115">
        <v>45856</v>
      </c>
      <c r="J478" s="115">
        <v>45857</v>
      </c>
      <c r="K478" s="115">
        <v>45858</v>
      </c>
      <c r="L478" s="115"/>
      <c r="M478" s="115"/>
      <c r="N478" s="115"/>
      <c r="O478" s="115"/>
      <c r="P478" s="115"/>
      <c r="Q478" s="115">
        <v>45939</v>
      </c>
      <c r="R478" s="115">
        <v>45952</v>
      </c>
      <c r="S478" s="115">
        <v>45952</v>
      </c>
      <c r="T478" s="7" t="s">
        <v>22</v>
      </c>
      <c r="U478" s="16" t="s">
        <v>3154</v>
      </c>
      <c r="V478" s="16">
        <v>45897</v>
      </c>
      <c r="W478" s="16">
        <v>45947</v>
      </c>
      <c r="X478" s="292" t="s">
        <v>3307</v>
      </c>
      <c r="Y478" s="267"/>
      <c r="Z478" s="151" t="s">
        <v>3306</v>
      </c>
      <c r="AA478" s="8">
        <v>45933</v>
      </c>
      <c r="AB478" s="22">
        <f>16102.65*2</f>
        <v>32205.3</v>
      </c>
      <c r="AC478" s="10"/>
      <c r="AD478" s="21"/>
      <c r="AE478" s="21"/>
      <c r="AF478" s="21"/>
      <c r="AG478" s="45"/>
      <c r="AH478" s="118">
        <v>32205.3</v>
      </c>
    </row>
    <row r="479" spans="1:35" s="9" customFormat="1" ht="122.25" customHeight="1">
      <c r="B479" s="31">
        <v>45881</v>
      </c>
      <c r="C479" s="11" t="s">
        <v>694</v>
      </c>
      <c r="D479" s="2" t="s">
        <v>2711</v>
      </c>
      <c r="E479" s="11" t="s">
        <v>2712</v>
      </c>
      <c r="F479" s="30" t="s">
        <v>740</v>
      </c>
      <c r="G479" s="30" t="s">
        <v>2713</v>
      </c>
      <c r="H479" s="16">
        <v>45962</v>
      </c>
      <c r="I479" s="115">
        <v>45880</v>
      </c>
      <c r="J479" s="115">
        <v>45881</v>
      </c>
      <c r="K479" s="115">
        <v>45882</v>
      </c>
      <c r="L479" s="115"/>
      <c r="M479" s="115"/>
      <c r="N479" s="115"/>
      <c r="O479" s="115"/>
      <c r="P479" s="115"/>
      <c r="Q479" s="115">
        <v>45939</v>
      </c>
      <c r="R479" s="115">
        <v>45952</v>
      </c>
      <c r="S479" s="115">
        <v>45955</v>
      </c>
      <c r="T479" s="7" t="s">
        <v>22</v>
      </c>
      <c r="U479" s="4" t="s">
        <v>3154</v>
      </c>
      <c r="V479" s="16" t="s">
        <v>3155</v>
      </c>
      <c r="W479" s="16" t="s">
        <v>3336</v>
      </c>
      <c r="X479" s="312" t="s">
        <v>3311</v>
      </c>
      <c r="Y479" s="100"/>
      <c r="Z479" s="30" t="s">
        <v>742</v>
      </c>
      <c r="AA479" s="8">
        <v>45931</v>
      </c>
      <c r="AB479" s="22">
        <v>29544.080000000002</v>
      </c>
      <c r="AC479" s="10"/>
      <c r="AD479" s="21"/>
      <c r="AE479" s="21"/>
      <c r="AF479" s="21"/>
      <c r="AG479" s="45"/>
      <c r="AH479" s="118">
        <v>29544.080000000002</v>
      </c>
    </row>
    <row r="480" spans="1:35" s="9" customFormat="1" ht="261" customHeight="1">
      <c r="A480" s="9">
        <f t="shared" ref="A480:A485" ca="1" si="15">TODAY()-H480+1</f>
        <v>263</v>
      </c>
      <c r="B480" s="31">
        <v>45819</v>
      </c>
      <c r="C480" s="2" t="s">
        <v>24</v>
      </c>
      <c r="D480" s="2" t="s">
        <v>2435</v>
      </c>
      <c r="E480" s="11" t="s">
        <v>2436</v>
      </c>
      <c r="F480" s="30" t="s">
        <v>36</v>
      </c>
      <c r="G480" s="30" t="s">
        <v>2926</v>
      </c>
      <c r="H480" s="16">
        <v>45931</v>
      </c>
      <c r="I480" s="115">
        <v>45820</v>
      </c>
      <c r="J480" s="115">
        <v>45820</v>
      </c>
      <c r="K480" s="115">
        <v>45820</v>
      </c>
      <c r="L480" s="115"/>
      <c r="M480" s="115">
        <v>45909</v>
      </c>
      <c r="N480" s="115"/>
      <c r="O480" s="115"/>
      <c r="P480" s="115">
        <v>45930</v>
      </c>
      <c r="Q480" s="115">
        <v>45930</v>
      </c>
      <c r="R480" s="115" t="s">
        <v>3247</v>
      </c>
      <c r="S480" s="115"/>
      <c r="T480" s="7" t="s">
        <v>30</v>
      </c>
      <c r="U480" s="2" t="s">
        <v>2893</v>
      </c>
      <c r="V480" s="16">
        <v>45927</v>
      </c>
      <c r="W480" s="16">
        <v>45932</v>
      </c>
      <c r="X480" s="4" t="s">
        <v>3369</v>
      </c>
      <c r="Y480" s="100"/>
      <c r="Z480" s="30" t="s">
        <v>113</v>
      </c>
      <c r="AA480" s="8">
        <v>45962</v>
      </c>
      <c r="AB480" s="22">
        <f>793562.53+462436.35</f>
        <v>1255998.8799999999</v>
      </c>
      <c r="AC480" s="23"/>
      <c r="AD480" s="21"/>
      <c r="AE480" s="21"/>
      <c r="AF480" s="21"/>
      <c r="AG480" s="45"/>
      <c r="AH480" s="23">
        <v>1255998.8799999999</v>
      </c>
    </row>
    <row r="481" spans="1:35" s="9" customFormat="1" ht="122.25" customHeight="1">
      <c r="A481" s="9">
        <f t="shared" ca="1" si="15"/>
        <v>232</v>
      </c>
      <c r="B481" s="31">
        <v>45852</v>
      </c>
      <c r="C481" s="11" t="s">
        <v>24</v>
      </c>
      <c r="D481" s="2" t="s">
        <v>2437</v>
      </c>
      <c r="E481" s="11" t="s">
        <v>2438</v>
      </c>
      <c r="F481" s="30" t="s">
        <v>36</v>
      </c>
      <c r="G481" s="30" t="s">
        <v>3118</v>
      </c>
      <c r="H481" s="16">
        <v>45962</v>
      </c>
      <c r="I481" s="115">
        <v>45852</v>
      </c>
      <c r="J481" s="115">
        <v>45852</v>
      </c>
      <c r="K481" s="115">
        <v>45853</v>
      </c>
      <c r="L481" s="115"/>
      <c r="M481" s="115">
        <v>45916</v>
      </c>
      <c r="N481" s="115"/>
      <c r="O481" s="115"/>
      <c r="P481" s="115">
        <v>45930</v>
      </c>
      <c r="Q481" s="115">
        <v>45930</v>
      </c>
      <c r="R481" s="115" t="s">
        <v>3247</v>
      </c>
      <c r="S481" s="115"/>
      <c r="T481" s="7" t="s">
        <v>30</v>
      </c>
      <c r="U481" s="2" t="s">
        <v>2893</v>
      </c>
      <c r="V481" s="16">
        <v>45927</v>
      </c>
      <c r="W481" s="16">
        <v>45932</v>
      </c>
      <c r="X481" s="4" t="s">
        <v>3370</v>
      </c>
      <c r="Y481" s="100"/>
      <c r="Z481" s="30" t="s">
        <v>113</v>
      </c>
      <c r="AA481" s="8">
        <v>45962</v>
      </c>
      <c r="AB481" s="22">
        <v>9477.64</v>
      </c>
      <c r="AC481" s="10"/>
      <c r="AD481" s="21"/>
      <c r="AE481" s="21"/>
      <c r="AF481" s="21"/>
      <c r="AG481" s="45"/>
      <c r="AH481" s="116">
        <v>9477.64</v>
      </c>
    </row>
    <row r="482" spans="1:35" s="9" customFormat="1" ht="111.75" customHeight="1">
      <c r="A482" s="9">
        <f t="shared" ca="1" si="15"/>
        <v>355</v>
      </c>
      <c r="B482" s="31">
        <v>45733</v>
      </c>
      <c r="C482" s="34" t="s">
        <v>40</v>
      </c>
      <c r="D482" s="2" t="s">
        <v>1399</v>
      </c>
      <c r="E482" s="11" t="s">
        <v>1400</v>
      </c>
      <c r="F482" s="30" t="s">
        <v>74</v>
      </c>
      <c r="G482" s="30" t="s">
        <v>3212</v>
      </c>
      <c r="H482" s="16">
        <v>45839</v>
      </c>
      <c r="I482" s="115"/>
      <c r="J482" s="115"/>
      <c r="K482" s="115"/>
      <c r="L482" s="115"/>
      <c r="M482" s="115"/>
      <c r="N482" s="289"/>
      <c r="O482" s="289"/>
      <c r="P482" s="115">
        <v>45932</v>
      </c>
      <c r="Q482" s="16" t="s">
        <v>1449</v>
      </c>
      <c r="R482" s="115"/>
      <c r="S482" s="115">
        <v>45946</v>
      </c>
      <c r="T482" s="7" t="s">
        <v>22</v>
      </c>
      <c r="U482" s="203" t="s">
        <v>3082</v>
      </c>
      <c r="V482" s="286">
        <v>45906</v>
      </c>
      <c r="W482" s="16">
        <v>45939</v>
      </c>
      <c r="X482" s="24" t="s">
        <v>3213</v>
      </c>
      <c r="Y482" s="100"/>
      <c r="Z482" s="30" t="s">
        <v>33</v>
      </c>
      <c r="AA482" s="8">
        <v>45969</v>
      </c>
      <c r="AB482" s="10"/>
      <c r="AC482" s="10"/>
      <c r="AD482" s="21"/>
      <c r="AE482" s="105">
        <v>595888.87</v>
      </c>
      <c r="AF482" s="21"/>
      <c r="AG482" s="45"/>
      <c r="AH482" s="23">
        <v>595888.87</v>
      </c>
    </row>
    <row r="483" spans="1:35" s="9" customFormat="1" ht="111.75" customHeight="1">
      <c r="A483" s="9">
        <f t="shared" ca="1" si="15"/>
        <v>324</v>
      </c>
      <c r="B483" s="31">
        <v>45790</v>
      </c>
      <c r="C483" s="34" t="s">
        <v>40</v>
      </c>
      <c r="D483" s="2" t="s">
        <v>1935</v>
      </c>
      <c r="E483" s="11" t="s">
        <v>1936</v>
      </c>
      <c r="F483" s="30" t="s">
        <v>74</v>
      </c>
      <c r="G483" s="30" t="s">
        <v>3160</v>
      </c>
      <c r="H483" s="16">
        <v>45870</v>
      </c>
      <c r="I483" s="115">
        <v>45792</v>
      </c>
      <c r="J483" s="115"/>
      <c r="K483" s="115"/>
      <c r="L483" s="115"/>
      <c r="M483" s="115"/>
      <c r="N483" s="115"/>
      <c r="O483" s="289"/>
      <c r="P483" s="115">
        <v>45932</v>
      </c>
      <c r="Q483" s="16" t="s">
        <v>1449</v>
      </c>
      <c r="R483" s="115"/>
      <c r="S483" s="115">
        <v>45953</v>
      </c>
      <c r="T483" s="7" t="s">
        <v>22</v>
      </c>
      <c r="U483" s="203" t="s">
        <v>3082</v>
      </c>
      <c r="V483" s="286">
        <v>45906</v>
      </c>
      <c r="W483" s="16">
        <v>45939</v>
      </c>
      <c r="X483" s="24" t="s">
        <v>3213</v>
      </c>
      <c r="Y483" s="100"/>
      <c r="Z483" s="30" t="s">
        <v>54</v>
      </c>
      <c r="AA483" s="8">
        <v>45969</v>
      </c>
      <c r="AB483" s="10"/>
      <c r="AC483" s="10"/>
      <c r="AD483" s="21"/>
      <c r="AE483" s="22">
        <v>1571601.54</v>
      </c>
      <c r="AF483" s="21"/>
      <c r="AG483" s="45"/>
      <c r="AH483" s="118">
        <v>1571601.54</v>
      </c>
    </row>
    <row r="484" spans="1:35" s="9" customFormat="1" ht="122.25" customHeight="1">
      <c r="A484" s="9">
        <f t="shared" ca="1" si="15"/>
        <v>263</v>
      </c>
      <c r="B484" s="31">
        <v>45848</v>
      </c>
      <c r="C484" s="2" t="s">
        <v>27</v>
      </c>
      <c r="D484" s="2" t="s">
        <v>2264</v>
      </c>
      <c r="E484" s="11" t="s">
        <v>2265</v>
      </c>
      <c r="F484" s="30" t="s">
        <v>74</v>
      </c>
      <c r="G484" s="125" t="s">
        <v>3179</v>
      </c>
      <c r="H484" s="16">
        <v>45931</v>
      </c>
      <c r="I484" s="115"/>
      <c r="J484" s="115"/>
      <c r="K484" s="115"/>
      <c r="L484" s="115"/>
      <c r="M484" s="115"/>
      <c r="N484" s="115"/>
      <c r="O484" s="115"/>
      <c r="P484" s="115">
        <v>45932</v>
      </c>
      <c r="Q484" s="16" t="s">
        <v>1449</v>
      </c>
      <c r="R484" s="115"/>
      <c r="S484" s="115">
        <v>45953</v>
      </c>
      <c r="T484" s="7" t="s">
        <v>22</v>
      </c>
      <c r="U484" s="16" t="s">
        <v>3082</v>
      </c>
      <c r="V484" s="286">
        <v>45906</v>
      </c>
      <c r="W484" s="16">
        <v>45939</v>
      </c>
      <c r="X484" s="24"/>
      <c r="Y484" s="100"/>
      <c r="Z484" s="30" t="s">
        <v>54</v>
      </c>
      <c r="AA484" s="8">
        <v>45969</v>
      </c>
      <c r="AB484" s="10"/>
      <c r="AC484" s="10"/>
      <c r="AD484" s="21"/>
      <c r="AE484" s="29">
        <v>680885.59</v>
      </c>
      <c r="AF484" s="21"/>
      <c r="AG484" s="45"/>
      <c r="AH484" s="118">
        <v>680885.59</v>
      </c>
    </row>
    <row r="485" spans="1:35" s="9" customFormat="1" ht="155.25" customHeight="1">
      <c r="A485" s="9">
        <f t="shared" ca="1" si="15"/>
        <v>324</v>
      </c>
      <c r="B485" s="31">
        <v>45744</v>
      </c>
      <c r="C485" s="2" t="s">
        <v>24</v>
      </c>
      <c r="D485" s="2" t="s">
        <v>1411</v>
      </c>
      <c r="E485" s="11" t="s">
        <v>1413</v>
      </c>
      <c r="F485" s="30" t="s">
        <v>97</v>
      </c>
      <c r="G485" s="30" t="s">
        <v>3020</v>
      </c>
      <c r="H485" s="16">
        <v>45870</v>
      </c>
      <c r="I485" s="115"/>
      <c r="J485" s="115"/>
      <c r="K485" s="115"/>
      <c r="L485" s="115"/>
      <c r="M485" s="115">
        <v>45895</v>
      </c>
      <c r="N485" s="115"/>
      <c r="O485" s="115"/>
      <c r="P485" s="115">
        <v>45903</v>
      </c>
      <c r="Q485" s="115">
        <v>45903</v>
      </c>
      <c r="R485" s="115" t="s">
        <v>3700</v>
      </c>
      <c r="S485" s="115"/>
      <c r="T485" s="7" t="s">
        <v>25</v>
      </c>
      <c r="U485" s="308" t="s">
        <v>2952</v>
      </c>
      <c r="V485" s="2" t="s">
        <v>2992</v>
      </c>
      <c r="W485" s="2" t="s">
        <v>3718</v>
      </c>
      <c r="X485" s="214"/>
      <c r="Y485" s="100"/>
      <c r="Z485" s="30" t="s">
        <v>1415</v>
      </c>
      <c r="AA485" s="8">
        <v>45925</v>
      </c>
      <c r="AB485" s="10"/>
      <c r="AC485" s="22">
        <v>2180</v>
      </c>
      <c r="AD485" s="21"/>
      <c r="AE485" s="21"/>
      <c r="AF485" s="21"/>
      <c r="AG485" s="45"/>
      <c r="AH485" s="23"/>
    </row>
    <row r="486" spans="1:35" s="9" customFormat="1" ht="122.25" customHeight="1">
      <c r="B486" s="31">
        <v>45868</v>
      </c>
      <c r="C486" s="2" t="s">
        <v>40</v>
      </c>
      <c r="D486" s="2" t="s">
        <v>2513</v>
      </c>
      <c r="E486" s="11" t="s">
        <v>2514</v>
      </c>
      <c r="F486" s="30" t="s">
        <v>382</v>
      </c>
      <c r="G486" s="30" t="s">
        <v>2515</v>
      </c>
      <c r="H486" s="16">
        <v>45930</v>
      </c>
      <c r="I486" s="115">
        <v>45868</v>
      </c>
      <c r="J486" s="115"/>
      <c r="K486" s="115">
        <v>45868</v>
      </c>
      <c r="L486" s="115"/>
      <c r="M486" s="115" t="s">
        <v>2755</v>
      </c>
      <c r="N486" s="115">
        <v>45868</v>
      </c>
      <c r="O486" s="115">
        <v>45932</v>
      </c>
      <c r="P486" s="115">
        <v>45912</v>
      </c>
      <c r="Q486" s="16" t="s">
        <v>1449</v>
      </c>
      <c r="R486" s="115" t="s">
        <v>3713</v>
      </c>
      <c r="S486" s="115">
        <v>45966</v>
      </c>
      <c r="T486" s="7" t="s">
        <v>20</v>
      </c>
      <c r="U486" s="298" t="s">
        <v>2932</v>
      </c>
      <c r="V486" s="16">
        <v>45914</v>
      </c>
      <c r="W486" s="16">
        <v>45946</v>
      </c>
      <c r="X486" s="84" t="s">
        <v>2997</v>
      </c>
      <c r="Y486" s="100"/>
      <c r="Z486" s="30" t="s">
        <v>3087</v>
      </c>
      <c r="AA486" s="8">
        <v>45916</v>
      </c>
      <c r="AB486" s="10"/>
      <c r="AC486" s="22">
        <v>1080</v>
      </c>
      <c r="AD486" s="21"/>
      <c r="AE486" s="21"/>
      <c r="AF486" s="21"/>
      <c r="AG486" s="45"/>
      <c r="AH486" s="116">
        <v>756</v>
      </c>
    </row>
    <row r="487" spans="1:35" s="9" customFormat="1" ht="56.25">
      <c r="B487" s="31">
        <v>45868</v>
      </c>
      <c r="C487" s="2" t="s">
        <v>2689</v>
      </c>
      <c r="D487" s="2" t="s">
        <v>2519</v>
      </c>
      <c r="E487" s="11" t="s">
        <v>2520</v>
      </c>
      <c r="F487" s="30" t="s">
        <v>2521</v>
      </c>
      <c r="G487" s="30" t="s">
        <v>2522</v>
      </c>
      <c r="H487" s="16">
        <v>45930</v>
      </c>
      <c r="I487" s="115"/>
      <c r="J487" s="115"/>
      <c r="K487" s="115"/>
      <c r="L487" s="115"/>
      <c r="M487" s="115">
        <v>45887</v>
      </c>
      <c r="N487" s="115" t="s">
        <v>3174</v>
      </c>
      <c r="O487" s="115">
        <v>45932</v>
      </c>
      <c r="P487" s="115">
        <v>45911</v>
      </c>
      <c r="Q487" s="16" t="s">
        <v>1449</v>
      </c>
      <c r="R487" s="115" t="s">
        <v>3713</v>
      </c>
      <c r="S487" s="115">
        <v>45966</v>
      </c>
      <c r="T487" s="7" t="s">
        <v>20</v>
      </c>
      <c r="U487" s="296" t="s">
        <v>2932</v>
      </c>
      <c r="V487" s="16">
        <v>45914</v>
      </c>
      <c r="W487" s="16">
        <v>45946</v>
      </c>
      <c r="X487" s="84" t="s">
        <v>2997</v>
      </c>
      <c r="Y487" s="100"/>
      <c r="Z487" s="30" t="s">
        <v>61</v>
      </c>
      <c r="AA487" s="8">
        <v>45875</v>
      </c>
      <c r="AB487" s="10"/>
      <c r="AC487" s="22">
        <v>1320</v>
      </c>
      <c r="AD487" s="21"/>
      <c r="AE487" s="21"/>
      <c r="AF487" s="21"/>
      <c r="AG487" s="45"/>
      <c r="AH487" s="118">
        <v>1320</v>
      </c>
    </row>
    <row r="488" spans="1:35" s="9" customFormat="1" ht="75">
      <c r="A488" s="9">
        <f ca="1">TODAY()-H488+1</f>
        <v>202</v>
      </c>
      <c r="B488" s="31">
        <v>45923</v>
      </c>
      <c r="C488" s="2" t="s">
        <v>2689</v>
      </c>
      <c r="D488" s="2" t="s">
        <v>3100</v>
      </c>
      <c r="E488" s="11" t="s">
        <v>3101</v>
      </c>
      <c r="F488" s="30" t="s">
        <v>3648</v>
      </c>
      <c r="G488" s="30" t="s">
        <v>3102</v>
      </c>
      <c r="H488" s="16">
        <v>45992</v>
      </c>
      <c r="I488" s="115">
        <v>45923</v>
      </c>
      <c r="J488" s="115">
        <v>45923</v>
      </c>
      <c r="K488" s="115" t="s">
        <v>3155</v>
      </c>
      <c r="L488" s="115"/>
      <c r="M488" s="115">
        <v>45943</v>
      </c>
      <c r="N488" s="115"/>
      <c r="O488" s="115"/>
      <c r="P488" s="16" t="s">
        <v>1449</v>
      </c>
      <c r="Q488" s="115"/>
      <c r="R488" s="115" t="s">
        <v>3731</v>
      </c>
      <c r="S488" s="115"/>
      <c r="T488" s="7" t="s">
        <v>20</v>
      </c>
      <c r="U488" s="16" t="s">
        <v>3491</v>
      </c>
      <c r="V488" s="16">
        <v>45948</v>
      </c>
      <c r="W488" s="16">
        <v>45952</v>
      </c>
      <c r="X488" s="4"/>
      <c r="Y488" s="100"/>
      <c r="Z488" s="30" t="s">
        <v>3103</v>
      </c>
      <c r="AA488" s="8">
        <v>45926</v>
      </c>
      <c r="AB488" s="22">
        <v>750</v>
      </c>
      <c r="AC488" s="10"/>
      <c r="AD488" s="21"/>
      <c r="AE488" s="21"/>
      <c r="AF488" s="21"/>
      <c r="AG488" s="45"/>
      <c r="AH488" s="118">
        <v>750</v>
      </c>
    </row>
    <row r="489" spans="1:35" s="9" customFormat="1" ht="155.25" customHeight="1">
      <c r="A489" s="9">
        <f ca="1">TODAY()-H489+1</f>
        <v>355</v>
      </c>
      <c r="B489" s="31">
        <v>45726</v>
      </c>
      <c r="C489" s="34" t="s">
        <v>40</v>
      </c>
      <c r="D489" s="34" t="s">
        <v>1401</v>
      </c>
      <c r="E489" s="11" t="s">
        <v>1402</v>
      </c>
      <c r="F489" s="30" t="s">
        <v>1933</v>
      </c>
      <c r="G489" s="30" t="s">
        <v>3177</v>
      </c>
      <c r="H489" s="16">
        <v>45839</v>
      </c>
      <c r="I489" s="115"/>
      <c r="J489" s="115"/>
      <c r="K489" s="115"/>
      <c r="L489" s="115"/>
      <c r="M489" s="115"/>
      <c r="N489" s="115"/>
      <c r="O489" s="115"/>
      <c r="P489" s="115">
        <v>45932</v>
      </c>
      <c r="Q489" s="16" t="s">
        <v>1449</v>
      </c>
      <c r="R489" s="115">
        <v>45936</v>
      </c>
      <c r="S489" s="115"/>
      <c r="T489" s="7" t="s">
        <v>22</v>
      </c>
      <c r="U489" s="307" t="s">
        <v>2976</v>
      </c>
      <c r="V489" s="16">
        <v>45918</v>
      </c>
      <c r="W489" s="16">
        <v>45926</v>
      </c>
      <c r="X489" s="16"/>
      <c r="Y489" s="100"/>
      <c r="Z489" s="30" t="s">
        <v>54</v>
      </c>
      <c r="AA489" s="68">
        <v>45978</v>
      </c>
      <c r="AB489" s="23"/>
      <c r="AC489" s="23"/>
      <c r="AD489" s="65"/>
      <c r="AE489" s="105">
        <v>125548.27</v>
      </c>
      <c r="AF489" s="65"/>
      <c r="AG489" s="279"/>
      <c r="AH489" s="23">
        <v>125548.27</v>
      </c>
    </row>
    <row r="490" spans="1:35" s="9" customFormat="1" ht="93.75" customHeight="1" thickBot="1">
      <c r="A490" s="9">
        <v>92</v>
      </c>
      <c r="B490" s="31">
        <v>45796</v>
      </c>
      <c r="C490" s="34" t="s">
        <v>40</v>
      </c>
      <c r="D490" s="2" t="s">
        <v>2015</v>
      </c>
      <c r="E490" s="11" t="s">
        <v>1932</v>
      </c>
      <c r="F490" s="30" t="s">
        <v>1933</v>
      </c>
      <c r="G490" s="30" t="s">
        <v>3156</v>
      </c>
      <c r="H490" s="16">
        <v>45870</v>
      </c>
      <c r="I490" s="115"/>
      <c r="J490" s="115"/>
      <c r="K490" s="115"/>
      <c r="L490" s="115"/>
      <c r="M490" s="115"/>
      <c r="N490" s="115"/>
      <c r="O490" s="115"/>
      <c r="P490" s="115">
        <v>45932</v>
      </c>
      <c r="Q490" s="16" t="s">
        <v>1449</v>
      </c>
      <c r="R490" s="115">
        <v>45936</v>
      </c>
      <c r="S490" s="115" t="s">
        <v>3584</v>
      </c>
      <c r="T490" s="7" t="s">
        <v>22</v>
      </c>
      <c r="U490" s="301" t="s">
        <v>2899</v>
      </c>
      <c r="V490" s="16" t="s">
        <v>2974</v>
      </c>
      <c r="W490" s="16">
        <v>45928</v>
      </c>
      <c r="X490" s="304"/>
      <c r="Y490" s="100"/>
      <c r="Z490" s="30" t="s">
        <v>54</v>
      </c>
      <c r="AA490" s="8">
        <v>45978</v>
      </c>
      <c r="AB490" s="10"/>
      <c r="AC490" s="78"/>
      <c r="AD490" s="21"/>
      <c r="AE490" s="29">
        <v>3214035.69</v>
      </c>
      <c r="AF490" s="21"/>
      <c r="AG490" s="45"/>
      <c r="AH490" s="23"/>
      <c r="AI490" s="65">
        <v>3214035.69</v>
      </c>
    </row>
    <row r="491" spans="1:35" s="9" customFormat="1" ht="56.25">
      <c r="A491" s="9">
        <v>61</v>
      </c>
      <c r="B491" s="31">
        <v>45796</v>
      </c>
      <c r="C491" s="34" t="s">
        <v>40</v>
      </c>
      <c r="D491" s="2" t="s">
        <v>2015</v>
      </c>
      <c r="E491" s="11" t="s">
        <v>1932</v>
      </c>
      <c r="F491" s="30" t="s">
        <v>1933</v>
      </c>
      <c r="G491" s="30" t="s">
        <v>3152</v>
      </c>
      <c r="H491" s="16">
        <v>45901</v>
      </c>
      <c r="I491" s="115"/>
      <c r="J491" s="115"/>
      <c r="K491" s="115"/>
      <c r="L491" s="115"/>
      <c r="M491" s="115"/>
      <c r="N491" s="115"/>
      <c r="O491" s="115"/>
      <c r="P491" s="115">
        <v>45932</v>
      </c>
      <c r="Q491" s="16" t="s">
        <v>1449</v>
      </c>
      <c r="R491" s="115">
        <v>45936</v>
      </c>
      <c r="S491" s="115" t="s">
        <v>3584</v>
      </c>
      <c r="T491" s="7" t="s">
        <v>22</v>
      </c>
      <c r="U491" s="283" t="s">
        <v>2899</v>
      </c>
      <c r="V491" s="16" t="s">
        <v>2974</v>
      </c>
      <c r="W491" s="16">
        <v>45928</v>
      </c>
      <c r="X491" s="304"/>
      <c r="Y491" s="100"/>
      <c r="Z491" s="30" t="s">
        <v>54</v>
      </c>
      <c r="AA491" s="8">
        <v>45978</v>
      </c>
      <c r="AB491" s="10"/>
      <c r="AC491" s="78"/>
      <c r="AD491" s="21"/>
      <c r="AE491" s="29">
        <v>3214035.69</v>
      </c>
      <c r="AF491" s="21"/>
      <c r="AG491" s="45"/>
      <c r="AH491" s="23"/>
      <c r="AI491" s="65">
        <v>3214035.69</v>
      </c>
    </row>
    <row r="492" spans="1:35" s="9" customFormat="1" ht="122.25" customHeight="1">
      <c r="A492" s="9">
        <f ca="1">TODAY()-H492+1</f>
        <v>331</v>
      </c>
      <c r="B492" s="31">
        <v>45833</v>
      </c>
      <c r="C492" s="2" t="s">
        <v>40</v>
      </c>
      <c r="D492" s="2" t="s">
        <v>2175</v>
      </c>
      <c r="E492" s="11" t="s">
        <v>2176</v>
      </c>
      <c r="F492" s="30" t="s">
        <v>2400</v>
      </c>
      <c r="G492" s="30" t="s">
        <v>2401</v>
      </c>
      <c r="H492" s="16">
        <v>45863</v>
      </c>
      <c r="I492" s="115"/>
      <c r="J492" s="115"/>
      <c r="K492" s="115"/>
      <c r="L492" s="115"/>
      <c r="M492" s="115" t="s">
        <v>2753</v>
      </c>
      <c r="N492" s="115"/>
      <c r="O492" s="115"/>
      <c r="P492" s="115">
        <v>45891</v>
      </c>
      <c r="Q492" s="16" t="s">
        <v>1449</v>
      </c>
      <c r="R492" s="115"/>
      <c r="S492" s="115">
        <v>45959</v>
      </c>
      <c r="T492" s="7" t="s">
        <v>20</v>
      </c>
      <c r="U492" s="16" t="s">
        <v>3025</v>
      </c>
      <c r="V492" s="16" t="s">
        <v>3163</v>
      </c>
      <c r="W492" s="182" t="s">
        <v>3377</v>
      </c>
      <c r="X492" s="100" t="s">
        <v>3164</v>
      </c>
      <c r="Y492" s="100"/>
      <c r="Z492" s="30" t="s">
        <v>2177</v>
      </c>
      <c r="AA492" s="8">
        <v>45971</v>
      </c>
      <c r="AB492" s="10"/>
      <c r="AC492" s="22">
        <v>7137</v>
      </c>
      <c r="AD492" s="21"/>
      <c r="AE492" s="21"/>
      <c r="AF492" s="21"/>
      <c r="AG492" s="45"/>
      <c r="AH492" s="118">
        <v>7137</v>
      </c>
    </row>
    <row r="493" spans="1:35" s="9" customFormat="1" ht="150">
      <c r="A493" s="9">
        <f ca="1">TODAY()-H493+1</f>
        <v>385</v>
      </c>
      <c r="B493" s="31">
        <v>45708</v>
      </c>
      <c r="C493" s="34" t="s">
        <v>40</v>
      </c>
      <c r="D493" s="2" t="s">
        <v>1093</v>
      </c>
      <c r="E493" s="11" t="s">
        <v>1094</v>
      </c>
      <c r="F493" s="30" t="s">
        <v>1933</v>
      </c>
      <c r="G493" s="30" t="s">
        <v>3176</v>
      </c>
      <c r="H493" s="16">
        <v>45809</v>
      </c>
      <c r="I493" s="115"/>
      <c r="J493" s="115"/>
      <c r="K493" s="115"/>
      <c r="L493" s="115"/>
      <c r="M493" s="115"/>
      <c r="N493" s="115"/>
      <c r="O493" s="115"/>
      <c r="P493" s="115">
        <v>45932</v>
      </c>
      <c r="Q493" s="16" t="s">
        <v>1449</v>
      </c>
      <c r="R493" s="115">
        <v>45936</v>
      </c>
      <c r="S493" s="233" t="s">
        <v>3567</v>
      </c>
      <c r="T493" s="7" t="s">
        <v>22</v>
      </c>
      <c r="U493" s="273" t="s">
        <v>2906</v>
      </c>
      <c r="V493" s="16" t="s">
        <v>2977</v>
      </c>
      <c r="W493" s="16">
        <v>45928</v>
      </c>
      <c r="X493" s="30" t="s">
        <v>3566</v>
      </c>
      <c r="Z493" s="30" t="s">
        <v>54</v>
      </c>
      <c r="AA493" s="8">
        <v>45978</v>
      </c>
      <c r="AB493" s="10"/>
      <c r="AC493" s="10"/>
      <c r="AD493" s="21"/>
      <c r="AE493" s="29">
        <v>627741.35</v>
      </c>
      <c r="AF493" s="21"/>
      <c r="AG493" s="45"/>
      <c r="AH493" s="65">
        <v>627741.35</v>
      </c>
    </row>
    <row r="494" spans="1:35" s="9" customFormat="1" ht="122.25" customHeight="1">
      <c r="A494" s="9">
        <f ca="1">TODAY()-H494+1</f>
        <v>263</v>
      </c>
      <c r="B494" s="31">
        <v>45853</v>
      </c>
      <c r="C494" s="11" t="s">
        <v>24</v>
      </c>
      <c r="D494" s="2" t="s">
        <v>2396</v>
      </c>
      <c r="E494" s="11" t="s">
        <v>2397</v>
      </c>
      <c r="F494" s="30" t="s">
        <v>2169</v>
      </c>
      <c r="G494" s="30" t="s">
        <v>2465</v>
      </c>
      <c r="H494" s="16">
        <v>45931</v>
      </c>
      <c r="I494" s="115">
        <v>45853</v>
      </c>
      <c r="J494" s="115">
        <v>45853</v>
      </c>
      <c r="K494" s="115">
        <v>45855</v>
      </c>
      <c r="L494" s="115"/>
      <c r="M494" s="115">
        <v>45910</v>
      </c>
      <c r="N494" s="115" t="s">
        <v>3130</v>
      </c>
      <c r="O494" s="115">
        <v>45910</v>
      </c>
      <c r="P494" s="115">
        <v>45913</v>
      </c>
      <c r="Q494" s="115">
        <v>45912</v>
      </c>
      <c r="R494" s="115" t="s">
        <v>3244</v>
      </c>
      <c r="S494" s="115"/>
      <c r="T494" s="7" t="s">
        <v>20</v>
      </c>
      <c r="U494" s="16" t="s">
        <v>2692</v>
      </c>
      <c r="V494" s="16">
        <v>45932</v>
      </c>
      <c r="W494" s="16">
        <v>45933</v>
      </c>
      <c r="X494" s="4" t="s">
        <v>3771</v>
      </c>
      <c r="Y494" s="100"/>
      <c r="Z494" s="30" t="s">
        <v>103</v>
      </c>
      <c r="AA494" s="8">
        <v>45975</v>
      </c>
      <c r="AB494" s="10"/>
      <c r="AC494" s="22">
        <v>4175.7299999999996</v>
      </c>
      <c r="AD494" s="65"/>
      <c r="AE494" s="21"/>
      <c r="AF494" s="21"/>
      <c r="AG494" s="45"/>
      <c r="AH494" s="21">
        <v>4175.7299999999996</v>
      </c>
    </row>
    <row r="495" spans="1:35" s="9" customFormat="1" ht="122.25" customHeight="1">
      <c r="A495" s="9">
        <v>50</v>
      </c>
      <c r="B495" s="2">
        <v>45821</v>
      </c>
      <c r="C495" s="11" t="s">
        <v>40</v>
      </c>
      <c r="D495" s="2" t="s">
        <v>2100</v>
      </c>
      <c r="E495" s="11" t="s">
        <v>2101</v>
      </c>
      <c r="F495" s="30" t="s">
        <v>79</v>
      </c>
      <c r="G495" s="30" t="s">
        <v>1387</v>
      </c>
      <c r="H495" s="16">
        <v>45869</v>
      </c>
      <c r="I495" s="115"/>
      <c r="J495" s="115"/>
      <c r="K495" s="115"/>
      <c r="L495" s="115"/>
      <c r="M495" s="115"/>
      <c r="N495" s="115"/>
      <c r="O495" s="115"/>
      <c r="P495" s="115">
        <v>45873</v>
      </c>
      <c r="Q495" s="115" t="s">
        <v>1449</v>
      </c>
      <c r="R495" s="115">
        <v>45916</v>
      </c>
      <c r="S495" s="115"/>
      <c r="T495" s="7" t="s">
        <v>20</v>
      </c>
      <c r="U495" s="202" t="s">
        <v>3030</v>
      </c>
      <c r="V495" s="16" t="s">
        <v>3506</v>
      </c>
      <c r="W495" s="16">
        <v>45904</v>
      </c>
      <c r="X495" s="4" t="s">
        <v>2447</v>
      </c>
      <c r="Y495" s="100"/>
      <c r="Z495" s="30"/>
      <c r="AA495" s="8">
        <v>45947</v>
      </c>
      <c r="AB495" s="10"/>
      <c r="AC495" s="22">
        <v>30339.200000000001</v>
      </c>
      <c r="AD495" s="21"/>
      <c r="AE495" s="21"/>
      <c r="AF495" s="21"/>
      <c r="AG495" s="45"/>
      <c r="AH495" s="118">
        <v>30339.200000000001</v>
      </c>
    </row>
    <row r="496" spans="1:35" s="19" customFormat="1" ht="56.25">
      <c r="A496" s="9">
        <f ca="1">TODAY()-H496+1</f>
        <v>275</v>
      </c>
      <c r="B496" s="31">
        <v>45796</v>
      </c>
      <c r="C496" s="2" t="s">
        <v>24</v>
      </c>
      <c r="D496" s="2" t="s">
        <v>1886</v>
      </c>
      <c r="E496" s="11" t="s">
        <v>1888</v>
      </c>
      <c r="F496" s="30" t="s">
        <v>95</v>
      </c>
      <c r="G496" s="30" t="s">
        <v>3041</v>
      </c>
      <c r="H496" s="16">
        <v>45919</v>
      </c>
      <c r="I496" s="115">
        <v>45793</v>
      </c>
      <c r="J496" s="115">
        <v>45796</v>
      </c>
      <c r="K496" s="115">
        <v>45793</v>
      </c>
      <c r="L496" s="115"/>
      <c r="M496" s="115"/>
      <c r="N496" s="115"/>
      <c r="O496" s="115"/>
      <c r="P496" s="115">
        <v>45917</v>
      </c>
      <c r="Q496" s="115">
        <v>45917</v>
      </c>
      <c r="R496" s="115" t="s">
        <v>3298</v>
      </c>
      <c r="S496" s="115"/>
      <c r="T496" s="7" t="s">
        <v>22</v>
      </c>
      <c r="U496" s="11" t="s">
        <v>2894</v>
      </c>
      <c r="V496" s="16">
        <v>45904</v>
      </c>
      <c r="W496" s="16">
        <v>45940</v>
      </c>
      <c r="X496" s="4" t="s">
        <v>2949</v>
      </c>
      <c r="Y496" s="100"/>
      <c r="Z496" s="30" t="s">
        <v>33</v>
      </c>
      <c r="AA496" s="8">
        <v>45962</v>
      </c>
      <c r="AB496" s="10"/>
      <c r="AC496" s="22">
        <v>169442.28</v>
      </c>
      <c r="AD496" s="21"/>
      <c r="AE496" s="21"/>
      <c r="AF496" s="21"/>
      <c r="AG496" s="45"/>
      <c r="AH496" s="23">
        <v>169442.28</v>
      </c>
      <c r="AI496" s="9"/>
    </row>
    <row r="497" spans="1:34" s="9" customFormat="1" ht="56.25">
      <c r="A497" s="9">
        <f ca="1">TODAY()-H497+1</f>
        <v>264</v>
      </c>
      <c r="B497" s="31">
        <v>45866</v>
      </c>
      <c r="C497" s="2" t="s">
        <v>2689</v>
      </c>
      <c r="D497" s="2" t="s">
        <v>2546</v>
      </c>
      <c r="E497" s="11" t="s">
        <v>2547</v>
      </c>
      <c r="F497" s="30" t="s">
        <v>435</v>
      </c>
      <c r="G497" s="30" t="s">
        <v>2548</v>
      </c>
      <c r="H497" s="16">
        <v>45930</v>
      </c>
      <c r="I497" s="115"/>
      <c r="J497" s="115"/>
      <c r="K497" s="115"/>
      <c r="L497" s="115"/>
      <c r="M497" s="115">
        <v>45885</v>
      </c>
      <c r="N497" s="115" t="s">
        <v>3172</v>
      </c>
      <c r="O497" s="115"/>
      <c r="P497" s="115">
        <v>45917</v>
      </c>
      <c r="Q497" s="16" t="s">
        <v>1449</v>
      </c>
      <c r="R497" s="115"/>
      <c r="S497" s="115" t="s">
        <v>3779</v>
      </c>
      <c r="T497" s="7" t="s">
        <v>20</v>
      </c>
      <c r="U497" s="7" t="s">
        <v>3296</v>
      </c>
      <c r="V497" s="16">
        <v>45936</v>
      </c>
      <c r="W497" s="16">
        <v>45966</v>
      </c>
      <c r="X497" s="4" t="s">
        <v>3613</v>
      </c>
      <c r="Y497" s="100"/>
      <c r="Z497" s="30" t="s">
        <v>2549</v>
      </c>
      <c r="AA497" s="8">
        <v>45976</v>
      </c>
      <c r="AB497" s="10"/>
      <c r="AC497" s="22">
        <v>4068</v>
      </c>
      <c r="AD497" s="21"/>
      <c r="AE497" s="21"/>
      <c r="AF497" s="21"/>
      <c r="AG497" s="45"/>
      <c r="AH497" s="10">
        <v>4068</v>
      </c>
    </row>
    <row r="498" spans="1:34" s="9" customFormat="1" ht="201" customHeight="1">
      <c r="A498" s="9">
        <f ca="1">TODAY()-H498+1</f>
        <v>264</v>
      </c>
      <c r="B498" s="31">
        <v>45866</v>
      </c>
      <c r="C498" s="2" t="s">
        <v>2689</v>
      </c>
      <c r="D498" s="2" t="s">
        <v>2550</v>
      </c>
      <c r="E498" s="11" t="s">
        <v>2551</v>
      </c>
      <c r="F498" s="30" t="s">
        <v>2552</v>
      </c>
      <c r="G498" s="30" t="s">
        <v>2553</v>
      </c>
      <c r="H498" s="16">
        <v>45930</v>
      </c>
      <c r="I498" s="115"/>
      <c r="J498" s="115"/>
      <c r="K498" s="115">
        <v>45882</v>
      </c>
      <c r="L498" s="115"/>
      <c r="M498" s="115">
        <v>45905</v>
      </c>
      <c r="N498" s="115" t="s">
        <v>3385</v>
      </c>
      <c r="O498" s="115"/>
      <c r="P498" s="16" t="s">
        <v>3384</v>
      </c>
      <c r="Q498" s="16" t="s">
        <v>1449</v>
      </c>
      <c r="R498" s="115"/>
      <c r="S498" s="115">
        <v>45979</v>
      </c>
      <c r="T498" s="7" t="s">
        <v>20</v>
      </c>
      <c r="U498" s="202" t="s">
        <v>3333</v>
      </c>
      <c r="V498" s="16">
        <v>45947</v>
      </c>
      <c r="W498" s="16">
        <v>45974</v>
      </c>
      <c r="X498" t="s">
        <v>3614</v>
      </c>
      <c r="Y498" s="100"/>
      <c r="Z498" s="30" t="s">
        <v>61</v>
      </c>
      <c r="AA498" s="8">
        <v>45884</v>
      </c>
      <c r="AB498" s="10"/>
      <c r="AC498" s="22">
        <v>1920</v>
      </c>
      <c r="AD498" s="21"/>
      <c r="AE498" s="10"/>
      <c r="AF498" s="21"/>
      <c r="AG498" s="45"/>
      <c r="AH498" s="118">
        <v>1920</v>
      </c>
    </row>
    <row r="499" spans="1:34" s="9" customFormat="1" ht="300">
      <c r="B499" s="31">
        <v>45887</v>
      </c>
      <c r="C499" s="2" t="s">
        <v>2689</v>
      </c>
      <c r="D499" s="2" t="s">
        <v>2793</v>
      </c>
      <c r="E499" s="11" t="s">
        <v>2794</v>
      </c>
      <c r="F499" s="30" t="s">
        <v>2795</v>
      </c>
      <c r="G499" s="30" t="s">
        <v>2796</v>
      </c>
      <c r="H499" s="16">
        <v>45945</v>
      </c>
      <c r="I499" s="115">
        <v>45887</v>
      </c>
      <c r="J499" s="115">
        <v>45889</v>
      </c>
      <c r="K499" s="115"/>
      <c r="L499" s="115"/>
      <c r="M499" s="115">
        <v>45897</v>
      </c>
      <c r="N499" s="115"/>
      <c r="O499" s="115"/>
      <c r="P499" s="115" t="s">
        <v>3167</v>
      </c>
      <c r="Q499" s="16" t="s">
        <v>1449</v>
      </c>
      <c r="R499" s="115"/>
      <c r="S499" s="115">
        <v>45975</v>
      </c>
      <c r="T499" s="7" t="s">
        <v>1767</v>
      </c>
      <c r="U499" s="7" t="s">
        <v>3296</v>
      </c>
      <c r="V499" s="16">
        <v>45927</v>
      </c>
      <c r="W499" s="16">
        <v>45966</v>
      </c>
      <c r="X499" t="s">
        <v>3295</v>
      </c>
      <c r="Y499" s="100"/>
      <c r="Z499" s="30" t="s">
        <v>61</v>
      </c>
      <c r="AA499" s="8">
        <v>45890</v>
      </c>
      <c r="AB499" s="10"/>
      <c r="AC499" s="22">
        <v>6210</v>
      </c>
      <c r="AD499" s="21"/>
      <c r="AE499" s="21"/>
      <c r="AF499" s="21"/>
      <c r="AG499" s="45"/>
      <c r="AH499" s="118">
        <v>6210</v>
      </c>
    </row>
    <row r="500" spans="1:34" s="9" customFormat="1" ht="122.25" customHeight="1">
      <c r="B500" s="31">
        <v>45947</v>
      </c>
      <c r="C500" s="11" t="s">
        <v>27</v>
      </c>
      <c r="D500" s="2" t="s">
        <v>3525</v>
      </c>
      <c r="E500" s="11" t="s">
        <v>3526</v>
      </c>
      <c r="F500" s="30" t="s">
        <v>1811</v>
      </c>
      <c r="G500" s="30" t="s">
        <v>3623</v>
      </c>
      <c r="H500" s="16">
        <v>45966</v>
      </c>
      <c r="I500" s="115"/>
      <c r="J500" s="115">
        <v>45953</v>
      </c>
      <c r="K500" s="115"/>
      <c r="L500" s="115"/>
      <c r="M500" s="115"/>
      <c r="N500" s="115" t="s">
        <v>3615</v>
      </c>
      <c r="O500" s="115"/>
      <c r="P500" s="16" t="s">
        <v>3624</v>
      </c>
      <c r="Q500" s="16"/>
      <c r="R500" s="115" t="s">
        <v>3716</v>
      </c>
      <c r="S500" s="16" t="s">
        <v>3754</v>
      </c>
      <c r="T500" s="7" t="s">
        <v>20</v>
      </c>
      <c r="U500" s="16" t="s">
        <v>70</v>
      </c>
      <c r="V500" s="16" t="s">
        <v>3715</v>
      </c>
      <c r="W500" s="16" t="s">
        <v>3714</v>
      </c>
      <c r="X500" s="4"/>
      <c r="Y500" s="100"/>
      <c r="Z500" s="30" t="s">
        <v>61</v>
      </c>
      <c r="AA500" s="8">
        <v>45964</v>
      </c>
      <c r="AB500" s="10"/>
      <c r="AC500" s="22">
        <v>1746</v>
      </c>
      <c r="AD500" s="21"/>
      <c r="AE500" s="21"/>
      <c r="AF500" s="21"/>
      <c r="AG500" s="45"/>
      <c r="AH500" s="116">
        <v>1746</v>
      </c>
    </row>
    <row r="501" spans="1:34" s="9" customFormat="1" ht="188.25" customHeight="1">
      <c r="B501" s="31">
        <v>45867</v>
      </c>
      <c r="C501" s="11" t="s">
        <v>694</v>
      </c>
      <c r="D501" s="2" t="s">
        <v>2488</v>
      </c>
      <c r="E501" s="11" t="s">
        <v>2489</v>
      </c>
      <c r="F501" s="30" t="s">
        <v>71</v>
      </c>
      <c r="G501" s="30" t="s">
        <v>3080</v>
      </c>
      <c r="H501" s="16">
        <v>45962</v>
      </c>
      <c r="I501" s="115">
        <v>45868</v>
      </c>
      <c r="J501" s="115">
        <v>45869</v>
      </c>
      <c r="K501" s="115">
        <v>45869</v>
      </c>
      <c r="L501" s="115"/>
      <c r="M501" s="115"/>
      <c r="N501" s="115">
        <v>45916</v>
      </c>
      <c r="O501" s="115"/>
      <c r="P501" s="115"/>
      <c r="Q501" s="115">
        <v>45931</v>
      </c>
      <c r="R501" s="115" t="s">
        <v>3750</v>
      </c>
      <c r="S501" s="115">
        <v>45974</v>
      </c>
      <c r="T501" s="7" t="s">
        <v>22</v>
      </c>
      <c r="U501" s="7" t="s">
        <v>3310</v>
      </c>
      <c r="V501" s="16">
        <v>45924</v>
      </c>
      <c r="W501" s="16">
        <v>45965</v>
      </c>
      <c r="X501" s="292" t="s">
        <v>3309</v>
      </c>
      <c r="Y501" s="100"/>
      <c r="Z501" s="30" t="s">
        <v>46</v>
      </c>
      <c r="AA501" s="8">
        <v>45946</v>
      </c>
      <c r="AB501" s="22">
        <v>34265</v>
      </c>
      <c r="AC501" s="10"/>
      <c r="AD501" s="21"/>
      <c r="AE501" s="21"/>
      <c r="AF501" s="21"/>
      <c r="AG501" s="45"/>
      <c r="AH501" s="118">
        <v>34265</v>
      </c>
    </row>
    <row r="502" spans="1:34" s="9" customFormat="1" ht="122.25" customHeight="1">
      <c r="B502" s="31">
        <v>45904</v>
      </c>
      <c r="C502" s="11" t="s">
        <v>694</v>
      </c>
      <c r="D502" s="2" t="s">
        <v>2917</v>
      </c>
      <c r="E502" s="11" t="s">
        <v>2918</v>
      </c>
      <c r="F502" s="30" t="s">
        <v>2919</v>
      </c>
      <c r="G502" s="30" t="s">
        <v>2920</v>
      </c>
      <c r="H502" s="16">
        <v>45962</v>
      </c>
      <c r="I502" s="115">
        <v>45908</v>
      </c>
      <c r="J502" s="115">
        <v>45909</v>
      </c>
      <c r="K502" s="115">
        <v>45909</v>
      </c>
      <c r="L502" s="115"/>
      <c r="M502" s="115"/>
      <c r="N502" s="115"/>
      <c r="O502" s="115"/>
      <c r="P502" s="115"/>
      <c r="Q502" s="115">
        <v>45967</v>
      </c>
      <c r="R502" s="115">
        <v>45966</v>
      </c>
      <c r="S502" s="115">
        <v>45972</v>
      </c>
      <c r="T502" s="7" t="s">
        <v>22</v>
      </c>
      <c r="U502" s="16" t="s">
        <v>3128</v>
      </c>
      <c r="V502" s="16">
        <v>45936</v>
      </c>
      <c r="W502" s="16">
        <v>45964</v>
      </c>
      <c r="X502" s="321" t="s">
        <v>3512</v>
      </c>
      <c r="Y502" s="100"/>
      <c r="Z502" s="30" t="s">
        <v>2921</v>
      </c>
      <c r="AA502" s="8">
        <v>45952</v>
      </c>
      <c r="AB502" s="10"/>
      <c r="AC502" s="22">
        <v>21066.799999999999</v>
      </c>
      <c r="AD502" s="21"/>
      <c r="AE502" s="21"/>
      <c r="AF502" s="21"/>
      <c r="AG502" s="45"/>
      <c r="AH502" s="116">
        <v>21066.799999999999</v>
      </c>
    </row>
    <row r="503" spans="1:34" s="9" customFormat="1" ht="122.25" customHeight="1">
      <c r="A503" s="9">
        <f ca="1">TODAY()-H503+1</f>
        <v>202</v>
      </c>
      <c r="B503" s="31">
        <v>45943</v>
      </c>
      <c r="C503" s="11" t="s">
        <v>24</v>
      </c>
      <c r="D503" s="2" t="s">
        <v>3339</v>
      </c>
      <c r="E503" s="11" t="s">
        <v>3340</v>
      </c>
      <c r="F503" s="30" t="s">
        <v>1309</v>
      </c>
      <c r="G503" s="30" t="s">
        <v>3341</v>
      </c>
      <c r="H503" s="16">
        <v>45992</v>
      </c>
      <c r="I503" s="115">
        <v>45943</v>
      </c>
      <c r="J503" s="115">
        <v>45941</v>
      </c>
      <c r="K503" s="115">
        <v>45944</v>
      </c>
      <c r="L503" s="115"/>
      <c r="M503" s="115"/>
      <c r="N503" s="115" t="s">
        <v>3627</v>
      </c>
      <c r="O503" s="115"/>
      <c r="P503" s="115">
        <v>45953</v>
      </c>
      <c r="Q503" s="115">
        <v>45952</v>
      </c>
      <c r="R503" s="115" t="s">
        <v>3687</v>
      </c>
      <c r="S503" s="115"/>
      <c r="T503" s="7" t="s">
        <v>20</v>
      </c>
      <c r="U503" s="2" t="s">
        <v>3611</v>
      </c>
      <c r="V503" s="16">
        <v>45963</v>
      </c>
      <c r="W503" s="16">
        <v>45964</v>
      </c>
      <c r="X503" s="4" t="s">
        <v>3792</v>
      </c>
      <c r="Y503" s="100"/>
      <c r="Z503" s="30" t="s">
        <v>61</v>
      </c>
      <c r="AA503" s="8">
        <v>45946</v>
      </c>
      <c r="AB503" s="10"/>
      <c r="AC503" s="29">
        <v>1450</v>
      </c>
      <c r="AD503" s="21"/>
      <c r="AE503" s="21"/>
      <c r="AF503" s="21"/>
      <c r="AG503" s="45"/>
      <c r="AH503" s="116">
        <v>1450</v>
      </c>
    </row>
    <row r="504" spans="1:34" s="9" customFormat="1" ht="315" customHeight="1">
      <c r="A504" s="9">
        <f ca="1">TODAY()-H504+1</f>
        <v>254</v>
      </c>
      <c r="B504" s="31">
        <v>45833</v>
      </c>
      <c r="C504" s="2" t="s">
        <v>24</v>
      </c>
      <c r="D504" s="2" t="s">
        <v>2145</v>
      </c>
      <c r="E504" s="11" t="s">
        <v>2146</v>
      </c>
      <c r="F504" s="30" t="s">
        <v>521</v>
      </c>
      <c r="G504" s="30" t="s">
        <v>2708</v>
      </c>
      <c r="H504" s="16">
        <v>45940</v>
      </c>
      <c r="I504" s="115">
        <v>45834</v>
      </c>
      <c r="J504" s="115">
        <v>45834</v>
      </c>
      <c r="K504" s="115">
        <v>45835</v>
      </c>
      <c r="L504" s="115"/>
      <c r="M504" s="115"/>
      <c r="N504" s="115"/>
      <c r="O504" s="115">
        <v>45925</v>
      </c>
      <c r="P504" s="115">
        <v>45925</v>
      </c>
      <c r="Q504" s="115">
        <v>45930</v>
      </c>
      <c r="R504" s="115" t="s">
        <v>3691</v>
      </c>
      <c r="S504" s="115"/>
      <c r="T504" s="7" t="s">
        <v>22</v>
      </c>
      <c r="U504" s="2" t="s">
        <v>3189</v>
      </c>
      <c r="V504" s="16">
        <v>45921</v>
      </c>
      <c r="W504" s="16" t="s">
        <v>3690</v>
      </c>
      <c r="X504" s="4" t="s">
        <v>3188</v>
      </c>
      <c r="Y504" s="100"/>
      <c r="Z504" s="30" t="s">
        <v>2027</v>
      </c>
      <c r="AA504" s="8">
        <v>45951</v>
      </c>
      <c r="AB504" s="10"/>
      <c r="AC504" s="22">
        <v>30705</v>
      </c>
      <c r="AD504" s="21"/>
      <c r="AE504" s="21"/>
      <c r="AF504" s="21"/>
      <c r="AG504" s="45"/>
      <c r="AH504" s="118">
        <v>30705</v>
      </c>
    </row>
    <row r="505" spans="1:34" s="9" customFormat="1" ht="75">
      <c r="A505" s="9">
        <f ca="1">TODAY()-H505+1</f>
        <v>407</v>
      </c>
      <c r="B505" s="31">
        <v>45733</v>
      </c>
      <c r="C505" s="2" t="s">
        <v>24</v>
      </c>
      <c r="D505" s="2" t="s">
        <v>1310</v>
      </c>
      <c r="E505" s="11" t="s">
        <v>1311</v>
      </c>
      <c r="F505" s="30" t="s">
        <v>1069</v>
      </c>
      <c r="G505" s="30" t="s">
        <v>2239</v>
      </c>
      <c r="H505" s="16">
        <v>45787</v>
      </c>
      <c r="I505" s="115"/>
      <c r="J505" s="115"/>
      <c r="K505" s="115"/>
      <c r="L505" s="115">
        <v>45861</v>
      </c>
      <c r="M505" s="115" t="s">
        <v>2461</v>
      </c>
      <c r="N505" s="115"/>
      <c r="O505" s="115"/>
      <c r="P505" s="115">
        <v>45869</v>
      </c>
      <c r="Q505" s="115">
        <v>45869</v>
      </c>
      <c r="R505" s="115"/>
      <c r="S505" s="115"/>
      <c r="T505" s="7" t="s">
        <v>25</v>
      </c>
      <c r="U505" s="172" t="s">
        <v>1446</v>
      </c>
      <c r="V505" s="16">
        <v>45870</v>
      </c>
      <c r="W505" s="16">
        <v>45871</v>
      </c>
      <c r="X505" s="214" t="s">
        <v>2462</v>
      </c>
      <c r="Y505" s="100"/>
      <c r="Z505" s="30" t="s">
        <v>1485</v>
      </c>
      <c r="AA505" s="8">
        <v>45987</v>
      </c>
      <c r="AB505" s="105">
        <v>7227</v>
      </c>
      <c r="AC505" s="10"/>
      <c r="AD505" s="21"/>
      <c r="AE505" s="21"/>
      <c r="AF505" s="21"/>
      <c r="AG505" s="45"/>
      <c r="AH505" s="23"/>
    </row>
    <row r="506" spans="1:34" s="9" customFormat="1" ht="122.25" customHeight="1">
      <c r="A506" s="216"/>
      <c r="B506" s="31">
        <v>45866</v>
      </c>
      <c r="C506" s="2" t="s">
        <v>40</v>
      </c>
      <c r="D506" s="2" t="s">
        <v>2562</v>
      </c>
      <c r="E506" s="11" t="s">
        <v>2563</v>
      </c>
      <c r="F506" s="30" t="s">
        <v>79</v>
      </c>
      <c r="G506" s="30" t="s">
        <v>2645</v>
      </c>
      <c r="H506" s="16">
        <v>45915</v>
      </c>
      <c r="I506" s="115"/>
      <c r="J506" s="115"/>
      <c r="K506" s="115"/>
      <c r="L506" s="115"/>
      <c r="M506" s="115">
        <v>45910</v>
      </c>
      <c r="N506" s="115">
        <v>45910</v>
      </c>
      <c r="O506" s="115"/>
      <c r="P506" s="115">
        <v>45916</v>
      </c>
      <c r="Q506" s="16" t="s">
        <v>1449</v>
      </c>
      <c r="R506" s="115">
        <v>45933</v>
      </c>
      <c r="S506" s="115">
        <v>45945</v>
      </c>
      <c r="T506" s="7" t="s">
        <v>20</v>
      </c>
      <c r="U506" s="16" t="s">
        <v>2971</v>
      </c>
      <c r="V506" s="16">
        <v>45906</v>
      </c>
      <c r="W506" s="16">
        <v>45933</v>
      </c>
      <c r="X506" s="25" t="s">
        <v>2973</v>
      </c>
      <c r="Y506" s="100"/>
      <c r="Z506" s="30" t="s">
        <v>2576</v>
      </c>
      <c r="AA506" s="8">
        <v>45987</v>
      </c>
      <c r="AB506" s="10"/>
      <c r="AC506" s="22">
        <v>30108.2</v>
      </c>
      <c r="AD506" s="21"/>
      <c r="AE506" s="10"/>
      <c r="AF506" s="21"/>
      <c r="AG506" s="45"/>
      <c r="AH506" s="118">
        <v>30108.2</v>
      </c>
    </row>
    <row r="507" spans="1:34" s="9" customFormat="1" ht="122.25" customHeight="1">
      <c r="A507" s="9">
        <f ca="1">TODAY()-H507+1</f>
        <v>324</v>
      </c>
      <c r="B507" s="31">
        <v>45847</v>
      </c>
      <c r="C507" s="2" t="s">
        <v>40</v>
      </c>
      <c r="D507" s="2" t="s">
        <v>2262</v>
      </c>
      <c r="E507" s="11" t="s">
        <v>2259</v>
      </c>
      <c r="F507" s="30" t="s">
        <v>2260</v>
      </c>
      <c r="G507" s="125" t="s">
        <v>3304</v>
      </c>
      <c r="H507" s="16">
        <v>45870</v>
      </c>
      <c r="I507" s="115"/>
      <c r="J507" s="115"/>
      <c r="K507" s="115"/>
      <c r="L507" s="115"/>
      <c r="M507" s="115"/>
      <c r="N507" s="115"/>
      <c r="O507" s="115"/>
      <c r="P507" s="115"/>
      <c r="Q507" s="16" t="s">
        <v>1449</v>
      </c>
      <c r="R507" s="115"/>
      <c r="S507" s="115">
        <v>45947</v>
      </c>
      <c r="T507" s="7" t="s">
        <v>22</v>
      </c>
      <c r="U507" s="182" t="s">
        <v>2972</v>
      </c>
      <c r="V507" s="16">
        <v>45915</v>
      </c>
      <c r="W507" s="16">
        <v>45937</v>
      </c>
      <c r="X507" s="4" t="s">
        <v>2995</v>
      </c>
      <c r="Y507" s="100"/>
      <c r="Z507" s="30" t="s">
        <v>2261</v>
      </c>
      <c r="AA507" s="8">
        <v>45978</v>
      </c>
      <c r="AB507" s="10"/>
      <c r="AC507" s="10"/>
      <c r="AD507" s="21"/>
      <c r="AE507" s="22">
        <v>170375</v>
      </c>
      <c r="AF507" s="21"/>
      <c r="AG507" s="45"/>
      <c r="AH507" s="116">
        <v>170375</v>
      </c>
    </row>
    <row r="508" spans="1:34" s="9" customFormat="1" ht="122.25" customHeight="1">
      <c r="A508" s="9">
        <f ca="1">TODAY()-H508+1</f>
        <v>324</v>
      </c>
      <c r="B508" s="31">
        <v>45847</v>
      </c>
      <c r="C508" s="2" t="s">
        <v>40</v>
      </c>
      <c r="D508" s="2" t="s">
        <v>2258</v>
      </c>
      <c r="E508" s="11" t="s">
        <v>2259</v>
      </c>
      <c r="F508" s="30" t="s">
        <v>2260</v>
      </c>
      <c r="G508" s="125" t="s">
        <v>2391</v>
      </c>
      <c r="H508" s="16">
        <v>45870</v>
      </c>
      <c r="I508" s="115"/>
      <c r="J508" s="115"/>
      <c r="K508" s="115"/>
      <c r="L508" s="115"/>
      <c r="M508" s="115"/>
      <c r="N508" s="115"/>
      <c r="O508" s="115"/>
      <c r="P508" s="115"/>
      <c r="Q508" s="16" t="s">
        <v>1449</v>
      </c>
      <c r="R508" s="115"/>
      <c r="S508" s="115">
        <v>45946</v>
      </c>
      <c r="T508" s="7" t="s">
        <v>22</v>
      </c>
      <c r="U508" s="16" t="s">
        <v>2972</v>
      </c>
      <c r="V508" s="16">
        <v>45915</v>
      </c>
      <c r="W508" s="16">
        <v>45937</v>
      </c>
      <c r="X508" s="4" t="s">
        <v>2995</v>
      </c>
      <c r="Y508" s="100"/>
      <c r="Z508" s="30" t="s">
        <v>2261</v>
      </c>
      <c r="AA508" s="8">
        <v>45978</v>
      </c>
      <c r="AB508" s="10"/>
      <c r="AC508" s="10"/>
      <c r="AD508" s="21"/>
      <c r="AE508" s="22">
        <v>235872</v>
      </c>
      <c r="AF508" s="21"/>
      <c r="AG508" s="45"/>
      <c r="AH508" s="116">
        <v>235872</v>
      </c>
    </row>
    <row r="509" spans="1:34" s="9" customFormat="1" ht="122.25" customHeight="1">
      <c r="B509" s="31">
        <v>45866</v>
      </c>
      <c r="C509" s="2" t="s">
        <v>40</v>
      </c>
      <c r="D509" s="2" t="s">
        <v>2560</v>
      </c>
      <c r="E509" s="11" t="s">
        <v>2561</v>
      </c>
      <c r="F509" s="30" t="s">
        <v>79</v>
      </c>
      <c r="G509" s="30" t="s">
        <v>2644</v>
      </c>
      <c r="H509" s="16">
        <v>45915</v>
      </c>
      <c r="I509" s="115"/>
      <c r="J509" s="115"/>
      <c r="K509" s="115"/>
      <c r="L509" s="115"/>
      <c r="M509" s="115">
        <v>45910</v>
      </c>
      <c r="N509" s="115">
        <v>45910</v>
      </c>
      <c r="O509" s="115"/>
      <c r="P509" s="115">
        <v>45879</v>
      </c>
      <c r="Q509" s="16" t="s">
        <v>1449</v>
      </c>
      <c r="R509" s="115">
        <v>45933</v>
      </c>
      <c r="S509" s="115">
        <v>45946</v>
      </c>
      <c r="T509" s="7" t="s">
        <v>20</v>
      </c>
      <c r="U509" s="16" t="s">
        <v>2971</v>
      </c>
      <c r="V509" s="16">
        <v>45906</v>
      </c>
      <c r="W509" s="16">
        <v>45933</v>
      </c>
      <c r="X509" s="25" t="s">
        <v>2942</v>
      </c>
      <c r="Y509" s="100"/>
      <c r="Z509" s="30" t="s">
        <v>2576</v>
      </c>
      <c r="AA509" s="8">
        <v>45986</v>
      </c>
      <c r="AB509" s="10"/>
      <c r="AC509" s="22">
        <v>25094</v>
      </c>
      <c r="AD509" s="21"/>
      <c r="AE509" s="10"/>
      <c r="AF509" s="21"/>
      <c r="AG509" s="45"/>
      <c r="AH509" s="118">
        <v>25094</v>
      </c>
    </row>
    <row r="510" spans="1:34" s="9" customFormat="1" ht="192" customHeight="1">
      <c r="A510" s="9">
        <f t="shared" ref="A510:A524" ca="1" si="16">TODAY()-H510+1</f>
        <v>371</v>
      </c>
      <c r="B510" s="31">
        <v>45754</v>
      </c>
      <c r="C510" s="2" t="s">
        <v>694</v>
      </c>
      <c r="D510" s="2" t="s">
        <v>1466</v>
      </c>
      <c r="E510" s="11" t="s">
        <v>1467</v>
      </c>
      <c r="F510" s="30" t="s">
        <v>1468</v>
      </c>
      <c r="G510" s="30" t="s">
        <v>3122</v>
      </c>
      <c r="H510" s="16">
        <v>45823</v>
      </c>
      <c r="I510" s="115"/>
      <c r="J510" s="115"/>
      <c r="K510" s="115"/>
      <c r="L510" s="115"/>
      <c r="M510" s="115"/>
      <c r="N510" s="115"/>
      <c r="O510" s="115"/>
      <c r="P510" s="115"/>
      <c r="Q510" s="115">
        <v>45943</v>
      </c>
      <c r="R510" s="115">
        <v>45933</v>
      </c>
      <c r="S510" s="115">
        <v>45946</v>
      </c>
      <c r="T510" s="7" t="s">
        <v>22</v>
      </c>
      <c r="U510" s="2" t="s">
        <v>3123</v>
      </c>
      <c r="V510" s="16">
        <v>45922</v>
      </c>
      <c r="W510" s="16">
        <v>45932</v>
      </c>
      <c r="X510" s="292" t="s">
        <v>3837</v>
      </c>
      <c r="Y510" s="100"/>
      <c r="Z510" s="30" t="s">
        <v>1469</v>
      </c>
      <c r="AA510" s="8">
        <v>45954</v>
      </c>
      <c r="AB510" s="22">
        <v>112537.94</v>
      </c>
      <c r="AC510" s="10"/>
      <c r="AD510" s="21"/>
      <c r="AE510" s="21"/>
      <c r="AF510" s="21"/>
      <c r="AG510" s="45"/>
      <c r="AH510" s="23">
        <v>112537.94</v>
      </c>
    </row>
    <row r="511" spans="1:34" s="9" customFormat="1" ht="243.75">
      <c r="A511" s="9">
        <f t="shared" ca="1" si="16"/>
        <v>293</v>
      </c>
      <c r="B511" s="31">
        <v>45800</v>
      </c>
      <c r="C511" s="2" t="s">
        <v>694</v>
      </c>
      <c r="D511" s="2" t="s">
        <v>1937</v>
      </c>
      <c r="E511" s="11" t="s">
        <v>1938</v>
      </c>
      <c r="F511" s="30" t="s">
        <v>105</v>
      </c>
      <c r="G511" s="30" t="s">
        <v>2667</v>
      </c>
      <c r="H511" s="16">
        <v>45901</v>
      </c>
      <c r="I511" s="115">
        <v>45800</v>
      </c>
      <c r="J511" s="115">
        <v>45800</v>
      </c>
      <c r="K511" s="115">
        <v>45801</v>
      </c>
      <c r="L511" s="115"/>
      <c r="M511" s="115"/>
      <c r="N511" s="115"/>
      <c r="O511" s="115"/>
      <c r="P511" s="115"/>
      <c r="Q511" s="115">
        <v>45881</v>
      </c>
      <c r="R511" s="115">
        <v>45924</v>
      </c>
      <c r="S511" s="115">
        <v>45936</v>
      </c>
      <c r="T511" s="7" t="s">
        <v>22</v>
      </c>
      <c r="U511" s="16" t="s">
        <v>2784</v>
      </c>
      <c r="V511" s="286">
        <v>45880</v>
      </c>
      <c r="W511" s="16">
        <v>45919</v>
      </c>
      <c r="X511" s="292" t="s">
        <v>2897</v>
      </c>
      <c r="Y511" s="100"/>
      <c r="Z511" s="30" t="s">
        <v>717</v>
      </c>
      <c r="AA511" s="8">
        <v>45938</v>
      </c>
      <c r="AB511" s="22">
        <v>235457.94</v>
      </c>
      <c r="AC511" s="10"/>
      <c r="AD511" s="21"/>
      <c r="AE511" s="21"/>
      <c r="AF511" s="21"/>
      <c r="AG511" s="45"/>
      <c r="AH511" s="118">
        <v>235457.94</v>
      </c>
    </row>
    <row r="512" spans="1:34" s="9" customFormat="1" ht="187.5">
      <c r="A512" s="9">
        <f t="shared" ca="1" si="16"/>
        <v>293</v>
      </c>
      <c r="B512" s="31">
        <v>45800</v>
      </c>
      <c r="C512" s="2" t="s">
        <v>694</v>
      </c>
      <c r="D512" s="2" t="s">
        <v>1937</v>
      </c>
      <c r="E512" s="11" t="s">
        <v>1938</v>
      </c>
      <c r="F512" s="30" t="s">
        <v>105</v>
      </c>
      <c r="G512" s="30" t="s">
        <v>2666</v>
      </c>
      <c r="H512" s="16">
        <v>45901</v>
      </c>
      <c r="I512" s="115">
        <v>45800</v>
      </c>
      <c r="J512" s="115">
        <v>45800</v>
      </c>
      <c r="K512" s="115">
        <v>45801</v>
      </c>
      <c r="L512" s="115"/>
      <c r="M512" s="115"/>
      <c r="N512" s="115"/>
      <c r="O512" s="115"/>
      <c r="P512" s="115"/>
      <c r="Q512" s="115">
        <v>45881</v>
      </c>
      <c r="R512" s="115"/>
      <c r="S512" s="115">
        <v>45936</v>
      </c>
      <c r="T512" s="7" t="s">
        <v>22</v>
      </c>
      <c r="U512" s="16" t="s">
        <v>2783</v>
      </c>
      <c r="V512" s="286">
        <v>45888</v>
      </c>
      <c r="W512" s="16">
        <v>45911</v>
      </c>
      <c r="X512" s="311"/>
      <c r="Y512" s="100"/>
      <c r="Z512" s="30" t="s">
        <v>717</v>
      </c>
      <c r="AA512" s="8">
        <v>45935</v>
      </c>
      <c r="AB512" s="22">
        <v>223028.61</v>
      </c>
      <c r="AC512" s="10"/>
      <c r="AD512" s="21"/>
      <c r="AE512" s="21"/>
      <c r="AF512" s="21"/>
      <c r="AG512" s="45"/>
      <c r="AH512" s="118">
        <v>223028.61</v>
      </c>
    </row>
    <row r="513" spans="1:35" s="9" customFormat="1" ht="122.25" customHeight="1">
      <c r="A513" s="9">
        <f t="shared" ca="1" si="16"/>
        <v>263</v>
      </c>
      <c r="B513" s="31">
        <v>45790</v>
      </c>
      <c r="C513" s="2" t="s">
        <v>694</v>
      </c>
      <c r="D513" s="2" t="s">
        <v>1827</v>
      </c>
      <c r="E513" s="11" t="s">
        <v>1829</v>
      </c>
      <c r="F513" s="30" t="s">
        <v>1830</v>
      </c>
      <c r="G513" s="30" t="s">
        <v>2632</v>
      </c>
      <c r="H513" s="16">
        <v>45931</v>
      </c>
      <c r="I513" s="115">
        <v>45790</v>
      </c>
      <c r="J513" s="115">
        <v>45790</v>
      </c>
      <c r="K513" s="115">
        <v>45790</v>
      </c>
      <c r="L513" s="115"/>
      <c r="M513" s="115"/>
      <c r="N513" s="115"/>
      <c r="O513" s="115"/>
      <c r="P513" s="115"/>
      <c r="Q513" s="115">
        <v>45918</v>
      </c>
      <c r="R513" s="115">
        <v>45952</v>
      </c>
      <c r="S513" s="115">
        <v>45957</v>
      </c>
      <c r="T513" s="7" t="s">
        <v>22</v>
      </c>
      <c r="U513" s="16" t="s">
        <v>3121</v>
      </c>
      <c r="V513" s="16">
        <v>45909</v>
      </c>
      <c r="W513" s="16">
        <v>45947</v>
      </c>
      <c r="X513" s="290" t="s">
        <v>2954</v>
      </c>
      <c r="Y513" s="100"/>
      <c r="Z513" s="30" t="s">
        <v>717</v>
      </c>
      <c r="AA513" s="8">
        <v>45968</v>
      </c>
      <c r="AB513" s="22">
        <v>142602.76699999999</v>
      </c>
      <c r="AC513" s="10"/>
      <c r="AD513" s="21"/>
      <c r="AE513" s="21"/>
      <c r="AF513" s="21"/>
      <c r="AG513" s="45"/>
      <c r="AH513" s="23">
        <v>142602.76999999999</v>
      </c>
    </row>
    <row r="514" spans="1:35" s="9" customFormat="1" ht="52.5" customHeight="1">
      <c r="A514" s="9">
        <f t="shared" ca="1" si="16"/>
        <v>263</v>
      </c>
      <c r="B514" s="31">
        <v>45791</v>
      </c>
      <c r="C514" s="2" t="s">
        <v>694</v>
      </c>
      <c r="D514" s="2" t="s">
        <v>1826</v>
      </c>
      <c r="E514" s="11" t="s">
        <v>1828</v>
      </c>
      <c r="F514" s="30" t="s">
        <v>1830</v>
      </c>
      <c r="G514" s="30" t="s">
        <v>2629</v>
      </c>
      <c r="H514" s="16">
        <v>45931</v>
      </c>
      <c r="I514" s="115">
        <v>45790</v>
      </c>
      <c r="J514" s="115">
        <v>45790</v>
      </c>
      <c r="K514" s="115">
        <v>45790</v>
      </c>
      <c r="L514" s="115"/>
      <c r="M514" s="115"/>
      <c r="N514" s="115"/>
      <c r="O514" s="115"/>
      <c r="P514" s="115"/>
      <c r="Q514" s="115">
        <v>45918</v>
      </c>
      <c r="R514" s="115">
        <v>45952</v>
      </c>
      <c r="S514" s="115">
        <v>45957</v>
      </c>
      <c r="T514" s="7" t="s">
        <v>22</v>
      </c>
      <c r="U514" s="16" t="s">
        <v>3232</v>
      </c>
      <c r="V514" s="16">
        <v>45909</v>
      </c>
      <c r="W514" s="16">
        <v>45947</v>
      </c>
      <c r="X514" s="290" t="s">
        <v>2955</v>
      </c>
      <c r="Y514" s="100"/>
      <c r="Z514" s="30" t="s">
        <v>717</v>
      </c>
      <c r="AA514" s="8">
        <v>45968</v>
      </c>
      <c r="AB514" s="22">
        <v>300699</v>
      </c>
      <c r="AC514" s="10"/>
      <c r="AD514" s="21"/>
      <c r="AE514" s="21"/>
      <c r="AF514" s="21"/>
      <c r="AG514" s="45"/>
      <c r="AH514" s="23">
        <v>300699</v>
      </c>
    </row>
    <row r="515" spans="1:35" s="9" customFormat="1" ht="122.25" customHeight="1">
      <c r="A515" s="9">
        <f t="shared" ca="1" si="16"/>
        <v>263</v>
      </c>
      <c r="B515" s="31">
        <v>45833</v>
      </c>
      <c r="C515" s="2" t="s">
        <v>27</v>
      </c>
      <c r="D515" s="2" t="s">
        <v>2220</v>
      </c>
      <c r="E515" s="11" t="s">
        <v>2221</v>
      </c>
      <c r="F515" s="30" t="s">
        <v>1933</v>
      </c>
      <c r="G515" s="125" t="s">
        <v>3195</v>
      </c>
      <c r="H515" s="16">
        <v>45931</v>
      </c>
      <c r="I515" s="115"/>
      <c r="J515" s="115"/>
      <c r="K515" s="115"/>
      <c r="L515" s="115"/>
      <c r="M515" s="115"/>
      <c r="N515" s="115"/>
      <c r="O515" s="115"/>
      <c r="P515" s="115">
        <v>45945</v>
      </c>
      <c r="Q515" s="16" t="s">
        <v>1449</v>
      </c>
      <c r="R515" s="115"/>
      <c r="S515" s="115" t="s">
        <v>3585</v>
      </c>
      <c r="T515" s="7" t="s">
        <v>22</v>
      </c>
      <c r="U515" s="15" t="s">
        <v>3366</v>
      </c>
      <c r="V515" s="16">
        <v>45933</v>
      </c>
      <c r="W515" s="16">
        <v>45942</v>
      </c>
      <c r="X515" s="4"/>
      <c r="Y515" s="100"/>
      <c r="Z515" s="30" t="s">
        <v>54</v>
      </c>
      <c r="AA515" s="8">
        <v>45992</v>
      </c>
      <c r="AB515" s="10"/>
      <c r="AC515" s="10"/>
      <c r="AD515" s="21"/>
      <c r="AE515" s="77">
        <v>7806825</v>
      </c>
      <c r="AF515" s="21"/>
      <c r="AG515" s="45"/>
      <c r="AH515" s="318">
        <v>7806825</v>
      </c>
    </row>
    <row r="516" spans="1:35" s="9" customFormat="1" ht="122.25" customHeight="1">
      <c r="A516" s="9">
        <f t="shared" ca="1" si="16"/>
        <v>263</v>
      </c>
      <c r="B516" s="31">
        <v>45842</v>
      </c>
      <c r="C516" s="11" t="s">
        <v>694</v>
      </c>
      <c r="D516" s="2" t="s">
        <v>2224</v>
      </c>
      <c r="E516" s="11" t="s">
        <v>2225</v>
      </c>
      <c r="F516" s="30" t="s">
        <v>105</v>
      </c>
      <c r="G516" s="30" t="s">
        <v>2721</v>
      </c>
      <c r="H516" s="16">
        <v>45931</v>
      </c>
      <c r="I516" s="115">
        <v>45842</v>
      </c>
      <c r="J516" s="115">
        <v>45842</v>
      </c>
      <c r="K516" s="115">
        <v>45842</v>
      </c>
      <c r="L516" s="115"/>
      <c r="M516" s="115"/>
      <c r="N516" s="115"/>
      <c r="O516" s="115"/>
      <c r="P516" s="115"/>
      <c r="Q516" s="115">
        <v>45917</v>
      </c>
      <c r="R516" s="115">
        <v>45952</v>
      </c>
      <c r="S516" s="115">
        <v>45960</v>
      </c>
      <c r="T516" s="7" t="s">
        <v>22</v>
      </c>
      <c r="U516" s="16" t="s">
        <v>2378</v>
      </c>
      <c r="V516" s="16">
        <v>45914</v>
      </c>
      <c r="W516" s="16">
        <v>45947</v>
      </c>
      <c r="X516" s="292" t="s">
        <v>3013</v>
      </c>
      <c r="Y516" s="100"/>
      <c r="Z516" s="30" t="s">
        <v>717</v>
      </c>
      <c r="AA516" s="8">
        <v>45968</v>
      </c>
      <c r="AB516" s="22">
        <v>240112.44</v>
      </c>
      <c r="AC516" s="10"/>
      <c r="AD516" s="21"/>
      <c r="AE516" s="21"/>
      <c r="AF516" s="21"/>
      <c r="AG516" s="45"/>
      <c r="AH516" s="118">
        <v>240112.44</v>
      </c>
    </row>
    <row r="517" spans="1:35" s="9" customFormat="1" ht="213.75" customHeight="1">
      <c r="A517" s="9">
        <f t="shared" ca="1" si="16"/>
        <v>263</v>
      </c>
      <c r="B517" s="31">
        <v>45842</v>
      </c>
      <c r="C517" s="11" t="s">
        <v>694</v>
      </c>
      <c r="D517" s="2" t="s">
        <v>2224</v>
      </c>
      <c r="E517" s="11" t="s">
        <v>2225</v>
      </c>
      <c r="F517" s="30" t="s">
        <v>105</v>
      </c>
      <c r="G517" s="30" t="s">
        <v>3042</v>
      </c>
      <c r="H517" s="16">
        <v>45931</v>
      </c>
      <c r="I517" s="115">
        <v>45842</v>
      </c>
      <c r="J517" s="115">
        <v>45842</v>
      </c>
      <c r="K517" s="115">
        <v>45842</v>
      </c>
      <c r="L517" s="115"/>
      <c r="M517" s="115"/>
      <c r="N517" s="115"/>
      <c r="O517" s="115"/>
      <c r="P517" s="115"/>
      <c r="Q517" s="115">
        <v>45923</v>
      </c>
      <c r="R517" s="115">
        <v>45952</v>
      </c>
      <c r="S517" s="115">
        <v>45960</v>
      </c>
      <c r="T517" s="7" t="s">
        <v>22</v>
      </c>
      <c r="U517" s="16" t="s">
        <v>2379</v>
      </c>
      <c r="V517" s="16">
        <v>45915</v>
      </c>
      <c r="W517" s="16">
        <v>45947</v>
      </c>
      <c r="X517" s="292" t="s">
        <v>3014</v>
      </c>
      <c r="Y517" s="100"/>
      <c r="Z517" s="30" t="s">
        <v>717</v>
      </c>
      <c r="AA517" s="8">
        <v>45976</v>
      </c>
      <c r="AB517" s="22">
        <v>252830.52</v>
      </c>
      <c r="AC517" s="10"/>
      <c r="AD517" s="21"/>
      <c r="AE517" s="21"/>
      <c r="AF517" s="21"/>
      <c r="AG517" s="45"/>
      <c r="AH517" s="118">
        <v>252830.52</v>
      </c>
    </row>
    <row r="518" spans="1:35" s="9" customFormat="1" ht="122.25" customHeight="1">
      <c r="A518" s="9">
        <f t="shared" ca="1" si="16"/>
        <v>422</v>
      </c>
      <c r="B518" s="31">
        <v>45726</v>
      </c>
      <c r="C518" s="2" t="s">
        <v>27</v>
      </c>
      <c r="D518" s="2" t="s">
        <v>1195</v>
      </c>
      <c r="E518" s="11" t="s">
        <v>1194</v>
      </c>
      <c r="F518" s="30" t="s">
        <v>1196</v>
      </c>
      <c r="G518" s="125" t="s">
        <v>1498</v>
      </c>
      <c r="H518" s="16">
        <v>45772</v>
      </c>
      <c r="I518" s="115"/>
      <c r="J518" s="115"/>
      <c r="K518" s="115"/>
      <c r="L518" s="115"/>
      <c r="M518" s="115"/>
      <c r="N518" s="115"/>
      <c r="O518" s="115"/>
      <c r="P518" s="115">
        <v>45764</v>
      </c>
      <c r="Q518" s="16" t="s">
        <v>860</v>
      </c>
      <c r="R518" s="115"/>
      <c r="S518" s="16">
        <v>45765</v>
      </c>
      <c r="T518" s="7" t="s">
        <v>22</v>
      </c>
      <c r="U518" s="4" t="s">
        <v>1499</v>
      </c>
      <c r="V518" s="16" t="s">
        <v>1500</v>
      </c>
      <c r="W518" s="16" t="s">
        <v>1502</v>
      </c>
      <c r="X518" s="322" t="s">
        <v>3733</v>
      </c>
      <c r="Y518" s="100"/>
      <c r="Z518" s="30" t="s">
        <v>3734</v>
      </c>
      <c r="AA518" s="8">
        <v>45976</v>
      </c>
      <c r="AB518" s="10"/>
      <c r="AC518" s="10"/>
      <c r="AD518" s="21"/>
      <c r="AE518" s="326">
        <v>4037.25</v>
      </c>
      <c r="AF518" s="21"/>
      <c r="AG518" s="45"/>
      <c r="AH518" s="23">
        <v>4037.25</v>
      </c>
    </row>
    <row r="519" spans="1:35" s="9" customFormat="1" ht="155.25" customHeight="1">
      <c r="A519" s="9">
        <f t="shared" ca="1" si="16"/>
        <v>263</v>
      </c>
      <c r="B519" s="31">
        <v>45833</v>
      </c>
      <c r="C519" s="2" t="s">
        <v>27</v>
      </c>
      <c r="D519" s="2" t="s">
        <v>2214</v>
      </c>
      <c r="E519" s="11" t="s">
        <v>2215</v>
      </c>
      <c r="F519" s="30" t="s">
        <v>1129</v>
      </c>
      <c r="G519" s="30" t="s">
        <v>90</v>
      </c>
      <c r="H519" s="16">
        <v>45931</v>
      </c>
      <c r="I519" s="115"/>
      <c r="J519" s="115"/>
      <c r="K519" s="115"/>
      <c r="L519" s="115"/>
      <c r="M519" s="115">
        <v>45886</v>
      </c>
      <c r="N519" s="115">
        <v>45887</v>
      </c>
      <c r="O519" s="115"/>
      <c r="P519" s="115">
        <v>45957</v>
      </c>
      <c r="Q519" s="16" t="s">
        <v>1449</v>
      </c>
      <c r="R519" s="115" t="s">
        <v>3732</v>
      </c>
      <c r="S519" s="115"/>
      <c r="T519" s="7" t="s">
        <v>25</v>
      </c>
      <c r="U519" s="16" t="s">
        <v>3379</v>
      </c>
      <c r="V519" s="16">
        <v>45915</v>
      </c>
      <c r="W519" s="16">
        <v>45959</v>
      </c>
      <c r="X519" s="24" t="s">
        <v>3378</v>
      </c>
      <c r="Y519" s="100"/>
      <c r="Z519" s="30" t="s">
        <v>1146</v>
      </c>
      <c r="AA519" s="8">
        <v>45979</v>
      </c>
      <c r="AB519" s="10"/>
      <c r="AC519" s="10"/>
      <c r="AD519" s="10"/>
      <c r="AE519" s="21"/>
      <c r="AF519" s="22">
        <v>5698.7</v>
      </c>
      <c r="AG519" s="45"/>
      <c r="AH519" s="116">
        <v>5698.7</v>
      </c>
    </row>
    <row r="520" spans="1:35" s="9" customFormat="1" ht="55.15" customHeight="1">
      <c r="A520" s="9">
        <f t="shared" ca="1" si="16"/>
        <v>232</v>
      </c>
      <c r="B520" s="31">
        <v>45856</v>
      </c>
      <c r="C520" s="11" t="s">
        <v>24</v>
      </c>
      <c r="D520" s="2" t="s">
        <v>2418</v>
      </c>
      <c r="E520" s="11" t="s">
        <v>2419</v>
      </c>
      <c r="F520" s="30" t="s">
        <v>97</v>
      </c>
      <c r="G520" s="30" t="s">
        <v>2467</v>
      </c>
      <c r="H520" s="16">
        <v>45962</v>
      </c>
      <c r="I520" s="115">
        <v>45856</v>
      </c>
      <c r="J520" s="115">
        <v>45860</v>
      </c>
      <c r="K520" s="115">
        <v>45861</v>
      </c>
      <c r="L520" s="115"/>
      <c r="M520" s="115">
        <v>45941</v>
      </c>
      <c r="N520" s="115" t="s">
        <v>3487</v>
      </c>
      <c r="O520" s="115"/>
      <c r="P520" s="115"/>
      <c r="Q520" s="115"/>
      <c r="R520" s="115" t="s">
        <v>3694</v>
      </c>
      <c r="S520" s="115"/>
      <c r="T520" s="7" t="s">
        <v>25</v>
      </c>
      <c r="U520" s="16" t="s">
        <v>70</v>
      </c>
      <c r="V520" s="16">
        <v>45958</v>
      </c>
      <c r="W520" s="16">
        <v>45960</v>
      </c>
      <c r="X520" s="4" t="s">
        <v>3743</v>
      </c>
      <c r="Y520" s="100"/>
      <c r="Z520" s="30" t="s">
        <v>55</v>
      </c>
      <c r="AA520" s="8">
        <v>45981</v>
      </c>
      <c r="AB520" s="10"/>
      <c r="AC520" s="22">
        <f>1990+1610</f>
        <v>3600</v>
      </c>
      <c r="AD520" s="21"/>
      <c r="AE520" s="21"/>
      <c r="AF520" s="21"/>
      <c r="AG520" s="45"/>
      <c r="AH520" s="16">
        <v>3600</v>
      </c>
    </row>
    <row r="521" spans="1:35" s="9" customFormat="1" ht="122.25" customHeight="1">
      <c r="A521" s="9">
        <f t="shared" ca="1" si="16"/>
        <v>279</v>
      </c>
      <c r="B521" s="31">
        <v>45730</v>
      </c>
      <c r="C521" s="2" t="s">
        <v>694</v>
      </c>
      <c r="D521" s="2" t="s">
        <v>1272</v>
      </c>
      <c r="E521" s="11" t="s">
        <v>1273</v>
      </c>
      <c r="F521" s="30" t="s">
        <v>173</v>
      </c>
      <c r="G521" s="30" t="s">
        <v>2624</v>
      </c>
      <c r="H521" s="16">
        <v>45915</v>
      </c>
      <c r="I521" s="115"/>
      <c r="J521" s="115"/>
      <c r="K521" s="115"/>
      <c r="L521" s="115"/>
      <c r="M521" s="115"/>
      <c r="N521" s="115"/>
      <c r="O521" s="115"/>
      <c r="P521" s="115"/>
      <c r="Q521" s="115">
        <v>45911</v>
      </c>
      <c r="R521" s="115"/>
      <c r="S521" s="115" t="s">
        <v>3799</v>
      </c>
      <c r="T521" s="7" t="s">
        <v>22</v>
      </c>
      <c r="U521" s="2" t="s">
        <v>2953</v>
      </c>
      <c r="V521" s="16">
        <v>45893</v>
      </c>
      <c r="W521" s="16">
        <v>45919</v>
      </c>
      <c r="X521" s="290" t="s">
        <v>2998</v>
      </c>
      <c r="Y521" s="100"/>
      <c r="Z521" s="30" t="s">
        <v>89</v>
      </c>
      <c r="AA521" s="8">
        <v>45954</v>
      </c>
      <c r="AB521" s="22">
        <v>188950.09</v>
      </c>
      <c r="AC521" s="10"/>
      <c r="AD521" s="21"/>
      <c r="AE521" s="21"/>
      <c r="AF521" s="21"/>
      <c r="AG521" s="45"/>
      <c r="AH521" s="23">
        <v>188950.09</v>
      </c>
    </row>
    <row r="522" spans="1:35" s="9" customFormat="1" ht="122.25" customHeight="1">
      <c r="A522" s="9">
        <f t="shared" ca="1" si="16"/>
        <v>263</v>
      </c>
      <c r="B522" s="31">
        <v>45908</v>
      </c>
      <c r="C522" s="11" t="s">
        <v>27</v>
      </c>
      <c r="D522" s="2" t="s">
        <v>2929</v>
      </c>
      <c r="E522" s="11" t="s">
        <v>2930</v>
      </c>
      <c r="F522" s="30" t="s">
        <v>74</v>
      </c>
      <c r="G522" s="30" t="s">
        <v>2931</v>
      </c>
      <c r="H522" s="16">
        <v>45931</v>
      </c>
      <c r="I522" s="115"/>
      <c r="J522" s="115">
        <v>45909</v>
      </c>
      <c r="K522" s="115"/>
      <c r="L522" s="115"/>
      <c r="M522" s="115"/>
      <c r="N522" s="115"/>
      <c r="O522" s="115"/>
      <c r="P522" s="115">
        <v>45932</v>
      </c>
      <c r="Q522" s="16"/>
      <c r="R522" s="115" t="s">
        <v>3817</v>
      </c>
      <c r="S522" s="115">
        <v>45990</v>
      </c>
      <c r="T522" s="7" t="s">
        <v>22</v>
      </c>
      <c r="U522" s="15" t="s">
        <v>3495</v>
      </c>
      <c r="V522" s="16" t="s">
        <v>3196</v>
      </c>
      <c r="W522" s="16">
        <v>45963</v>
      </c>
      <c r="X522" s="4"/>
      <c r="Y522" s="100"/>
      <c r="Z522" s="30" t="s">
        <v>54</v>
      </c>
      <c r="AA522" s="8">
        <v>45985</v>
      </c>
      <c r="AB522" s="10"/>
      <c r="AC522" s="10"/>
      <c r="AD522" s="21"/>
      <c r="AE522" s="325">
        <v>334777.28999999998</v>
      </c>
      <c r="AF522" s="21"/>
      <c r="AG522" s="45"/>
      <c r="AH522" s="118">
        <v>33477.29</v>
      </c>
    </row>
    <row r="523" spans="1:35" s="150" customFormat="1" ht="285" customHeight="1">
      <c r="A523" s="9">
        <f t="shared" ca="1" si="16"/>
        <v>254</v>
      </c>
      <c r="B523" s="31">
        <v>45833</v>
      </c>
      <c r="C523" s="11" t="s">
        <v>24</v>
      </c>
      <c r="D523" s="2" t="s">
        <v>2143</v>
      </c>
      <c r="E523" s="11" t="s">
        <v>2144</v>
      </c>
      <c r="F523" s="30" t="s">
        <v>95</v>
      </c>
      <c r="G523" s="30" t="s">
        <v>3040</v>
      </c>
      <c r="H523" s="16">
        <v>45940</v>
      </c>
      <c r="I523" s="115">
        <v>45834</v>
      </c>
      <c r="J523" s="115">
        <v>45834</v>
      </c>
      <c r="K523" s="115">
        <v>45834</v>
      </c>
      <c r="L523" s="115"/>
      <c r="M523" s="115"/>
      <c r="N523" s="115"/>
      <c r="O523" s="115"/>
      <c r="P523" s="115">
        <v>45917</v>
      </c>
      <c r="Q523" s="115">
        <v>45917</v>
      </c>
      <c r="R523" s="115" t="s">
        <v>3373</v>
      </c>
      <c r="S523" s="115"/>
      <c r="T523" s="7" t="s">
        <v>22</v>
      </c>
      <c r="U523" s="2" t="s">
        <v>3011</v>
      </c>
      <c r="V523" s="16">
        <v>45910</v>
      </c>
      <c r="W523" s="16" t="s">
        <v>3688</v>
      </c>
      <c r="X523" s="4" t="s">
        <v>3010</v>
      </c>
      <c r="Y523" s="100"/>
      <c r="Z523" s="30" t="s">
        <v>33</v>
      </c>
      <c r="AA523" s="8">
        <v>45971</v>
      </c>
      <c r="AB523" s="10"/>
      <c r="AC523" s="22">
        <v>194016</v>
      </c>
      <c r="AD523" s="21"/>
      <c r="AE523" s="21"/>
      <c r="AF523" s="21"/>
      <c r="AG523" s="45"/>
      <c r="AH523" s="118">
        <v>194016</v>
      </c>
      <c r="AI523" s="9"/>
    </row>
    <row r="524" spans="1:35" s="9" customFormat="1" ht="56.25">
      <c r="A524" s="9">
        <f t="shared" ca="1" si="16"/>
        <v>269</v>
      </c>
      <c r="B524" s="31">
        <v>45789</v>
      </c>
      <c r="C524" s="2" t="s">
        <v>694</v>
      </c>
      <c r="D524" s="2" t="s">
        <v>1788</v>
      </c>
      <c r="E524" s="11" t="s">
        <v>1789</v>
      </c>
      <c r="F524" s="30" t="s">
        <v>1921</v>
      </c>
      <c r="G524" s="30" t="s">
        <v>3197</v>
      </c>
      <c r="H524" s="16">
        <v>45925</v>
      </c>
      <c r="I524" s="115">
        <v>45789</v>
      </c>
      <c r="J524" s="115">
        <v>45789</v>
      </c>
      <c r="K524" s="115">
        <v>45791</v>
      </c>
      <c r="L524" s="115"/>
      <c r="M524" s="115"/>
      <c r="N524" s="115" t="s">
        <v>3145</v>
      </c>
      <c r="O524" s="115"/>
      <c r="P524" s="115"/>
      <c r="Q524" s="115">
        <v>45931</v>
      </c>
      <c r="R524" s="115"/>
      <c r="S524" s="115">
        <v>45978</v>
      </c>
      <c r="T524" s="7" t="s">
        <v>20</v>
      </c>
      <c r="U524" s="16" t="s">
        <v>3092</v>
      </c>
      <c r="V524" s="16">
        <v>45940</v>
      </c>
      <c r="W524" s="16">
        <v>45969</v>
      </c>
      <c r="X524" s="293" t="s">
        <v>3289</v>
      </c>
      <c r="Y524" s="100"/>
      <c r="Z524" s="30" t="s">
        <v>3728</v>
      </c>
      <c r="AA524" s="8">
        <v>45967</v>
      </c>
      <c r="AB524" s="10"/>
      <c r="AC524" s="22">
        <f>44687.6+42910.6</f>
        <v>87598.2</v>
      </c>
      <c r="AD524" s="21"/>
      <c r="AE524" s="21"/>
      <c r="AF524" s="21"/>
      <c r="AG524" s="45"/>
      <c r="AH524" s="23">
        <v>87598.2</v>
      </c>
    </row>
    <row r="525" spans="1:35" s="9" customFormat="1" ht="122.25" customHeight="1">
      <c r="B525" s="31">
        <v>45867</v>
      </c>
      <c r="C525" s="11" t="s">
        <v>694</v>
      </c>
      <c r="D525" s="2" t="s">
        <v>2494</v>
      </c>
      <c r="E525" s="11" t="s">
        <v>2495</v>
      </c>
      <c r="F525" s="30" t="s">
        <v>311</v>
      </c>
      <c r="G525" s="30" t="s">
        <v>2637</v>
      </c>
      <c r="H525" s="16">
        <v>45962</v>
      </c>
      <c r="I525" s="115">
        <v>45867</v>
      </c>
      <c r="J525" s="115">
        <v>45868</v>
      </c>
      <c r="K525" s="115">
        <v>45868</v>
      </c>
      <c r="L525" s="115"/>
      <c r="M525" s="115"/>
      <c r="N525" s="115" t="s">
        <v>3345</v>
      </c>
      <c r="O525" s="115"/>
      <c r="P525" s="115"/>
      <c r="Q525" s="115">
        <v>45972</v>
      </c>
      <c r="R525" s="115">
        <v>45973</v>
      </c>
      <c r="S525" s="115">
        <v>45980</v>
      </c>
      <c r="T525" s="7" t="s">
        <v>22</v>
      </c>
      <c r="U525" s="2" t="s">
        <v>3621</v>
      </c>
      <c r="V525" s="16">
        <v>45941</v>
      </c>
      <c r="W525" s="16">
        <v>45974</v>
      </c>
      <c r="X525" s="292" t="s">
        <v>3620</v>
      </c>
      <c r="Y525" s="100"/>
      <c r="Z525" s="30" t="s">
        <v>46</v>
      </c>
      <c r="AA525" s="8">
        <v>45970</v>
      </c>
      <c r="AB525" s="22">
        <v>20565</v>
      </c>
      <c r="AC525" s="10"/>
      <c r="AD525" s="21"/>
      <c r="AE525" s="21"/>
      <c r="AF525" s="21"/>
      <c r="AG525" s="45"/>
      <c r="AH525" s="116">
        <v>20565</v>
      </c>
    </row>
    <row r="526" spans="1:35" s="9" customFormat="1" ht="122.25" customHeight="1">
      <c r="B526" s="31">
        <v>45867</v>
      </c>
      <c r="C526" s="11" t="s">
        <v>694</v>
      </c>
      <c r="D526" s="2" t="s">
        <v>2490</v>
      </c>
      <c r="E526" s="11" t="s">
        <v>2491</v>
      </c>
      <c r="F526" s="30" t="s">
        <v>44</v>
      </c>
      <c r="G526" s="30" t="s">
        <v>2616</v>
      </c>
      <c r="H526" s="16">
        <v>45962</v>
      </c>
      <c r="I526" s="115">
        <v>45867</v>
      </c>
      <c r="J526" s="115">
        <v>45868</v>
      </c>
      <c r="K526" s="115">
        <v>45869</v>
      </c>
      <c r="L526" s="115"/>
      <c r="M526" s="115"/>
      <c r="N526" s="115">
        <v>45918</v>
      </c>
      <c r="O526" s="115"/>
      <c r="P526" s="115"/>
      <c r="Q526" s="115">
        <v>45985</v>
      </c>
      <c r="R526" s="115">
        <v>45980</v>
      </c>
      <c r="S526" s="115">
        <v>45981</v>
      </c>
      <c r="T526" s="7" t="s">
        <v>22</v>
      </c>
      <c r="U526" s="7" t="s">
        <v>3515</v>
      </c>
      <c r="V526" s="16">
        <v>45922</v>
      </c>
      <c r="W526" s="16">
        <v>45977</v>
      </c>
      <c r="X526" s="324" t="s">
        <v>3517</v>
      </c>
      <c r="Y526" s="100"/>
      <c r="Z526" s="30" t="s">
        <v>54</v>
      </c>
      <c r="AA526" s="8">
        <v>45978</v>
      </c>
      <c r="AB526" s="10"/>
      <c r="AC526" s="22">
        <v>87560</v>
      </c>
      <c r="AD526" s="21"/>
      <c r="AE526" s="21"/>
      <c r="AF526" s="21"/>
      <c r="AG526" s="45"/>
      <c r="AH526" s="116">
        <v>87560</v>
      </c>
    </row>
    <row r="527" spans="1:35" s="9" customFormat="1" ht="122.25" customHeight="1">
      <c r="B527" s="31">
        <v>45867</v>
      </c>
      <c r="C527" s="11" t="s">
        <v>694</v>
      </c>
      <c r="D527" s="2" t="s">
        <v>2492</v>
      </c>
      <c r="E527" s="11" t="s">
        <v>2493</v>
      </c>
      <c r="F527" s="30" t="s">
        <v>1722</v>
      </c>
      <c r="G527" s="30" t="s">
        <v>3622</v>
      </c>
      <c r="H527" s="16">
        <v>45962</v>
      </c>
      <c r="I527" s="115">
        <v>45867</v>
      </c>
      <c r="J527" s="115">
        <v>45867</v>
      </c>
      <c r="K527" s="115">
        <v>45868</v>
      </c>
      <c r="L527" s="115"/>
      <c r="M527" s="115"/>
      <c r="N527" s="115"/>
      <c r="O527" s="115"/>
      <c r="P527" s="115"/>
      <c r="Q527" s="115" t="s">
        <v>3871</v>
      </c>
      <c r="R527" s="115" t="s">
        <v>3751</v>
      </c>
      <c r="S527" s="115">
        <v>45970</v>
      </c>
      <c r="T527" s="7" t="s">
        <v>22</v>
      </c>
      <c r="U527" s="7" t="s">
        <v>3518</v>
      </c>
      <c r="V527" s="16">
        <v>45954</v>
      </c>
      <c r="W527" s="16">
        <v>45959</v>
      </c>
      <c r="X527" s="292" t="s">
        <v>3519</v>
      </c>
      <c r="Y527" s="100"/>
      <c r="Z527" s="30" t="s">
        <v>2047</v>
      </c>
      <c r="AA527" s="8">
        <v>45983</v>
      </c>
      <c r="AB527" s="10"/>
      <c r="AC527" s="10"/>
      <c r="AD527" s="21"/>
      <c r="AE527" s="29">
        <v>96305.52</v>
      </c>
      <c r="AF527" s="21"/>
      <c r="AG527" s="45"/>
      <c r="AH527" s="116">
        <v>96305.52</v>
      </c>
    </row>
    <row r="528" spans="1:35" s="9" customFormat="1" ht="86.25" customHeight="1" thickBot="1">
      <c r="A528" s="9">
        <f ca="1">TODAY()-H528+1</f>
        <v>208</v>
      </c>
      <c r="B528" s="31">
        <v>45936</v>
      </c>
      <c r="C528" s="11" t="s">
        <v>694</v>
      </c>
      <c r="D528" s="2" t="s">
        <v>3275</v>
      </c>
      <c r="E528" s="11" t="s">
        <v>3276</v>
      </c>
      <c r="F528" s="30" t="s">
        <v>3277</v>
      </c>
      <c r="G528" s="30" t="s">
        <v>3278</v>
      </c>
      <c r="H528" s="16">
        <v>45986</v>
      </c>
      <c r="I528" s="115">
        <v>45936</v>
      </c>
      <c r="J528" s="115">
        <v>45936</v>
      </c>
      <c r="K528" s="115">
        <v>45937</v>
      </c>
      <c r="L528" s="115"/>
      <c r="M528" s="115"/>
      <c r="N528" s="115"/>
      <c r="O528" s="115"/>
      <c r="P528" s="115"/>
      <c r="Q528" s="115">
        <v>45994</v>
      </c>
      <c r="R528" s="115">
        <v>45986</v>
      </c>
      <c r="S528" s="115">
        <v>45987</v>
      </c>
      <c r="T528" s="7" t="s">
        <v>22</v>
      </c>
      <c r="U528" s="16" t="s">
        <v>3669</v>
      </c>
      <c r="V528" s="16">
        <v>45971</v>
      </c>
      <c r="W528" s="16">
        <v>45980</v>
      </c>
      <c r="X528" s="292" t="s">
        <v>3805</v>
      </c>
      <c r="Y528" s="100"/>
      <c r="Z528" s="30" t="s">
        <v>55</v>
      </c>
      <c r="AA528" s="8">
        <v>45989</v>
      </c>
      <c r="AB528" s="22">
        <v>18840</v>
      </c>
      <c r="AC528" s="10"/>
      <c r="AD528" s="21"/>
      <c r="AE528" s="21"/>
      <c r="AF528" s="21"/>
      <c r="AG528" s="45"/>
      <c r="AH528" s="116">
        <v>18840</v>
      </c>
    </row>
    <row r="529" spans="1:35" s="9" customFormat="1" ht="30">
      <c r="A529" s="9">
        <v>61</v>
      </c>
      <c r="B529" s="31">
        <v>45796</v>
      </c>
      <c r="C529" s="34" t="s">
        <v>40</v>
      </c>
      <c r="D529" s="2" t="s">
        <v>2015</v>
      </c>
      <c r="E529" s="11" t="s">
        <v>1932</v>
      </c>
      <c r="F529" s="30" t="s">
        <v>1933</v>
      </c>
      <c r="G529" s="30" t="s">
        <v>3157</v>
      </c>
      <c r="H529" s="16">
        <v>45901</v>
      </c>
      <c r="I529" s="115"/>
      <c r="J529" s="115"/>
      <c r="K529" s="115"/>
      <c r="L529" s="115"/>
      <c r="M529" s="115"/>
      <c r="N529" s="115"/>
      <c r="O529" s="115"/>
      <c r="P529" s="115">
        <v>45933</v>
      </c>
      <c r="Q529" s="16" t="s">
        <v>1449</v>
      </c>
      <c r="R529" s="115" t="s">
        <v>925</v>
      </c>
      <c r="S529" s="115" t="s">
        <v>3584</v>
      </c>
      <c r="T529" s="7" t="s">
        <v>22</v>
      </c>
      <c r="U529" s="284" t="s">
        <v>2900</v>
      </c>
      <c r="V529" s="16">
        <v>45923</v>
      </c>
      <c r="W529" s="16">
        <v>45932</v>
      </c>
      <c r="X529" s="227"/>
      <c r="Y529" s="100"/>
      <c r="Z529" s="30" t="s">
        <v>54</v>
      </c>
      <c r="AA529" s="8">
        <v>45983</v>
      </c>
      <c r="AB529" s="10"/>
      <c r="AC529" s="78"/>
      <c r="AD529" s="21"/>
      <c r="AE529" s="29">
        <v>5015359.6399999997</v>
      </c>
      <c r="AF529" s="21"/>
      <c r="AG529" s="45"/>
      <c r="AH529" s="69">
        <v>5015359.6399999997</v>
      </c>
    </row>
    <row r="530" spans="1:35" s="9" customFormat="1" ht="93.75">
      <c r="A530" s="9">
        <f ca="1">TODAY()-H530+1</f>
        <v>232</v>
      </c>
      <c r="B530" s="31">
        <v>45853</v>
      </c>
      <c r="C530" s="11" t="s">
        <v>24</v>
      </c>
      <c r="D530" s="2" t="s">
        <v>2373</v>
      </c>
      <c r="E530" s="11" t="s">
        <v>2374</v>
      </c>
      <c r="F530" s="30" t="s">
        <v>467</v>
      </c>
      <c r="G530" s="30" t="s">
        <v>2460</v>
      </c>
      <c r="H530" s="16">
        <v>45962</v>
      </c>
      <c r="I530" s="115">
        <v>45853</v>
      </c>
      <c r="J530" s="115">
        <v>45854</v>
      </c>
      <c r="K530" s="115">
        <v>45853</v>
      </c>
      <c r="L530" s="115"/>
      <c r="M530" s="115">
        <v>45930</v>
      </c>
      <c r="N530" s="115"/>
      <c r="O530" s="115"/>
      <c r="P530" s="115">
        <v>45945</v>
      </c>
      <c r="Q530" s="115">
        <v>45945</v>
      </c>
      <c r="R530" s="115" t="s">
        <v>3691</v>
      </c>
      <c r="S530" s="115"/>
      <c r="T530" s="7" t="s">
        <v>18</v>
      </c>
      <c r="U530" s="16" t="s">
        <v>3485</v>
      </c>
      <c r="V530" s="16">
        <v>45933</v>
      </c>
      <c r="W530" s="16" t="s">
        <v>3693</v>
      </c>
      <c r="X530" s="4" t="s">
        <v>3484</v>
      </c>
      <c r="Y530" s="100"/>
      <c r="Z530" s="30" t="s">
        <v>2375</v>
      </c>
      <c r="AA530" s="8">
        <v>45972</v>
      </c>
      <c r="AB530" s="22">
        <v>17996.12</v>
      </c>
      <c r="AC530" s="10"/>
      <c r="AD530" s="21"/>
      <c r="AE530" s="21"/>
      <c r="AF530" s="21"/>
      <c r="AG530" s="45"/>
      <c r="AH530" s="116">
        <v>17996.12</v>
      </c>
    </row>
    <row r="531" spans="1:35" s="9" customFormat="1" ht="225">
      <c r="A531" s="9">
        <f ca="1">TODAY()-H531+1</f>
        <v>232</v>
      </c>
      <c r="B531" s="31">
        <v>45852</v>
      </c>
      <c r="C531" s="11" t="s">
        <v>24</v>
      </c>
      <c r="D531" s="2" t="s">
        <v>2437</v>
      </c>
      <c r="E531" s="11" t="s">
        <v>2438</v>
      </c>
      <c r="F531" s="30" t="s">
        <v>36</v>
      </c>
      <c r="G531" s="30" t="s">
        <v>3119</v>
      </c>
      <c r="H531" s="16">
        <v>45962</v>
      </c>
      <c r="I531" s="115">
        <v>45852</v>
      </c>
      <c r="J531" s="115">
        <v>45852</v>
      </c>
      <c r="K531" s="115">
        <v>45853</v>
      </c>
      <c r="L531" s="115"/>
      <c r="M531" s="115">
        <v>45942</v>
      </c>
      <c r="N531" s="115"/>
      <c r="O531" s="115"/>
      <c r="P531" s="115">
        <v>45953</v>
      </c>
      <c r="Q531" s="115">
        <v>45953</v>
      </c>
      <c r="R531" s="115" t="s">
        <v>3702</v>
      </c>
      <c r="S531" s="16"/>
      <c r="T531" s="7" t="s">
        <v>30</v>
      </c>
      <c r="U531" s="11" t="s">
        <v>3495</v>
      </c>
      <c r="V531" s="16">
        <v>45951</v>
      </c>
      <c r="W531" s="16" t="s">
        <v>3701</v>
      </c>
      <c r="X531" s="4" t="s">
        <v>3793</v>
      </c>
      <c r="Y531" s="100"/>
      <c r="Z531" s="30" t="s">
        <v>113</v>
      </c>
      <c r="AA531" s="8">
        <v>45990</v>
      </c>
      <c r="AB531" s="22">
        <v>831628.53</v>
      </c>
      <c r="AC531" s="10"/>
      <c r="AD531" s="21"/>
      <c r="AE531" s="21"/>
      <c r="AF531" s="21"/>
      <c r="AG531" s="45"/>
      <c r="AH531" s="116">
        <v>831628.53</v>
      </c>
    </row>
    <row r="532" spans="1:35" s="9" customFormat="1" ht="112.5">
      <c r="A532" s="9">
        <f ca="1">TODAY()-H532+1</f>
        <v>-803</v>
      </c>
      <c r="B532" s="31">
        <v>45779</v>
      </c>
      <c r="C532" s="34" t="s">
        <v>40</v>
      </c>
      <c r="D532" s="2" t="s">
        <v>1857</v>
      </c>
      <c r="E532" s="11" t="s">
        <v>1858</v>
      </c>
      <c r="F532" s="30" t="s">
        <v>1933</v>
      </c>
      <c r="G532" s="30" t="s">
        <v>3322</v>
      </c>
      <c r="H532" s="16">
        <v>46997</v>
      </c>
      <c r="I532" s="115"/>
      <c r="J532" s="115"/>
      <c r="K532" s="115"/>
      <c r="L532" s="115"/>
      <c r="M532" s="115"/>
      <c r="N532" s="115" t="s">
        <v>878</v>
      </c>
      <c r="O532" s="115"/>
      <c r="P532" s="115">
        <v>45932</v>
      </c>
      <c r="Q532" s="16" t="s">
        <v>1449</v>
      </c>
      <c r="R532" s="115">
        <v>45936</v>
      </c>
      <c r="S532" s="115"/>
      <c r="T532" s="7"/>
      <c r="U532" s="301" t="s">
        <v>2899</v>
      </c>
      <c r="V532" s="16" t="s">
        <v>2978</v>
      </c>
      <c r="W532" s="16">
        <v>45928</v>
      </c>
      <c r="X532" s="165" t="s">
        <v>3588</v>
      </c>
      <c r="Y532" s="100"/>
      <c r="Z532" s="30" t="s">
        <v>54</v>
      </c>
      <c r="AA532" s="8">
        <v>45978</v>
      </c>
      <c r="AB532" s="10"/>
      <c r="AC532" s="10"/>
      <c r="AD532" s="21"/>
      <c r="AE532" s="285">
        <v>2480160</v>
      </c>
      <c r="AF532" s="21"/>
      <c r="AG532" s="45"/>
      <c r="AH532" s="65">
        <v>2480160</v>
      </c>
    </row>
    <row r="533" spans="1:35" s="9" customFormat="1" ht="122.25" customHeight="1">
      <c r="A533" s="9">
        <f ca="1">TODAY()-H533+1</f>
        <v>263</v>
      </c>
      <c r="B533" s="31">
        <v>45833</v>
      </c>
      <c r="C533" s="11" t="s">
        <v>24</v>
      </c>
      <c r="D533" s="2" t="s">
        <v>2151</v>
      </c>
      <c r="E533" s="11" t="s">
        <v>2152</v>
      </c>
      <c r="F533" s="30" t="s">
        <v>102</v>
      </c>
      <c r="G533" s="30" t="s">
        <v>2153</v>
      </c>
      <c r="H533" s="16">
        <v>45931</v>
      </c>
      <c r="I533" s="115">
        <v>45834</v>
      </c>
      <c r="J533" s="115">
        <v>45834</v>
      </c>
      <c r="K533" s="115">
        <v>45848</v>
      </c>
      <c r="L533" s="115"/>
      <c r="M533" s="115"/>
      <c r="N533" s="115"/>
      <c r="O533" s="115"/>
      <c r="P533" s="115">
        <v>45916</v>
      </c>
      <c r="Q533" s="115">
        <v>45916</v>
      </c>
      <c r="R533" s="115" t="s">
        <v>3298</v>
      </c>
      <c r="S533" s="115"/>
      <c r="T533" s="7" t="s">
        <v>28</v>
      </c>
      <c r="U533" s="2" t="s">
        <v>2894</v>
      </c>
      <c r="V533" s="16">
        <v>45896</v>
      </c>
      <c r="W533" s="16">
        <v>45940</v>
      </c>
      <c r="X533" s="84" t="s">
        <v>3008</v>
      </c>
      <c r="Y533" s="100"/>
      <c r="Z533" s="30" t="s">
        <v>826</v>
      </c>
      <c r="AA533" s="8">
        <v>45996</v>
      </c>
      <c r="AB533" s="10"/>
      <c r="AC533" s="10"/>
      <c r="AD533" s="29">
        <v>57683.49</v>
      </c>
      <c r="AE533" s="21"/>
      <c r="AF533" s="21"/>
      <c r="AG533" s="45"/>
      <c r="AH533" s="118">
        <v>57683.49</v>
      </c>
    </row>
    <row r="534" spans="1:35" s="9" customFormat="1" ht="122.25" customHeight="1">
      <c r="A534" s="9">
        <f ca="1">TODAY()-H534+1</f>
        <v>232</v>
      </c>
      <c r="B534" s="31">
        <v>45868</v>
      </c>
      <c r="C534" s="11" t="s">
        <v>24</v>
      </c>
      <c r="D534" s="2" t="s">
        <v>2652</v>
      </c>
      <c r="E534" s="11" t="s">
        <v>2653</v>
      </c>
      <c r="F534" s="30" t="s">
        <v>104</v>
      </c>
      <c r="G534" s="30" t="s">
        <v>2685</v>
      </c>
      <c r="H534" s="16">
        <v>45962</v>
      </c>
      <c r="I534" s="115">
        <v>45868</v>
      </c>
      <c r="J534" s="115">
        <v>45868</v>
      </c>
      <c r="K534" s="115">
        <v>45868</v>
      </c>
      <c r="L534" s="115"/>
      <c r="M534" s="115">
        <v>45943</v>
      </c>
      <c r="N534" s="115">
        <v>45939</v>
      </c>
      <c r="O534" s="115"/>
      <c r="P534" s="115">
        <v>45944</v>
      </c>
      <c r="Q534" s="115">
        <v>45944</v>
      </c>
      <c r="R534" s="115" t="s">
        <v>3373</v>
      </c>
      <c r="S534" s="115"/>
      <c r="T534" s="7" t="s">
        <v>20</v>
      </c>
      <c r="U534" s="16" t="s">
        <v>3338</v>
      </c>
      <c r="V534" s="16">
        <v>45942</v>
      </c>
      <c r="W534" s="16">
        <v>45944</v>
      </c>
      <c r="X534" s="4" t="s">
        <v>3337</v>
      </c>
      <c r="Y534" s="100"/>
      <c r="Z534" s="30" t="s">
        <v>54</v>
      </c>
      <c r="AA534" s="8">
        <v>45999</v>
      </c>
      <c r="AB534" s="10"/>
      <c r="AC534" s="22">
        <v>515</v>
      </c>
      <c r="AD534" s="21"/>
      <c r="AE534" s="21"/>
      <c r="AF534" s="21"/>
      <c r="AG534" s="45"/>
      <c r="AH534" s="116">
        <v>515</v>
      </c>
    </row>
    <row r="535" spans="1:35" s="9" customFormat="1" ht="37.5">
      <c r="A535" s="9">
        <v>61</v>
      </c>
      <c r="B535" s="31">
        <v>45796</v>
      </c>
      <c r="C535" s="34" t="s">
        <v>40</v>
      </c>
      <c r="D535" s="2" t="s">
        <v>2015</v>
      </c>
      <c r="E535" s="11" t="s">
        <v>1932</v>
      </c>
      <c r="F535" s="30" t="s">
        <v>1933</v>
      </c>
      <c r="G535" s="30" t="s">
        <v>3365</v>
      </c>
      <c r="H535" s="16">
        <v>45901</v>
      </c>
      <c r="I535" s="115"/>
      <c r="J535" s="115"/>
      <c r="K535" s="115"/>
      <c r="L535" s="115"/>
      <c r="M535" s="115"/>
      <c r="N535" s="115"/>
      <c r="O535" s="115"/>
      <c r="P535" s="115">
        <v>45933</v>
      </c>
      <c r="Q535" s="16" t="s">
        <v>1449</v>
      </c>
      <c r="R535" s="115" t="s">
        <v>925</v>
      </c>
      <c r="S535" s="115" t="s">
        <v>3584</v>
      </c>
      <c r="T535" s="7" t="s">
        <v>22</v>
      </c>
      <c r="U535" s="302" t="s">
        <v>2900</v>
      </c>
      <c r="V535" s="16">
        <v>45923</v>
      </c>
      <c r="W535" s="16">
        <v>45932</v>
      </c>
      <c r="X535" s="4"/>
      <c r="Y535" s="100"/>
      <c r="Z535" s="30" t="s">
        <v>54</v>
      </c>
      <c r="AA535" s="8">
        <v>45983</v>
      </c>
      <c r="AB535" s="10"/>
      <c r="AC535" s="78"/>
      <c r="AD535" s="21"/>
      <c r="AE535" s="29">
        <v>1317701.27</v>
      </c>
      <c r="AF535" s="21"/>
      <c r="AG535" s="45"/>
      <c r="AH535" s="69">
        <v>1317701.27</v>
      </c>
      <c r="AI535" s="69"/>
    </row>
    <row r="536" spans="1:35" s="9" customFormat="1" ht="122.25" customHeight="1">
      <c r="A536" s="9">
        <f ca="1">TODAY()-H536+1</f>
        <v>263</v>
      </c>
      <c r="B536" s="31">
        <v>45833</v>
      </c>
      <c r="C536" s="2" t="s">
        <v>27</v>
      </c>
      <c r="D536" s="2" t="s">
        <v>2220</v>
      </c>
      <c r="E536" s="11" t="s">
        <v>2221</v>
      </c>
      <c r="F536" s="30" t="s">
        <v>1933</v>
      </c>
      <c r="G536" s="125" t="s">
        <v>3178</v>
      </c>
      <c r="H536" s="16">
        <v>45931</v>
      </c>
      <c r="I536" s="115"/>
      <c r="J536" s="115"/>
      <c r="K536" s="115"/>
      <c r="L536" s="115"/>
      <c r="M536" s="115"/>
      <c r="N536" s="115"/>
      <c r="O536" s="115"/>
      <c r="P536" s="115">
        <v>45933</v>
      </c>
      <c r="Q536" s="16" t="s">
        <v>1449</v>
      </c>
      <c r="R536" s="115"/>
      <c r="S536" s="115" t="s">
        <v>3585</v>
      </c>
      <c r="T536" s="7" t="s">
        <v>22</v>
      </c>
      <c r="U536" s="300" t="s">
        <v>2900</v>
      </c>
      <c r="V536" s="16">
        <v>45923</v>
      </c>
      <c r="W536" s="16">
        <v>45932</v>
      </c>
      <c r="X536" s="304"/>
      <c r="Y536" s="100"/>
      <c r="Z536" s="30" t="s">
        <v>54</v>
      </c>
      <c r="AA536" s="8">
        <v>45983</v>
      </c>
      <c r="AB536" s="10"/>
      <c r="AC536" s="10"/>
      <c r="AD536" s="21"/>
      <c r="AE536" s="77">
        <f>354765.73+1114524.36</f>
        <v>1469290.09</v>
      </c>
      <c r="AF536" s="21"/>
      <c r="AG536" s="45"/>
      <c r="AH536" s="116">
        <v>1469290.09</v>
      </c>
    </row>
    <row r="537" spans="1:35" s="9" customFormat="1" ht="210" customHeight="1">
      <c r="A537" s="9">
        <f ca="1">TODAY()-H537+1</f>
        <v>263</v>
      </c>
      <c r="B537" s="31">
        <v>45833</v>
      </c>
      <c r="C537" s="11" t="s">
        <v>24</v>
      </c>
      <c r="D537" s="2" t="s">
        <v>2154</v>
      </c>
      <c r="E537" s="11" t="s">
        <v>2155</v>
      </c>
      <c r="F537" s="30" t="s">
        <v>2156</v>
      </c>
      <c r="G537" s="30" t="s">
        <v>2157</v>
      </c>
      <c r="H537" s="16">
        <v>45931</v>
      </c>
      <c r="I537" s="115">
        <v>45833</v>
      </c>
      <c r="J537" s="115">
        <v>45833</v>
      </c>
      <c r="K537" s="115">
        <v>45833</v>
      </c>
      <c r="L537" s="115"/>
      <c r="M537" s="115">
        <v>45902</v>
      </c>
      <c r="N537" s="115"/>
      <c r="O537" s="115"/>
      <c r="P537" s="115">
        <v>45910</v>
      </c>
      <c r="Q537" s="115">
        <v>45910</v>
      </c>
      <c r="R537" s="115" t="s">
        <v>3386</v>
      </c>
      <c r="S537" s="115"/>
      <c r="T537" s="7" t="s">
        <v>22</v>
      </c>
      <c r="U537" s="2" t="s">
        <v>2885</v>
      </c>
      <c r="V537" s="16">
        <v>45910</v>
      </c>
      <c r="W537" s="16">
        <v>45940</v>
      </c>
      <c r="X537" s="4" t="s">
        <v>3206</v>
      </c>
      <c r="Y537" s="100"/>
      <c r="Z537" s="30" t="s">
        <v>265</v>
      </c>
      <c r="AA537" s="8">
        <v>45990</v>
      </c>
      <c r="AB537" s="10"/>
      <c r="AC537" s="22">
        <v>23040</v>
      </c>
      <c r="AD537" s="21"/>
      <c r="AE537" s="21"/>
      <c r="AF537" s="21"/>
      <c r="AG537" s="45"/>
      <c r="AH537" s="118">
        <v>23040</v>
      </c>
    </row>
    <row r="538" spans="1:35" s="9" customFormat="1" ht="56.25">
      <c r="A538" s="9">
        <f ca="1">TODAY()-H538+1</f>
        <v>232</v>
      </c>
      <c r="B538" s="31">
        <v>45856</v>
      </c>
      <c r="C538" s="11" t="s">
        <v>24</v>
      </c>
      <c r="D538" s="2" t="s">
        <v>2420</v>
      </c>
      <c r="E538" s="11" t="s">
        <v>2421</v>
      </c>
      <c r="F538" s="30" t="s">
        <v>2156</v>
      </c>
      <c r="G538" s="30" t="s">
        <v>2434</v>
      </c>
      <c r="H538" s="16">
        <v>45962</v>
      </c>
      <c r="I538" s="115">
        <v>45856</v>
      </c>
      <c r="J538" s="115">
        <v>45860</v>
      </c>
      <c r="K538" s="115">
        <v>45860</v>
      </c>
      <c r="L538" s="115"/>
      <c r="M538" s="115">
        <v>45924</v>
      </c>
      <c r="N538" s="115"/>
      <c r="O538" s="115"/>
      <c r="P538" s="115">
        <v>45931</v>
      </c>
      <c r="Q538" s="115">
        <v>45931</v>
      </c>
      <c r="R538" s="115" t="s">
        <v>3717</v>
      </c>
      <c r="S538" s="115"/>
      <c r="T538" s="7" t="s">
        <v>22</v>
      </c>
      <c r="U538" s="16" t="s">
        <v>3296</v>
      </c>
      <c r="V538" s="16">
        <v>45926</v>
      </c>
      <c r="W538" s="16" t="s">
        <v>3486</v>
      </c>
      <c r="X538" s="4" t="s">
        <v>3207</v>
      </c>
      <c r="Y538" s="100"/>
      <c r="Z538" s="30" t="s">
        <v>2422</v>
      </c>
      <c r="AA538" s="8">
        <v>45988</v>
      </c>
      <c r="AB538" s="10"/>
      <c r="AC538" s="22">
        <v>25560</v>
      </c>
      <c r="AD538" s="21"/>
      <c r="AE538" s="21"/>
      <c r="AF538" s="21"/>
      <c r="AG538" s="45"/>
      <c r="AH538" s="116">
        <v>25560</v>
      </c>
    </row>
    <row r="539" spans="1:35" s="9" customFormat="1" ht="122.25" customHeight="1">
      <c r="A539" s="9">
        <f ca="1">TODAY()-H539+1</f>
        <v>232</v>
      </c>
      <c r="B539" s="31">
        <v>45867</v>
      </c>
      <c r="C539" s="11" t="s">
        <v>694</v>
      </c>
      <c r="D539" s="2" t="s">
        <v>2484</v>
      </c>
      <c r="E539" s="11" t="s">
        <v>2485</v>
      </c>
      <c r="F539" s="30" t="s">
        <v>87</v>
      </c>
      <c r="G539" s="30" t="s">
        <v>3430</v>
      </c>
      <c r="H539" s="16">
        <v>45962</v>
      </c>
      <c r="I539" s="115">
        <v>45867</v>
      </c>
      <c r="J539" s="115">
        <v>45868</v>
      </c>
      <c r="K539" s="115">
        <v>45869</v>
      </c>
      <c r="L539" s="115"/>
      <c r="M539" s="115"/>
      <c r="N539" s="115" t="s">
        <v>3147</v>
      </c>
      <c r="O539" s="115"/>
      <c r="P539" s="115"/>
      <c r="Q539" s="115">
        <v>45939</v>
      </c>
      <c r="R539" s="115">
        <v>45976</v>
      </c>
      <c r="S539" s="115">
        <v>45978</v>
      </c>
      <c r="T539" s="7" t="s">
        <v>20</v>
      </c>
      <c r="U539" s="2" t="s">
        <v>3148</v>
      </c>
      <c r="V539" s="16">
        <v>45931</v>
      </c>
      <c r="W539" s="16">
        <v>45978</v>
      </c>
      <c r="X539" s="292" t="s">
        <v>3619</v>
      </c>
      <c r="Y539" s="100"/>
      <c r="Z539" s="30" t="s">
        <v>54</v>
      </c>
      <c r="AA539" s="8">
        <v>45989</v>
      </c>
      <c r="AB539" s="10"/>
      <c r="AC539" s="22">
        <v>38707.42</v>
      </c>
      <c r="AD539" s="21"/>
      <c r="AE539" s="21"/>
      <c r="AF539" s="21"/>
      <c r="AG539" s="45"/>
      <c r="AH539" s="116">
        <v>38707.42</v>
      </c>
    </row>
    <row r="540" spans="1:35" s="9" customFormat="1" ht="93.75">
      <c r="A540" s="9">
        <f ca="1">TODAY()-H540+1</f>
        <v>205</v>
      </c>
      <c r="B540" s="31">
        <v>45947</v>
      </c>
      <c r="C540" s="11" t="s">
        <v>27</v>
      </c>
      <c r="D540" s="2" t="s">
        <v>3527</v>
      </c>
      <c r="E540" s="11" t="s">
        <v>3528</v>
      </c>
      <c r="F540" s="30" t="s">
        <v>547</v>
      </c>
      <c r="G540" s="30" t="s">
        <v>3529</v>
      </c>
      <c r="H540" s="16">
        <v>45989</v>
      </c>
      <c r="I540" s="115"/>
      <c r="J540" s="115">
        <v>45953</v>
      </c>
      <c r="K540" s="115"/>
      <c r="L540" s="115"/>
      <c r="M540" s="115">
        <v>45958</v>
      </c>
      <c r="N540" s="115" t="s">
        <v>3713</v>
      </c>
      <c r="O540" s="115"/>
      <c r="P540" s="115" t="s">
        <v>3790</v>
      </c>
      <c r="Q540" s="16"/>
      <c r="R540" s="115" t="s">
        <v>3886</v>
      </c>
      <c r="S540" s="115">
        <v>45995</v>
      </c>
      <c r="T540" s="7" t="s">
        <v>20</v>
      </c>
      <c r="U540" s="16" t="s">
        <v>3753</v>
      </c>
      <c r="V540" s="16">
        <v>45972</v>
      </c>
      <c r="W540" s="16">
        <v>45986</v>
      </c>
      <c r="X540" s="4" t="s">
        <v>3712</v>
      </c>
      <c r="Y540" s="100"/>
      <c r="Z540" s="30" t="s">
        <v>61</v>
      </c>
      <c r="AA540" s="8">
        <v>45960</v>
      </c>
      <c r="AB540" s="10"/>
      <c r="AC540" s="10"/>
      <c r="AD540" s="21"/>
      <c r="AE540" s="29">
        <v>110487</v>
      </c>
      <c r="AF540" s="21"/>
      <c r="AG540" s="45"/>
      <c r="AH540" s="116">
        <v>110487</v>
      </c>
    </row>
    <row r="541" spans="1:35" s="9" customFormat="1" ht="100.5" customHeight="1">
      <c r="A541" s="9" t="s">
        <v>1137</v>
      </c>
      <c r="B541" s="31">
        <v>45866</v>
      </c>
      <c r="C541" s="2" t="s">
        <v>40</v>
      </c>
      <c r="D541" s="2" t="s">
        <v>2564</v>
      </c>
      <c r="E541" s="11" t="s">
        <v>2565</v>
      </c>
      <c r="F541" s="30" t="s">
        <v>79</v>
      </c>
      <c r="G541" s="30" t="s">
        <v>2646</v>
      </c>
      <c r="H541" s="16">
        <v>45915</v>
      </c>
      <c r="I541" s="115"/>
      <c r="J541" s="115"/>
      <c r="K541" s="115"/>
      <c r="L541" s="115"/>
      <c r="M541" s="115">
        <v>45910</v>
      </c>
      <c r="N541" s="115">
        <v>45910</v>
      </c>
      <c r="O541" s="115"/>
      <c r="P541" s="115">
        <v>45879</v>
      </c>
      <c r="Q541" s="16" t="s">
        <v>1449</v>
      </c>
      <c r="R541" s="115"/>
      <c r="S541" s="115">
        <v>45966</v>
      </c>
      <c r="T541" s="7" t="s">
        <v>20</v>
      </c>
      <c r="U541" s="16" t="s">
        <v>3489</v>
      </c>
      <c r="V541" s="16">
        <v>45912</v>
      </c>
      <c r="W541" s="16">
        <v>45946</v>
      </c>
      <c r="X541" s="25" t="s">
        <v>3639</v>
      </c>
      <c r="Y541" s="100"/>
      <c r="Z541" s="30" t="s">
        <v>2576</v>
      </c>
      <c r="AA541" s="8">
        <v>45994</v>
      </c>
      <c r="AB541" s="10"/>
      <c r="AC541" s="22">
        <v>29653.4</v>
      </c>
      <c r="AD541" s="21"/>
      <c r="AE541" s="10"/>
      <c r="AF541" s="21"/>
      <c r="AG541" s="45"/>
      <c r="AH541" s="118">
        <v>29653.4</v>
      </c>
    </row>
    <row r="542" spans="1:35" s="9" customFormat="1" ht="122.25" customHeight="1">
      <c r="B542" s="31">
        <v>45874</v>
      </c>
      <c r="C542" s="2" t="s">
        <v>40</v>
      </c>
      <c r="D542" s="2" t="s">
        <v>2658</v>
      </c>
      <c r="E542" s="11" t="s">
        <v>2659</v>
      </c>
      <c r="F542" s="30" t="s">
        <v>79</v>
      </c>
      <c r="G542" s="30" t="s">
        <v>2668</v>
      </c>
      <c r="H542" s="16">
        <v>45915</v>
      </c>
      <c r="I542" s="115">
        <v>45875</v>
      </c>
      <c r="J542" s="115"/>
      <c r="K542" s="115">
        <v>45875</v>
      </c>
      <c r="L542" s="115"/>
      <c r="M542" s="115">
        <v>45910</v>
      </c>
      <c r="N542" s="115">
        <v>45910</v>
      </c>
      <c r="O542" s="115"/>
      <c r="P542" s="115">
        <v>45879</v>
      </c>
      <c r="Q542" s="16" t="s">
        <v>1449</v>
      </c>
      <c r="R542" s="115"/>
      <c r="S542" s="115">
        <v>45966</v>
      </c>
      <c r="T542" s="7" t="s">
        <v>20</v>
      </c>
      <c r="U542" s="16" t="s">
        <v>3490</v>
      </c>
      <c r="V542" s="16">
        <v>45912</v>
      </c>
      <c r="W542" s="16">
        <v>45946</v>
      </c>
      <c r="X542" s="25" t="s">
        <v>3640</v>
      </c>
      <c r="Y542" s="100"/>
      <c r="Z542" s="30" t="s">
        <v>2660</v>
      </c>
      <c r="AA542" s="8">
        <v>45994</v>
      </c>
      <c r="AB542" s="10"/>
      <c r="AC542" s="22">
        <v>50248.639999999999</v>
      </c>
      <c r="AD542" s="21"/>
      <c r="AE542" s="21"/>
      <c r="AF542" s="21"/>
      <c r="AG542" s="45"/>
      <c r="AH542" s="118">
        <v>50248.639999999999</v>
      </c>
    </row>
    <row r="543" spans="1:35" s="9" customFormat="1" ht="122.25" customHeight="1">
      <c r="A543" s="9">
        <f ca="1">TODAY()-H543+1</f>
        <v>263</v>
      </c>
      <c r="B543" s="31">
        <v>45824</v>
      </c>
      <c r="C543" s="11" t="s">
        <v>24</v>
      </c>
      <c r="D543" s="2" t="s">
        <v>2641</v>
      </c>
      <c r="E543" s="11" t="s">
        <v>2642</v>
      </c>
      <c r="F543" s="30" t="s">
        <v>155</v>
      </c>
      <c r="G543" s="30" t="s">
        <v>2683</v>
      </c>
      <c r="H543" s="16">
        <v>45931</v>
      </c>
      <c r="I543" s="115">
        <v>45825</v>
      </c>
      <c r="J543" s="115">
        <v>45825</v>
      </c>
      <c r="K543" s="115">
        <v>45840</v>
      </c>
      <c r="L543" s="115"/>
      <c r="M543" s="115"/>
      <c r="N543" s="115"/>
      <c r="O543" s="115"/>
      <c r="P543" s="115">
        <v>45945</v>
      </c>
      <c r="Q543" s="115">
        <v>45945</v>
      </c>
      <c r="R543" s="115" t="s">
        <v>3722</v>
      </c>
      <c r="S543" s="115"/>
      <c r="T543" s="7" t="s">
        <v>20</v>
      </c>
      <c r="U543" s="2" t="s">
        <v>3092</v>
      </c>
      <c r="V543" s="16">
        <v>45935</v>
      </c>
      <c r="W543" s="16" t="s">
        <v>3609</v>
      </c>
      <c r="X543" s="4"/>
      <c r="Y543" s="100"/>
      <c r="Z543" s="30" t="s">
        <v>54</v>
      </c>
      <c r="AA543" s="8">
        <v>45989</v>
      </c>
      <c r="AB543" s="10"/>
      <c r="AC543" s="22">
        <v>161025.01999999999</v>
      </c>
      <c r="AD543" s="21"/>
      <c r="AE543" s="21"/>
      <c r="AF543" s="21"/>
      <c r="AG543" s="45"/>
      <c r="AH543" s="116">
        <v>161025.01999999999</v>
      </c>
    </row>
    <row r="544" spans="1:35" s="9" customFormat="1" ht="122.25" customHeight="1">
      <c r="B544" s="31">
        <v>45896</v>
      </c>
      <c r="C544" s="11" t="s">
        <v>694</v>
      </c>
      <c r="D544" s="2" t="s">
        <v>2840</v>
      </c>
      <c r="E544" s="11" t="s">
        <v>2841</v>
      </c>
      <c r="F544" s="30" t="s">
        <v>173</v>
      </c>
      <c r="G544" s="30" t="s">
        <v>2842</v>
      </c>
      <c r="H544" s="16">
        <v>45945</v>
      </c>
      <c r="I544" s="115">
        <v>45898</v>
      </c>
      <c r="J544" s="115">
        <v>45898</v>
      </c>
      <c r="K544" s="115">
        <v>45910</v>
      </c>
      <c r="L544" s="115"/>
      <c r="M544" s="115"/>
      <c r="N544" s="115"/>
      <c r="O544" s="115"/>
      <c r="P544" s="115"/>
      <c r="Q544" s="115">
        <v>45939</v>
      </c>
      <c r="R544" s="115">
        <v>45952</v>
      </c>
      <c r="S544" s="115">
        <v>45969</v>
      </c>
      <c r="T544" s="7" t="s">
        <v>22</v>
      </c>
      <c r="U544" s="16" t="s">
        <v>3232</v>
      </c>
      <c r="V544" s="16">
        <v>45928</v>
      </c>
      <c r="W544" s="16">
        <v>45947</v>
      </c>
      <c r="X544" s="312" t="s">
        <v>3233</v>
      </c>
      <c r="Y544" s="100"/>
      <c r="Z544" s="30" t="s">
        <v>29</v>
      </c>
      <c r="AA544" s="8">
        <v>45988</v>
      </c>
      <c r="AB544" s="22">
        <v>45303.87</v>
      </c>
      <c r="AC544" s="10"/>
      <c r="AD544" s="21"/>
      <c r="AE544" s="21"/>
      <c r="AF544" s="21"/>
      <c r="AG544" s="45"/>
      <c r="AH544" s="116">
        <v>45303.87</v>
      </c>
    </row>
    <row r="545" spans="1:34" s="9" customFormat="1" ht="93.75">
      <c r="A545" s="9">
        <f ca="1">TODAY()-H545+1</f>
        <v>193</v>
      </c>
      <c r="B545" s="31">
        <v>45708</v>
      </c>
      <c r="C545" s="2" t="s">
        <v>694</v>
      </c>
      <c r="D545" s="2" t="s">
        <v>917</v>
      </c>
      <c r="E545" s="11" t="s">
        <v>918</v>
      </c>
      <c r="F545" s="30" t="s">
        <v>173</v>
      </c>
      <c r="G545" s="30" t="s">
        <v>3646</v>
      </c>
      <c r="H545" s="16">
        <v>46001</v>
      </c>
      <c r="I545" s="115"/>
      <c r="J545" s="115"/>
      <c r="K545" s="115"/>
      <c r="L545" s="115"/>
      <c r="M545" s="115"/>
      <c r="N545" s="115"/>
      <c r="O545" s="115"/>
      <c r="P545" s="115"/>
      <c r="Q545" s="115">
        <v>45939</v>
      </c>
      <c r="R545" s="115">
        <v>45965</v>
      </c>
      <c r="S545" s="115">
        <v>45981</v>
      </c>
      <c r="T545" s="7" t="s">
        <v>22</v>
      </c>
      <c r="U545" s="2" t="s">
        <v>3335</v>
      </c>
      <c r="V545" s="16">
        <v>45941</v>
      </c>
      <c r="W545" s="16">
        <v>45955</v>
      </c>
      <c r="X545" s="290" t="s">
        <v>3334</v>
      </c>
      <c r="Z545" s="30" t="s">
        <v>1006</v>
      </c>
      <c r="AA545" s="8">
        <v>45996</v>
      </c>
      <c r="AB545" s="22">
        <v>93770.8</v>
      </c>
      <c r="AC545" s="10"/>
      <c r="AD545" s="21"/>
      <c r="AE545" s="21"/>
      <c r="AF545" s="21"/>
      <c r="AG545" s="45"/>
      <c r="AH545" s="23">
        <v>93770.8</v>
      </c>
    </row>
    <row r="546" spans="1:34" s="9" customFormat="1" ht="56.25">
      <c r="A546" s="9">
        <f ca="1">TODAY()-H546+1</f>
        <v>239</v>
      </c>
      <c r="B546" s="31">
        <v>45789</v>
      </c>
      <c r="C546" s="2" t="s">
        <v>694</v>
      </c>
      <c r="D546" s="2" t="s">
        <v>1790</v>
      </c>
      <c r="E546" s="11" t="s">
        <v>1791</v>
      </c>
      <c r="F546" s="30" t="s">
        <v>1921</v>
      </c>
      <c r="G546" s="30" t="s">
        <v>3074</v>
      </c>
      <c r="H546" s="16">
        <v>45955</v>
      </c>
      <c r="I546" s="115">
        <v>45789</v>
      </c>
      <c r="J546" s="115">
        <v>45789</v>
      </c>
      <c r="K546" s="115">
        <v>45791</v>
      </c>
      <c r="L546" s="115"/>
      <c r="M546" s="115" t="s">
        <v>3198</v>
      </c>
      <c r="N546" s="115" t="s">
        <v>3513</v>
      </c>
      <c r="O546" s="115"/>
      <c r="P546" s="115"/>
      <c r="Q546" s="115">
        <v>45967</v>
      </c>
      <c r="R546" s="115">
        <v>45982</v>
      </c>
      <c r="S546" s="115">
        <v>45995</v>
      </c>
      <c r="T546" s="7" t="s">
        <v>20</v>
      </c>
      <c r="U546" s="16" t="s">
        <v>3515</v>
      </c>
      <c r="V546" s="16">
        <v>45950</v>
      </c>
      <c r="W546" s="16">
        <v>45978</v>
      </c>
      <c r="X546" s="293" t="s">
        <v>3514</v>
      </c>
      <c r="Y546" s="100"/>
      <c r="Z546" s="30" t="s">
        <v>3905</v>
      </c>
      <c r="AA546" s="8">
        <v>45952</v>
      </c>
      <c r="AB546" s="10"/>
      <c r="AC546" s="22">
        <f>44687.6+42910.6</f>
        <v>87598.2</v>
      </c>
      <c r="AD546" s="21"/>
      <c r="AE546" s="21"/>
      <c r="AF546" s="21"/>
      <c r="AG546" s="45"/>
      <c r="AH546" s="23">
        <v>87598.2</v>
      </c>
    </row>
    <row r="547" spans="1:34" s="9" customFormat="1" ht="75">
      <c r="A547" s="9">
        <f ca="1">TODAY()-H547+1</f>
        <v>223</v>
      </c>
      <c r="B547" s="31">
        <v>45866</v>
      </c>
      <c r="C547" s="11" t="s">
        <v>24</v>
      </c>
      <c r="D547" s="2" t="s">
        <v>2476</v>
      </c>
      <c r="E547" s="11" t="s">
        <v>2477</v>
      </c>
      <c r="F547" s="30" t="s">
        <v>521</v>
      </c>
      <c r="G547" s="30" t="s">
        <v>3650</v>
      </c>
      <c r="H547" s="16">
        <v>45971</v>
      </c>
      <c r="I547" s="115">
        <v>45866</v>
      </c>
      <c r="J547" s="115">
        <v>45868</v>
      </c>
      <c r="K547" s="115">
        <v>45866</v>
      </c>
      <c r="L547" s="115"/>
      <c r="M547" s="115"/>
      <c r="N547" s="115"/>
      <c r="O547" s="115"/>
      <c r="P547" s="115">
        <v>45958</v>
      </c>
      <c r="Q547" s="115">
        <v>45958</v>
      </c>
      <c r="R547" s="115" t="s">
        <v>3742</v>
      </c>
      <c r="S547" s="115"/>
      <c r="T547" s="7" t="s">
        <v>22</v>
      </c>
      <c r="U547" s="2" t="s">
        <v>3246</v>
      </c>
      <c r="V547" s="16" t="s">
        <v>3363</v>
      </c>
      <c r="W547" s="16" t="s">
        <v>3721</v>
      </c>
      <c r="X547" s="4" t="s">
        <v>3626</v>
      </c>
      <c r="Y547" s="100"/>
      <c r="Z547" s="30" t="s">
        <v>2027</v>
      </c>
      <c r="AA547" s="8">
        <v>45978</v>
      </c>
      <c r="AB547" s="10"/>
      <c r="AC547" s="22">
        <v>30532.5</v>
      </c>
      <c r="AD547" s="21"/>
      <c r="AE547" s="10"/>
      <c r="AF547" s="21"/>
      <c r="AG547" s="45"/>
      <c r="AH547" s="116">
        <v>30532.5</v>
      </c>
    </row>
    <row r="548" spans="1:34" s="9" customFormat="1" ht="75">
      <c r="A548" s="9">
        <v>-10</v>
      </c>
      <c r="B548" s="31">
        <v>45790</v>
      </c>
      <c r="C548" s="34" t="s">
        <v>40</v>
      </c>
      <c r="D548" s="2" t="s">
        <v>1935</v>
      </c>
      <c r="E548" s="11" t="s">
        <v>1936</v>
      </c>
      <c r="F548" s="30" t="s">
        <v>74</v>
      </c>
      <c r="G548" s="30" t="s">
        <v>3504</v>
      </c>
      <c r="H548" s="16">
        <v>45870</v>
      </c>
      <c r="I548" s="115">
        <v>45792</v>
      </c>
      <c r="J548" s="115"/>
      <c r="K548" s="115"/>
      <c r="L548" s="115"/>
      <c r="M548" s="115"/>
      <c r="N548" s="115"/>
      <c r="O548" s="115"/>
      <c r="P548" s="115">
        <v>45932</v>
      </c>
      <c r="Q548" s="16" t="s">
        <v>1449</v>
      </c>
      <c r="R548" s="115" t="s">
        <v>3817</v>
      </c>
      <c r="S548" s="115">
        <v>45996</v>
      </c>
      <c r="T548" s="7" t="s">
        <v>22</v>
      </c>
      <c r="U548" s="15" t="s">
        <v>3495</v>
      </c>
      <c r="V548" s="286">
        <v>45927</v>
      </c>
      <c r="W548" s="16">
        <v>45963</v>
      </c>
      <c r="X548" s="4" t="s">
        <v>3293</v>
      </c>
      <c r="Y548" s="100"/>
      <c r="Z548" s="30" t="s">
        <v>54</v>
      </c>
      <c r="AA548" s="8">
        <v>45986</v>
      </c>
      <c r="AB548" s="10"/>
      <c r="AC548" s="10"/>
      <c r="AD548" s="21"/>
      <c r="AE548" s="22">
        <f>3889569.55/2</f>
        <v>1944784.7749999999</v>
      </c>
      <c r="AF548" s="21"/>
      <c r="AG548" s="45"/>
      <c r="AH548" s="10">
        <f>3889569.55/2</f>
        <v>1944784.7749999999</v>
      </c>
    </row>
    <row r="549" spans="1:34" s="9" customFormat="1" ht="112.5">
      <c r="A549" s="9">
        <f ca="1">TODAY()-H549+1</f>
        <v>293</v>
      </c>
      <c r="B549" s="31">
        <v>45790</v>
      </c>
      <c r="C549" s="34" t="s">
        <v>40</v>
      </c>
      <c r="D549" s="2" t="s">
        <v>1935</v>
      </c>
      <c r="E549" s="11" t="s">
        <v>1936</v>
      </c>
      <c r="F549" s="30" t="s">
        <v>74</v>
      </c>
      <c r="G549" s="30" t="s">
        <v>3505</v>
      </c>
      <c r="H549" s="16">
        <v>45901</v>
      </c>
      <c r="I549" s="115">
        <v>45792</v>
      </c>
      <c r="J549" s="115"/>
      <c r="K549" s="115"/>
      <c r="L549" s="115"/>
      <c r="M549" s="115"/>
      <c r="N549" s="115"/>
      <c r="O549" s="115"/>
      <c r="P549" s="115">
        <v>45932</v>
      </c>
      <c r="Q549" s="16" t="s">
        <v>1449</v>
      </c>
      <c r="R549" s="115" t="s">
        <v>3817</v>
      </c>
      <c r="S549" s="115">
        <v>45996</v>
      </c>
      <c r="T549" s="7" t="s">
        <v>22</v>
      </c>
      <c r="U549" s="15" t="s">
        <v>3495</v>
      </c>
      <c r="V549" s="286">
        <v>45927</v>
      </c>
      <c r="W549" s="16">
        <v>45963</v>
      </c>
      <c r="X549" s="4" t="s">
        <v>3293</v>
      </c>
      <c r="Y549" s="100"/>
      <c r="Z549" s="30" t="s">
        <v>54</v>
      </c>
      <c r="AA549" s="8">
        <v>45986</v>
      </c>
      <c r="AB549" s="10"/>
      <c r="AC549" s="10"/>
      <c r="AD549" s="21"/>
      <c r="AE549" s="22">
        <f>3889569.55/2</f>
        <v>1944784.7749999999</v>
      </c>
      <c r="AF549" s="21"/>
      <c r="AG549" s="45"/>
      <c r="AH549" s="10">
        <f>3889569.55/2</f>
        <v>1944784.7749999999</v>
      </c>
    </row>
    <row r="550" spans="1:34" s="9" customFormat="1" ht="122.25" customHeight="1">
      <c r="A550" s="9">
        <f ca="1">TODAY()-H550+1</f>
        <v>263</v>
      </c>
      <c r="B550" s="31">
        <v>45848</v>
      </c>
      <c r="C550" s="2" t="s">
        <v>27</v>
      </c>
      <c r="D550" s="2" t="s">
        <v>2264</v>
      </c>
      <c r="E550" s="11" t="s">
        <v>2265</v>
      </c>
      <c r="F550" s="30" t="s">
        <v>74</v>
      </c>
      <c r="G550" s="125" t="s">
        <v>3756</v>
      </c>
      <c r="H550" s="16">
        <v>45931</v>
      </c>
      <c r="I550" s="115"/>
      <c r="J550" s="115"/>
      <c r="K550" s="115"/>
      <c r="L550" s="115"/>
      <c r="M550" s="115"/>
      <c r="N550" s="115"/>
      <c r="O550" s="115"/>
      <c r="P550" s="115">
        <v>45958</v>
      </c>
      <c r="Q550" s="16" t="s">
        <v>1449</v>
      </c>
      <c r="R550" s="115" t="s">
        <v>3817</v>
      </c>
      <c r="S550" s="115"/>
      <c r="T550" s="7" t="s">
        <v>22</v>
      </c>
      <c r="U550" s="15" t="s">
        <v>3495</v>
      </c>
      <c r="V550" s="16" t="s">
        <v>3196</v>
      </c>
      <c r="W550" s="16">
        <v>45963</v>
      </c>
      <c r="X550" s="4" t="s">
        <v>3668</v>
      </c>
      <c r="Y550" s="100"/>
      <c r="Z550" s="30" t="s">
        <v>54</v>
      </c>
      <c r="AA550" s="8">
        <v>45986</v>
      </c>
      <c r="AB550" s="10"/>
      <c r="AC550" s="10"/>
      <c r="AD550" s="21"/>
      <c r="AE550" s="22">
        <v>475307.97</v>
      </c>
      <c r="AF550" s="21"/>
      <c r="AG550" s="45"/>
      <c r="AH550" s="10">
        <v>475307.97</v>
      </c>
    </row>
    <row r="551" spans="1:34" s="9" customFormat="1" ht="122.25" customHeight="1">
      <c r="A551" s="9">
        <f ca="1">TODAY()-H551+1</f>
        <v>263</v>
      </c>
      <c r="B551" s="31">
        <v>45848</v>
      </c>
      <c r="C551" s="2" t="s">
        <v>27</v>
      </c>
      <c r="D551" s="2" t="s">
        <v>2264</v>
      </c>
      <c r="E551" s="11" t="s">
        <v>2265</v>
      </c>
      <c r="F551" s="30" t="s">
        <v>74</v>
      </c>
      <c r="G551" s="125" t="s">
        <v>3501</v>
      </c>
      <c r="H551" s="16">
        <v>45931</v>
      </c>
      <c r="I551" s="115"/>
      <c r="J551" s="115"/>
      <c r="K551" s="115"/>
      <c r="L551" s="115"/>
      <c r="M551" s="115"/>
      <c r="N551" s="115"/>
      <c r="O551" s="115"/>
      <c r="P551" s="115"/>
      <c r="Q551" s="16" t="s">
        <v>1449</v>
      </c>
      <c r="R551" s="115" t="s">
        <v>3797</v>
      </c>
      <c r="S551" s="115"/>
      <c r="T551" s="7" t="s">
        <v>22</v>
      </c>
      <c r="U551" s="319" t="s">
        <v>3669</v>
      </c>
      <c r="V551" s="16">
        <v>45961</v>
      </c>
      <c r="W551" s="16">
        <v>45981</v>
      </c>
      <c r="X551" s="4"/>
      <c r="Y551" s="100"/>
      <c r="Z551" s="30" t="s">
        <v>54</v>
      </c>
      <c r="AA551" s="8">
        <v>46002</v>
      </c>
      <c r="AB551" s="10"/>
      <c r="AC551" s="10"/>
      <c r="AD551" s="21"/>
      <c r="AE551" s="22">
        <f>1791047.85/2</f>
        <v>895523.92500000005</v>
      </c>
      <c r="AF551" s="21"/>
      <c r="AG551" s="45"/>
      <c r="AH551" s="10">
        <f>1791047.85/2</f>
        <v>895523.92500000005</v>
      </c>
    </row>
    <row r="552" spans="1:34" s="9" customFormat="1" ht="122.25" customHeight="1">
      <c r="B552" s="31">
        <v>45866</v>
      </c>
      <c r="C552" s="2" t="s">
        <v>40</v>
      </c>
      <c r="D552" s="2" t="s">
        <v>2566</v>
      </c>
      <c r="E552" s="11" t="s">
        <v>2567</v>
      </c>
      <c r="F552" s="30" t="s">
        <v>79</v>
      </c>
      <c r="G552" s="30" t="s">
        <v>2647</v>
      </c>
      <c r="H552" s="16">
        <v>45915</v>
      </c>
      <c r="I552" s="115"/>
      <c r="J552" s="115"/>
      <c r="K552" s="115"/>
      <c r="L552" s="115"/>
      <c r="M552" s="115">
        <v>45910</v>
      </c>
      <c r="N552" s="115">
        <v>45910</v>
      </c>
      <c r="O552" s="115"/>
      <c r="P552" s="115">
        <v>45916</v>
      </c>
      <c r="Q552" s="16" t="s">
        <v>1449</v>
      </c>
      <c r="R552" s="115"/>
      <c r="S552" s="115">
        <v>45955</v>
      </c>
      <c r="T552" s="7" t="s">
        <v>20</v>
      </c>
      <c r="U552" s="16" t="s">
        <v>2932</v>
      </c>
      <c r="V552" s="16">
        <v>45916</v>
      </c>
      <c r="W552" s="16">
        <v>45946</v>
      </c>
      <c r="X552" s="25" t="s">
        <v>3031</v>
      </c>
      <c r="Y552" s="100"/>
      <c r="Z552" s="30" t="s">
        <v>2576</v>
      </c>
      <c r="AA552" s="8">
        <v>45998</v>
      </c>
      <c r="AB552" s="10"/>
      <c r="AC552" s="22">
        <v>26435</v>
      </c>
      <c r="AD552" s="21"/>
      <c r="AE552" s="10"/>
      <c r="AF552" s="21"/>
      <c r="AG552" s="45"/>
      <c r="AH552" s="118">
        <v>26435</v>
      </c>
    </row>
    <row r="553" spans="1:34" s="9" customFormat="1" ht="122.25" customHeight="1">
      <c r="B553" s="31">
        <v>45866</v>
      </c>
      <c r="C553" s="2" t="s">
        <v>40</v>
      </c>
      <c r="D553" s="2" t="s">
        <v>2568</v>
      </c>
      <c r="E553" s="11" t="s">
        <v>2569</v>
      </c>
      <c r="F553" s="30" t="s">
        <v>79</v>
      </c>
      <c r="G553" s="30" t="s">
        <v>2648</v>
      </c>
      <c r="H553" s="16">
        <v>45915</v>
      </c>
      <c r="I553" s="115"/>
      <c r="J553" s="115"/>
      <c r="K553" s="115"/>
      <c r="L553" s="115"/>
      <c r="M553" s="115">
        <v>45910</v>
      </c>
      <c r="N553" s="115">
        <v>45910</v>
      </c>
      <c r="O553" s="115"/>
      <c r="P553" s="115">
        <v>45912</v>
      </c>
      <c r="Q553" s="16" t="s">
        <v>1449</v>
      </c>
      <c r="R553" s="115"/>
      <c r="S553" s="115">
        <v>45954</v>
      </c>
      <c r="T553" s="7" t="s">
        <v>20</v>
      </c>
      <c r="U553" s="16" t="s">
        <v>2932</v>
      </c>
      <c r="V553" s="16">
        <v>45916</v>
      </c>
      <c r="W553" s="16">
        <v>45945</v>
      </c>
      <c r="X553" s="25" t="s">
        <v>3032</v>
      </c>
      <c r="Y553" s="100"/>
      <c r="Z553" s="30" t="s">
        <v>2576</v>
      </c>
      <c r="AA553" s="8">
        <v>45998</v>
      </c>
      <c r="AB553" s="10"/>
      <c r="AC553" s="22">
        <v>29951</v>
      </c>
      <c r="AD553" s="21"/>
      <c r="AE553" s="10"/>
      <c r="AF553" s="21"/>
      <c r="AG553" s="45"/>
      <c r="AH553" s="118">
        <v>29951</v>
      </c>
    </row>
    <row r="554" spans="1:34" s="9" customFormat="1" ht="122.25" customHeight="1">
      <c r="B554" s="31">
        <v>45868</v>
      </c>
      <c r="C554" s="2" t="s">
        <v>2689</v>
      </c>
      <c r="D554" s="34" t="s">
        <v>2516</v>
      </c>
      <c r="E554" s="11" t="s">
        <v>2517</v>
      </c>
      <c r="F554" s="125" t="s">
        <v>1726</v>
      </c>
      <c r="G554" s="30" t="s">
        <v>2518</v>
      </c>
      <c r="H554" s="16">
        <v>45930</v>
      </c>
      <c r="I554" s="115"/>
      <c r="J554" s="115"/>
      <c r="K554" s="115"/>
      <c r="L554" s="115"/>
      <c r="M554" s="115">
        <v>45890</v>
      </c>
      <c r="N554" s="115" t="s">
        <v>2991</v>
      </c>
      <c r="O554" s="115"/>
      <c r="P554" s="115"/>
      <c r="Q554" s="16" t="s">
        <v>1449</v>
      </c>
      <c r="R554" s="115"/>
      <c r="S554" s="115">
        <v>45975</v>
      </c>
      <c r="T554" s="7" t="s">
        <v>20</v>
      </c>
      <c r="U554" s="16" t="s">
        <v>3209</v>
      </c>
      <c r="V554" s="182" t="s">
        <v>3210</v>
      </c>
      <c r="W554" s="212" t="s">
        <v>3752</v>
      </c>
      <c r="X554" t="s">
        <v>3612</v>
      </c>
      <c r="Y554" s="100"/>
      <c r="Z554" s="30" t="s">
        <v>55</v>
      </c>
      <c r="AA554" s="8">
        <v>46002</v>
      </c>
      <c r="AB554" s="10"/>
      <c r="AC554" s="22">
        <v>1375</v>
      </c>
      <c r="AD554" s="21"/>
      <c r="AE554" s="21"/>
      <c r="AF554" s="21"/>
      <c r="AG554" s="45"/>
      <c r="AH554" s="118">
        <v>1375</v>
      </c>
    </row>
    <row r="555" spans="1:34" s="9" customFormat="1" ht="90" customHeight="1">
      <c r="A555" s="9">
        <f t="shared" ref="A555:A582" ca="1" si="17">TODAY()-H555+1</f>
        <v>324</v>
      </c>
      <c r="B555" s="31">
        <v>45847</v>
      </c>
      <c r="C555" s="2" t="s">
        <v>27</v>
      </c>
      <c r="D555" s="2" t="s">
        <v>2263</v>
      </c>
      <c r="E555" s="11" t="s">
        <v>2259</v>
      </c>
      <c r="F555" s="30" t="s">
        <v>2260</v>
      </c>
      <c r="G555" s="125" t="s">
        <v>3655</v>
      </c>
      <c r="H555" s="16">
        <v>45870</v>
      </c>
      <c r="I555" s="115"/>
      <c r="J555" s="115"/>
      <c r="K555" s="115"/>
      <c r="L555" s="115"/>
      <c r="M555" s="115"/>
      <c r="N555" s="115"/>
      <c r="O555" s="115"/>
      <c r="P555" s="115">
        <v>45952</v>
      </c>
      <c r="Q555" s="16" t="s">
        <v>1449</v>
      </c>
      <c r="R555" s="115"/>
      <c r="S555" s="115" t="s">
        <v>3780</v>
      </c>
      <c r="T555" s="7" t="s">
        <v>22</v>
      </c>
      <c r="U555" s="182" t="s">
        <v>3033</v>
      </c>
      <c r="V555" s="182" t="s">
        <v>3034</v>
      </c>
      <c r="W555" s="182" t="s">
        <v>3035</v>
      </c>
      <c r="X555" s="4" t="s">
        <v>3649</v>
      </c>
      <c r="Y555" s="100"/>
      <c r="Z555" s="30" t="s">
        <v>2261</v>
      </c>
      <c r="AA555" s="8">
        <v>46003</v>
      </c>
      <c r="AB555" s="10"/>
      <c r="AC555" s="10"/>
      <c r="AD555" s="21"/>
      <c r="AE555" s="22">
        <v>151695.21</v>
      </c>
      <c r="AF555" s="21"/>
      <c r="AG555" s="45"/>
      <c r="AH555" s="116">
        <v>151695.21</v>
      </c>
    </row>
    <row r="556" spans="1:34" s="9" customFormat="1" ht="122.25" customHeight="1">
      <c r="A556" s="9">
        <f t="shared" ca="1" si="17"/>
        <v>324</v>
      </c>
      <c r="B556" s="31">
        <v>45847</v>
      </c>
      <c r="C556" s="2" t="s">
        <v>27</v>
      </c>
      <c r="D556" s="2" t="s">
        <v>2395</v>
      </c>
      <c r="E556" s="11" t="s">
        <v>2259</v>
      </c>
      <c r="F556" s="30" t="s">
        <v>2260</v>
      </c>
      <c r="G556" s="125" t="s">
        <v>3656</v>
      </c>
      <c r="H556" s="16">
        <v>45870</v>
      </c>
      <c r="I556" s="115"/>
      <c r="J556" s="115"/>
      <c r="K556" s="115"/>
      <c r="L556" s="115"/>
      <c r="M556" s="115"/>
      <c r="N556" s="115"/>
      <c r="O556" s="115"/>
      <c r="P556" s="115">
        <v>45952</v>
      </c>
      <c r="Q556" s="16" t="s">
        <v>1449</v>
      </c>
      <c r="R556" s="115"/>
      <c r="S556" s="115" t="s">
        <v>3781</v>
      </c>
      <c r="T556" s="7" t="s">
        <v>22</v>
      </c>
      <c r="U556" s="182" t="s">
        <v>3033</v>
      </c>
      <c r="V556" s="182" t="s">
        <v>3034</v>
      </c>
      <c r="W556" s="182" t="s">
        <v>3035</v>
      </c>
      <c r="X556" s="4" t="s">
        <v>3649</v>
      </c>
      <c r="Y556" s="100"/>
      <c r="Z556" s="30" t="s">
        <v>2261</v>
      </c>
      <c r="AA556" s="8">
        <v>46003</v>
      </c>
      <c r="AB556" s="10"/>
      <c r="AC556" s="10"/>
      <c r="AD556" s="21"/>
      <c r="AE556" s="22">
        <v>152337.97</v>
      </c>
      <c r="AF556" s="21"/>
      <c r="AG556" s="45"/>
      <c r="AH556" s="116">
        <v>152337.97</v>
      </c>
    </row>
    <row r="557" spans="1:34" s="9" customFormat="1" ht="86.25" customHeight="1">
      <c r="A557" s="9">
        <f t="shared" ca="1" si="17"/>
        <v>208</v>
      </c>
      <c r="B557" s="31">
        <v>45932</v>
      </c>
      <c r="C557" s="2" t="s">
        <v>694</v>
      </c>
      <c r="D557" s="2" t="s">
        <v>3267</v>
      </c>
      <c r="E557" s="11" t="s">
        <v>3268</v>
      </c>
      <c r="F557" s="30" t="s">
        <v>311</v>
      </c>
      <c r="G557" s="30" t="s">
        <v>3269</v>
      </c>
      <c r="H557" s="16">
        <v>45986</v>
      </c>
      <c r="I557" s="115">
        <v>45933</v>
      </c>
      <c r="J557" s="115">
        <v>45936</v>
      </c>
      <c r="K557" s="115">
        <v>45936</v>
      </c>
      <c r="L557" s="115"/>
      <c r="M557" s="115"/>
      <c r="N557" s="115"/>
      <c r="O557" s="115"/>
      <c r="P557" s="115"/>
      <c r="Q557" s="115">
        <v>45978</v>
      </c>
      <c r="R557" s="115">
        <v>45989</v>
      </c>
      <c r="S557" s="115">
        <v>45992</v>
      </c>
      <c r="T557" s="7" t="s">
        <v>22</v>
      </c>
      <c r="U557" s="16" t="s">
        <v>3777</v>
      </c>
      <c r="V557" s="16">
        <v>45972</v>
      </c>
      <c r="W557" s="16">
        <v>45987</v>
      </c>
      <c r="X557" s="292" t="s">
        <v>3776</v>
      </c>
      <c r="Y557" s="100"/>
      <c r="Z557" s="30" t="s">
        <v>46</v>
      </c>
      <c r="AA557" s="8">
        <v>45993</v>
      </c>
      <c r="AB557" s="22">
        <v>20565</v>
      </c>
      <c r="AC557" s="10"/>
      <c r="AD557" s="21"/>
      <c r="AE557" s="21"/>
      <c r="AF557" s="21"/>
      <c r="AG557" s="45"/>
      <c r="AH557" s="118">
        <v>20565</v>
      </c>
    </row>
    <row r="558" spans="1:34" s="9" customFormat="1" ht="122.25" customHeight="1" thickBot="1">
      <c r="A558" s="9">
        <f t="shared" ca="1" si="17"/>
        <v>263</v>
      </c>
      <c r="B558" s="31">
        <v>45833</v>
      </c>
      <c r="C558" s="11" t="s">
        <v>694</v>
      </c>
      <c r="D558" s="2" t="s">
        <v>2141</v>
      </c>
      <c r="E558" s="11" t="s">
        <v>2142</v>
      </c>
      <c r="F558" s="30" t="s">
        <v>737</v>
      </c>
      <c r="G558" s="30" t="s">
        <v>3078</v>
      </c>
      <c r="H558" s="16">
        <v>45931</v>
      </c>
      <c r="I558" s="115">
        <v>45834</v>
      </c>
      <c r="J558" s="115">
        <v>45834</v>
      </c>
      <c r="K558" s="115">
        <v>45835</v>
      </c>
      <c r="L558" s="115"/>
      <c r="M558" s="115"/>
      <c r="N558" s="115" t="s">
        <v>3344</v>
      </c>
      <c r="O558" s="115"/>
      <c r="P558" s="115"/>
      <c r="Q558" s="115">
        <v>45945</v>
      </c>
      <c r="R558" s="115">
        <v>45971</v>
      </c>
      <c r="S558" s="115">
        <v>45997</v>
      </c>
      <c r="T558" s="7" t="s">
        <v>20</v>
      </c>
      <c r="U558" s="7" t="s">
        <v>3368</v>
      </c>
      <c r="V558" s="16">
        <v>45981</v>
      </c>
      <c r="W558" s="16">
        <v>45994</v>
      </c>
      <c r="X558" s="293" t="s">
        <v>3616</v>
      </c>
      <c r="Y558" s="100"/>
      <c r="Z558" s="191" t="s">
        <v>3835</v>
      </c>
      <c r="AA558" s="8">
        <v>45966</v>
      </c>
      <c r="AB558" s="22">
        <v>428400</v>
      </c>
      <c r="AC558" s="10"/>
      <c r="AD558" s="21"/>
      <c r="AE558" s="21"/>
      <c r="AF558" s="21"/>
      <c r="AG558" s="45"/>
      <c r="AH558" s="10">
        <v>428400</v>
      </c>
    </row>
    <row r="559" spans="1:34" s="9" customFormat="1" ht="409.6" thickBot="1">
      <c r="A559" s="9">
        <f t="shared" ca="1" si="17"/>
        <v>706</v>
      </c>
      <c r="B559" s="31">
        <v>45436</v>
      </c>
      <c r="C559" s="34" t="s">
        <v>40</v>
      </c>
      <c r="D559" s="2" t="s">
        <v>168</v>
      </c>
      <c r="E559" s="11" t="s">
        <v>169</v>
      </c>
      <c r="F559" s="30" t="s">
        <v>1933</v>
      </c>
      <c r="G559" s="30" t="s">
        <v>170</v>
      </c>
      <c r="H559" s="16">
        <v>45488</v>
      </c>
      <c r="I559" s="16"/>
      <c r="J559" s="16"/>
      <c r="K559" s="6"/>
      <c r="L559" s="16"/>
      <c r="M559" s="16"/>
      <c r="N559" s="16"/>
      <c r="O559" s="16"/>
      <c r="P559" s="16"/>
      <c r="Q559" s="16" t="s">
        <v>1449</v>
      </c>
      <c r="R559" s="16"/>
      <c r="S559" s="16"/>
      <c r="T559" s="7" t="s">
        <v>22</v>
      </c>
      <c r="U559" s="299"/>
      <c r="V559" s="16"/>
      <c r="W559" s="16"/>
      <c r="X559" s="305" t="s">
        <v>1584</v>
      </c>
      <c r="Y559" s="100"/>
      <c r="Z559" s="30" t="s">
        <v>33</v>
      </c>
      <c r="AA559" s="8"/>
      <c r="AB559" s="10"/>
      <c r="AC559" s="10"/>
      <c r="AD559" s="21"/>
      <c r="AE559" s="21">
        <v>532312</v>
      </c>
      <c r="AF559" s="21"/>
      <c r="AG559" s="45"/>
      <c r="AH559" s="16"/>
    </row>
    <row r="560" spans="1:34" s="9" customFormat="1" ht="409.6" thickBot="1">
      <c r="A560" s="9">
        <f t="shared" ca="1" si="17"/>
        <v>599</v>
      </c>
      <c r="B560" s="31">
        <v>45477</v>
      </c>
      <c r="C560" s="11" t="s">
        <v>694</v>
      </c>
      <c r="D560" s="2" t="s">
        <v>216</v>
      </c>
      <c r="E560" s="11" t="s">
        <v>217</v>
      </c>
      <c r="F560" s="174" t="s">
        <v>39</v>
      </c>
      <c r="G560" s="30" t="s">
        <v>3081</v>
      </c>
      <c r="H560" s="16">
        <v>45595</v>
      </c>
      <c r="I560" s="115"/>
      <c r="J560" s="115"/>
      <c r="K560" s="115"/>
      <c r="L560" s="115"/>
      <c r="M560" s="6" t="s">
        <v>1973</v>
      </c>
      <c r="N560" s="328" t="s">
        <v>3851</v>
      </c>
      <c r="O560" s="16"/>
      <c r="P560" s="16"/>
      <c r="Q560" s="16"/>
      <c r="R560" s="16"/>
      <c r="S560" s="16"/>
      <c r="T560" s="7" t="s">
        <v>34</v>
      </c>
      <c r="U560" s="299"/>
      <c r="V560" s="16" t="s">
        <v>19</v>
      </c>
      <c r="W560" s="16" t="s">
        <v>19</v>
      </c>
      <c r="X560" s="227" t="s">
        <v>3023</v>
      </c>
      <c r="Y560" s="100"/>
      <c r="Z560" s="30" t="s">
        <v>138</v>
      </c>
      <c r="AA560" s="8">
        <v>46022</v>
      </c>
      <c r="AB560" s="10">
        <v>64438.5</v>
      </c>
      <c r="AC560" s="10"/>
      <c r="AD560" s="21"/>
      <c r="AE560" s="21"/>
      <c r="AF560" s="21"/>
      <c r="AG560" s="45"/>
      <c r="AH560" s="16"/>
    </row>
    <row r="561" spans="1:34" s="9" customFormat="1" ht="409.5">
      <c r="A561" s="9">
        <f t="shared" ca="1" si="17"/>
        <v>871</v>
      </c>
      <c r="B561" s="31">
        <v>45593</v>
      </c>
      <c r="C561" s="11" t="s">
        <v>694</v>
      </c>
      <c r="D561" s="2" t="s">
        <v>394</v>
      </c>
      <c r="E561" s="11" t="s">
        <v>395</v>
      </c>
      <c r="F561" s="175" t="s">
        <v>39</v>
      </c>
      <c r="G561" s="30" t="s">
        <v>3081</v>
      </c>
      <c r="H561" s="16">
        <v>45323</v>
      </c>
      <c r="I561" s="115"/>
      <c r="J561" s="115"/>
      <c r="K561" s="115"/>
      <c r="L561" s="115"/>
      <c r="M561" s="6" t="s">
        <v>1973</v>
      </c>
      <c r="N561" s="329" t="s">
        <v>3851</v>
      </c>
      <c r="O561" s="6"/>
      <c r="P561" s="6"/>
      <c r="Q561" s="6"/>
      <c r="R561" s="6"/>
      <c r="S561" s="6"/>
      <c r="T561" s="7" t="s">
        <v>22</v>
      </c>
      <c r="U561" s="303"/>
      <c r="V561" s="16" t="s">
        <v>19</v>
      </c>
      <c r="W561" s="16" t="s">
        <v>19</v>
      </c>
      <c r="X561" s="227" t="s">
        <v>3024</v>
      </c>
      <c r="Y561" s="100"/>
      <c r="Z561" s="30" t="s">
        <v>396</v>
      </c>
      <c r="AA561" s="8">
        <v>45899</v>
      </c>
      <c r="AB561" s="10">
        <v>64438.5</v>
      </c>
      <c r="AC561" s="10"/>
      <c r="AD561" s="21"/>
      <c r="AE561" s="21"/>
      <c r="AF561" s="21"/>
      <c r="AG561" s="45"/>
      <c r="AH561" s="23"/>
    </row>
    <row r="562" spans="1:34" s="9" customFormat="1" ht="131.25">
      <c r="A562" s="9">
        <f t="shared" ca="1" si="17"/>
        <v>254</v>
      </c>
      <c r="B562" s="31">
        <v>45833</v>
      </c>
      <c r="C562" s="11" t="s">
        <v>24</v>
      </c>
      <c r="D562" s="2" t="s">
        <v>2149</v>
      </c>
      <c r="E562" s="11" t="s">
        <v>2150</v>
      </c>
      <c r="F562" s="30" t="s">
        <v>295</v>
      </c>
      <c r="G562" s="30" t="s">
        <v>3376</v>
      </c>
      <c r="H562" s="16">
        <v>45940</v>
      </c>
      <c r="I562" s="115">
        <v>45834</v>
      </c>
      <c r="J562" s="115">
        <v>45834</v>
      </c>
      <c r="K562" s="115"/>
      <c r="L562" s="115"/>
      <c r="M562" s="115"/>
      <c r="N562" s="115"/>
      <c r="O562" s="115"/>
      <c r="P562" s="115">
        <v>45917</v>
      </c>
      <c r="Q562" s="115">
        <v>45917</v>
      </c>
      <c r="R562" s="115" t="s">
        <v>3687</v>
      </c>
      <c r="S562" s="115"/>
      <c r="T562" s="7" t="s">
        <v>22</v>
      </c>
      <c r="U562" s="2" t="s">
        <v>2966</v>
      </c>
      <c r="V562" s="16" t="s">
        <v>3012</v>
      </c>
      <c r="W562" s="16" t="s">
        <v>3686</v>
      </c>
      <c r="X562" s="4" t="s">
        <v>3009</v>
      </c>
      <c r="Y562" s="100"/>
      <c r="Z562" s="30" t="s">
        <v>29</v>
      </c>
      <c r="AA562" s="8">
        <v>45982</v>
      </c>
      <c r="AB562" s="10"/>
      <c r="AC562" s="22">
        <v>203397.74</v>
      </c>
      <c r="AD562" s="21"/>
      <c r="AE562" s="21"/>
      <c r="AF562" s="21"/>
      <c r="AG562" s="45"/>
      <c r="AH562" s="118">
        <v>203397.74</v>
      </c>
    </row>
    <row r="563" spans="1:34" s="9" customFormat="1" ht="306.75" customHeight="1">
      <c r="A563" s="9">
        <f t="shared" ca="1" si="17"/>
        <v>202</v>
      </c>
      <c r="B563" s="31">
        <v>45883</v>
      </c>
      <c r="C563" s="11" t="s">
        <v>24</v>
      </c>
      <c r="D563" s="2" t="s">
        <v>2756</v>
      </c>
      <c r="E563" s="11" t="s">
        <v>2757</v>
      </c>
      <c r="F563" s="30" t="s">
        <v>36</v>
      </c>
      <c r="G563" s="30" t="s">
        <v>3703</v>
      </c>
      <c r="H563" s="16">
        <v>45992</v>
      </c>
      <c r="I563" s="115">
        <v>45883</v>
      </c>
      <c r="J563" s="115">
        <v>45884</v>
      </c>
      <c r="K563" s="115">
        <v>45883</v>
      </c>
      <c r="L563" s="115"/>
      <c r="M563" s="115"/>
      <c r="N563" s="115"/>
      <c r="O563" s="115"/>
      <c r="P563" s="115">
        <v>45981</v>
      </c>
      <c r="Q563" s="115">
        <v>45981</v>
      </c>
      <c r="R563" s="115"/>
      <c r="S563" s="115"/>
      <c r="T563" s="7" t="s">
        <v>30</v>
      </c>
      <c r="U563" s="11" t="s">
        <v>3791</v>
      </c>
      <c r="V563" s="16">
        <v>45984</v>
      </c>
      <c r="W563" s="16">
        <v>45991</v>
      </c>
      <c r="X563" s="4" t="s">
        <v>3794</v>
      </c>
      <c r="Y563" s="100"/>
      <c r="Z563" s="30" t="s">
        <v>113</v>
      </c>
      <c r="AA563" s="8">
        <v>46010</v>
      </c>
      <c r="AB563" s="22">
        <v>628070.53</v>
      </c>
      <c r="AC563" s="10"/>
      <c r="AD563" s="21"/>
      <c r="AE563" s="21"/>
      <c r="AF563" s="21"/>
      <c r="AG563" s="45"/>
      <c r="AH563" s="116">
        <v>628070.53</v>
      </c>
    </row>
    <row r="564" spans="1:34" s="9" customFormat="1" ht="112.5">
      <c r="A564" s="9">
        <f t="shared" ca="1" si="17"/>
        <v>293</v>
      </c>
      <c r="B564" s="31">
        <v>45790</v>
      </c>
      <c r="C564" s="34" t="s">
        <v>40</v>
      </c>
      <c r="D564" s="2" t="s">
        <v>1935</v>
      </c>
      <c r="E564" s="11" t="s">
        <v>1936</v>
      </c>
      <c r="F564" s="30" t="s">
        <v>74</v>
      </c>
      <c r="G564" s="30" t="s">
        <v>3507</v>
      </c>
      <c r="H564" s="16">
        <v>45901</v>
      </c>
      <c r="I564" s="115">
        <v>45792</v>
      </c>
      <c r="J564" s="115"/>
      <c r="K564" s="115"/>
      <c r="L564" s="115"/>
      <c r="M564" s="115"/>
      <c r="N564" s="115"/>
      <c r="O564" s="115"/>
      <c r="P564" s="115">
        <v>45982</v>
      </c>
      <c r="Q564" s="115" t="s">
        <v>1449</v>
      </c>
      <c r="R564" s="115">
        <v>45995</v>
      </c>
      <c r="S564" s="115">
        <v>45996</v>
      </c>
      <c r="T564" s="7" t="s">
        <v>22</v>
      </c>
      <c r="U564" s="15" t="s">
        <v>3669</v>
      </c>
      <c r="V564" s="286">
        <v>45961</v>
      </c>
      <c r="W564" s="16">
        <v>45981</v>
      </c>
      <c r="X564" s="4"/>
      <c r="Y564" s="100"/>
      <c r="Z564" s="30" t="s">
        <v>54</v>
      </c>
      <c r="AA564" s="8">
        <v>46002</v>
      </c>
      <c r="AB564" s="10"/>
      <c r="AC564" s="10"/>
      <c r="AD564" s="21"/>
      <c r="AE564" s="22">
        <v>1899670.52</v>
      </c>
      <c r="AF564" s="21"/>
      <c r="AG564" s="45"/>
      <c r="AH564" s="10">
        <v>1899670.52</v>
      </c>
    </row>
    <row r="565" spans="1:34" s="9" customFormat="1" ht="122.25" customHeight="1">
      <c r="A565" s="9">
        <f t="shared" ca="1" si="17"/>
        <v>232</v>
      </c>
      <c r="B565" s="31">
        <v>45848</v>
      </c>
      <c r="C565" s="2" t="s">
        <v>27</v>
      </c>
      <c r="D565" s="2" t="s">
        <v>2264</v>
      </c>
      <c r="E565" s="11" t="s">
        <v>2265</v>
      </c>
      <c r="F565" s="30" t="s">
        <v>74</v>
      </c>
      <c r="G565" s="30" t="s">
        <v>3503</v>
      </c>
      <c r="H565" s="16">
        <v>45962</v>
      </c>
      <c r="I565" s="115"/>
      <c r="J565" s="115"/>
      <c r="K565" s="115"/>
      <c r="L565" s="115"/>
      <c r="M565" s="115"/>
      <c r="N565" s="115"/>
      <c r="O565" s="115"/>
      <c r="P565" s="115"/>
      <c r="Q565" s="115" t="s">
        <v>1449</v>
      </c>
      <c r="R565" s="115">
        <v>45995</v>
      </c>
      <c r="S565" s="115">
        <v>45996</v>
      </c>
      <c r="T565" s="7" t="s">
        <v>22</v>
      </c>
      <c r="U565" s="319" t="s">
        <v>3669</v>
      </c>
      <c r="V565" s="16">
        <v>45961</v>
      </c>
      <c r="W565" s="16" t="s">
        <v>3796</v>
      </c>
      <c r="X565" s="4"/>
      <c r="Y565" s="100"/>
      <c r="Z565" s="30" t="s">
        <v>54</v>
      </c>
      <c r="AA565" s="8">
        <v>46002</v>
      </c>
      <c r="AB565" s="10"/>
      <c r="AC565" s="10"/>
      <c r="AD565" s="21"/>
      <c r="AE565" s="22">
        <f>1791047.85/2</f>
        <v>895523.92500000005</v>
      </c>
      <c r="AF565" s="21"/>
      <c r="AG565" s="45"/>
      <c r="AH565" s="10">
        <f>1791047.85/2</f>
        <v>895523.92500000005</v>
      </c>
    </row>
    <row r="566" spans="1:34" s="9" customFormat="1" ht="56.25">
      <c r="A566" s="9">
        <f t="shared" ca="1" si="17"/>
        <v>232</v>
      </c>
      <c r="B566" s="31">
        <v>45790</v>
      </c>
      <c r="C566" s="2" t="s">
        <v>694</v>
      </c>
      <c r="D566" s="2" t="s">
        <v>1827</v>
      </c>
      <c r="E566" s="11" t="s">
        <v>1829</v>
      </c>
      <c r="F566" s="30" t="s">
        <v>1830</v>
      </c>
      <c r="G566" s="30" t="s">
        <v>3654</v>
      </c>
      <c r="H566" s="16">
        <v>45962</v>
      </c>
      <c r="I566" s="115">
        <v>45790</v>
      </c>
      <c r="J566" s="115">
        <v>45790</v>
      </c>
      <c r="K566" s="115">
        <v>45790</v>
      </c>
      <c r="L566" s="115"/>
      <c r="M566" s="115"/>
      <c r="N566" s="115" t="s">
        <v>3146</v>
      </c>
      <c r="O566" s="115"/>
      <c r="P566" s="115"/>
      <c r="Q566" s="115">
        <v>45968</v>
      </c>
      <c r="R566" s="115">
        <v>45978</v>
      </c>
      <c r="S566" s="115">
        <v>45981</v>
      </c>
      <c r="T566" s="7" t="s">
        <v>22</v>
      </c>
      <c r="U566" s="16" t="s">
        <v>3516</v>
      </c>
      <c r="V566" s="16">
        <v>45952</v>
      </c>
      <c r="W566" s="16">
        <v>45976</v>
      </c>
      <c r="X566" s="293" t="s">
        <v>3499</v>
      </c>
      <c r="Y566" s="100"/>
      <c r="Z566" s="30" t="s">
        <v>717</v>
      </c>
      <c r="AA566" s="8">
        <v>46008</v>
      </c>
      <c r="AB566" s="22">
        <v>163653.65</v>
      </c>
      <c r="AC566" s="10"/>
      <c r="AD566" s="21"/>
      <c r="AE566" s="21"/>
      <c r="AF566" s="21"/>
      <c r="AG566" s="45"/>
      <c r="AH566" s="23">
        <v>163653.65</v>
      </c>
    </row>
    <row r="567" spans="1:34" s="9" customFormat="1" ht="56.25">
      <c r="A567" s="9">
        <f t="shared" ca="1" si="17"/>
        <v>232</v>
      </c>
      <c r="B567" s="31">
        <v>45792</v>
      </c>
      <c r="C567" s="2" t="s">
        <v>694</v>
      </c>
      <c r="D567" s="2" t="s">
        <v>1826</v>
      </c>
      <c r="E567" s="11" t="s">
        <v>1828</v>
      </c>
      <c r="F567" s="30" t="s">
        <v>1830</v>
      </c>
      <c r="G567" s="30" t="s">
        <v>3653</v>
      </c>
      <c r="H567" s="16">
        <v>45962</v>
      </c>
      <c r="I567" s="115">
        <v>45790</v>
      </c>
      <c r="J567" s="115">
        <v>45790</v>
      </c>
      <c r="K567" s="115">
        <v>45790</v>
      </c>
      <c r="L567" s="115"/>
      <c r="M567" s="115"/>
      <c r="N567" s="115" t="s">
        <v>3146</v>
      </c>
      <c r="O567" s="115"/>
      <c r="P567" s="115"/>
      <c r="Q567" s="115">
        <v>45967</v>
      </c>
      <c r="R567" s="115">
        <v>45978</v>
      </c>
      <c r="S567" s="115">
        <v>45981</v>
      </c>
      <c r="T567" s="7" t="s">
        <v>22</v>
      </c>
      <c r="U567" s="16" t="s">
        <v>3290</v>
      </c>
      <c r="V567" s="16">
        <v>45946</v>
      </c>
      <c r="W567" s="16">
        <v>45976</v>
      </c>
      <c r="X567" s="293" t="s">
        <v>3500</v>
      </c>
      <c r="Y567" s="100"/>
      <c r="Z567" s="30" t="s">
        <v>717</v>
      </c>
      <c r="AA567" s="8">
        <v>46008</v>
      </c>
      <c r="AB567" s="22">
        <v>308574.45</v>
      </c>
      <c r="AC567" s="10"/>
      <c r="AD567" s="21"/>
      <c r="AE567" s="21"/>
      <c r="AF567" s="21"/>
      <c r="AG567" s="45"/>
      <c r="AH567" s="23">
        <v>308574.45</v>
      </c>
    </row>
    <row r="568" spans="1:34" s="9" customFormat="1" ht="206.25">
      <c r="A568" s="9">
        <f t="shared" ca="1" si="17"/>
        <v>232</v>
      </c>
      <c r="B568" s="31">
        <v>45856</v>
      </c>
      <c r="C568" s="11" t="s">
        <v>24</v>
      </c>
      <c r="D568" s="2" t="s">
        <v>2413</v>
      </c>
      <c r="E568" s="11" t="s">
        <v>2414</v>
      </c>
      <c r="F568" s="30" t="s">
        <v>821</v>
      </c>
      <c r="G568" s="30" t="s">
        <v>2430</v>
      </c>
      <c r="H568" s="16">
        <v>45962</v>
      </c>
      <c r="I568" s="115">
        <v>45856</v>
      </c>
      <c r="J568" s="115">
        <v>45860</v>
      </c>
      <c r="K568" s="115">
        <v>45859</v>
      </c>
      <c r="L568" s="115"/>
      <c r="M568" s="115">
        <v>45883</v>
      </c>
      <c r="N568" s="115" t="s">
        <v>3245</v>
      </c>
      <c r="O568" s="115"/>
      <c r="P568" s="115"/>
      <c r="Q568" s="115" t="s">
        <v>2754</v>
      </c>
      <c r="R568" s="115"/>
      <c r="S568" s="115"/>
      <c r="T568" s="7" t="s">
        <v>10</v>
      </c>
      <c r="U568" s="16" t="s">
        <v>3387</v>
      </c>
      <c r="V568" s="16" t="s">
        <v>3696</v>
      </c>
      <c r="W568" s="16" t="s">
        <v>3744</v>
      </c>
      <c r="X568" s="4" t="s">
        <v>3993</v>
      </c>
      <c r="Y568" s="100"/>
      <c r="Z568" s="30" t="s">
        <v>2415</v>
      </c>
      <c r="AA568" s="8">
        <v>45914</v>
      </c>
      <c r="AB568" s="10"/>
      <c r="AC568" s="10"/>
      <c r="AD568" s="21"/>
      <c r="AE568" s="22">
        <v>390000</v>
      </c>
      <c r="AF568" s="21"/>
      <c r="AG568" s="45"/>
      <c r="AH568" s="118">
        <v>390000</v>
      </c>
    </row>
    <row r="569" spans="1:34" s="9" customFormat="1" ht="122.25" customHeight="1">
      <c r="A569" s="9">
        <f t="shared" ca="1" si="17"/>
        <v>232</v>
      </c>
      <c r="B569" s="31">
        <v>45908</v>
      </c>
      <c r="C569" s="11" t="s">
        <v>24</v>
      </c>
      <c r="D569" s="2" t="s">
        <v>3088</v>
      </c>
      <c r="E569" s="11" t="s">
        <v>3089</v>
      </c>
      <c r="F569" s="30" t="s">
        <v>3090</v>
      </c>
      <c r="G569" s="30" t="s">
        <v>3698</v>
      </c>
      <c r="H569" s="16">
        <v>45962</v>
      </c>
      <c r="I569" s="115">
        <v>45917</v>
      </c>
      <c r="J569" s="115">
        <v>45922</v>
      </c>
      <c r="K569" s="115">
        <v>45917</v>
      </c>
      <c r="L569" s="115"/>
      <c r="M569" s="115"/>
      <c r="N569" s="115"/>
      <c r="O569" s="115"/>
      <c r="P569" s="115"/>
      <c r="Q569" s="115">
        <v>45959</v>
      </c>
      <c r="R569" s="115"/>
      <c r="S569" s="115"/>
      <c r="T569" s="7" t="s">
        <v>28</v>
      </c>
      <c r="U569" s="16" t="s">
        <v>3723</v>
      </c>
      <c r="V569" s="16">
        <v>45952</v>
      </c>
      <c r="W569" s="16">
        <v>45983</v>
      </c>
      <c r="X569" s="4" t="s">
        <v>3887</v>
      </c>
      <c r="Y569" s="100"/>
      <c r="Z569" s="30" t="s">
        <v>3091</v>
      </c>
      <c r="AA569" s="8">
        <v>45966</v>
      </c>
      <c r="AB569" s="22">
        <v>294462</v>
      </c>
      <c r="AC569" s="10"/>
      <c r="AD569" s="21"/>
      <c r="AE569" s="21"/>
      <c r="AF569" s="21"/>
      <c r="AG569" s="45"/>
      <c r="AH569" s="21">
        <v>294462</v>
      </c>
    </row>
    <row r="570" spans="1:34" s="9" customFormat="1" ht="262.5">
      <c r="A570" s="9">
        <f t="shared" ca="1" si="17"/>
        <v>240</v>
      </c>
      <c r="B570" s="31">
        <v>45939</v>
      </c>
      <c r="C570" s="11" t="s">
        <v>24</v>
      </c>
      <c r="D570" s="2" t="s">
        <v>3328</v>
      </c>
      <c r="E570" s="11" t="s">
        <v>3329</v>
      </c>
      <c r="F570" s="30" t="s">
        <v>3330</v>
      </c>
      <c r="G570" s="30" t="s">
        <v>3331</v>
      </c>
      <c r="H570" s="16">
        <v>45954</v>
      </c>
      <c r="I570" s="115">
        <v>45939</v>
      </c>
      <c r="J570" s="115">
        <v>45941</v>
      </c>
      <c r="K570" s="115">
        <v>45943</v>
      </c>
      <c r="L570" s="115"/>
      <c r="M570" s="115"/>
      <c r="N570" s="115" t="s">
        <v>3789</v>
      </c>
      <c r="O570" s="115"/>
      <c r="P570" s="115"/>
      <c r="Q570" s="115">
        <v>45973</v>
      </c>
      <c r="R570" s="115" t="s">
        <v>3860</v>
      </c>
      <c r="S570" s="115"/>
      <c r="T570" s="7" t="s">
        <v>20</v>
      </c>
      <c r="U570" s="2" t="s">
        <v>3491</v>
      </c>
      <c r="V570" s="16">
        <v>45990</v>
      </c>
      <c r="W570" s="16">
        <v>45992</v>
      </c>
      <c r="X570" s="4" t="s">
        <v>3482</v>
      </c>
      <c r="Y570" s="100"/>
      <c r="Z570" s="30" t="s">
        <v>61</v>
      </c>
      <c r="AA570" s="8">
        <v>45943</v>
      </c>
      <c r="AB570" s="10"/>
      <c r="AC570" s="10"/>
      <c r="AD570" s="21"/>
      <c r="AE570" s="29">
        <v>31114.41</v>
      </c>
      <c r="AF570" s="21"/>
      <c r="AG570" s="45"/>
      <c r="AH570" s="10">
        <v>31114.41</v>
      </c>
    </row>
    <row r="571" spans="1:34" s="9" customFormat="1" ht="75">
      <c r="A571" s="9">
        <f t="shared" ca="1" si="17"/>
        <v>193</v>
      </c>
      <c r="B571" s="31">
        <v>45754</v>
      </c>
      <c r="C571" s="2" t="s">
        <v>694</v>
      </c>
      <c r="D571" s="2" t="s">
        <v>1457</v>
      </c>
      <c r="E571" s="11" t="s">
        <v>1458</v>
      </c>
      <c r="F571" s="30" t="s">
        <v>173</v>
      </c>
      <c r="G571" s="30" t="s">
        <v>3651</v>
      </c>
      <c r="H571" s="16">
        <v>46001</v>
      </c>
      <c r="I571" s="115"/>
      <c r="J571" s="115"/>
      <c r="K571" s="115"/>
      <c r="L571" s="115"/>
      <c r="M571" s="115" t="s">
        <v>2055</v>
      </c>
      <c r="N571" s="115"/>
      <c r="O571" s="115"/>
      <c r="P571" s="115"/>
      <c r="Q571" s="115">
        <v>45967</v>
      </c>
      <c r="R571" s="115">
        <v>45973</v>
      </c>
      <c r="S571" s="115">
        <v>45999</v>
      </c>
      <c r="T571" s="7" t="s">
        <v>22</v>
      </c>
      <c r="U571" s="31" t="s">
        <v>3290</v>
      </c>
      <c r="V571" s="31">
        <v>45950</v>
      </c>
      <c r="W571" s="16">
        <v>45967</v>
      </c>
      <c r="X571" s="290" t="s">
        <v>3498</v>
      </c>
      <c r="Y571" s="100"/>
      <c r="Z571" s="30" t="s">
        <v>717</v>
      </c>
      <c r="AA571" s="8">
        <v>46009</v>
      </c>
      <c r="AB571" s="22">
        <v>162961.18</v>
      </c>
      <c r="AC571" s="10"/>
      <c r="AD571" s="21"/>
      <c r="AE571" s="21"/>
      <c r="AF571" s="21"/>
      <c r="AG571" s="45"/>
      <c r="AH571" s="23">
        <v>162961.18</v>
      </c>
    </row>
    <row r="572" spans="1:34" s="9" customFormat="1" ht="65.25" customHeight="1">
      <c r="A572" s="9">
        <f t="shared" ca="1" si="17"/>
        <v>279</v>
      </c>
      <c r="B572" s="31">
        <v>45866</v>
      </c>
      <c r="C572" s="2" t="s">
        <v>40</v>
      </c>
      <c r="D572" s="2" t="s">
        <v>2570</v>
      </c>
      <c r="E572" s="11" t="s">
        <v>2571</v>
      </c>
      <c r="F572" s="30" t="s">
        <v>79</v>
      </c>
      <c r="G572" s="30" t="s">
        <v>2649</v>
      </c>
      <c r="H572" s="16">
        <v>45915</v>
      </c>
      <c r="I572" s="115"/>
      <c r="J572" s="115"/>
      <c r="K572" s="115"/>
      <c r="L572" s="115"/>
      <c r="M572" s="115">
        <v>45919</v>
      </c>
      <c r="N572" s="115">
        <v>45919</v>
      </c>
      <c r="O572" s="115" t="s">
        <v>2862</v>
      </c>
      <c r="P572" s="115">
        <v>45938</v>
      </c>
      <c r="Q572" s="115" t="s">
        <v>1449</v>
      </c>
      <c r="R572" s="115">
        <v>45960</v>
      </c>
      <c r="S572" s="115">
        <v>45968</v>
      </c>
      <c r="T572" s="7" t="s">
        <v>20</v>
      </c>
      <c r="U572" s="16" t="s">
        <v>3038</v>
      </c>
      <c r="V572" s="16">
        <v>45926</v>
      </c>
      <c r="W572" s="16">
        <v>45956</v>
      </c>
      <c r="X572" s="25" t="s">
        <v>3037</v>
      </c>
      <c r="Y572" s="100"/>
      <c r="Z572" s="30" t="s">
        <v>2576</v>
      </c>
      <c r="AA572" s="8">
        <v>46006</v>
      </c>
      <c r="AB572" s="10"/>
      <c r="AC572" s="135">
        <v>37099.64</v>
      </c>
      <c r="AD572" s="21"/>
      <c r="AE572" s="10"/>
      <c r="AF572" s="21"/>
      <c r="AG572" s="45"/>
      <c r="AH572" s="116">
        <v>37099.64</v>
      </c>
    </row>
    <row r="573" spans="1:34" s="9" customFormat="1" ht="122.25" customHeight="1" thickBot="1">
      <c r="A573" s="9">
        <f t="shared" ca="1" si="17"/>
        <v>279</v>
      </c>
      <c r="B573" s="31">
        <v>45866</v>
      </c>
      <c r="C573" s="2" t="s">
        <v>40</v>
      </c>
      <c r="D573" s="2" t="s">
        <v>2574</v>
      </c>
      <c r="E573" s="11" t="s">
        <v>2575</v>
      </c>
      <c r="F573" s="30" t="s">
        <v>79</v>
      </c>
      <c r="G573" s="30" t="s">
        <v>2651</v>
      </c>
      <c r="H573" s="16">
        <v>45915</v>
      </c>
      <c r="I573" s="115"/>
      <c r="J573" s="115"/>
      <c r="K573" s="115"/>
      <c r="L573" s="115"/>
      <c r="M573" s="115">
        <v>45919</v>
      </c>
      <c r="N573" s="115">
        <v>45919</v>
      </c>
      <c r="O573" s="115"/>
      <c r="P573" s="115">
        <v>45938</v>
      </c>
      <c r="Q573" s="115" t="s">
        <v>1449</v>
      </c>
      <c r="R573" s="115">
        <v>45960</v>
      </c>
      <c r="S573" s="115">
        <v>45967</v>
      </c>
      <c r="T573" s="7" t="s">
        <v>20</v>
      </c>
      <c r="U573" s="16" t="s">
        <v>3038</v>
      </c>
      <c r="V573" s="16">
        <v>45926</v>
      </c>
      <c r="W573" s="16">
        <v>45956</v>
      </c>
      <c r="X573" s="25" t="s">
        <v>3039</v>
      </c>
      <c r="Y573" s="100"/>
      <c r="Z573" s="30" t="s">
        <v>2576</v>
      </c>
      <c r="AA573" s="8">
        <v>46005</v>
      </c>
      <c r="AB573" s="10"/>
      <c r="AC573" s="22">
        <v>40641.919999999998</v>
      </c>
      <c r="AD573" s="21"/>
      <c r="AE573" s="10"/>
      <c r="AF573" s="21"/>
      <c r="AG573" s="45"/>
      <c r="AH573" s="116">
        <v>40641.919999999998</v>
      </c>
    </row>
    <row r="574" spans="1:34" s="9" customFormat="1" ht="93.75">
      <c r="A574" s="9">
        <f t="shared" ca="1" si="17"/>
        <v>263</v>
      </c>
      <c r="B574" s="31">
        <v>45833</v>
      </c>
      <c r="C574" s="2" t="s">
        <v>27</v>
      </c>
      <c r="D574" s="2" t="s">
        <v>2220</v>
      </c>
      <c r="E574" s="11" t="s">
        <v>2221</v>
      </c>
      <c r="F574" s="30" t="s">
        <v>1933</v>
      </c>
      <c r="G574" s="125" t="s">
        <v>3383</v>
      </c>
      <c r="H574" s="16">
        <v>45931</v>
      </c>
      <c r="I574" s="115"/>
      <c r="J574" s="115"/>
      <c r="K574" s="115"/>
      <c r="L574" s="115"/>
      <c r="M574" s="115"/>
      <c r="N574" s="115"/>
      <c r="O574" s="115" t="s">
        <v>3645</v>
      </c>
      <c r="P574" s="115"/>
      <c r="Q574" s="115" t="s">
        <v>1449</v>
      </c>
      <c r="R574" s="115"/>
      <c r="S574" s="115">
        <v>45990</v>
      </c>
      <c r="T574" s="7" t="s">
        <v>22</v>
      </c>
      <c r="U574" s="314" t="s">
        <v>3586</v>
      </c>
      <c r="V574" s="16">
        <v>45943</v>
      </c>
      <c r="W574" s="16">
        <v>45961</v>
      </c>
      <c r="X574" s="4"/>
      <c r="Y574" s="100"/>
      <c r="Z574" s="30" t="s">
        <v>54</v>
      </c>
      <c r="AA574" s="8">
        <v>46011</v>
      </c>
      <c r="AB574" s="10"/>
      <c r="AC574" s="10"/>
      <c r="AD574" s="21"/>
      <c r="AE574" s="22">
        <v>3905341</v>
      </c>
      <c r="AF574" s="21"/>
      <c r="AG574" s="45"/>
      <c r="AH574" s="116">
        <v>3905341</v>
      </c>
    </row>
    <row r="575" spans="1:34" s="9" customFormat="1" ht="118.9" customHeight="1">
      <c r="A575" s="9">
        <f t="shared" ca="1" si="17"/>
        <v>263</v>
      </c>
      <c r="B575" s="31">
        <v>45867</v>
      </c>
      <c r="C575" s="2" t="s">
        <v>694</v>
      </c>
      <c r="D575" s="2" t="s">
        <v>2486</v>
      </c>
      <c r="E575" s="11" t="s">
        <v>2487</v>
      </c>
      <c r="F575" s="30" t="s">
        <v>2078</v>
      </c>
      <c r="G575" s="30" t="s">
        <v>3428</v>
      </c>
      <c r="H575" s="16">
        <v>45931</v>
      </c>
      <c r="I575" s="115">
        <v>45867</v>
      </c>
      <c r="J575" s="115">
        <v>45867</v>
      </c>
      <c r="K575" s="115">
        <v>45867</v>
      </c>
      <c r="L575" s="115"/>
      <c r="M575" s="115"/>
      <c r="N575" s="115" t="s">
        <v>3308</v>
      </c>
      <c r="O575" s="115"/>
      <c r="P575" s="115"/>
      <c r="Q575" s="115">
        <v>45943</v>
      </c>
      <c r="R575" s="115">
        <v>45980</v>
      </c>
      <c r="S575" s="115">
        <v>45990</v>
      </c>
      <c r="T575" s="7" t="s">
        <v>20</v>
      </c>
      <c r="U575" s="2" t="s">
        <v>3333</v>
      </c>
      <c r="V575" s="16">
        <v>45945</v>
      </c>
      <c r="W575" s="16">
        <v>45998</v>
      </c>
      <c r="X575" s="292" t="s">
        <v>3332</v>
      </c>
      <c r="Y575" s="100"/>
      <c r="Z575" s="30" t="s">
        <v>54</v>
      </c>
      <c r="AA575" s="8">
        <v>46000</v>
      </c>
      <c r="AB575" s="10"/>
      <c r="AC575" s="22">
        <v>37059.870000000003</v>
      </c>
      <c r="AD575" s="21"/>
      <c r="AE575" s="61"/>
      <c r="AF575" s="21"/>
      <c r="AG575" s="45"/>
      <c r="AH575" s="23">
        <v>37059.870000000003</v>
      </c>
    </row>
    <row r="576" spans="1:34" s="9" customFormat="1" ht="122.25" customHeight="1">
      <c r="A576" s="9">
        <f t="shared" ca="1" si="17"/>
        <v>237</v>
      </c>
      <c r="B576" s="31">
        <v>45915</v>
      </c>
      <c r="C576" s="11" t="s">
        <v>2986</v>
      </c>
      <c r="D576" s="2" t="s">
        <v>2987</v>
      </c>
      <c r="E576" s="11" t="s">
        <v>2988</v>
      </c>
      <c r="F576" s="30" t="s">
        <v>2989</v>
      </c>
      <c r="G576" s="30" t="s">
        <v>2990</v>
      </c>
      <c r="H576" s="16">
        <v>45957</v>
      </c>
      <c r="I576" s="115">
        <v>45915</v>
      </c>
      <c r="J576" s="115">
        <v>45915</v>
      </c>
      <c r="K576" s="115">
        <v>45916</v>
      </c>
      <c r="L576" s="115">
        <v>45923</v>
      </c>
      <c r="M576" s="115">
        <v>45939</v>
      </c>
      <c r="N576" s="115"/>
      <c r="O576" s="115"/>
      <c r="P576" s="115" t="s">
        <v>3167</v>
      </c>
      <c r="Q576" s="115">
        <v>45985</v>
      </c>
      <c r="R576" s="115" t="s">
        <v>878</v>
      </c>
      <c r="S576" s="115">
        <v>45999</v>
      </c>
      <c r="T576" s="7" t="s">
        <v>2228</v>
      </c>
      <c r="U576" s="16" t="s">
        <v>3749</v>
      </c>
      <c r="V576" s="16">
        <v>45965</v>
      </c>
      <c r="W576" s="16">
        <v>45985</v>
      </c>
      <c r="X576" s="292" t="s">
        <v>3782</v>
      </c>
      <c r="Y576" s="100"/>
      <c r="Z576" s="30" t="s">
        <v>61</v>
      </c>
      <c r="AA576" s="8">
        <v>45918</v>
      </c>
      <c r="AB576" s="22">
        <v>255</v>
      </c>
      <c r="AC576" s="10"/>
      <c r="AD576" s="21"/>
      <c r="AE576" s="21"/>
      <c r="AF576" s="21"/>
      <c r="AG576" s="45"/>
      <c r="AH576" s="118">
        <v>255</v>
      </c>
    </row>
    <row r="577" spans="1:34" s="9" customFormat="1" ht="86.25" customHeight="1">
      <c r="A577" s="9">
        <f t="shared" ca="1" si="17"/>
        <v>232</v>
      </c>
      <c r="B577" s="31">
        <v>45932</v>
      </c>
      <c r="C577" s="2" t="s">
        <v>694</v>
      </c>
      <c r="D577" s="2" t="s">
        <v>3250</v>
      </c>
      <c r="E577" s="11" t="s">
        <v>3251</v>
      </c>
      <c r="F577" s="30" t="s">
        <v>44</v>
      </c>
      <c r="G577" s="30" t="s">
        <v>3252</v>
      </c>
      <c r="H577" s="16">
        <v>45962</v>
      </c>
      <c r="I577" s="115">
        <v>45933</v>
      </c>
      <c r="J577" s="115">
        <v>45936</v>
      </c>
      <c r="K577" s="115">
        <v>45933</v>
      </c>
      <c r="L577" s="115"/>
      <c r="M577" s="115"/>
      <c r="N577" s="115"/>
      <c r="O577" s="115"/>
      <c r="P577" s="115"/>
      <c r="Q577" s="115">
        <v>45965</v>
      </c>
      <c r="R577" s="115" t="s">
        <v>878</v>
      </c>
      <c r="S577" s="115">
        <v>46000</v>
      </c>
      <c r="T577" s="7" t="s">
        <v>22</v>
      </c>
      <c r="U577" s="323" t="s">
        <v>3705</v>
      </c>
      <c r="V577" s="16">
        <v>45955</v>
      </c>
      <c r="W577" s="16">
        <v>45997</v>
      </c>
      <c r="X577" s="334" t="s">
        <v>3704</v>
      </c>
      <c r="Y577" s="100"/>
      <c r="Z577" s="30" t="s">
        <v>54</v>
      </c>
      <c r="AA577" s="8">
        <v>46003</v>
      </c>
      <c r="AB577" s="23"/>
      <c r="AC577" s="22">
        <v>25103.98</v>
      </c>
      <c r="AD577" s="21"/>
      <c r="AE577" s="21"/>
      <c r="AF577" s="21"/>
      <c r="AG577" s="45"/>
      <c r="AH577" s="118">
        <v>25103.98</v>
      </c>
    </row>
    <row r="578" spans="1:34" s="9" customFormat="1" ht="86.25" customHeight="1">
      <c r="A578" s="9">
        <f t="shared" ca="1" si="17"/>
        <v>208</v>
      </c>
      <c r="B578" s="31">
        <v>45932</v>
      </c>
      <c r="C578" s="2" t="s">
        <v>694</v>
      </c>
      <c r="D578" s="2" t="s">
        <v>3250</v>
      </c>
      <c r="E578" s="11" t="s">
        <v>3251</v>
      </c>
      <c r="F578" s="30" t="s">
        <v>44</v>
      </c>
      <c r="G578" s="30" t="s">
        <v>3747</v>
      </c>
      <c r="H578" s="16">
        <v>45986</v>
      </c>
      <c r="I578" s="115">
        <v>45933</v>
      </c>
      <c r="J578" s="115">
        <v>45936</v>
      </c>
      <c r="K578" s="115">
        <v>45933</v>
      </c>
      <c r="L578" s="115"/>
      <c r="M578" s="115"/>
      <c r="N578" s="115"/>
      <c r="O578" s="115"/>
      <c r="P578" s="115"/>
      <c r="Q578" s="115">
        <v>45965</v>
      </c>
      <c r="R578" s="115" t="s">
        <v>878</v>
      </c>
      <c r="S578" s="115">
        <v>46000</v>
      </c>
      <c r="T578" s="7" t="s">
        <v>22</v>
      </c>
      <c r="U578" s="15" t="s">
        <v>3707</v>
      </c>
      <c r="V578" s="16">
        <v>45949</v>
      </c>
      <c r="W578" s="16">
        <v>45997</v>
      </c>
      <c r="X578" s="334" t="s">
        <v>3706</v>
      </c>
      <c r="Y578" s="100"/>
      <c r="Z578" s="30" t="s">
        <v>54</v>
      </c>
      <c r="AA578" s="8">
        <v>46003</v>
      </c>
      <c r="AB578" s="23"/>
      <c r="AC578" s="22">
        <v>84216</v>
      </c>
      <c r="AD578" s="21"/>
      <c r="AE578" s="21"/>
      <c r="AF578" s="21"/>
      <c r="AG578" s="45"/>
      <c r="AH578" s="118">
        <v>84216</v>
      </c>
    </row>
    <row r="579" spans="1:34" s="9" customFormat="1" ht="219" customHeight="1">
      <c r="A579" s="9">
        <f t="shared" ca="1" si="17"/>
        <v>254</v>
      </c>
      <c r="B579" s="31">
        <v>45833</v>
      </c>
      <c r="C579" s="11" t="s">
        <v>24</v>
      </c>
      <c r="D579" s="2" t="s">
        <v>2147</v>
      </c>
      <c r="E579" s="11" t="s">
        <v>2148</v>
      </c>
      <c r="F579" s="30" t="s">
        <v>98</v>
      </c>
      <c r="G579" s="30" t="s">
        <v>3375</v>
      </c>
      <c r="H579" s="16">
        <v>45940</v>
      </c>
      <c r="I579" s="115">
        <v>45834</v>
      </c>
      <c r="J579" s="115">
        <v>45834</v>
      </c>
      <c r="K579" s="115">
        <v>45834</v>
      </c>
      <c r="L579" s="115"/>
      <c r="M579" s="115"/>
      <c r="N579" s="115"/>
      <c r="O579" s="115"/>
      <c r="P579" s="115">
        <v>45939</v>
      </c>
      <c r="Q579" s="115">
        <v>45939</v>
      </c>
      <c r="R579" s="115"/>
      <c r="S579" s="115"/>
      <c r="T579" s="7" t="s">
        <v>22</v>
      </c>
      <c r="U579" s="2" t="s">
        <v>3299</v>
      </c>
      <c r="V579" s="16" t="s">
        <v>3097</v>
      </c>
      <c r="W579" s="16" t="s">
        <v>3739</v>
      </c>
      <c r="X579" s="4" t="s">
        <v>3098</v>
      </c>
      <c r="Y579" s="100"/>
      <c r="Z579" s="30" t="s">
        <v>50</v>
      </c>
      <c r="AA579" s="8">
        <v>45983</v>
      </c>
      <c r="AB579" s="22">
        <v>83964.6</v>
      </c>
      <c r="AC579" s="10"/>
      <c r="AD579" s="21"/>
      <c r="AE579" s="21"/>
      <c r="AF579" s="21"/>
      <c r="AG579" s="45"/>
      <c r="AH579" s="116">
        <v>83964.6</v>
      </c>
    </row>
    <row r="580" spans="1:34" s="9" customFormat="1" ht="75">
      <c r="A580" s="9">
        <f t="shared" ca="1" si="17"/>
        <v>223</v>
      </c>
      <c r="B580" s="31">
        <v>45866</v>
      </c>
      <c r="C580" s="11" t="s">
        <v>24</v>
      </c>
      <c r="D580" s="2" t="s">
        <v>2480</v>
      </c>
      <c r="E580" s="11" t="s">
        <v>2481</v>
      </c>
      <c r="F580" s="30" t="s">
        <v>295</v>
      </c>
      <c r="G580" s="30" t="s">
        <v>3652</v>
      </c>
      <c r="H580" s="16">
        <v>45971</v>
      </c>
      <c r="I580" s="115">
        <v>45866</v>
      </c>
      <c r="J580" s="115">
        <v>45868</v>
      </c>
      <c r="K580" s="115">
        <v>45866</v>
      </c>
      <c r="L580" s="115"/>
      <c r="M580" s="115"/>
      <c r="N580" s="115"/>
      <c r="O580" s="115"/>
      <c r="P580" s="115">
        <v>45953</v>
      </c>
      <c r="Q580" s="115">
        <v>45953</v>
      </c>
      <c r="R580" s="115" t="s">
        <v>3740</v>
      </c>
      <c r="S580" s="115"/>
      <c r="T580" s="7" t="s">
        <v>22</v>
      </c>
      <c r="U580" s="2" t="s">
        <v>3246</v>
      </c>
      <c r="V580" s="16" t="s">
        <v>3361</v>
      </c>
      <c r="W580" s="16" t="s">
        <v>3778</v>
      </c>
      <c r="X580" s="4" t="s">
        <v>3481</v>
      </c>
      <c r="Y580" s="100"/>
      <c r="Z580" s="30" t="s">
        <v>29</v>
      </c>
      <c r="AA580" s="8">
        <v>46008</v>
      </c>
      <c r="AB580" s="10"/>
      <c r="AC580" s="22">
        <v>172717.11</v>
      </c>
      <c r="AD580" s="21"/>
      <c r="AE580" s="10"/>
      <c r="AF580" s="21"/>
      <c r="AG580" s="45"/>
      <c r="AH580" s="118">
        <v>172717.11</v>
      </c>
    </row>
    <row r="581" spans="1:34" s="9" customFormat="1" ht="94.5" thickBot="1">
      <c r="A581" s="9">
        <f t="shared" ca="1" si="17"/>
        <v>263</v>
      </c>
      <c r="B581" s="31">
        <v>45874</v>
      </c>
      <c r="C581" s="11" t="s">
        <v>24</v>
      </c>
      <c r="D581" s="2" t="s">
        <v>2591</v>
      </c>
      <c r="E581" s="11" t="s">
        <v>2592</v>
      </c>
      <c r="F581" s="30" t="s">
        <v>2593</v>
      </c>
      <c r="G581" s="30" t="s">
        <v>2594</v>
      </c>
      <c r="H581" s="16">
        <v>45931</v>
      </c>
      <c r="I581" s="115">
        <v>45874</v>
      </c>
      <c r="J581" s="115">
        <v>45874</v>
      </c>
      <c r="K581" s="115">
        <v>45874</v>
      </c>
      <c r="L581" s="115"/>
      <c r="M581" s="115">
        <v>45921</v>
      </c>
      <c r="N581" s="115"/>
      <c r="O581" s="115"/>
      <c r="P581" s="115">
        <v>45936</v>
      </c>
      <c r="Q581" s="115">
        <v>45932</v>
      </c>
      <c r="R581" s="115" t="s">
        <v>3565</v>
      </c>
      <c r="S581" s="115">
        <v>45959</v>
      </c>
      <c r="T581" s="7" t="s">
        <v>30</v>
      </c>
      <c r="U581" s="2" t="s">
        <v>2967</v>
      </c>
      <c r="V581" s="16" t="s">
        <v>3193</v>
      </c>
      <c r="W581" s="16" t="s">
        <v>3564</v>
      </c>
      <c r="X581" s="4" t="s">
        <v>3692</v>
      </c>
      <c r="Y581" s="100"/>
      <c r="Z581" s="30" t="s">
        <v>103</v>
      </c>
      <c r="AA581" s="8">
        <v>46014</v>
      </c>
      <c r="AB581" s="10"/>
      <c r="AC581" s="22">
        <v>7602.16</v>
      </c>
      <c r="AD581" s="65"/>
      <c r="AE581" s="21"/>
      <c r="AF581" s="21"/>
      <c r="AG581" s="45"/>
      <c r="AH581" s="21">
        <v>7602.16</v>
      </c>
    </row>
    <row r="582" spans="1:34" s="9" customFormat="1" ht="238.5" customHeight="1" thickBot="1">
      <c r="A582" s="9">
        <f t="shared" ca="1" si="17"/>
        <v>263</v>
      </c>
      <c r="B582" s="31">
        <v>45832</v>
      </c>
      <c r="C582" s="2" t="s">
        <v>27</v>
      </c>
      <c r="D582" s="2" t="s">
        <v>2222</v>
      </c>
      <c r="E582" s="11" t="s">
        <v>2223</v>
      </c>
      <c r="F582" s="30" t="s">
        <v>1933</v>
      </c>
      <c r="G582" s="125" t="s">
        <v>3762</v>
      </c>
      <c r="H582" s="16">
        <v>45931</v>
      </c>
      <c r="I582" s="115"/>
      <c r="J582" s="115"/>
      <c r="K582" s="115"/>
      <c r="L582" s="115"/>
      <c r="M582" s="115"/>
      <c r="N582" s="115" t="s">
        <v>3211</v>
      </c>
      <c r="O582" s="115"/>
      <c r="P582" s="115">
        <v>45964</v>
      </c>
      <c r="Q582" s="115" t="s">
        <v>1449</v>
      </c>
      <c r="R582" s="115"/>
      <c r="S582" s="115">
        <v>45982</v>
      </c>
      <c r="T582" s="7" t="s">
        <v>22</v>
      </c>
      <c r="U582" s="314" t="s">
        <v>3586</v>
      </c>
      <c r="V582" s="6">
        <v>45953</v>
      </c>
      <c r="W582" s="16">
        <v>45961</v>
      </c>
      <c r="X582" s="4"/>
      <c r="Y582" s="100"/>
      <c r="Z582" s="30" t="s">
        <v>2250</v>
      </c>
      <c r="AA582" s="8">
        <v>46021</v>
      </c>
      <c r="AB582" s="10"/>
      <c r="AC582" s="10"/>
      <c r="AD582" s="21"/>
      <c r="AE582" s="22">
        <v>2233618.4</v>
      </c>
      <c r="AF582" s="21"/>
      <c r="AG582" s="45"/>
      <c r="AH582" s="116">
        <v>2233618.4</v>
      </c>
    </row>
    <row r="583" spans="1:34" s="9" customFormat="1" ht="122.25" customHeight="1">
      <c r="A583" s="9">
        <v>-78</v>
      </c>
      <c r="B583" s="31">
        <v>45832</v>
      </c>
      <c r="C583" s="2" t="s">
        <v>27</v>
      </c>
      <c r="D583" s="2" t="s">
        <v>2222</v>
      </c>
      <c r="E583" s="11" t="s">
        <v>2223</v>
      </c>
      <c r="F583" s="30" t="s">
        <v>1933</v>
      </c>
      <c r="G583" s="125" t="s">
        <v>3764</v>
      </c>
      <c r="H583" s="16">
        <v>45962</v>
      </c>
      <c r="I583" s="115"/>
      <c r="J583" s="115"/>
      <c r="K583" s="115"/>
      <c r="L583" s="115"/>
      <c r="M583" s="115"/>
      <c r="N583" s="115"/>
      <c r="O583" s="115"/>
      <c r="P583" s="115">
        <v>45985</v>
      </c>
      <c r="Q583" s="115" t="s">
        <v>1449</v>
      </c>
      <c r="R583" s="115" t="s">
        <v>3798</v>
      </c>
      <c r="S583" s="115"/>
      <c r="T583" s="7" t="s">
        <v>22</v>
      </c>
      <c r="U583" s="316" t="s">
        <v>3669</v>
      </c>
      <c r="V583" s="16">
        <v>45975</v>
      </c>
      <c r="W583" s="16">
        <v>45981</v>
      </c>
      <c r="X583" s="126"/>
      <c r="Y583" s="100"/>
      <c r="Z583" s="30" t="s">
        <v>2250</v>
      </c>
      <c r="AA583" s="8">
        <v>46030</v>
      </c>
      <c r="AB583" s="10"/>
      <c r="AC583" s="10"/>
      <c r="AD583" s="21"/>
      <c r="AE583" s="22">
        <v>1241238</v>
      </c>
      <c r="AF583" s="21"/>
      <c r="AG583" s="45"/>
      <c r="AH583" s="116">
        <v>1241238</v>
      </c>
    </row>
    <row r="584" spans="1:34" s="9" customFormat="1" ht="75">
      <c r="A584" s="9">
        <f t="shared" ref="A584:A592" ca="1" si="18">TODAY()-H584+1</f>
        <v>232</v>
      </c>
      <c r="B584" s="31">
        <v>45856</v>
      </c>
      <c r="C584" s="11" t="s">
        <v>24</v>
      </c>
      <c r="D584" s="2" t="s">
        <v>2416</v>
      </c>
      <c r="E584" s="11" t="s">
        <v>2417</v>
      </c>
      <c r="F584" s="30" t="s">
        <v>2169</v>
      </c>
      <c r="G584" s="30" t="s">
        <v>2468</v>
      </c>
      <c r="H584" s="16">
        <v>45962</v>
      </c>
      <c r="I584" s="115">
        <v>45856</v>
      </c>
      <c r="J584" s="115">
        <v>45860</v>
      </c>
      <c r="K584" s="115">
        <v>45859</v>
      </c>
      <c r="L584" s="115"/>
      <c r="M584" s="115">
        <v>45937</v>
      </c>
      <c r="N584" s="115" t="s">
        <v>3298</v>
      </c>
      <c r="O584" s="115"/>
      <c r="P584" s="115">
        <v>45945</v>
      </c>
      <c r="Q584" s="115">
        <v>45945</v>
      </c>
      <c r="R584" s="115" t="s">
        <v>3859</v>
      </c>
      <c r="S584" s="115"/>
      <c r="T584" s="7" t="s">
        <v>20</v>
      </c>
      <c r="U584" s="16" t="s">
        <v>3371</v>
      </c>
      <c r="V584" s="16" t="s">
        <v>3735</v>
      </c>
      <c r="W584" s="16" t="s">
        <v>3786</v>
      </c>
      <c r="X584" s="4" t="s">
        <v>3695</v>
      </c>
      <c r="Y584" s="100"/>
      <c r="Z584" s="30" t="s">
        <v>103</v>
      </c>
      <c r="AA584" s="8">
        <v>46027</v>
      </c>
      <c r="AB584" s="10"/>
      <c r="AC584" s="22">
        <v>19400</v>
      </c>
      <c r="AD584" s="21"/>
      <c r="AE584" s="21"/>
      <c r="AF584" s="21"/>
      <c r="AG584" s="45"/>
      <c r="AH584" s="116">
        <v>19400</v>
      </c>
    </row>
    <row r="585" spans="1:34" s="9" customFormat="1" ht="122.25" customHeight="1">
      <c r="A585" s="9">
        <f t="shared" ca="1" si="18"/>
        <v>218</v>
      </c>
      <c r="B585" s="31">
        <v>45916</v>
      </c>
      <c r="C585" s="11" t="s">
        <v>24</v>
      </c>
      <c r="D585" s="2" t="s">
        <v>3000</v>
      </c>
      <c r="E585" s="11" t="s">
        <v>3001</v>
      </c>
      <c r="F585" s="30" t="s">
        <v>2156</v>
      </c>
      <c r="G585" s="30" t="s">
        <v>3094</v>
      </c>
      <c r="H585" s="16">
        <v>45976</v>
      </c>
      <c r="I585" s="115">
        <v>45916</v>
      </c>
      <c r="J585" s="115">
        <v>45916</v>
      </c>
      <c r="K585" s="115">
        <v>45917</v>
      </c>
      <c r="L585" s="115"/>
      <c r="M585" s="115">
        <v>45940</v>
      </c>
      <c r="N585" s="115"/>
      <c r="O585" s="115"/>
      <c r="P585" s="115">
        <v>45967</v>
      </c>
      <c r="Q585" s="115">
        <v>45958</v>
      </c>
      <c r="R585" s="115"/>
      <c r="S585" s="115"/>
      <c r="T585" s="7" t="s">
        <v>22</v>
      </c>
      <c r="U585" s="2" t="s">
        <v>3697</v>
      </c>
      <c r="V585" s="16">
        <v>45957</v>
      </c>
      <c r="W585" s="16">
        <v>45985</v>
      </c>
      <c r="X585" s="4" t="s">
        <v>3810</v>
      </c>
      <c r="Y585" s="100"/>
      <c r="Z585" s="30" t="s">
        <v>113</v>
      </c>
      <c r="AA585" s="8">
        <v>46014</v>
      </c>
      <c r="AB585" s="10"/>
      <c r="AC585" s="22">
        <v>25560</v>
      </c>
      <c r="AD585" s="21"/>
      <c r="AE585" s="21"/>
      <c r="AF585" s="21"/>
      <c r="AG585" s="45"/>
      <c r="AH585" s="116">
        <v>25560</v>
      </c>
    </row>
    <row r="586" spans="1:34" s="9" customFormat="1" ht="122.25" customHeight="1">
      <c r="A586" s="9">
        <f t="shared" ca="1" si="18"/>
        <v>202</v>
      </c>
      <c r="B586" s="31">
        <v>45916</v>
      </c>
      <c r="C586" s="11" t="s">
        <v>24</v>
      </c>
      <c r="D586" s="2" t="s">
        <v>3000</v>
      </c>
      <c r="E586" s="11" t="s">
        <v>3001</v>
      </c>
      <c r="F586" s="30" t="s">
        <v>2156</v>
      </c>
      <c r="G586" s="30" t="s">
        <v>3094</v>
      </c>
      <c r="H586" s="16">
        <v>45992</v>
      </c>
      <c r="I586" s="115">
        <v>45916</v>
      </c>
      <c r="J586" s="115">
        <v>45916</v>
      </c>
      <c r="K586" s="115">
        <v>45917</v>
      </c>
      <c r="L586" s="115"/>
      <c r="M586" s="115"/>
      <c r="N586" s="115"/>
      <c r="O586" s="115"/>
      <c r="P586" s="115">
        <v>45967</v>
      </c>
      <c r="Q586" s="115">
        <v>45958</v>
      </c>
      <c r="R586" s="115"/>
      <c r="S586" s="115"/>
      <c r="T586" s="7" t="s">
        <v>22</v>
      </c>
      <c r="U586" s="2" t="s">
        <v>3724</v>
      </c>
      <c r="V586" s="16">
        <v>45969</v>
      </c>
      <c r="W586" s="16" t="s">
        <v>3839</v>
      </c>
      <c r="X586" s="4" t="s">
        <v>3725</v>
      </c>
      <c r="Y586" s="100"/>
      <c r="Z586" s="30" t="s">
        <v>113</v>
      </c>
      <c r="AA586" s="8">
        <v>46014</v>
      </c>
      <c r="AB586" s="10"/>
      <c r="AC586" s="22">
        <v>25560</v>
      </c>
      <c r="AD586" s="21"/>
      <c r="AE586" s="21"/>
      <c r="AF586" s="21"/>
      <c r="AG586" s="45"/>
      <c r="AH586" s="116">
        <v>25560</v>
      </c>
    </row>
    <row r="587" spans="1:34" s="9" customFormat="1" ht="122.25" customHeight="1">
      <c r="A587" s="9">
        <f t="shared" ca="1" si="18"/>
        <v>218</v>
      </c>
      <c r="B587" s="31">
        <v>45916</v>
      </c>
      <c r="C587" s="11" t="s">
        <v>24</v>
      </c>
      <c r="D587" s="2" t="s">
        <v>3000</v>
      </c>
      <c r="E587" s="11" t="s">
        <v>3001</v>
      </c>
      <c r="F587" s="30" t="s">
        <v>2156</v>
      </c>
      <c r="G587" s="30" t="s">
        <v>3726</v>
      </c>
      <c r="H587" s="16">
        <v>45976</v>
      </c>
      <c r="I587" s="115">
        <v>45916</v>
      </c>
      <c r="J587" s="115">
        <v>45916</v>
      </c>
      <c r="K587" s="115">
        <v>45917</v>
      </c>
      <c r="L587" s="115"/>
      <c r="M587" s="115">
        <v>45940</v>
      </c>
      <c r="N587" s="115"/>
      <c r="O587" s="115"/>
      <c r="P587" s="115">
        <v>45967</v>
      </c>
      <c r="Q587" s="115">
        <v>45958</v>
      </c>
      <c r="R587" s="115"/>
      <c r="S587" s="346"/>
      <c r="T587" s="7" t="s">
        <v>22</v>
      </c>
      <c r="U587" s="2" t="s">
        <v>3697</v>
      </c>
      <c r="V587" s="16">
        <v>45957</v>
      </c>
      <c r="W587" s="16">
        <v>45985</v>
      </c>
      <c r="X587" s="4" t="s">
        <v>3809</v>
      </c>
      <c r="Y587" s="100"/>
      <c r="Z587" s="30" t="s">
        <v>113</v>
      </c>
      <c r="AA587" s="8">
        <v>46014</v>
      </c>
      <c r="AB587" s="10"/>
      <c r="AC587" s="22">
        <v>20520</v>
      </c>
      <c r="AD587" s="21"/>
      <c r="AE587" s="21"/>
      <c r="AF587" s="21"/>
      <c r="AG587" s="45"/>
      <c r="AH587" s="116">
        <v>20520</v>
      </c>
    </row>
    <row r="588" spans="1:34" s="9" customFormat="1" ht="122.25" customHeight="1">
      <c r="A588" s="9">
        <f t="shared" ca="1" si="18"/>
        <v>324</v>
      </c>
      <c r="B588" s="31">
        <v>45841</v>
      </c>
      <c r="C588" s="2" t="s">
        <v>40</v>
      </c>
      <c r="D588" s="2" t="s">
        <v>2255</v>
      </c>
      <c r="E588" s="11" t="s">
        <v>2256</v>
      </c>
      <c r="F588" s="125" t="s">
        <v>2257</v>
      </c>
      <c r="G588" s="125" t="s">
        <v>3907</v>
      </c>
      <c r="H588" s="16">
        <v>45870</v>
      </c>
      <c r="I588" s="115"/>
      <c r="J588" s="115"/>
      <c r="K588" s="115"/>
      <c r="L588" s="115"/>
      <c r="M588" s="115"/>
      <c r="N588" s="115"/>
      <c r="O588" s="115"/>
      <c r="P588" s="115">
        <v>45993</v>
      </c>
      <c r="Q588" s="16" t="s">
        <v>1449</v>
      </c>
      <c r="R588" s="115"/>
      <c r="S588" s="115" t="s">
        <v>4084</v>
      </c>
      <c r="T588" s="7" t="s">
        <v>20</v>
      </c>
      <c r="U588" s="182" t="s">
        <v>3641</v>
      </c>
      <c r="V588" s="182" t="s">
        <v>3642</v>
      </c>
      <c r="W588" s="182" t="s">
        <v>3643</v>
      </c>
      <c r="X588" s="4" t="s">
        <v>3492</v>
      </c>
      <c r="Y588" s="100"/>
      <c r="Z588" s="30" t="s">
        <v>99</v>
      </c>
      <c r="AA588" s="8">
        <v>46031</v>
      </c>
      <c r="AB588" s="10"/>
      <c r="AC588" s="10"/>
      <c r="AD588" s="21"/>
      <c r="AE588" s="22">
        <v>85935</v>
      </c>
      <c r="AF588" s="21"/>
      <c r="AG588" s="45"/>
      <c r="AH588" s="116">
        <v>85935</v>
      </c>
    </row>
    <row r="589" spans="1:34" s="9" customFormat="1" ht="75">
      <c r="A589" s="9">
        <f t="shared" ca="1" si="18"/>
        <v>205</v>
      </c>
      <c r="B589" s="31">
        <v>45947</v>
      </c>
      <c r="C589" s="11" t="s">
        <v>27</v>
      </c>
      <c r="D589" s="2" t="s">
        <v>3467</v>
      </c>
      <c r="E589" s="11" t="s">
        <v>3468</v>
      </c>
      <c r="F589" s="30" t="s">
        <v>3469</v>
      </c>
      <c r="G589" s="30" t="s">
        <v>3470</v>
      </c>
      <c r="H589" s="16">
        <v>45989</v>
      </c>
      <c r="I589" s="115">
        <v>45952</v>
      </c>
      <c r="J589" s="115">
        <v>45953</v>
      </c>
      <c r="K589" s="115"/>
      <c r="L589" s="115"/>
      <c r="M589" s="115"/>
      <c r="N589" s="115"/>
      <c r="O589" s="115"/>
      <c r="P589" s="115">
        <v>46001</v>
      </c>
      <c r="Q589" s="16"/>
      <c r="R589" s="115">
        <v>46008</v>
      </c>
      <c r="S589" s="115"/>
      <c r="T589" s="7" t="s">
        <v>22</v>
      </c>
      <c r="U589" s="202" t="s">
        <v>3916</v>
      </c>
      <c r="V589" s="16">
        <v>46000</v>
      </c>
      <c r="W589" s="16">
        <v>46008</v>
      </c>
      <c r="X589" s="24" t="s">
        <v>3958</v>
      </c>
      <c r="Y589" s="100"/>
      <c r="Z589" s="30" t="s">
        <v>4131</v>
      </c>
      <c r="AA589" s="8">
        <v>46029</v>
      </c>
      <c r="AB589" s="22">
        <v>2394</v>
      </c>
      <c r="AC589" s="10"/>
      <c r="AD589" s="21"/>
      <c r="AE589" s="21"/>
      <c r="AF589" s="21"/>
      <c r="AG589" s="45"/>
      <c r="AH589" s="116">
        <v>2394</v>
      </c>
    </row>
    <row r="590" spans="1:34" s="9" customFormat="1" ht="122.25" customHeight="1">
      <c r="A590" s="9">
        <f t="shared" ca="1" si="18"/>
        <v>263</v>
      </c>
      <c r="B590" s="31">
        <v>45868</v>
      </c>
      <c r="C590" s="11" t="s">
        <v>24</v>
      </c>
      <c r="D590" s="2" t="s">
        <v>2656</v>
      </c>
      <c r="E590" s="11" t="s">
        <v>2657</v>
      </c>
      <c r="F590" s="30" t="s">
        <v>1069</v>
      </c>
      <c r="G590" s="30" t="s">
        <v>2684</v>
      </c>
      <c r="H590" s="16">
        <v>45931</v>
      </c>
      <c r="I590" s="115">
        <v>45868</v>
      </c>
      <c r="J590" s="115">
        <v>45868</v>
      </c>
      <c r="K590" s="115">
        <v>45868</v>
      </c>
      <c r="L590" s="115"/>
      <c r="M590" s="115">
        <v>45915</v>
      </c>
      <c r="N590" s="115" t="s">
        <v>2687</v>
      </c>
      <c r="O590" s="115"/>
      <c r="P590" s="115" t="s">
        <v>3093</v>
      </c>
      <c r="Q590" s="115" t="s">
        <v>3093</v>
      </c>
      <c r="R590" s="115" t="s">
        <v>3302</v>
      </c>
      <c r="S590" s="115"/>
      <c r="T590" s="7" t="s">
        <v>25</v>
      </c>
      <c r="U590" s="16" t="s">
        <v>3205</v>
      </c>
      <c r="V590" s="16">
        <v>45932</v>
      </c>
      <c r="W590" s="16">
        <v>45933</v>
      </c>
      <c r="X590" s="4" t="s">
        <v>3372</v>
      </c>
      <c r="Y590" s="100"/>
      <c r="Z590" s="30" t="s">
        <v>1485</v>
      </c>
      <c r="AA590" s="8">
        <v>46032</v>
      </c>
      <c r="AB590" s="22">
        <v>12848</v>
      </c>
      <c r="AC590" s="10"/>
      <c r="AD590" s="21"/>
      <c r="AE590" s="21"/>
      <c r="AF590" s="21"/>
      <c r="AG590" s="45"/>
      <c r="AH590" s="116">
        <v>12848</v>
      </c>
    </row>
    <row r="591" spans="1:34" s="9" customFormat="1" ht="122.25" customHeight="1">
      <c r="A591" s="9">
        <f t="shared" ca="1" si="18"/>
        <v>232</v>
      </c>
      <c r="B591" s="31">
        <v>45908</v>
      </c>
      <c r="C591" s="11" t="s">
        <v>24</v>
      </c>
      <c r="D591" s="2" t="s">
        <v>3088</v>
      </c>
      <c r="E591" s="11" t="s">
        <v>3089</v>
      </c>
      <c r="F591" s="30" t="s">
        <v>3090</v>
      </c>
      <c r="G591" s="30" t="s">
        <v>3699</v>
      </c>
      <c r="H591" s="16">
        <v>45962</v>
      </c>
      <c r="I591" s="115">
        <v>45917</v>
      </c>
      <c r="J591" s="115">
        <v>45922</v>
      </c>
      <c r="K591" s="115">
        <v>45917</v>
      </c>
      <c r="L591" s="115"/>
      <c r="M591" s="115"/>
      <c r="N591" s="115"/>
      <c r="O591" s="115"/>
      <c r="P591" s="115"/>
      <c r="Q591" s="115">
        <v>45981</v>
      </c>
      <c r="R591" s="115"/>
      <c r="S591" s="115"/>
      <c r="T591" s="7" t="s">
        <v>28</v>
      </c>
      <c r="U591" s="16" t="s">
        <v>3811</v>
      </c>
      <c r="V591" s="16">
        <v>45979</v>
      </c>
      <c r="W591" s="16">
        <v>46005</v>
      </c>
      <c r="X591" s="4" t="s">
        <v>3961</v>
      </c>
      <c r="Y591" s="100"/>
      <c r="Z591" s="30" t="s">
        <v>3091</v>
      </c>
      <c r="AA591" s="8">
        <v>45996</v>
      </c>
      <c r="AB591" s="22">
        <v>278964</v>
      </c>
      <c r="AC591" s="10"/>
      <c r="AD591" s="21"/>
      <c r="AE591" s="21"/>
      <c r="AF591" s="21"/>
      <c r="AG591" s="45"/>
      <c r="AH591" s="21">
        <v>278964</v>
      </c>
    </row>
    <row r="592" spans="1:34" s="9" customFormat="1" ht="186" customHeight="1">
      <c r="A592" s="9">
        <f t="shared" ca="1" si="18"/>
        <v>202</v>
      </c>
      <c r="B592" s="31">
        <v>45862</v>
      </c>
      <c r="C592" s="11" t="s">
        <v>694</v>
      </c>
      <c r="D592" s="2" t="s">
        <v>2451</v>
      </c>
      <c r="E592" s="11" t="s">
        <v>2452</v>
      </c>
      <c r="F592" s="30" t="s">
        <v>105</v>
      </c>
      <c r="G592" s="30" t="s">
        <v>3509</v>
      </c>
      <c r="H592" s="16">
        <v>45992</v>
      </c>
      <c r="I592" s="115">
        <v>45862</v>
      </c>
      <c r="J592" s="115">
        <v>45862</v>
      </c>
      <c r="K592" s="115">
        <v>45863</v>
      </c>
      <c r="L592" s="115"/>
      <c r="M592" s="331" t="s">
        <v>2999</v>
      </c>
      <c r="N592" s="115">
        <v>45968</v>
      </c>
      <c r="O592" s="115"/>
      <c r="P592" s="115"/>
      <c r="Q592" s="115">
        <v>45994</v>
      </c>
      <c r="R592" s="115">
        <v>46008</v>
      </c>
      <c r="S592" s="115">
        <v>46011</v>
      </c>
      <c r="T592" s="7" t="s">
        <v>22</v>
      </c>
      <c r="U592" s="16" t="s">
        <v>3946</v>
      </c>
      <c r="V592" s="16">
        <v>45978</v>
      </c>
      <c r="W592" s="16">
        <v>46002</v>
      </c>
      <c r="X592" s="334" t="s">
        <v>3867</v>
      </c>
      <c r="Y592" s="100"/>
      <c r="Z592" s="30" t="s">
        <v>29</v>
      </c>
      <c r="AA592" s="8">
        <v>46033</v>
      </c>
      <c r="AB592" s="22">
        <v>94161.91</v>
      </c>
      <c r="AC592" s="10"/>
      <c r="AD592" s="21"/>
      <c r="AE592" s="10"/>
      <c r="AF592" s="21"/>
      <c r="AG592" s="45"/>
      <c r="AH592" s="116">
        <v>94161.91</v>
      </c>
    </row>
    <row r="593" spans="1:34" s="9" customFormat="1" ht="122.25" customHeight="1">
      <c r="B593" s="31">
        <v>45901</v>
      </c>
      <c r="C593" s="11" t="s">
        <v>694</v>
      </c>
      <c r="D593" s="2" t="s">
        <v>2869</v>
      </c>
      <c r="E593" s="11" t="s">
        <v>2870</v>
      </c>
      <c r="F593" s="30" t="s">
        <v>2871</v>
      </c>
      <c r="G593" s="30" t="s">
        <v>2872</v>
      </c>
      <c r="H593" s="16">
        <v>45962</v>
      </c>
      <c r="I593" s="115">
        <v>45902</v>
      </c>
      <c r="J593" s="115">
        <v>45903</v>
      </c>
      <c r="K593" s="115">
        <v>45904</v>
      </c>
      <c r="L593" s="115" t="s">
        <v>878</v>
      </c>
      <c r="M593" s="115"/>
      <c r="N593" s="115"/>
      <c r="O593" s="115"/>
      <c r="P593" s="115"/>
      <c r="Q593" s="115">
        <v>45985</v>
      </c>
      <c r="R593" s="115">
        <v>46001</v>
      </c>
      <c r="S593" s="115" t="s">
        <v>4167</v>
      </c>
      <c r="T593" s="7" t="s">
        <v>22</v>
      </c>
      <c r="U593" s="7" t="s">
        <v>3520</v>
      </c>
      <c r="V593" s="16">
        <v>45945</v>
      </c>
      <c r="W593" s="16">
        <v>45991</v>
      </c>
      <c r="X593" s="292" t="s">
        <v>3746</v>
      </c>
      <c r="Y593" s="100"/>
      <c r="Z593" s="30" t="s">
        <v>2873</v>
      </c>
      <c r="AA593" s="8">
        <v>45996</v>
      </c>
      <c r="AB593" s="10"/>
      <c r="AC593" s="22">
        <v>5007.97</v>
      </c>
      <c r="AD593" s="21"/>
      <c r="AE593" s="21"/>
      <c r="AF593" s="21"/>
      <c r="AG593" s="45"/>
      <c r="AH593" s="116">
        <v>5007.97</v>
      </c>
    </row>
    <row r="594" spans="1:34" s="9" customFormat="1" ht="122.25" customHeight="1">
      <c r="B594" s="31">
        <v>45908</v>
      </c>
      <c r="C594" s="11" t="s">
        <v>694</v>
      </c>
      <c r="D594" s="2" t="s">
        <v>2922</v>
      </c>
      <c r="E594" s="11" t="s">
        <v>2923</v>
      </c>
      <c r="F594" s="30" t="s">
        <v>87</v>
      </c>
      <c r="G594" s="30" t="s">
        <v>2924</v>
      </c>
      <c r="H594" s="16">
        <v>45992</v>
      </c>
      <c r="I594" s="115">
        <v>45908</v>
      </c>
      <c r="J594" s="115">
        <v>45909</v>
      </c>
      <c r="K594" s="115">
        <v>45910</v>
      </c>
      <c r="L594" s="115"/>
      <c r="M594" s="115">
        <v>45950</v>
      </c>
      <c r="N594" s="115" t="s">
        <v>3521</v>
      </c>
      <c r="O594" s="115"/>
      <c r="P594" s="115"/>
      <c r="Q594" s="115">
        <v>45978</v>
      </c>
      <c r="R594" s="115" t="s">
        <v>4168</v>
      </c>
      <c r="S594" s="115" t="s">
        <v>4169</v>
      </c>
      <c r="T594" s="7" t="s">
        <v>20</v>
      </c>
      <c r="U594" s="16" t="s">
        <v>2381</v>
      </c>
      <c r="V594" s="16">
        <v>45967</v>
      </c>
      <c r="W594" s="16">
        <v>46011</v>
      </c>
      <c r="X594" s="334" t="s">
        <v>3775</v>
      </c>
      <c r="Y594" s="100"/>
      <c r="Z594" s="30" t="s">
        <v>54</v>
      </c>
      <c r="AA594" s="8">
        <v>46021</v>
      </c>
      <c r="AB594" s="10"/>
      <c r="AC594" s="22">
        <v>37382.800000000003</v>
      </c>
      <c r="AD594" s="21"/>
      <c r="AE594" s="21"/>
      <c r="AF594" s="21"/>
      <c r="AG594" s="45"/>
      <c r="AH594" s="116">
        <v>37832.800000000003</v>
      </c>
    </row>
    <row r="595" spans="1:34" s="9" customFormat="1" ht="86.25" customHeight="1">
      <c r="A595" s="9">
        <f ca="1">TODAY()-H595+1</f>
        <v>167</v>
      </c>
      <c r="B595" s="31">
        <v>45932</v>
      </c>
      <c r="C595" s="2" t="s">
        <v>694</v>
      </c>
      <c r="D595" s="2" t="s">
        <v>3253</v>
      </c>
      <c r="E595" s="11" t="s">
        <v>3254</v>
      </c>
      <c r="F595" s="30" t="s">
        <v>311</v>
      </c>
      <c r="G595" s="30" t="s">
        <v>3255</v>
      </c>
      <c r="H595" s="16">
        <v>46027</v>
      </c>
      <c r="I595" s="115">
        <v>45933</v>
      </c>
      <c r="J595" s="115">
        <v>45936</v>
      </c>
      <c r="K595" s="115">
        <v>45936</v>
      </c>
      <c r="L595" s="115"/>
      <c r="M595" s="115" t="s">
        <v>3708</v>
      </c>
      <c r="N595" s="115" t="s">
        <v>3802</v>
      </c>
      <c r="O595" s="115"/>
      <c r="P595" s="115"/>
      <c r="Q595" s="115">
        <v>46357</v>
      </c>
      <c r="R595" s="115"/>
      <c r="S595" s="115">
        <v>46174</v>
      </c>
      <c r="T595" s="7" t="s">
        <v>22</v>
      </c>
      <c r="U595" s="16" t="s">
        <v>4048</v>
      </c>
      <c r="V595" s="16">
        <v>46000</v>
      </c>
      <c r="W595" s="16">
        <v>46386</v>
      </c>
      <c r="X595" s="334" t="s">
        <v>4047</v>
      </c>
      <c r="Y595" s="100"/>
      <c r="Z595" s="30" t="s">
        <v>46</v>
      </c>
      <c r="AA595" s="8">
        <v>46020</v>
      </c>
      <c r="AB595" s="22">
        <v>9048.6</v>
      </c>
      <c r="AC595" s="10"/>
      <c r="AD595" s="21"/>
      <c r="AE595" s="21"/>
      <c r="AF595" s="21"/>
      <c r="AG595" s="45"/>
      <c r="AH595" s="118">
        <v>9048.6</v>
      </c>
    </row>
    <row r="596" spans="1:34" s="9" customFormat="1" ht="122.25" customHeight="1">
      <c r="B596" s="31">
        <v>45947</v>
      </c>
      <c r="C596" s="11" t="s">
        <v>694</v>
      </c>
      <c r="D596" s="2" t="s">
        <v>3405</v>
      </c>
      <c r="E596" s="11" t="s">
        <v>3406</v>
      </c>
      <c r="F596" s="30" t="s">
        <v>740</v>
      </c>
      <c r="G596" s="30" t="s">
        <v>3785</v>
      </c>
      <c r="H596" s="16">
        <v>46027</v>
      </c>
      <c r="I596" s="115">
        <v>45951</v>
      </c>
      <c r="J596" s="115">
        <v>45951</v>
      </c>
      <c r="K596" s="115">
        <v>45952</v>
      </c>
      <c r="L596" s="115" t="s">
        <v>878</v>
      </c>
      <c r="M596" s="115" t="s">
        <v>3709</v>
      </c>
      <c r="N596" s="115"/>
      <c r="O596" s="115"/>
      <c r="P596" s="115"/>
      <c r="Q596" s="115">
        <v>45994</v>
      </c>
      <c r="R596" s="115"/>
      <c r="S596" s="115" t="s">
        <v>4178</v>
      </c>
      <c r="T596" s="7" t="s">
        <v>22</v>
      </c>
      <c r="U596" s="202"/>
      <c r="V596" s="16">
        <v>45981</v>
      </c>
      <c r="W596" s="16">
        <v>46009</v>
      </c>
      <c r="X596" s="292"/>
      <c r="Y596" s="100"/>
      <c r="Z596" s="30" t="s">
        <v>742</v>
      </c>
      <c r="AA596" s="8">
        <v>45982</v>
      </c>
      <c r="AB596" s="22">
        <v>1904.4</v>
      </c>
      <c r="AC596" s="10"/>
      <c r="AD596" s="21"/>
      <c r="AE596" s="21"/>
      <c r="AF596" s="21"/>
      <c r="AG596" s="45"/>
      <c r="AH596" s="116">
        <v>1904.4</v>
      </c>
    </row>
    <row r="597" spans="1:34" s="9" customFormat="1" ht="112.5">
      <c r="A597" s="9">
        <f ca="1">TODAY()-H597+1</f>
        <v>233</v>
      </c>
      <c r="B597" s="31">
        <v>45929</v>
      </c>
      <c r="C597" s="2" t="s">
        <v>27</v>
      </c>
      <c r="D597" s="2" t="s">
        <v>3184</v>
      </c>
      <c r="E597" s="11" t="s">
        <v>3185</v>
      </c>
      <c r="F597" s="125" t="s">
        <v>441</v>
      </c>
      <c r="G597" s="30" t="s">
        <v>3186</v>
      </c>
      <c r="H597" s="16">
        <v>45961</v>
      </c>
      <c r="I597" s="115">
        <v>45929</v>
      </c>
      <c r="J597" s="115">
        <v>45929</v>
      </c>
      <c r="K597" s="115">
        <v>45936</v>
      </c>
      <c r="L597" s="115"/>
      <c r="M597" s="115" t="s">
        <v>3713</v>
      </c>
      <c r="N597" s="115" t="s">
        <v>3808</v>
      </c>
      <c r="O597" s="115"/>
      <c r="P597" s="115" t="s">
        <v>3790</v>
      </c>
      <c r="Q597" s="115"/>
      <c r="R597" s="115" t="s">
        <v>4132</v>
      </c>
      <c r="S597" s="115"/>
      <c r="T597" s="7" t="s">
        <v>20</v>
      </c>
      <c r="U597" s="16" t="s">
        <v>3814</v>
      </c>
      <c r="V597" s="16">
        <v>45989</v>
      </c>
      <c r="W597" s="16">
        <v>46014</v>
      </c>
      <c r="X597" s="4" t="s">
        <v>3959</v>
      </c>
      <c r="Y597" s="100"/>
      <c r="Z597" s="30" t="s">
        <v>61</v>
      </c>
      <c r="AA597" s="8">
        <v>45939</v>
      </c>
      <c r="AB597" s="23"/>
      <c r="AC597" s="22">
        <v>5757</v>
      </c>
      <c r="AD597" s="21"/>
      <c r="AE597" s="21"/>
      <c r="AF597" s="21"/>
      <c r="AG597" s="45"/>
      <c r="AH597" s="118">
        <v>5757</v>
      </c>
    </row>
    <row r="598" spans="1:34" s="9" customFormat="1" ht="122.25" customHeight="1">
      <c r="B598" s="147">
        <v>45947</v>
      </c>
      <c r="C598" s="11" t="s">
        <v>27</v>
      </c>
      <c r="D598" s="2" t="s">
        <v>3633</v>
      </c>
      <c r="E598" s="11" t="s">
        <v>3634</v>
      </c>
      <c r="F598" s="30" t="s">
        <v>1136</v>
      </c>
      <c r="G598" s="30" t="s">
        <v>3635</v>
      </c>
      <c r="H598" s="16">
        <v>46001</v>
      </c>
      <c r="I598" s="115"/>
      <c r="J598" s="115">
        <v>45953</v>
      </c>
      <c r="K598" s="115"/>
      <c r="L598" s="115"/>
      <c r="M598" s="115"/>
      <c r="N598" s="115"/>
      <c r="O598" s="115"/>
      <c r="P598" s="115">
        <v>46001</v>
      </c>
      <c r="Q598" s="115"/>
      <c r="R598" s="115"/>
      <c r="S598" s="115"/>
      <c r="T598" s="7" t="s">
        <v>20</v>
      </c>
      <c r="U598" s="16" t="s">
        <v>3885</v>
      </c>
      <c r="V598" s="16">
        <v>45988</v>
      </c>
      <c r="W598" s="16">
        <v>46016</v>
      </c>
      <c r="X598" t="s">
        <v>3959</v>
      </c>
      <c r="Y598" s="100"/>
      <c r="Z598" s="30" t="s">
        <v>54</v>
      </c>
      <c r="AA598" s="8">
        <v>46008</v>
      </c>
      <c r="AB598" s="10"/>
      <c r="AC598" s="22">
        <v>3948</v>
      </c>
      <c r="AD598" s="21"/>
      <c r="AE598" s="21"/>
      <c r="AF598" s="21"/>
      <c r="AG598" s="45"/>
      <c r="AH598" s="116">
        <v>3948</v>
      </c>
    </row>
    <row r="599" spans="1:34" s="9" customFormat="1" ht="110.25" customHeight="1">
      <c r="A599" s="9">
        <f ca="1">TODAY()-H599+1</f>
        <v>232</v>
      </c>
      <c r="B599" s="31">
        <v>45898</v>
      </c>
      <c r="C599" s="11" t="s">
        <v>24</v>
      </c>
      <c r="D599" s="2" t="s">
        <v>2846</v>
      </c>
      <c r="E599" s="11" t="s">
        <v>2847</v>
      </c>
      <c r="F599" s="30" t="s">
        <v>2848</v>
      </c>
      <c r="G599" s="30" t="s">
        <v>4086</v>
      </c>
      <c r="H599" s="16">
        <v>45962</v>
      </c>
      <c r="I599" s="115">
        <v>45898</v>
      </c>
      <c r="J599" s="115">
        <v>45898</v>
      </c>
      <c r="K599" s="115">
        <v>45899</v>
      </c>
      <c r="L599" s="115" t="s">
        <v>3099</v>
      </c>
      <c r="M599" s="115"/>
      <c r="N599" s="115" t="s">
        <v>3203</v>
      </c>
      <c r="O599" s="115"/>
      <c r="P599" s="115"/>
      <c r="Q599" s="115">
        <v>45917</v>
      </c>
      <c r="R599" s="115"/>
      <c r="S599" s="115"/>
      <c r="T599" s="7" t="s">
        <v>22</v>
      </c>
      <c r="U599" s="16" t="s">
        <v>4022</v>
      </c>
      <c r="V599" s="16" t="s">
        <v>3625</v>
      </c>
      <c r="W599" s="16" t="s">
        <v>4095</v>
      </c>
      <c r="X599" s="4" t="s">
        <v>3838</v>
      </c>
      <c r="Y599" s="100"/>
      <c r="Z599" s="30" t="s">
        <v>61</v>
      </c>
      <c r="AA599" s="8">
        <v>45908</v>
      </c>
      <c r="AB599" s="22">
        <v>139050</v>
      </c>
      <c r="AC599" s="10"/>
      <c r="AD599" s="21"/>
      <c r="AE599" s="21"/>
      <c r="AF599" s="21"/>
      <c r="AG599" s="45"/>
      <c r="AH599" s="118">
        <v>139050</v>
      </c>
    </row>
    <row r="600" spans="1:34" s="9" customFormat="1" ht="122.25" customHeight="1">
      <c r="B600" s="31">
        <v>45866</v>
      </c>
      <c r="C600" s="2" t="s">
        <v>40</v>
      </c>
      <c r="D600" s="2" t="s">
        <v>2572</v>
      </c>
      <c r="E600" s="11" t="s">
        <v>2573</v>
      </c>
      <c r="F600" s="30" t="s">
        <v>79</v>
      </c>
      <c r="G600" s="30" t="s">
        <v>2650</v>
      </c>
      <c r="H600" s="16">
        <v>45915</v>
      </c>
      <c r="I600" s="115"/>
      <c r="J600" s="115"/>
      <c r="K600" s="115"/>
      <c r="L600" s="115"/>
      <c r="M600" s="115">
        <v>45919</v>
      </c>
      <c r="N600" s="115">
        <v>45919</v>
      </c>
      <c r="O600" s="115"/>
      <c r="P600" s="115">
        <v>45938</v>
      </c>
      <c r="Q600" s="115" t="s">
        <v>1449</v>
      </c>
      <c r="R600" s="115">
        <v>45960</v>
      </c>
      <c r="S600" s="115">
        <v>45970</v>
      </c>
      <c r="T600" s="7" t="s">
        <v>20</v>
      </c>
      <c r="U600" s="16" t="s">
        <v>3038</v>
      </c>
      <c r="V600" s="16">
        <v>45926</v>
      </c>
      <c r="W600" s="16">
        <v>45956</v>
      </c>
      <c r="X600" s="25" t="s">
        <v>3036</v>
      </c>
      <c r="Y600" s="100"/>
      <c r="Z600" s="30" t="s">
        <v>2576</v>
      </c>
      <c r="AA600" s="8">
        <v>46005</v>
      </c>
      <c r="AB600" s="10"/>
      <c r="AC600" s="22">
        <f>55304.06+3618-6705</f>
        <v>52217.06</v>
      </c>
      <c r="AD600" s="21"/>
      <c r="AE600" s="10"/>
      <c r="AF600" s="21"/>
      <c r="AG600" s="45"/>
      <c r="AH600" s="116">
        <f>55304.06+3618-6705</f>
        <v>52217.06</v>
      </c>
    </row>
    <row r="601" spans="1:34" s="9" customFormat="1" ht="152.25" customHeight="1">
      <c r="A601" s="9">
        <f ca="1">TODAY()-H601+1</f>
        <v>223</v>
      </c>
      <c r="B601" s="31">
        <v>45866</v>
      </c>
      <c r="C601" s="11" t="s">
        <v>24</v>
      </c>
      <c r="D601" s="2" t="s">
        <v>2482</v>
      </c>
      <c r="E601" s="11" t="s">
        <v>2483</v>
      </c>
      <c r="F601" s="30" t="s">
        <v>98</v>
      </c>
      <c r="G601" s="30" t="s">
        <v>3429</v>
      </c>
      <c r="H601" s="16">
        <v>45971</v>
      </c>
      <c r="I601" s="115">
        <v>45866</v>
      </c>
      <c r="J601" s="115">
        <v>45868</v>
      </c>
      <c r="K601" s="115">
        <v>45868</v>
      </c>
      <c r="L601" s="115"/>
      <c r="M601" s="115"/>
      <c r="N601" s="115"/>
      <c r="O601" s="115"/>
      <c r="P601" s="115">
        <v>45945</v>
      </c>
      <c r="Q601" s="115">
        <v>45945</v>
      </c>
      <c r="R601" s="115"/>
      <c r="S601" s="115"/>
      <c r="T601" s="7" t="s">
        <v>22</v>
      </c>
      <c r="U601" s="2" t="s">
        <v>3737</v>
      </c>
      <c r="V601" s="16" t="s">
        <v>3738</v>
      </c>
      <c r="W601" s="16" t="s">
        <v>3812</v>
      </c>
      <c r="X601" s="4" t="s">
        <v>3187</v>
      </c>
      <c r="Y601" s="100"/>
      <c r="Z601" s="30" t="s">
        <v>50</v>
      </c>
      <c r="AA601" s="8">
        <v>45996</v>
      </c>
      <c r="AB601" s="22">
        <v>84763.8</v>
      </c>
      <c r="AC601" s="10"/>
      <c r="AD601" s="21"/>
      <c r="AE601" s="10"/>
      <c r="AF601" s="21"/>
      <c r="AG601" s="45"/>
      <c r="AH601" s="116">
        <v>84763.8</v>
      </c>
    </row>
    <row r="602" spans="1:34" s="9" customFormat="1" ht="112.5">
      <c r="A602" s="9">
        <f ca="1">TODAY()-H602+1</f>
        <v>223</v>
      </c>
      <c r="B602" s="31">
        <v>45866</v>
      </c>
      <c r="C602" s="11" t="s">
        <v>24</v>
      </c>
      <c r="D602" s="2" t="s">
        <v>2478</v>
      </c>
      <c r="E602" s="11" t="s">
        <v>2479</v>
      </c>
      <c r="F602" s="30" t="s">
        <v>95</v>
      </c>
      <c r="G602" s="30" t="s">
        <v>2704</v>
      </c>
      <c r="H602" s="16">
        <v>45971</v>
      </c>
      <c r="I602" s="115">
        <v>45866</v>
      </c>
      <c r="J602" s="115">
        <v>45868</v>
      </c>
      <c r="K602" s="115">
        <v>45866</v>
      </c>
      <c r="L602" s="115"/>
      <c r="M602" s="115"/>
      <c r="N602" s="115"/>
      <c r="O602" s="115"/>
      <c r="P602" s="115">
        <v>45966</v>
      </c>
      <c r="Q602" s="115">
        <v>45966</v>
      </c>
      <c r="R602" s="115" t="s">
        <v>3859</v>
      </c>
      <c r="S602" s="115"/>
      <c r="T602" s="7" t="s">
        <v>22</v>
      </c>
      <c r="U602" s="2" t="s">
        <v>3483</v>
      </c>
      <c r="V602" s="16" t="s">
        <v>3628</v>
      </c>
      <c r="W602" s="16" t="s">
        <v>3865</v>
      </c>
      <c r="X602" s="4" t="s">
        <v>4164</v>
      </c>
      <c r="Y602" s="100"/>
      <c r="Z602" s="30" t="s">
        <v>54</v>
      </c>
      <c r="AA602" s="8">
        <v>46025</v>
      </c>
      <c r="AB602" s="10"/>
      <c r="AC602" s="22">
        <v>165837.6</v>
      </c>
      <c r="AD602" s="21"/>
      <c r="AE602" s="10"/>
      <c r="AF602" s="21"/>
      <c r="AG602" s="45"/>
      <c r="AH602" s="116">
        <v>165837.6</v>
      </c>
    </row>
    <row r="603" spans="1:34" s="9" customFormat="1" ht="91.5" customHeight="1" thickBot="1">
      <c r="A603" s="9">
        <f ca="1">TODAY()-H603+1</f>
        <v>249</v>
      </c>
      <c r="B603" s="31">
        <v>45862</v>
      </c>
      <c r="C603" s="11" t="s">
        <v>694</v>
      </c>
      <c r="D603" s="2" t="s">
        <v>2455</v>
      </c>
      <c r="E603" s="11" t="s">
        <v>2456</v>
      </c>
      <c r="F603" s="30" t="s">
        <v>806</v>
      </c>
      <c r="G603" s="30" t="s">
        <v>2525</v>
      </c>
      <c r="H603" s="16">
        <v>45945</v>
      </c>
      <c r="I603" s="115">
        <v>45862</v>
      </c>
      <c r="J603" s="115">
        <v>45862</v>
      </c>
      <c r="K603" s="115">
        <v>45863</v>
      </c>
      <c r="L603" s="115"/>
      <c r="M603" s="115"/>
      <c r="N603" s="115"/>
      <c r="O603" s="115"/>
      <c r="P603" s="115"/>
      <c r="Q603" s="115" t="s">
        <v>3949</v>
      </c>
      <c r="R603" s="115" t="s">
        <v>925</v>
      </c>
      <c r="S603" s="115"/>
      <c r="T603" s="7" t="s">
        <v>22</v>
      </c>
      <c r="U603" s="16" t="s">
        <v>3948</v>
      </c>
      <c r="V603" s="16">
        <v>45979</v>
      </c>
      <c r="W603" s="16">
        <v>46029</v>
      </c>
      <c r="X603" s="341" t="s">
        <v>3947</v>
      </c>
      <c r="Y603" s="100"/>
      <c r="Z603" s="30" t="s">
        <v>3836</v>
      </c>
      <c r="AA603" s="8"/>
      <c r="AB603" s="22">
        <v>75928.45</v>
      </c>
      <c r="AC603" s="10"/>
      <c r="AD603" s="21"/>
      <c r="AE603" s="10"/>
      <c r="AF603" s="21"/>
      <c r="AG603" s="45"/>
      <c r="AH603" s="116">
        <f>37964.24+37964.21</f>
        <v>75928.45</v>
      </c>
    </row>
    <row r="604" spans="1:34" s="9" customFormat="1" ht="36" customHeight="1" thickBot="1">
      <c r="A604" s="9">
        <f ca="1">TODAY()-H604+1</f>
        <v>232</v>
      </c>
      <c r="B604" s="31">
        <v>45866</v>
      </c>
      <c r="C604" s="2" t="s">
        <v>27</v>
      </c>
      <c r="D604" s="2" t="s">
        <v>2541</v>
      </c>
      <c r="E604" s="11" t="s">
        <v>2542</v>
      </c>
      <c r="F604" s="30" t="s">
        <v>1933</v>
      </c>
      <c r="G604" s="30" t="s">
        <v>2778</v>
      </c>
      <c r="H604" s="16">
        <v>45962</v>
      </c>
      <c r="I604" s="115"/>
      <c r="J604" s="115"/>
      <c r="K604" s="115"/>
      <c r="L604" s="115"/>
      <c r="M604" s="115"/>
      <c r="N604" s="115"/>
      <c r="O604" s="115"/>
      <c r="P604" s="115">
        <v>45973</v>
      </c>
      <c r="Q604" s="115" t="s">
        <v>1449</v>
      </c>
      <c r="R604" s="115" t="s">
        <v>3841</v>
      </c>
      <c r="S604" s="115" t="s">
        <v>3992</v>
      </c>
      <c r="T604" s="7" t="s">
        <v>22</v>
      </c>
      <c r="U604" s="315" t="s">
        <v>3587</v>
      </c>
      <c r="V604" s="16">
        <v>45965</v>
      </c>
      <c r="W604" s="16">
        <v>45973</v>
      </c>
      <c r="X604" s="4"/>
      <c r="Y604" s="100"/>
      <c r="Z604" s="30" t="s">
        <v>54</v>
      </c>
      <c r="AA604" s="8">
        <v>46021</v>
      </c>
      <c r="AB604" s="10"/>
      <c r="AC604" s="10"/>
      <c r="AD604" s="21"/>
      <c r="AE604" s="22">
        <v>555208.80000000005</v>
      </c>
      <c r="AF604" s="21"/>
      <c r="AG604" s="45"/>
      <c r="AH604" s="116">
        <v>555208.80000000005</v>
      </c>
    </row>
    <row r="605" spans="1:34" s="9" customFormat="1" ht="56.25">
      <c r="A605" s="9">
        <f ca="1">TODAY()-H605+1</f>
        <v>232</v>
      </c>
      <c r="B605" s="31">
        <v>45866</v>
      </c>
      <c r="C605" s="2" t="s">
        <v>27</v>
      </c>
      <c r="D605" s="2" t="s">
        <v>2538</v>
      </c>
      <c r="E605" s="11" t="s">
        <v>2539</v>
      </c>
      <c r="F605" s="30" t="s">
        <v>74</v>
      </c>
      <c r="G605" s="30" t="s">
        <v>3508</v>
      </c>
      <c r="H605" s="16">
        <v>45962</v>
      </c>
      <c r="I605" s="115"/>
      <c r="J605" s="115"/>
      <c r="K605" s="115"/>
      <c r="L605" s="115"/>
      <c r="M605" s="115"/>
      <c r="N605" s="115"/>
      <c r="O605" s="115"/>
      <c r="P605" s="115"/>
      <c r="Q605" s="115" t="s">
        <v>1449</v>
      </c>
      <c r="R605" s="115">
        <v>46041</v>
      </c>
      <c r="S605" s="115"/>
      <c r="T605" s="7" t="s">
        <v>22</v>
      </c>
      <c r="U605" s="344" t="s">
        <v>4093</v>
      </c>
      <c r="V605" s="16">
        <v>45974</v>
      </c>
      <c r="W605" s="182" t="s">
        <v>4123</v>
      </c>
      <c r="X605" s="4"/>
      <c r="Y605" s="100"/>
      <c r="Z605" s="30" t="s">
        <v>2540</v>
      </c>
      <c r="AA605" s="8">
        <v>46012</v>
      </c>
      <c r="AB605" s="10"/>
      <c r="AC605" s="10"/>
      <c r="AD605" s="21"/>
      <c r="AE605" s="22">
        <v>359843.02</v>
      </c>
      <c r="AF605" s="21"/>
      <c r="AG605" s="45"/>
      <c r="AH605" s="116">
        <v>359843.02</v>
      </c>
    </row>
    <row r="606" spans="1:34" s="9" customFormat="1" ht="122.25" customHeight="1">
      <c r="B606" s="31">
        <v>45896</v>
      </c>
      <c r="C606" s="11" t="s">
        <v>694</v>
      </c>
      <c r="D606" s="2" t="s">
        <v>2843</v>
      </c>
      <c r="E606" s="11" t="s">
        <v>2844</v>
      </c>
      <c r="F606" s="30" t="s">
        <v>41</v>
      </c>
      <c r="G606" s="30" t="s">
        <v>2845</v>
      </c>
      <c r="H606" s="16">
        <v>45992</v>
      </c>
      <c r="I606" s="115">
        <v>45898</v>
      </c>
      <c r="J606" s="115">
        <v>45898</v>
      </c>
      <c r="K606" s="115">
        <v>45903</v>
      </c>
      <c r="L606" s="115"/>
      <c r="M606" s="115"/>
      <c r="N606" s="115"/>
      <c r="O606" s="115"/>
      <c r="P606" s="115"/>
      <c r="Q606" s="115">
        <v>45967</v>
      </c>
      <c r="R606" s="115">
        <v>46235</v>
      </c>
      <c r="S606" s="115" t="s">
        <v>878</v>
      </c>
      <c r="T606" s="7" t="s">
        <v>28</v>
      </c>
      <c r="U606" s="330" t="s">
        <v>3866</v>
      </c>
      <c r="V606" s="16">
        <v>45958</v>
      </c>
      <c r="W606" s="16">
        <v>46006</v>
      </c>
      <c r="X606" s="334" t="s">
        <v>3511</v>
      </c>
      <c r="Y606" s="100"/>
      <c r="Z606" s="30" t="s">
        <v>3906</v>
      </c>
      <c r="AA606" s="8">
        <v>45996</v>
      </c>
      <c r="AB606" s="22">
        <f>28482.66*2</f>
        <v>56965.32</v>
      </c>
      <c r="AC606" s="10"/>
      <c r="AD606" s="21"/>
      <c r="AE606" s="21"/>
      <c r="AF606" s="21"/>
      <c r="AG606" s="45"/>
      <c r="AH606" s="116">
        <v>56965.32</v>
      </c>
    </row>
    <row r="607" spans="1:34" s="9" customFormat="1" ht="56.25" customHeight="1">
      <c r="A607" s="9">
        <f ca="1">TODAY()-H607+1</f>
        <v>277</v>
      </c>
      <c r="B607" s="31">
        <v>45923</v>
      </c>
      <c r="C607" s="2" t="s">
        <v>694</v>
      </c>
      <c r="D607" s="2" t="s">
        <v>3132</v>
      </c>
      <c r="E607" s="11" t="s">
        <v>3133</v>
      </c>
      <c r="F607" s="30" t="s">
        <v>2069</v>
      </c>
      <c r="G607" s="30" t="s">
        <v>3134</v>
      </c>
      <c r="H607" s="16">
        <v>45917</v>
      </c>
      <c r="I607" s="115"/>
      <c r="J607" s="115">
        <v>45924</v>
      </c>
      <c r="K607" s="115"/>
      <c r="L607" s="115"/>
      <c r="M607" s="115"/>
      <c r="N607" s="16" t="s">
        <v>3801</v>
      </c>
      <c r="O607" s="16"/>
      <c r="P607" s="16"/>
      <c r="Q607" s="115"/>
      <c r="R607" s="115"/>
      <c r="S607" s="115"/>
      <c r="T607" s="7" t="s">
        <v>860</v>
      </c>
      <c r="U607" s="202"/>
      <c r="V607" s="16"/>
      <c r="W607" s="16"/>
      <c r="X607" s="4"/>
      <c r="Y607" s="100"/>
      <c r="Z607" s="30" t="s">
        <v>55</v>
      </c>
      <c r="AA607" s="8">
        <v>46037</v>
      </c>
      <c r="AB607" s="23">
        <v>10500</v>
      </c>
      <c r="AC607" s="10"/>
      <c r="AD607" s="21"/>
      <c r="AE607" s="21"/>
      <c r="AF607" s="21"/>
      <c r="AG607" s="45"/>
      <c r="AH607" s="118"/>
    </row>
    <row r="608" spans="1:34" s="9" customFormat="1" ht="225.75" customHeight="1">
      <c r="A608" s="150" t="s">
        <v>4106</v>
      </c>
      <c r="B608" s="31">
        <v>45947</v>
      </c>
      <c r="C608" s="11" t="s">
        <v>27</v>
      </c>
      <c r="D608" s="2" t="s">
        <v>3464</v>
      </c>
      <c r="E608" s="11" t="s">
        <v>3465</v>
      </c>
      <c r="F608" s="30" t="s">
        <v>2204</v>
      </c>
      <c r="G608" s="30" t="s">
        <v>3466</v>
      </c>
      <c r="H608" s="16">
        <v>46006</v>
      </c>
      <c r="I608" s="115">
        <v>45952</v>
      </c>
      <c r="J608" s="115">
        <v>45953</v>
      </c>
      <c r="K608" s="115"/>
      <c r="L608" s="115"/>
      <c r="M608" s="115">
        <v>45974</v>
      </c>
      <c r="N608" s="115"/>
      <c r="O608" s="115"/>
      <c r="P608" s="115">
        <v>46017</v>
      </c>
      <c r="Q608" s="115"/>
      <c r="R608" s="115">
        <v>46034</v>
      </c>
      <c r="S608" s="115"/>
      <c r="T608" s="7" t="s">
        <v>22</v>
      </c>
      <c r="U608" s="332" t="s">
        <v>3881</v>
      </c>
      <c r="V608" s="16">
        <v>46007</v>
      </c>
      <c r="W608" s="16">
        <v>46027</v>
      </c>
      <c r="X608" s="4" t="s">
        <v>4107</v>
      </c>
      <c r="Y608" s="100"/>
      <c r="Z608" s="30" t="s">
        <v>1469</v>
      </c>
      <c r="AA608" s="8">
        <v>46036</v>
      </c>
      <c r="AB608" s="10"/>
      <c r="AC608" s="10"/>
      <c r="AD608" s="21"/>
      <c r="AE608" s="22">
        <v>349554.27</v>
      </c>
      <c r="AF608" s="21"/>
      <c r="AG608" s="45"/>
      <c r="AH608" s="21">
        <v>349554.27</v>
      </c>
    </row>
    <row r="609" spans="1:34" s="9" customFormat="1" ht="221.25" customHeight="1" thickBot="1">
      <c r="A609" s="9">
        <f t="shared" ref="A609:A631" ca="1" si="19">TODAY()-H609+1</f>
        <v>188</v>
      </c>
      <c r="B609" s="31">
        <v>45947</v>
      </c>
      <c r="C609" s="11" t="s">
        <v>27</v>
      </c>
      <c r="D609" s="2" t="s">
        <v>3475</v>
      </c>
      <c r="E609" s="11" t="s">
        <v>3476</v>
      </c>
      <c r="F609" s="30" t="s">
        <v>2213</v>
      </c>
      <c r="G609" s="30" t="s">
        <v>3477</v>
      </c>
      <c r="H609" s="16">
        <v>46006</v>
      </c>
      <c r="I609" s="115">
        <v>45952</v>
      </c>
      <c r="J609" s="115">
        <v>45953</v>
      </c>
      <c r="K609" s="115"/>
      <c r="L609" s="115"/>
      <c r="M609" s="115"/>
      <c r="N609" s="115" t="s">
        <v>1150</v>
      </c>
      <c r="O609" s="115"/>
      <c r="P609" s="115">
        <v>45995</v>
      </c>
      <c r="Q609" s="115"/>
      <c r="R609" s="115"/>
      <c r="S609" s="115" t="s">
        <v>4195</v>
      </c>
      <c r="T609" s="7" t="s">
        <v>20</v>
      </c>
      <c r="U609" s="16" t="s">
        <v>3917</v>
      </c>
      <c r="V609" s="16">
        <v>45999</v>
      </c>
      <c r="W609" s="16">
        <v>46016</v>
      </c>
      <c r="X609" s="4" t="s">
        <v>4124</v>
      </c>
      <c r="Y609" s="100"/>
      <c r="Z609" s="30" t="s">
        <v>4208</v>
      </c>
      <c r="AA609" s="8"/>
      <c r="AB609" s="10"/>
      <c r="AC609" s="10"/>
      <c r="AD609" s="21"/>
      <c r="AE609" s="29">
        <v>449917</v>
      </c>
      <c r="AF609" s="21"/>
      <c r="AG609" s="45"/>
      <c r="AH609" s="116">
        <v>224958.5</v>
      </c>
    </row>
    <row r="610" spans="1:34" s="9" customFormat="1" ht="110.25" customHeight="1" thickBot="1">
      <c r="A610" s="9">
        <f t="shared" ca="1" si="19"/>
        <v>263</v>
      </c>
      <c r="B610" s="31">
        <v>45833</v>
      </c>
      <c r="C610" s="2" t="s">
        <v>27</v>
      </c>
      <c r="D610" s="2" t="s">
        <v>2220</v>
      </c>
      <c r="E610" s="11" t="s">
        <v>2221</v>
      </c>
      <c r="F610" s="30" t="s">
        <v>1933</v>
      </c>
      <c r="G610" s="125" t="s">
        <v>4035</v>
      </c>
      <c r="H610" s="16">
        <v>45931</v>
      </c>
      <c r="I610" s="115"/>
      <c r="J610" s="115"/>
      <c r="K610" s="115"/>
      <c r="L610" s="115"/>
      <c r="M610" s="115"/>
      <c r="N610" s="115"/>
      <c r="O610" s="115"/>
      <c r="P610" s="115">
        <v>45973</v>
      </c>
      <c r="Q610" s="115" t="s">
        <v>1449</v>
      </c>
      <c r="R610" s="115" t="s">
        <v>3841</v>
      </c>
      <c r="S610" s="115"/>
      <c r="T610" s="7" t="s">
        <v>22</v>
      </c>
      <c r="U610" s="315" t="s">
        <v>3587</v>
      </c>
      <c r="V610" s="16">
        <v>45965</v>
      </c>
      <c r="W610" s="16">
        <v>45973</v>
      </c>
      <c r="X610" s="336" t="s">
        <v>3954</v>
      </c>
      <c r="Y610" s="100"/>
      <c r="Z610" s="30" t="s">
        <v>54</v>
      </c>
      <c r="AA610" s="8">
        <v>46021</v>
      </c>
      <c r="AB610" s="10"/>
      <c r="AC610" s="10"/>
      <c r="AD610" s="21"/>
      <c r="AE610" s="22">
        <f>8330139/3+7772923.2</f>
        <v>10549636.199999999</v>
      </c>
      <c r="AF610" s="21"/>
      <c r="AG610" s="45"/>
      <c r="AH610" s="10">
        <f>8330139/3</f>
        <v>2776713</v>
      </c>
    </row>
    <row r="611" spans="1:34" s="9" customFormat="1" ht="105.75" thickBot="1">
      <c r="A611" s="9">
        <f t="shared" ca="1" si="19"/>
        <v>232</v>
      </c>
      <c r="B611" s="31">
        <v>45833</v>
      </c>
      <c r="C611" s="2" t="s">
        <v>27</v>
      </c>
      <c r="D611" s="2" t="s">
        <v>2220</v>
      </c>
      <c r="E611" s="11" t="s">
        <v>2221</v>
      </c>
      <c r="F611" s="30" t="s">
        <v>1933</v>
      </c>
      <c r="G611" s="125" t="s">
        <v>4037</v>
      </c>
      <c r="H611" s="16">
        <v>45962</v>
      </c>
      <c r="I611" s="115"/>
      <c r="J611" s="115"/>
      <c r="K611" s="115"/>
      <c r="L611" s="115"/>
      <c r="M611" s="115"/>
      <c r="N611" s="115"/>
      <c r="O611" s="115"/>
      <c r="P611" s="115">
        <v>45973</v>
      </c>
      <c r="Q611" s="115" t="s">
        <v>1449</v>
      </c>
      <c r="R611" s="115" t="s">
        <v>3841</v>
      </c>
      <c r="S611" s="115"/>
      <c r="T611" s="7" t="s">
        <v>22</v>
      </c>
      <c r="U611" s="315" t="s">
        <v>3587</v>
      </c>
      <c r="V611" s="16">
        <v>45965</v>
      </c>
      <c r="W611" s="16">
        <v>45973</v>
      </c>
      <c r="X611" s="336" t="s">
        <v>3954</v>
      </c>
      <c r="Y611" s="100"/>
      <c r="Z611" s="30" t="s">
        <v>54</v>
      </c>
      <c r="AA611" s="8">
        <v>46021</v>
      </c>
      <c r="AB611" s="10"/>
      <c r="AC611" s="10"/>
      <c r="AD611" s="21"/>
      <c r="AE611" s="22">
        <f>8330139/3</f>
        <v>2776713</v>
      </c>
      <c r="AF611" s="21"/>
      <c r="AG611" s="45"/>
      <c r="AH611" s="10">
        <f>8330139/3</f>
        <v>2776713</v>
      </c>
    </row>
    <row r="612" spans="1:34" s="9" customFormat="1" ht="75.75" thickBot="1">
      <c r="A612" s="9">
        <f t="shared" ca="1" si="19"/>
        <v>232</v>
      </c>
      <c r="B612" s="31">
        <v>45833</v>
      </c>
      <c r="C612" s="2" t="s">
        <v>27</v>
      </c>
      <c r="D612" s="2" t="s">
        <v>2220</v>
      </c>
      <c r="E612" s="11" t="s">
        <v>2221</v>
      </c>
      <c r="F612" s="30" t="s">
        <v>1933</v>
      </c>
      <c r="G612" s="125" t="s">
        <v>4036</v>
      </c>
      <c r="H612" s="16">
        <v>45962</v>
      </c>
      <c r="I612" s="115"/>
      <c r="J612" s="115"/>
      <c r="K612" s="115"/>
      <c r="L612" s="115"/>
      <c r="M612" s="115"/>
      <c r="N612" s="115"/>
      <c r="O612" s="115"/>
      <c r="P612" s="115">
        <v>45989</v>
      </c>
      <c r="Q612" s="115" t="s">
        <v>1449</v>
      </c>
      <c r="R612" s="115">
        <v>45995</v>
      </c>
      <c r="S612" s="115"/>
      <c r="T612" s="7" t="s">
        <v>22</v>
      </c>
      <c r="U612" s="316" t="s">
        <v>3669</v>
      </c>
      <c r="V612" s="16">
        <v>45975</v>
      </c>
      <c r="W612" s="16">
        <v>45981</v>
      </c>
      <c r="X612" s="4"/>
      <c r="Y612" s="100"/>
      <c r="Z612" s="30" t="s">
        <v>54</v>
      </c>
      <c r="AA612" s="8">
        <v>46028</v>
      </c>
      <c r="AB612" s="10"/>
      <c r="AC612" s="10"/>
      <c r="AD612" s="21"/>
      <c r="AE612" s="22">
        <f>10650882.1/2</f>
        <v>5325441.05</v>
      </c>
      <c r="AF612" s="21"/>
      <c r="AG612" s="45"/>
      <c r="AH612" s="116">
        <f>10650882.1/2</f>
        <v>5325441.05</v>
      </c>
    </row>
    <row r="613" spans="1:34" s="9" customFormat="1" ht="105.75" thickBot="1">
      <c r="A613" s="9">
        <f t="shared" ca="1" si="19"/>
        <v>202</v>
      </c>
      <c r="B613" s="31">
        <v>45833</v>
      </c>
      <c r="C613" s="2" t="s">
        <v>27</v>
      </c>
      <c r="D613" s="2" t="s">
        <v>2220</v>
      </c>
      <c r="E613" s="11" t="s">
        <v>2221</v>
      </c>
      <c r="F613" s="30" t="s">
        <v>1933</v>
      </c>
      <c r="G613" s="125" t="s">
        <v>4038</v>
      </c>
      <c r="H613" s="16">
        <v>45992</v>
      </c>
      <c r="I613" s="115"/>
      <c r="J613" s="115"/>
      <c r="K613" s="115"/>
      <c r="L613" s="115"/>
      <c r="M613" s="115"/>
      <c r="N613" s="115"/>
      <c r="O613" s="115"/>
      <c r="P613" s="115">
        <v>45973</v>
      </c>
      <c r="Q613" s="115" t="s">
        <v>1449</v>
      </c>
      <c r="R613" s="115" t="s">
        <v>3841</v>
      </c>
      <c r="S613" s="115"/>
      <c r="T613" s="7" t="s">
        <v>22</v>
      </c>
      <c r="U613" s="315" t="s">
        <v>3587</v>
      </c>
      <c r="V613" s="16">
        <v>45965</v>
      </c>
      <c r="W613" s="16">
        <v>45973</v>
      </c>
      <c r="X613" s="336" t="s">
        <v>3954</v>
      </c>
      <c r="Y613" s="100"/>
      <c r="Z613" s="30" t="s">
        <v>54</v>
      </c>
      <c r="AA613" s="8">
        <v>46021</v>
      </c>
      <c r="AB613" s="10"/>
      <c r="AC613" s="10"/>
      <c r="AD613" s="21"/>
      <c r="AE613" s="22">
        <f>8330139/3</f>
        <v>2776713</v>
      </c>
      <c r="AF613" s="21"/>
      <c r="AG613" s="45"/>
      <c r="AH613" s="10">
        <f>8330139/3</f>
        <v>2776713</v>
      </c>
    </row>
    <row r="614" spans="1:34" s="9" customFormat="1" ht="238.5" customHeight="1" thickBot="1">
      <c r="A614" s="150">
        <f t="shared" ca="1" si="19"/>
        <v>202</v>
      </c>
      <c r="B614" s="147">
        <v>45833</v>
      </c>
      <c r="C614" s="34" t="s">
        <v>27</v>
      </c>
      <c r="D614" s="34" t="s">
        <v>2220</v>
      </c>
      <c r="E614" s="148" t="s">
        <v>2221</v>
      </c>
      <c r="F614" s="125" t="s">
        <v>1933</v>
      </c>
      <c r="G614" s="125" t="s">
        <v>4034</v>
      </c>
      <c r="H614" s="6">
        <v>45992</v>
      </c>
      <c r="I614" s="115"/>
      <c r="J614" s="115"/>
      <c r="K614" s="115"/>
      <c r="L614" s="115"/>
      <c r="M614" s="115"/>
      <c r="N614" s="115"/>
      <c r="O614" s="115"/>
      <c r="P614" s="115">
        <v>45989</v>
      </c>
      <c r="Q614" s="115" t="s">
        <v>1449</v>
      </c>
      <c r="R614" s="115">
        <v>45995</v>
      </c>
      <c r="S614" s="115"/>
      <c r="T614" s="7" t="s">
        <v>22</v>
      </c>
      <c r="U614" s="316" t="s">
        <v>3669</v>
      </c>
      <c r="V614" s="16">
        <v>45975</v>
      </c>
      <c r="W614" s="16">
        <v>45981</v>
      </c>
      <c r="X614" s="4"/>
      <c r="Y614" s="100"/>
      <c r="Z614" s="30" t="s">
        <v>54</v>
      </c>
      <c r="AA614" s="8">
        <v>46028</v>
      </c>
      <c r="AB614" s="10"/>
      <c r="AC614" s="10"/>
      <c r="AD614" s="21"/>
      <c r="AE614" s="22">
        <f>10650882.1/2</f>
        <v>5325441.05</v>
      </c>
      <c r="AF614" s="21"/>
      <c r="AG614" s="45"/>
      <c r="AH614" s="116">
        <f>10650882.1/2</f>
        <v>5325441.05</v>
      </c>
    </row>
    <row r="615" spans="1:34" s="9" customFormat="1" ht="122.25" customHeight="1" thickBot="1">
      <c r="A615" s="348">
        <f t="shared" ca="1" si="19"/>
        <v>167</v>
      </c>
      <c r="B615" s="31">
        <v>45939</v>
      </c>
      <c r="C615" s="11" t="s">
        <v>27</v>
      </c>
      <c r="D615" s="2" t="s">
        <v>3358</v>
      </c>
      <c r="E615" s="11" t="s">
        <v>3354</v>
      </c>
      <c r="F615" s="30" t="s">
        <v>1933</v>
      </c>
      <c r="G615" s="30" t="s">
        <v>3853</v>
      </c>
      <c r="H615" s="16">
        <v>46027</v>
      </c>
      <c r="I615" s="115"/>
      <c r="J615" s="115">
        <v>45945</v>
      </c>
      <c r="K615" s="115"/>
      <c r="L615" s="115"/>
      <c r="M615" s="115"/>
      <c r="N615" s="115"/>
      <c r="O615" s="115"/>
      <c r="P615" s="115">
        <v>45989</v>
      </c>
      <c r="Q615" s="115"/>
      <c r="R615" s="115">
        <v>45995</v>
      </c>
      <c r="S615" s="115">
        <v>46031</v>
      </c>
      <c r="T615" s="7" t="s">
        <v>22</v>
      </c>
      <c r="U615" s="316" t="s">
        <v>3669</v>
      </c>
      <c r="V615" s="16">
        <v>45975</v>
      </c>
      <c r="W615" s="16">
        <v>45981</v>
      </c>
      <c r="X615" s="4"/>
      <c r="Y615" s="100"/>
      <c r="Z615" s="30" t="s">
        <v>3352</v>
      </c>
      <c r="AA615" s="8">
        <v>46028</v>
      </c>
      <c r="AB615" s="10"/>
      <c r="AC615" s="10"/>
      <c r="AD615" s="21"/>
      <c r="AE615" s="29">
        <v>454300.9</v>
      </c>
      <c r="AF615" s="21"/>
      <c r="AG615" s="45"/>
      <c r="AH615" s="116">
        <v>454300.9</v>
      </c>
    </row>
    <row r="616" spans="1:34" s="9" customFormat="1" ht="122.25" customHeight="1">
      <c r="A616" s="9">
        <f t="shared" ca="1" si="19"/>
        <v>232</v>
      </c>
      <c r="B616" s="31">
        <v>45848</v>
      </c>
      <c r="C616" s="2" t="s">
        <v>27</v>
      </c>
      <c r="D616" s="2" t="s">
        <v>2264</v>
      </c>
      <c r="E616" s="11" t="s">
        <v>2265</v>
      </c>
      <c r="F616" s="30" t="s">
        <v>74</v>
      </c>
      <c r="G616" s="30" t="s">
        <v>3292</v>
      </c>
      <c r="H616" s="16">
        <v>45962</v>
      </c>
      <c r="I616" s="115"/>
      <c r="J616" s="115"/>
      <c r="K616" s="115"/>
      <c r="L616" s="115"/>
      <c r="M616" s="115"/>
      <c r="N616" s="115"/>
      <c r="O616" s="115"/>
      <c r="P616" s="115">
        <v>46013</v>
      </c>
      <c r="Q616" s="16" t="s">
        <v>1449</v>
      </c>
      <c r="R616" s="115">
        <v>46041</v>
      </c>
      <c r="S616" s="115">
        <v>46042</v>
      </c>
      <c r="T616" s="7" t="s">
        <v>22</v>
      </c>
      <c r="U616" s="344" t="s">
        <v>4093</v>
      </c>
      <c r="V616" s="16">
        <v>46010</v>
      </c>
      <c r="W616" s="182" t="s">
        <v>4123</v>
      </c>
      <c r="X616" s="4"/>
      <c r="Y616" s="100"/>
      <c r="Z616" s="30" t="s">
        <v>54</v>
      </c>
      <c r="AA616" s="8">
        <v>46012</v>
      </c>
      <c r="AB616" s="10"/>
      <c r="AC616" s="10"/>
      <c r="AD616" s="21"/>
      <c r="AE616" s="29">
        <v>452375.08</v>
      </c>
      <c r="AF616" s="21"/>
      <c r="AG616" s="45"/>
      <c r="AH616" s="116">
        <v>452375.08</v>
      </c>
    </row>
    <row r="617" spans="1:34" s="9" customFormat="1" ht="93.75">
      <c r="A617" s="9">
        <f t="shared" ca="1" si="19"/>
        <v>232</v>
      </c>
      <c r="B617" s="31">
        <v>45853</v>
      </c>
      <c r="C617" s="11" t="s">
        <v>24</v>
      </c>
      <c r="D617" s="2" t="s">
        <v>2398</v>
      </c>
      <c r="E617" s="11" t="s">
        <v>2399</v>
      </c>
      <c r="F617" s="30" t="s">
        <v>154</v>
      </c>
      <c r="G617" s="30" t="s">
        <v>2466</v>
      </c>
      <c r="H617" s="16">
        <v>45962</v>
      </c>
      <c r="I617" s="115">
        <v>45853</v>
      </c>
      <c r="J617" s="115">
        <v>45853</v>
      </c>
      <c r="K617" s="115">
        <v>45856</v>
      </c>
      <c r="L617" s="115"/>
      <c r="M617" s="115">
        <v>45929</v>
      </c>
      <c r="N617" s="115">
        <v>45978</v>
      </c>
      <c r="O617" s="115"/>
      <c r="P617" s="115">
        <v>45987</v>
      </c>
      <c r="Q617" s="115">
        <v>45986</v>
      </c>
      <c r="R617" s="115"/>
      <c r="S617" s="115"/>
      <c r="T617" s="7" t="s">
        <v>25</v>
      </c>
      <c r="U617" s="16" t="s">
        <v>3960</v>
      </c>
      <c r="V617" s="16">
        <v>46002</v>
      </c>
      <c r="W617" s="16" t="s">
        <v>4282</v>
      </c>
      <c r="X617" s="4" t="s">
        <v>4165</v>
      </c>
      <c r="Y617" s="100"/>
      <c r="Z617" s="30" t="s">
        <v>113</v>
      </c>
      <c r="AA617" s="8">
        <v>46032</v>
      </c>
      <c r="AB617" s="10"/>
      <c r="AC617" s="22">
        <v>4200</v>
      </c>
      <c r="AD617" s="65"/>
      <c r="AE617" s="21"/>
      <c r="AF617" s="21"/>
      <c r="AG617" s="45"/>
      <c r="AH617" s="21">
        <v>4200</v>
      </c>
    </row>
    <row r="618" spans="1:34" s="9" customFormat="1" ht="93.75">
      <c r="A618" s="9">
        <f t="shared" ca="1" si="19"/>
        <v>205</v>
      </c>
      <c r="B618" s="31">
        <v>45947</v>
      </c>
      <c r="C618" s="11" t="s">
        <v>27</v>
      </c>
      <c r="D618" s="2" t="s">
        <v>3471</v>
      </c>
      <c r="E618" s="11" t="s">
        <v>3472</v>
      </c>
      <c r="F618" s="30" t="s">
        <v>3473</v>
      </c>
      <c r="G618" s="30" t="s">
        <v>3474</v>
      </c>
      <c r="H618" s="16">
        <v>45989</v>
      </c>
      <c r="I618" s="115">
        <v>45953</v>
      </c>
      <c r="J618" s="115">
        <v>45953</v>
      </c>
      <c r="K618" s="115"/>
      <c r="L618" s="115"/>
      <c r="M618" s="115">
        <v>45971</v>
      </c>
      <c r="N618" s="115" t="s">
        <v>3880</v>
      </c>
      <c r="O618" s="115"/>
      <c r="P618" s="115" t="s">
        <v>3790</v>
      </c>
      <c r="Q618" s="16"/>
      <c r="R618" s="115">
        <v>46043</v>
      </c>
      <c r="S618" s="115"/>
      <c r="T618" s="7" t="s">
        <v>22</v>
      </c>
      <c r="U618" t="s">
        <v>3915</v>
      </c>
      <c r="V618" s="16">
        <v>46000</v>
      </c>
      <c r="W618" s="16">
        <v>46027</v>
      </c>
      <c r="X618" s="4" t="s">
        <v>4081</v>
      </c>
      <c r="Y618" s="100"/>
      <c r="Z618" s="30" t="s">
        <v>61</v>
      </c>
      <c r="AA618" s="8">
        <v>45961</v>
      </c>
      <c r="AB618" s="10"/>
      <c r="AC618" s="10"/>
      <c r="AD618" s="21"/>
      <c r="AE618" s="29">
        <v>82500</v>
      </c>
      <c r="AF618" s="21"/>
      <c r="AG618" s="45"/>
      <c r="AH618" s="116">
        <v>82500</v>
      </c>
    </row>
    <row r="619" spans="1:34" s="9" customFormat="1" ht="86.25" customHeight="1">
      <c r="A619" s="9">
        <f t="shared" ca="1" si="19"/>
        <v>202</v>
      </c>
      <c r="B619" s="31">
        <v>45933</v>
      </c>
      <c r="C619" s="11" t="s">
        <v>24</v>
      </c>
      <c r="D619" s="2" t="s">
        <v>3241</v>
      </c>
      <c r="E619" s="11" t="s">
        <v>3242</v>
      </c>
      <c r="F619" s="30" t="s">
        <v>2156</v>
      </c>
      <c r="G619" s="30" t="s">
        <v>3243</v>
      </c>
      <c r="H619" s="16">
        <v>45992</v>
      </c>
      <c r="I619" s="115">
        <v>45933</v>
      </c>
      <c r="J619" s="115">
        <v>45936</v>
      </c>
      <c r="K619" s="115">
        <v>45933</v>
      </c>
      <c r="L619" s="115"/>
      <c r="M619" s="115">
        <v>45976</v>
      </c>
      <c r="N619" s="115"/>
      <c r="O619" s="115"/>
      <c r="P619" s="115">
        <v>45982</v>
      </c>
      <c r="Q619" s="115">
        <v>45982</v>
      </c>
      <c r="R619" s="115"/>
      <c r="S619" s="115"/>
      <c r="T619" s="7" t="s">
        <v>22</v>
      </c>
      <c r="U619" s="2" t="s">
        <v>3773</v>
      </c>
      <c r="V619" s="16">
        <v>45983</v>
      </c>
      <c r="W619" s="16" t="s">
        <v>3965</v>
      </c>
      <c r="X619" s="4" t="s">
        <v>4023</v>
      </c>
      <c r="Y619" s="100"/>
      <c r="Z619" s="30" t="s">
        <v>265</v>
      </c>
      <c r="AA619" s="8">
        <v>46051</v>
      </c>
      <c r="AB619" s="10"/>
      <c r="AC619" s="22">
        <v>23040</v>
      </c>
      <c r="AD619" s="21"/>
      <c r="AE619" s="21"/>
      <c r="AF619" s="21"/>
      <c r="AG619" s="45"/>
      <c r="AH619" s="116">
        <v>23040</v>
      </c>
    </row>
    <row r="620" spans="1:34" s="9" customFormat="1" ht="56.25">
      <c r="A620" s="9">
        <f t="shared" ca="1" si="19"/>
        <v>202</v>
      </c>
      <c r="B620" s="31">
        <v>45793</v>
      </c>
      <c r="C620" s="2" t="s">
        <v>694</v>
      </c>
      <c r="D620" s="2" t="s">
        <v>1826</v>
      </c>
      <c r="E620" s="11" t="s">
        <v>1828</v>
      </c>
      <c r="F620" s="30" t="s">
        <v>1830</v>
      </c>
      <c r="G620" s="30" t="s">
        <v>2630</v>
      </c>
      <c r="H620" s="16">
        <v>45992</v>
      </c>
      <c r="I620" s="115">
        <v>45790</v>
      </c>
      <c r="J620" s="115">
        <v>45790</v>
      </c>
      <c r="K620" s="115">
        <v>45790</v>
      </c>
      <c r="L620" s="115"/>
      <c r="M620" s="115" t="s">
        <v>878</v>
      </c>
      <c r="N620" s="115" t="s">
        <v>3617</v>
      </c>
      <c r="O620" s="115"/>
      <c r="P620" s="115"/>
      <c r="Q620" s="115">
        <v>46001</v>
      </c>
      <c r="R620" s="115">
        <v>46014</v>
      </c>
      <c r="S620" s="115">
        <v>46021</v>
      </c>
      <c r="T620" s="7" t="s">
        <v>22</v>
      </c>
      <c r="U620" s="15" t="s">
        <v>3945</v>
      </c>
      <c r="V620" s="16">
        <v>45981</v>
      </c>
      <c r="W620" s="16">
        <v>46009</v>
      </c>
      <c r="X620" s="340" t="s">
        <v>3800</v>
      </c>
      <c r="Y620" s="100"/>
      <c r="Z620" s="30" t="s">
        <v>717</v>
      </c>
      <c r="AA620" s="8">
        <v>46041</v>
      </c>
      <c r="AB620" s="22">
        <v>315733.95</v>
      </c>
      <c r="AC620" s="10"/>
      <c r="AD620" s="21"/>
      <c r="AE620" s="21"/>
      <c r="AF620" s="21"/>
      <c r="AG620" s="45"/>
      <c r="AH620" s="23">
        <v>315733.95</v>
      </c>
    </row>
    <row r="621" spans="1:34" s="9" customFormat="1" ht="57" thickBot="1">
      <c r="A621" s="9">
        <f t="shared" ca="1" si="19"/>
        <v>202</v>
      </c>
      <c r="B621" s="31">
        <v>45947</v>
      </c>
      <c r="C621" s="11" t="s">
        <v>27</v>
      </c>
      <c r="D621" s="2" t="s">
        <v>3461</v>
      </c>
      <c r="E621" s="11" t="s">
        <v>3462</v>
      </c>
      <c r="F621" s="30" t="s">
        <v>147</v>
      </c>
      <c r="G621" s="30" t="s">
        <v>3463</v>
      </c>
      <c r="H621" s="16">
        <v>45992</v>
      </c>
      <c r="I621" s="115">
        <v>45952</v>
      </c>
      <c r="J621" s="115">
        <v>45953</v>
      </c>
      <c r="K621" s="115"/>
      <c r="L621" s="115"/>
      <c r="M621" s="115">
        <v>45959</v>
      </c>
      <c r="N621" s="115"/>
      <c r="O621" s="115"/>
      <c r="P621" s="115">
        <v>45980</v>
      </c>
      <c r="Q621" s="16"/>
      <c r="R621" s="115"/>
      <c r="S621" s="115"/>
      <c r="T621" s="7" t="s">
        <v>1767</v>
      </c>
      <c r="U621" s="16" t="s">
        <v>3814</v>
      </c>
      <c r="V621" s="16">
        <v>45989</v>
      </c>
      <c r="W621" s="16">
        <v>46014</v>
      </c>
      <c r="X621" s="4" t="s">
        <v>3959</v>
      </c>
      <c r="Y621" s="100"/>
      <c r="Z621" s="30" t="s">
        <v>54</v>
      </c>
      <c r="AA621" s="8">
        <v>46035</v>
      </c>
      <c r="AB621" s="10"/>
      <c r="AC621" s="22">
        <v>5700</v>
      </c>
      <c r="AD621" s="21"/>
      <c r="AE621" s="21"/>
      <c r="AF621" s="21"/>
      <c r="AG621" s="45"/>
      <c r="AH621" s="116">
        <v>5700</v>
      </c>
    </row>
    <row r="622" spans="1:34" s="9" customFormat="1" ht="122.25" customHeight="1">
      <c r="A622" s="9">
        <f t="shared" ca="1" si="19"/>
        <v>232</v>
      </c>
      <c r="B622" s="31">
        <v>45908</v>
      </c>
      <c r="C622" s="11" t="s">
        <v>27</v>
      </c>
      <c r="D622" s="2" t="s">
        <v>2927</v>
      </c>
      <c r="E622" s="11" t="s">
        <v>2928</v>
      </c>
      <c r="F622" s="30" t="s">
        <v>74</v>
      </c>
      <c r="G622" s="30" t="s">
        <v>3955</v>
      </c>
      <c r="H622" s="16">
        <v>45962</v>
      </c>
      <c r="I622" s="115"/>
      <c r="J622" s="115"/>
      <c r="K622" s="115"/>
      <c r="L622" s="115"/>
      <c r="M622" s="115"/>
      <c r="N622" s="115"/>
      <c r="O622" s="115"/>
      <c r="P622" s="115"/>
      <c r="Q622" s="115"/>
      <c r="R622" s="115">
        <v>46041</v>
      </c>
      <c r="S622" s="115"/>
      <c r="T622" s="7" t="s">
        <v>22</v>
      </c>
      <c r="U622" s="344" t="s">
        <v>4093</v>
      </c>
      <c r="V622" s="16">
        <v>45974</v>
      </c>
      <c r="W622" s="182" t="s">
        <v>4123</v>
      </c>
      <c r="X622" s="4"/>
      <c r="Y622" s="100"/>
      <c r="Z622" s="30" t="s">
        <v>3956</v>
      </c>
      <c r="AA622" s="8">
        <v>46052</v>
      </c>
      <c r="AB622" s="10"/>
      <c r="AC622" s="10"/>
      <c r="AD622" s="21"/>
      <c r="AE622" s="22">
        <v>341810.64</v>
      </c>
      <c r="AF622" s="21"/>
      <c r="AG622" s="45"/>
      <c r="AH622" s="116">
        <v>341810.64</v>
      </c>
    </row>
    <row r="623" spans="1:34" s="9" customFormat="1" ht="122.25" customHeight="1">
      <c r="A623" s="9">
        <f t="shared" ca="1" si="19"/>
        <v>193</v>
      </c>
      <c r="B623" s="31">
        <v>45919</v>
      </c>
      <c r="C623" s="11" t="s">
        <v>24</v>
      </c>
      <c r="D623" s="2" t="s">
        <v>3047</v>
      </c>
      <c r="E623" s="11" t="s">
        <v>3048</v>
      </c>
      <c r="F623" s="30" t="s">
        <v>98</v>
      </c>
      <c r="G623" s="30" t="s">
        <v>3129</v>
      </c>
      <c r="H623" s="16">
        <v>46001</v>
      </c>
      <c r="I623" s="115">
        <v>45919</v>
      </c>
      <c r="J623" s="115">
        <v>45919</v>
      </c>
      <c r="K623" s="115">
        <v>45933</v>
      </c>
      <c r="L623" s="115"/>
      <c r="M623" s="115"/>
      <c r="N623" s="115"/>
      <c r="O623" s="115"/>
      <c r="P623" s="115">
        <v>45988</v>
      </c>
      <c r="Q623" s="115">
        <v>45988</v>
      </c>
      <c r="R623" s="115" t="s">
        <v>4021</v>
      </c>
      <c r="S623" s="115"/>
      <c r="T623" s="7" t="s">
        <v>22</v>
      </c>
      <c r="U623" s="2" t="s">
        <v>3888</v>
      </c>
      <c r="V623" s="16" t="s">
        <v>3813</v>
      </c>
      <c r="W623" s="16" t="s">
        <v>3987</v>
      </c>
      <c r="X623" s="4" t="s">
        <v>3360</v>
      </c>
      <c r="Y623" s="100"/>
      <c r="Z623" s="30" t="s">
        <v>54</v>
      </c>
      <c r="AA623" s="8">
        <v>46044</v>
      </c>
      <c r="AB623" s="22">
        <v>84261.6</v>
      </c>
      <c r="AC623" s="10"/>
      <c r="AD623" s="21"/>
      <c r="AE623" s="21"/>
      <c r="AF623" s="21"/>
      <c r="AG623" s="45"/>
      <c r="AH623" s="116">
        <v>84261.6</v>
      </c>
    </row>
    <row r="624" spans="1:34" s="9" customFormat="1" ht="37.5">
      <c r="A624" s="9">
        <f t="shared" ca="1" si="19"/>
        <v>202</v>
      </c>
      <c r="B624" s="31">
        <v>45947</v>
      </c>
      <c r="C624" s="11" t="s">
        <v>24</v>
      </c>
      <c r="D624" s="2" t="s">
        <v>3459</v>
      </c>
      <c r="E624" s="11" t="s">
        <v>3460</v>
      </c>
      <c r="F624" s="30" t="s">
        <v>2169</v>
      </c>
      <c r="G624" s="30" t="s">
        <v>3488</v>
      </c>
      <c r="H624" s="16">
        <v>45992</v>
      </c>
      <c r="I624" s="115">
        <v>45947</v>
      </c>
      <c r="J624" s="115">
        <v>45952</v>
      </c>
      <c r="K624" s="115">
        <v>45951</v>
      </c>
      <c r="L624" s="115"/>
      <c r="M624" s="115">
        <v>45964</v>
      </c>
      <c r="N624" s="115" t="s">
        <v>3691</v>
      </c>
      <c r="O624" s="115"/>
      <c r="P624" s="115">
        <v>45978</v>
      </c>
      <c r="Q624" s="115">
        <v>45978</v>
      </c>
      <c r="R624" s="115" t="s">
        <v>3787</v>
      </c>
      <c r="S624" s="115"/>
      <c r="T624" s="7" t="s">
        <v>25</v>
      </c>
      <c r="U624" s="2" t="s">
        <v>3769</v>
      </c>
      <c r="V624" s="16">
        <v>45971</v>
      </c>
      <c r="W624" s="16">
        <v>45975</v>
      </c>
      <c r="X624" s="4"/>
      <c r="Y624" s="100"/>
      <c r="Z624" s="30" t="s">
        <v>103</v>
      </c>
      <c r="AA624" s="8">
        <v>46057</v>
      </c>
      <c r="AB624" s="10"/>
      <c r="AC624" s="22">
        <v>3341.52</v>
      </c>
      <c r="AD624" s="21"/>
      <c r="AE624" s="21"/>
      <c r="AF624" s="21"/>
      <c r="AG624" s="45"/>
      <c r="AH624" s="116">
        <v>3341.52</v>
      </c>
    </row>
    <row r="625" spans="1:34" s="9" customFormat="1" ht="122.25" customHeight="1">
      <c r="A625" s="9">
        <f t="shared" ca="1" si="19"/>
        <v>201</v>
      </c>
      <c r="B625" s="31">
        <v>45916</v>
      </c>
      <c r="C625" s="11" t="s">
        <v>24</v>
      </c>
      <c r="D625" s="2" t="s">
        <v>3005</v>
      </c>
      <c r="E625" s="11" t="s">
        <v>3006</v>
      </c>
      <c r="F625" s="30" t="s">
        <v>102</v>
      </c>
      <c r="G625" s="30" t="s">
        <v>3007</v>
      </c>
      <c r="H625" s="16">
        <v>45993</v>
      </c>
      <c r="I625" s="115">
        <v>45916</v>
      </c>
      <c r="J625" s="115">
        <v>45916</v>
      </c>
      <c r="K625" s="115">
        <v>45917</v>
      </c>
      <c r="L625" s="115"/>
      <c r="M625" s="115" t="s">
        <v>3194</v>
      </c>
      <c r="N625" s="115"/>
      <c r="O625" s="115"/>
      <c r="P625" s="115">
        <v>45979</v>
      </c>
      <c r="Q625" s="115">
        <v>45979</v>
      </c>
      <c r="R625" s="115" t="s">
        <v>3962</v>
      </c>
      <c r="S625" s="115"/>
      <c r="T625" s="7" t="s">
        <v>28</v>
      </c>
      <c r="U625" s="2" t="s">
        <v>3727</v>
      </c>
      <c r="V625" s="16">
        <v>45968</v>
      </c>
      <c r="W625" s="16">
        <v>46004</v>
      </c>
      <c r="X625" s="4" t="s">
        <v>3610</v>
      </c>
      <c r="Y625" s="100"/>
      <c r="Z625" s="30" t="s">
        <v>103</v>
      </c>
      <c r="AA625" s="8">
        <v>46057</v>
      </c>
      <c r="AB625" s="10"/>
      <c r="AC625" s="10"/>
      <c r="AD625" s="29">
        <v>114205.49</v>
      </c>
      <c r="AE625" s="21"/>
      <c r="AF625" s="21"/>
      <c r="AG625" s="45"/>
      <c r="AH625" s="116">
        <v>114205.49</v>
      </c>
    </row>
    <row r="626" spans="1:34" s="9" customFormat="1" ht="122.25" customHeight="1">
      <c r="A626" s="9">
        <f t="shared" ca="1" si="19"/>
        <v>193</v>
      </c>
      <c r="B626" s="31">
        <v>45919</v>
      </c>
      <c r="C626" s="11" t="s">
        <v>24</v>
      </c>
      <c r="D626" s="2" t="s">
        <v>3043</v>
      </c>
      <c r="E626" s="11" t="s">
        <v>3044</v>
      </c>
      <c r="F626" s="30" t="s">
        <v>95</v>
      </c>
      <c r="G626" s="30" t="s">
        <v>3818</v>
      </c>
      <c r="H626" s="16">
        <v>46001</v>
      </c>
      <c r="I626" s="115">
        <v>45919</v>
      </c>
      <c r="J626" s="115">
        <v>45919</v>
      </c>
      <c r="K626" s="115">
        <v>45922</v>
      </c>
      <c r="L626" s="115"/>
      <c r="M626" s="115"/>
      <c r="N626" s="115"/>
      <c r="O626" s="115"/>
      <c r="P626" s="115">
        <v>45978</v>
      </c>
      <c r="Q626" s="115">
        <v>45978</v>
      </c>
      <c r="R626" s="115" t="s">
        <v>3962</v>
      </c>
      <c r="S626" s="115"/>
      <c r="T626" s="7" t="s">
        <v>22</v>
      </c>
      <c r="U626" s="2" t="s">
        <v>3300</v>
      </c>
      <c r="V626" s="16" t="s">
        <v>3741</v>
      </c>
      <c r="W626" s="16" t="s">
        <v>3922</v>
      </c>
      <c r="X626" s="4" t="s">
        <v>3689</v>
      </c>
      <c r="Y626" s="100"/>
      <c r="Z626" s="30" t="s">
        <v>54</v>
      </c>
      <c r="AA626" s="8">
        <v>46034</v>
      </c>
      <c r="AB626" s="10"/>
      <c r="AC626" s="22">
        <v>117938.88</v>
      </c>
      <c r="AD626" s="21"/>
      <c r="AE626" s="21"/>
      <c r="AF626" s="21"/>
      <c r="AG626" s="45"/>
      <c r="AH626" s="116">
        <v>117938.88</v>
      </c>
    </row>
    <row r="627" spans="1:34" s="9" customFormat="1" ht="75">
      <c r="A627" s="9">
        <f t="shared" ca="1" si="19"/>
        <v>371</v>
      </c>
      <c r="B627" s="31">
        <v>45754</v>
      </c>
      <c r="C627" s="2" t="s">
        <v>694</v>
      </c>
      <c r="D627" s="2" t="s">
        <v>1466</v>
      </c>
      <c r="E627" s="11" t="s">
        <v>1467</v>
      </c>
      <c r="F627" s="30" t="s">
        <v>1468</v>
      </c>
      <c r="G627" s="30" t="s">
        <v>3497</v>
      </c>
      <c r="H627" s="16">
        <v>45823</v>
      </c>
      <c r="I627" s="115"/>
      <c r="J627" s="115"/>
      <c r="K627" s="115"/>
      <c r="L627" s="115"/>
      <c r="M627" s="115"/>
      <c r="N627" s="115"/>
      <c r="O627" s="115"/>
      <c r="P627" s="115"/>
      <c r="Q627" s="115">
        <v>46014</v>
      </c>
      <c r="R627" s="115">
        <v>46027</v>
      </c>
      <c r="S627" s="115">
        <v>46028</v>
      </c>
      <c r="T627" s="7" t="s">
        <v>22</v>
      </c>
      <c r="U627" s="31" t="s">
        <v>3852</v>
      </c>
      <c r="V627" s="31" t="s">
        <v>3950</v>
      </c>
      <c r="W627" s="16">
        <v>46020</v>
      </c>
      <c r="X627" s="334" t="s">
        <v>4019</v>
      </c>
      <c r="Y627" s="100"/>
      <c r="Z627" s="30" t="s">
        <v>1469</v>
      </c>
      <c r="AA627" s="8">
        <v>46039</v>
      </c>
      <c r="AB627" s="135">
        <v>118566.76</v>
      </c>
      <c r="AC627" s="10"/>
      <c r="AD627" s="21"/>
      <c r="AE627" s="21"/>
      <c r="AF627" s="21"/>
      <c r="AG627" s="45"/>
      <c r="AH627" s="23">
        <v>118566.76</v>
      </c>
    </row>
    <row r="628" spans="1:34" s="9" customFormat="1" ht="122.25" customHeight="1">
      <c r="A628" s="9">
        <f t="shared" ca="1" si="19"/>
        <v>232</v>
      </c>
      <c r="B628" s="31">
        <v>45833</v>
      </c>
      <c r="C628" s="11" t="s">
        <v>694</v>
      </c>
      <c r="D628" s="2" t="s">
        <v>2141</v>
      </c>
      <c r="E628" s="11" t="s">
        <v>2142</v>
      </c>
      <c r="F628" s="30" t="s">
        <v>737</v>
      </c>
      <c r="G628" s="30" t="s">
        <v>3079</v>
      </c>
      <c r="H628" s="16">
        <v>45962</v>
      </c>
      <c r="I628" s="115">
        <v>45834</v>
      </c>
      <c r="J628" s="115">
        <v>45834</v>
      </c>
      <c r="K628" s="115">
        <v>45835</v>
      </c>
      <c r="L628" s="115"/>
      <c r="M628" s="115" t="s">
        <v>3618</v>
      </c>
      <c r="N628" s="115" t="s">
        <v>3774</v>
      </c>
      <c r="O628" s="115"/>
      <c r="P628" s="115"/>
      <c r="Q628" s="115">
        <v>45994</v>
      </c>
      <c r="R628" s="115">
        <v>46017</v>
      </c>
      <c r="S628" s="115" t="s">
        <v>4438</v>
      </c>
      <c r="T628" s="7" t="s">
        <v>20</v>
      </c>
      <c r="U628" s="7" t="s">
        <v>3784</v>
      </c>
      <c r="V628" s="16">
        <v>45985</v>
      </c>
      <c r="W628" s="16">
        <v>46018</v>
      </c>
      <c r="X628" s="334" t="s">
        <v>3783</v>
      </c>
      <c r="Y628" s="100"/>
      <c r="Z628" s="191" t="s">
        <v>4039</v>
      </c>
      <c r="AA628" s="8">
        <v>46014</v>
      </c>
      <c r="AB628" s="22">
        <f>321300+116100</f>
        <v>437400</v>
      </c>
      <c r="AC628" s="10"/>
      <c r="AD628" s="21"/>
      <c r="AE628" s="21"/>
      <c r="AF628" s="21"/>
      <c r="AG628" s="45"/>
      <c r="AH628" s="10">
        <f>321300+116100</f>
        <v>437400</v>
      </c>
    </row>
    <row r="629" spans="1:34" s="9" customFormat="1" ht="236.25" customHeight="1">
      <c r="A629" s="9">
        <f t="shared" ca="1" si="19"/>
        <v>202</v>
      </c>
      <c r="B629" s="31">
        <v>45862</v>
      </c>
      <c r="C629" s="11" t="s">
        <v>694</v>
      </c>
      <c r="D629" s="2" t="s">
        <v>2451</v>
      </c>
      <c r="E629" s="11" t="s">
        <v>2452</v>
      </c>
      <c r="F629" s="30" t="s">
        <v>105</v>
      </c>
      <c r="G629" s="30" t="s">
        <v>3745</v>
      </c>
      <c r="H629" s="16">
        <v>45992</v>
      </c>
      <c r="I629" s="115">
        <v>45862</v>
      </c>
      <c r="J629" s="115">
        <v>45862</v>
      </c>
      <c r="K629" s="115">
        <v>45863</v>
      </c>
      <c r="L629" s="115"/>
      <c r="M629" s="115" t="s">
        <v>2999</v>
      </c>
      <c r="N629" s="115">
        <v>45975</v>
      </c>
      <c r="O629" s="115"/>
      <c r="P629" s="115"/>
      <c r="Q629" s="115">
        <v>45994</v>
      </c>
      <c r="R629" s="115">
        <v>46008</v>
      </c>
      <c r="S629" s="115" t="s">
        <v>4439</v>
      </c>
      <c r="T629" s="7" t="s">
        <v>22</v>
      </c>
      <c r="U629" s="16" t="s">
        <v>3748</v>
      </c>
      <c r="V629" s="16">
        <v>45981</v>
      </c>
      <c r="W629" s="16">
        <v>46002</v>
      </c>
      <c r="X629" s="334" t="s">
        <v>3868</v>
      </c>
      <c r="Y629" s="100"/>
      <c r="Z629" s="30" t="s">
        <v>29</v>
      </c>
      <c r="AA629" s="8">
        <v>46043</v>
      </c>
      <c r="AB629" s="22">
        <v>54746.05</v>
      </c>
      <c r="AC629" s="10"/>
      <c r="AD629" s="21"/>
      <c r="AE629" s="10"/>
      <c r="AF629" s="21"/>
      <c r="AG629" s="45"/>
      <c r="AH629" s="116">
        <v>54746.05</v>
      </c>
    </row>
    <row r="630" spans="1:34" s="9" customFormat="1" ht="194.25" customHeight="1">
      <c r="A630" s="9">
        <f t="shared" ca="1" si="19"/>
        <v>202</v>
      </c>
      <c r="B630" s="31">
        <v>45932</v>
      </c>
      <c r="C630" s="2" t="s">
        <v>694</v>
      </c>
      <c r="D630" s="2" t="s">
        <v>3262</v>
      </c>
      <c r="E630" s="11" t="s">
        <v>3263</v>
      </c>
      <c r="F630" s="30" t="s">
        <v>105</v>
      </c>
      <c r="G630" s="30" t="s">
        <v>3872</v>
      </c>
      <c r="H630" s="16">
        <v>45992</v>
      </c>
      <c r="I630" s="115">
        <v>45933</v>
      </c>
      <c r="J630" s="115">
        <v>45936</v>
      </c>
      <c r="K630" s="115">
        <v>45934</v>
      </c>
      <c r="L630" s="115"/>
      <c r="M630" s="115"/>
      <c r="N630" s="115"/>
      <c r="O630" s="115"/>
      <c r="P630" s="115"/>
      <c r="Q630" s="115">
        <v>45985</v>
      </c>
      <c r="R630" s="115" t="s">
        <v>4171</v>
      </c>
      <c r="S630" s="115" t="s">
        <v>4439</v>
      </c>
      <c r="T630" s="16" t="s">
        <v>22</v>
      </c>
      <c r="U630" s="16" t="s">
        <v>3312</v>
      </c>
      <c r="V630" s="16">
        <v>45981</v>
      </c>
      <c r="W630" s="16">
        <v>46000</v>
      </c>
      <c r="X630" s="334" t="s">
        <v>3951</v>
      </c>
      <c r="Y630" s="100"/>
      <c r="Z630" s="30" t="s">
        <v>89</v>
      </c>
      <c r="AA630" s="8">
        <v>46043</v>
      </c>
      <c r="AB630" s="22">
        <v>83851.55</v>
      </c>
      <c r="AC630" s="10"/>
      <c r="AD630" s="21"/>
      <c r="AE630" s="21"/>
      <c r="AF630" s="21"/>
      <c r="AG630" s="45"/>
      <c r="AH630" s="118">
        <v>83851.55</v>
      </c>
    </row>
    <row r="631" spans="1:34" s="9" customFormat="1" ht="86.25" customHeight="1">
      <c r="A631" s="9">
        <f t="shared" ca="1" si="19"/>
        <v>202</v>
      </c>
      <c r="B631" s="31">
        <v>45932</v>
      </c>
      <c r="C631" s="2" t="s">
        <v>694</v>
      </c>
      <c r="D631" s="2" t="s">
        <v>3264</v>
      </c>
      <c r="E631" s="11" t="s">
        <v>3265</v>
      </c>
      <c r="F631" s="30" t="s">
        <v>2084</v>
      </c>
      <c r="G631" s="30" t="s">
        <v>3266</v>
      </c>
      <c r="H631" s="16">
        <v>45992</v>
      </c>
      <c r="I631" s="115">
        <v>45933</v>
      </c>
      <c r="J631" s="115">
        <v>45936</v>
      </c>
      <c r="K631" s="115">
        <v>45937</v>
      </c>
      <c r="L631" s="115"/>
      <c r="M631" s="115"/>
      <c r="N631" s="115"/>
      <c r="O631" s="115"/>
      <c r="P631" s="115"/>
      <c r="Q631" s="115">
        <v>46001</v>
      </c>
      <c r="R631" s="115"/>
      <c r="S631" s="115" t="s">
        <v>4446</v>
      </c>
      <c r="T631" s="7" t="s">
        <v>28</v>
      </c>
      <c r="U631" s="16" t="s">
        <v>4046</v>
      </c>
      <c r="V631" s="16">
        <v>45999</v>
      </c>
      <c r="W631" s="16" t="s">
        <v>4170</v>
      </c>
      <c r="X631" s="4" t="s">
        <v>3986</v>
      </c>
      <c r="Y631" s="100"/>
      <c r="Z631" s="30" t="s">
        <v>54</v>
      </c>
      <c r="AA631" s="8">
        <v>46045</v>
      </c>
      <c r="AB631" s="23"/>
      <c r="AC631" s="22">
        <v>6045.66</v>
      </c>
      <c r="AD631" s="21"/>
      <c r="AE631" s="21"/>
      <c r="AF631" s="21"/>
      <c r="AG631" s="45"/>
      <c r="AH631" s="118">
        <v>6045.66</v>
      </c>
    </row>
    <row r="632" spans="1:34" s="9" customFormat="1" ht="122.25" customHeight="1">
      <c r="B632" s="31">
        <v>45981</v>
      </c>
      <c r="C632" s="11" t="s">
        <v>694</v>
      </c>
      <c r="D632" s="2" t="s">
        <v>3806</v>
      </c>
      <c r="E632" s="11" t="s">
        <v>3807</v>
      </c>
      <c r="F632" s="30" t="s">
        <v>3277</v>
      </c>
      <c r="G632" s="30" t="s">
        <v>3984</v>
      </c>
      <c r="H632" s="16">
        <v>46037</v>
      </c>
      <c r="I632" s="115">
        <v>45982</v>
      </c>
      <c r="J632" s="115">
        <v>45986</v>
      </c>
      <c r="K632" s="115">
        <v>45982</v>
      </c>
      <c r="L632" s="115" t="s">
        <v>878</v>
      </c>
      <c r="M632" s="115">
        <v>46024</v>
      </c>
      <c r="N632" s="115"/>
      <c r="O632" s="115"/>
      <c r="P632" s="115"/>
      <c r="Q632" s="115">
        <v>46013</v>
      </c>
      <c r="R632" s="115" t="s">
        <v>4456</v>
      </c>
      <c r="S632" s="115" t="s">
        <v>4457</v>
      </c>
      <c r="T632" s="7" t="s">
        <v>22</v>
      </c>
      <c r="U632" s="16" t="s">
        <v>4186</v>
      </c>
      <c r="V632" s="16">
        <v>46040</v>
      </c>
      <c r="W632" s="16" t="s">
        <v>4448</v>
      </c>
      <c r="X632" s="4" t="s">
        <v>4185</v>
      </c>
      <c r="Y632" s="100"/>
      <c r="Z632" s="30" t="s">
        <v>55</v>
      </c>
      <c r="AA632" s="8">
        <v>46037</v>
      </c>
      <c r="AB632" s="22">
        <v>37680</v>
      </c>
      <c r="AC632" s="10"/>
      <c r="AD632" s="21"/>
      <c r="AE632" s="21"/>
      <c r="AF632" s="21"/>
      <c r="AG632" s="45"/>
      <c r="AH632" s="116">
        <v>37680</v>
      </c>
    </row>
    <row r="633" spans="1:34" s="9" customFormat="1" ht="122.25" customHeight="1">
      <c r="A633" s="9">
        <f ca="1">TODAY()-H633+1</f>
        <v>117</v>
      </c>
      <c r="B633" s="31">
        <v>45995</v>
      </c>
      <c r="C633" s="11" t="s">
        <v>24</v>
      </c>
      <c r="D633" s="2" t="s">
        <v>3918</v>
      </c>
      <c r="E633" s="11" t="s">
        <v>3919</v>
      </c>
      <c r="F633" s="30" t="s">
        <v>3920</v>
      </c>
      <c r="G633" s="30" t="s">
        <v>3921</v>
      </c>
      <c r="H633" s="16">
        <v>46077</v>
      </c>
      <c r="I633" s="115">
        <v>46000</v>
      </c>
      <c r="J633" s="115">
        <v>46000</v>
      </c>
      <c r="K633" s="115">
        <v>46000</v>
      </c>
      <c r="L633" s="115"/>
      <c r="M633" s="115">
        <v>46001</v>
      </c>
      <c r="N633" s="115" t="s">
        <v>4288</v>
      </c>
      <c r="O633" s="115"/>
      <c r="P633" s="115"/>
      <c r="Q633" s="115">
        <v>46050</v>
      </c>
      <c r="R633" s="115">
        <v>46062</v>
      </c>
      <c r="S633" s="115"/>
      <c r="T633" s="7" t="s">
        <v>25</v>
      </c>
      <c r="U633" s="2" t="s">
        <v>3338</v>
      </c>
      <c r="V633" s="16">
        <v>46051</v>
      </c>
      <c r="W633" s="16">
        <v>46056</v>
      </c>
      <c r="X633" s="4" t="s">
        <v>4287</v>
      </c>
      <c r="Y633" s="100"/>
      <c r="Z633" s="30" t="s">
        <v>3879</v>
      </c>
      <c r="AA633" s="8">
        <v>46013</v>
      </c>
      <c r="AB633" s="22">
        <v>120</v>
      </c>
      <c r="AC633" s="10"/>
      <c r="AD633" s="21"/>
      <c r="AE633" s="21"/>
      <c r="AF633" s="21"/>
      <c r="AG633" s="45"/>
      <c r="AH633" s="116">
        <v>120</v>
      </c>
    </row>
    <row r="634" spans="1:34" s="9" customFormat="1" ht="131.25">
      <c r="A634" s="150">
        <f ca="1">TODAY()-H634+1</f>
        <v>188</v>
      </c>
      <c r="B634" s="31">
        <v>45947</v>
      </c>
      <c r="C634" s="11" t="s">
        <v>27</v>
      </c>
      <c r="D634" s="2" t="s">
        <v>3548</v>
      </c>
      <c r="E634" s="11" t="s">
        <v>3549</v>
      </c>
      <c r="F634" s="30" t="s">
        <v>1124</v>
      </c>
      <c r="G634" s="30" t="s">
        <v>3550</v>
      </c>
      <c r="H634" s="16">
        <v>46006</v>
      </c>
      <c r="I634" s="115"/>
      <c r="J634" s="115">
        <v>45953</v>
      </c>
      <c r="K634" s="115"/>
      <c r="L634" s="115"/>
      <c r="M634" s="115" t="s">
        <v>3711</v>
      </c>
      <c r="N634" s="115" t="s">
        <v>3816</v>
      </c>
      <c r="O634" s="115"/>
      <c r="P634" s="115">
        <v>46000</v>
      </c>
      <c r="Q634" s="16"/>
      <c r="R634" s="115"/>
      <c r="S634" s="115"/>
      <c r="T634" s="7" t="s">
        <v>25</v>
      </c>
      <c r="U634" s="333" t="s">
        <v>3885</v>
      </c>
      <c r="V634" s="16">
        <v>45988</v>
      </c>
      <c r="W634" s="16">
        <v>46017</v>
      </c>
      <c r="X634" t="s">
        <v>3884</v>
      </c>
      <c r="Y634" s="100"/>
      <c r="Z634" s="30" t="s">
        <v>2219</v>
      </c>
      <c r="AA634" s="8">
        <v>46041</v>
      </c>
      <c r="AB634" s="10"/>
      <c r="AC634" s="22">
        <v>102544.5</v>
      </c>
      <c r="AD634" s="21"/>
      <c r="AE634" s="21"/>
      <c r="AF634" s="21"/>
      <c r="AG634" s="45"/>
      <c r="AH634" s="116">
        <v>102544.5</v>
      </c>
    </row>
    <row r="635" spans="1:34" s="9" customFormat="1" ht="122.25" customHeight="1">
      <c r="B635" s="31">
        <v>45947</v>
      </c>
      <c r="C635" s="11" t="s">
        <v>27</v>
      </c>
      <c r="D635" s="2" t="s">
        <v>3522</v>
      </c>
      <c r="E635" s="11" t="s">
        <v>3523</v>
      </c>
      <c r="F635" s="30" t="s">
        <v>79</v>
      </c>
      <c r="G635" s="30" t="s">
        <v>3524</v>
      </c>
      <c r="H635" s="16">
        <v>45989</v>
      </c>
      <c r="I635" s="115"/>
      <c r="J635" s="115">
        <v>45953</v>
      </c>
      <c r="K635" s="115"/>
      <c r="L635" s="115"/>
      <c r="M635" s="115"/>
      <c r="N635" s="115" t="s">
        <v>3755</v>
      </c>
      <c r="O635" s="115"/>
      <c r="P635" s="115">
        <v>46000</v>
      </c>
      <c r="Q635" s="115"/>
      <c r="R635" s="115">
        <v>46034</v>
      </c>
      <c r="S635" s="115"/>
      <c r="T635" s="7" t="s">
        <v>20</v>
      </c>
      <c r="U635" s="15" t="s">
        <v>3909</v>
      </c>
      <c r="V635" s="16">
        <v>45981</v>
      </c>
      <c r="W635" s="16">
        <v>46010</v>
      </c>
      <c r="X635" s="165" t="s">
        <v>3913</v>
      </c>
      <c r="Y635" s="100"/>
      <c r="Z635" s="30" t="s">
        <v>103</v>
      </c>
      <c r="AA635" s="8">
        <v>46059</v>
      </c>
      <c r="AB635" s="10"/>
      <c r="AC635" s="22">
        <v>26584.1</v>
      </c>
      <c r="AD635" s="21"/>
      <c r="AE635" s="21"/>
      <c r="AF635" s="21"/>
      <c r="AG635" s="45"/>
      <c r="AH635" s="116">
        <v>26584.1</v>
      </c>
    </row>
    <row r="636" spans="1:34" s="9" customFormat="1" ht="122.25" customHeight="1">
      <c r="B636" s="31">
        <v>45947</v>
      </c>
      <c r="C636" s="11" t="s">
        <v>27</v>
      </c>
      <c r="D636" s="2" t="s">
        <v>3536</v>
      </c>
      <c r="E636" s="11" t="s">
        <v>3537</v>
      </c>
      <c r="F636" s="30" t="s">
        <v>79</v>
      </c>
      <c r="G636" s="30" t="s">
        <v>3538</v>
      </c>
      <c r="H636" s="16">
        <v>45989</v>
      </c>
      <c r="I636" s="115"/>
      <c r="J636" s="115">
        <v>45953</v>
      </c>
      <c r="K636" s="115"/>
      <c r="L636" s="115"/>
      <c r="M636" s="115"/>
      <c r="N636" s="115" t="s">
        <v>3755</v>
      </c>
      <c r="O636" s="115"/>
      <c r="P636" s="115">
        <v>46000</v>
      </c>
      <c r="Q636" s="115"/>
      <c r="R636" s="115">
        <v>46034</v>
      </c>
      <c r="S636" s="115"/>
      <c r="T636" s="7" t="s">
        <v>20</v>
      </c>
      <c r="U636" s="15" t="s">
        <v>3909</v>
      </c>
      <c r="V636" s="16">
        <v>45981</v>
      </c>
      <c r="W636" s="16">
        <v>46010</v>
      </c>
      <c r="X636" s="320" t="s">
        <v>3912</v>
      </c>
      <c r="Y636" s="100"/>
      <c r="Z636" s="30" t="s">
        <v>103</v>
      </c>
      <c r="AA636" s="8">
        <v>46059</v>
      </c>
      <c r="AB636" s="10"/>
      <c r="AC636" s="22">
        <v>34469.839999999997</v>
      </c>
      <c r="AD636" s="21"/>
      <c r="AE636" s="21"/>
      <c r="AF636" s="21"/>
      <c r="AG636" s="45"/>
      <c r="AH636" s="116">
        <v>34469.839999999997</v>
      </c>
    </row>
    <row r="637" spans="1:34" s="9" customFormat="1" ht="122.25" customHeight="1">
      <c r="B637" s="31">
        <v>45947</v>
      </c>
      <c r="C637" s="11" t="s">
        <v>27</v>
      </c>
      <c r="D637" s="2" t="s">
        <v>3533</v>
      </c>
      <c r="E637" s="11" t="s">
        <v>3534</v>
      </c>
      <c r="F637" s="30" t="s">
        <v>79</v>
      </c>
      <c r="G637" s="30" t="s">
        <v>3535</v>
      </c>
      <c r="H637" s="16">
        <v>45989</v>
      </c>
      <c r="I637" s="115"/>
      <c r="J637" s="115">
        <v>45953</v>
      </c>
      <c r="K637" s="115"/>
      <c r="L637" s="115"/>
      <c r="M637" s="115"/>
      <c r="N637" s="115" t="s">
        <v>3755</v>
      </c>
      <c r="O637" s="115"/>
      <c r="P637" s="115">
        <v>46000</v>
      </c>
      <c r="Q637" s="115"/>
      <c r="R637" s="115">
        <v>46034</v>
      </c>
      <c r="S637" s="115"/>
      <c r="T637" s="7" t="s">
        <v>20</v>
      </c>
      <c r="U637" s="15" t="s">
        <v>3795</v>
      </c>
      <c r="V637" s="16">
        <v>45981</v>
      </c>
      <c r="W637" s="16">
        <v>46010</v>
      </c>
      <c r="X637" s="320" t="s">
        <v>3914</v>
      </c>
      <c r="Y637" s="100"/>
      <c r="Z637" s="30" t="s">
        <v>103</v>
      </c>
      <c r="AA637" s="8">
        <v>46059</v>
      </c>
      <c r="AB637" s="10"/>
      <c r="AC637" s="22">
        <v>27172.1</v>
      </c>
      <c r="AD637" s="21"/>
      <c r="AE637" s="21"/>
      <c r="AF637" s="21"/>
      <c r="AG637" s="45"/>
      <c r="AH637" s="116">
        <v>27172.1</v>
      </c>
    </row>
    <row r="638" spans="1:34" s="9" customFormat="1" ht="122.25" customHeight="1">
      <c r="B638" s="31">
        <v>45936</v>
      </c>
      <c r="C638" s="11" t="s">
        <v>27</v>
      </c>
      <c r="D638" s="34" t="s">
        <v>3581</v>
      </c>
      <c r="E638" s="11" t="s">
        <v>3582</v>
      </c>
      <c r="F638" s="30" t="s">
        <v>79</v>
      </c>
      <c r="G638" s="30" t="s">
        <v>3583</v>
      </c>
      <c r="H638" s="16">
        <v>45989</v>
      </c>
      <c r="I638" s="115"/>
      <c r="J638" s="115">
        <v>45953</v>
      </c>
      <c r="K638" s="115"/>
      <c r="L638" s="115"/>
      <c r="M638" s="115"/>
      <c r="N638" s="115"/>
      <c r="O638" s="115"/>
      <c r="P638" s="115">
        <v>46000</v>
      </c>
      <c r="Q638" s="115"/>
      <c r="R638" s="115">
        <v>46034</v>
      </c>
      <c r="S638" s="115"/>
      <c r="T638" s="7" t="s">
        <v>20</v>
      </c>
      <c r="U638" s="15" t="s">
        <v>3909</v>
      </c>
      <c r="V638" s="16">
        <v>45981</v>
      </c>
      <c r="W638" s="16">
        <v>46010</v>
      </c>
      <c r="X638" s="320" t="s">
        <v>3910</v>
      </c>
      <c r="Y638" s="100"/>
      <c r="Z638" s="30" t="s">
        <v>103</v>
      </c>
      <c r="AA638" s="8">
        <v>46060</v>
      </c>
      <c r="AB638" s="10"/>
      <c r="AC638" s="22">
        <v>33830.42</v>
      </c>
      <c r="AD638" s="21"/>
      <c r="AE638" s="21"/>
      <c r="AF638" s="21"/>
      <c r="AG638" s="45"/>
      <c r="AH638" s="116">
        <v>33830.42</v>
      </c>
    </row>
    <row r="639" spans="1:34" s="9" customFormat="1" ht="94.5" thickBot="1">
      <c r="A639" s="9">
        <f ca="1">TODAY()-H639+1</f>
        <v>193</v>
      </c>
      <c r="B639" s="31">
        <v>45708</v>
      </c>
      <c r="C639" s="2" t="s">
        <v>694</v>
      </c>
      <c r="D639" s="2" t="s">
        <v>917</v>
      </c>
      <c r="E639" s="11" t="s">
        <v>918</v>
      </c>
      <c r="F639" s="30" t="s">
        <v>173</v>
      </c>
      <c r="G639" s="30" t="s">
        <v>3647</v>
      </c>
      <c r="H639" s="16">
        <v>46001</v>
      </c>
      <c r="I639" s="115"/>
      <c r="J639" s="115"/>
      <c r="K639" s="115"/>
      <c r="L639" s="115"/>
      <c r="M639" s="115"/>
      <c r="N639" s="115"/>
      <c r="O639" s="115"/>
      <c r="P639" s="115"/>
      <c r="Q639" s="115">
        <v>46010</v>
      </c>
      <c r="R639" s="115"/>
      <c r="S639" s="115">
        <v>45994</v>
      </c>
      <c r="T639" s="7" t="s">
        <v>22</v>
      </c>
      <c r="U639" s="31" t="s">
        <v>3944</v>
      </c>
      <c r="V639" s="16" t="s">
        <v>3943</v>
      </c>
      <c r="W639" s="16">
        <v>46012</v>
      </c>
      <c r="X639" s="341" t="s">
        <v>3942</v>
      </c>
      <c r="Z639" s="30" t="s">
        <v>1006</v>
      </c>
      <c r="AA639" s="8">
        <v>46049</v>
      </c>
      <c r="AB639" s="22">
        <v>182434</v>
      </c>
      <c r="AC639" s="10"/>
      <c r="AD639" s="21"/>
      <c r="AE639" s="21"/>
      <c r="AF639" s="21"/>
      <c r="AG639" s="45"/>
      <c r="AH639" s="23">
        <v>182434</v>
      </c>
    </row>
    <row r="640" spans="1:34" s="9" customFormat="1" ht="122.25" customHeight="1">
      <c r="A640" s="9">
        <f ca="1">TODAY()-H640+1</f>
        <v>167</v>
      </c>
      <c r="B640" s="31">
        <v>45939</v>
      </c>
      <c r="C640" s="11" t="s">
        <v>27</v>
      </c>
      <c r="D640" s="2" t="s">
        <v>3353</v>
      </c>
      <c r="E640" s="11" t="s">
        <v>3354</v>
      </c>
      <c r="F640" s="30" t="s">
        <v>1933</v>
      </c>
      <c r="G640" s="30" t="s">
        <v>3355</v>
      </c>
      <c r="H640" s="16">
        <v>46027</v>
      </c>
      <c r="I640" s="115"/>
      <c r="J640" s="115">
        <v>45945</v>
      </c>
      <c r="K640" s="115"/>
      <c r="L640" s="115"/>
      <c r="M640" s="115"/>
      <c r="N640" s="115"/>
      <c r="O640" s="115"/>
      <c r="P640" s="115">
        <v>46014</v>
      </c>
      <c r="Q640" s="16" t="s">
        <v>1840</v>
      </c>
      <c r="R640" s="115">
        <v>46029</v>
      </c>
      <c r="S640" s="115"/>
      <c r="T640" s="7" t="s">
        <v>22</v>
      </c>
      <c r="U640" s="327" t="s">
        <v>4018</v>
      </c>
      <c r="V640" s="16">
        <v>46008</v>
      </c>
      <c r="W640" s="16">
        <v>46020</v>
      </c>
      <c r="X640" s="4"/>
      <c r="Y640" s="100"/>
      <c r="Z640" s="30" t="s">
        <v>54</v>
      </c>
      <c r="AA640" s="8">
        <v>46063</v>
      </c>
      <c r="AB640" s="10"/>
      <c r="AC640" s="10"/>
      <c r="AD640" s="21"/>
      <c r="AE640" s="29">
        <v>1737154.2</v>
      </c>
      <c r="AF640" s="21"/>
      <c r="AG640" s="45"/>
      <c r="AH640" s="116">
        <v>1737154.2</v>
      </c>
    </row>
    <row r="641" spans="1:34" s="9" customFormat="1" ht="122.25" customHeight="1">
      <c r="A641" s="9">
        <f ca="1">TODAY()-H641+1</f>
        <v>202</v>
      </c>
      <c r="B641" s="31">
        <v>45848</v>
      </c>
      <c r="C641" s="2" t="s">
        <v>27</v>
      </c>
      <c r="D641" s="2" t="s">
        <v>2264</v>
      </c>
      <c r="E641" s="11" t="s">
        <v>2265</v>
      </c>
      <c r="F641" s="30" t="s">
        <v>74</v>
      </c>
      <c r="G641" s="125" t="s">
        <v>3502</v>
      </c>
      <c r="H641" s="16">
        <v>45992</v>
      </c>
      <c r="I641" s="115"/>
      <c r="J641" s="115"/>
      <c r="K641" s="115"/>
      <c r="L641" s="115"/>
      <c r="M641" s="115"/>
      <c r="N641" s="115"/>
      <c r="O641" s="115"/>
      <c r="P641" s="115">
        <v>46013</v>
      </c>
      <c r="Q641" s="16" t="s">
        <v>1449</v>
      </c>
      <c r="R641" s="115">
        <v>45677</v>
      </c>
      <c r="S641" s="115"/>
      <c r="T641" s="7" t="s">
        <v>22</v>
      </c>
      <c r="U641" s="15" t="s">
        <v>4026</v>
      </c>
      <c r="V641" s="16">
        <v>45999</v>
      </c>
      <c r="W641" s="16">
        <v>46028</v>
      </c>
      <c r="X641" s="4"/>
      <c r="Y641" s="100"/>
      <c r="Z641" s="30" t="s">
        <v>54</v>
      </c>
      <c r="AA641" s="8">
        <v>46050</v>
      </c>
      <c r="AB641" s="10"/>
      <c r="AC641" s="10"/>
      <c r="AD641" s="21"/>
      <c r="AE641" s="29">
        <v>2675898.92</v>
      </c>
      <c r="AF641" s="21"/>
      <c r="AG641" s="45"/>
      <c r="AH641" s="116">
        <v>2675898.92</v>
      </c>
    </row>
    <row r="642" spans="1:34" s="9" customFormat="1" ht="113.25" thickBot="1">
      <c r="A642" s="9">
        <f ca="1">TODAY()-H642+1</f>
        <v>167</v>
      </c>
      <c r="B642" s="31">
        <v>45923</v>
      </c>
      <c r="C642" s="11" t="s">
        <v>24</v>
      </c>
      <c r="D642" s="2" t="s">
        <v>3111</v>
      </c>
      <c r="E642" s="11" t="s">
        <v>3112</v>
      </c>
      <c r="F642" s="30" t="s">
        <v>155</v>
      </c>
      <c r="G642" s="30" t="s">
        <v>3113</v>
      </c>
      <c r="H642" s="16">
        <v>46027</v>
      </c>
      <c r="I642" s="115">
        <v>45923</v>
      </c>
      <c r="J642" s="115">
        <v>45924</v>
      </c>
      <c r="K642" s="115">
        <v>45923</v>
      </c>
      <c r="L642" s="115"/>
      <c r="M642" s="115">
        <v>45979</v>
      </c>
      <c r="N642" s="115"/>
      <c r="O642" s="115"/>
      <c r="P642" s="115">
        <v>45996</v>
      </c>
      <c r="Q642" s="115">
        <v>45987</v>
      </c>
      <c r="R642" s="115" t="s">
        <v>4213</v>
      </c>
      <c r="S642" s="115"/>
      <c r="T642" s="7" t="s">
        <v>20</v>
      </c>
      <c r="U642" s="2" t="s">
        <v>4134</v>
      </c>
      <c r="V642" s="16" t="s">
        <v>3953</v>
      </c>
      <c r="W642" s="16" t="s">
        <v>4284</v>
      </c>
      <c r="X642" s="4" t="s">
        <v>3840</v>
      </c>
      <c r="Y642" s="100"/>
      <c r="Z642" s="30" t="s">
        <v>54</v>
      </c>
      <c r="AA642" s="8">
        <v>46043</v>
      </c>
      <c r="AB642" s="10"/>
      <c r="AC642" s="22">
        <v>161302.35999999999</v>
      </c>
      <c r="AD642" s="21"/>
      <c r="AE642" s="21"/>
      <c r="AF642" s="21"/>
      <c r="AG642" s="45"/>
      <c r="AH642" s="116">
        <v>161302.35999999999</v>
      </c>
    </row>
    <row r="643" spans="1:34" s="9" customFormat="1" ht="238.5" customHeight="1" thickBot="1">
      <c r="A643" s="9">
        <f ca="1">TODAY()-H643+1</f>
        <v>263</v>
      </c>
      <c r="B643" s="31">
        <v>45832</v>
      </c>
      <c r="C643" s="2" t="s">
        <v>27</v>
      </c>
      <c r="D643" s="2" t="s">
        <v>2222</v>
      </c>
      <c r="E643" s="11" t="s">
        <v>2223</v>
      </c>
      <c r="F643" s="30" t="s">
        <v>1933</v>
      </c>
      <c r="G643" s="125" t="s">
        <v>3763</v>
      </c>
      <c r="H643" s="16">
        <v>45931</v>
      </c>
      <c r="I643" s="115"/>
      <c r="J643" s="115"/>
      <c r="K643" s="115"/>
      <c r="L643" s="115"/>
      <c r="M643" s="115"/>
      <c r="N643" s="115"/>
      <c r="O643" s="115"/>
      <c r="P643" s="115">
        <v>46006</v>
      </c>
      <c r="Q643" s="16" t="s">
        <v>1449</v>
      </c>
      <c r="R643" s="115">
        <v>46010</v>
      </c>
      <c r="S643" s="115"/>
      <c r="T643" s="7" t="s">
        <v>22</v>
      </c>
      <c r="U643" s="316" t="s">
        <v>3761</v>
      </c>
      <c r="V643" s="16">
        <v>45990</v>
      </c>
      <c r="W643" s="16">
        <v>45999</v>
      </c>
      <c r="X643" s="4"/>
      <c r="Y643" s="100"/>
      <c r="Z643" s="30" t="s">
        <v>2250</v>
      </c>
      <c r="AA643" s="8">
        <v>46042</v>
      </c>
      <c r="AB643" s="10"/>
      <c r="AC643" s="10"/>
      <c r="AD643" s="21"/>
      <c r="AE643" s="22">
        <f>2476326/3</f>
        <v>825442</v>
      </c>
      <c r="AF643" s="21"/>
      <c r="AG643" s="45"/>
      <c r="AH643" s="116">
        <f>2476326/3</f>
        <v>825442</v>
      </c>
    </row>
    <row r="644" spans="1:34" s="9" customFormat="1" ht="122.25" customHeight="1" thickBot="1">
      <c r="A644" s="9">
        <v>-78</v>
      </c>
      <c r="B644" s="31">
        <v>45832</v>
      </c>
      <c r="C644" s="2" t="s">
        <v>27</v>
      </c>
      <c r="D644" s="2" t="s">
        <v>2222</v>
      </c>
      <c r="E644" s="11" t="s">
        <v>2223</v>
      </c>
      <c r="F644" s="30" t="s">
        <v>1933</v>
      </c>
      <c r="G644" s="125" t="s">
        <v>3765</v>
      </c>
      <c r="H644" s="16">
        <v>45962</v>
      </c>
      <c r="I644" s="115"/>
      <c r="J644" s="115"/>
      <c r="K644" s="115"/>
      <c r="L644" s="115"/>
      <c r="M644" s="115"/>
      <c r="N644" s="115"/>
      <c r="O644" s="115"/>
      <c r="P644" s="115">
        <v>46006</v>
      </c>
      <c r="Q644" s="16" t="s">
        <v>1449</v>
      </c>
      <c r="R644" s="115">
        <v>46010</v>
      </c>
      <c r="S644" s="115"/>
      <c r="T644" s="7" t="s">
        <v>22</v>
      </c>
      <c r="U644" s="316" t="s">
        <v>3761</v>
      </c>
      <c r="V644" s="16">
        <v>45990</v>
      </c>
      <c r="W644" s="16">
        <v>45999</v>
      </c>
      <c r="X644" s="4"/>
      <c r="Y644" s="100"/>
      <c r="Z644" s="30" t="s">
        <v>4085</v>
      </c>
      <c r="AA644" s="8">
        <v>46042</v>
      </c>
      <c r="AB644" s="10"/>
      <c r="AC644" s="10"/>
      <c r="AD644" s="21"/>
      <c r="AE644" s="22">
        <f>2476326/3</f>
        <v>825442</v>
      </c>
      <c r="AF644" s="21"/>
      <c r="AG644" s="45"/>
      <c r="AH644" s="116">
        <f>2476326/3</f>
        <v>825442</v>
      </c>
    </row>
    <row r="645" spans="1:34" s="9" customFormat="1" ht="122.25" customHeight="1" thickBot="1">
      <c r="A645" s="9">
        <f t="shared" ref="A645:A654" ca="1" si="20">TODAY()-H645+1</f>
        <v>167</v>
      </c>
      <c r="B645" s="31">
        <v>45939</v>
      </c>
      <c r="C645" s="11" t="s">
        <v>27</v>
      </c>
      <c r="D645" s="2" t="s">
        <v>3358</v>
      </c>
      <c r="E645" s="11" t="s">
        <v>3354</v>
      </c>
      <c r="F645" s="30" t="s">
        <v>1933</v>
      </c>
      <c r="G645" s="358" t="s">
        <v>3854</v>
      </c>
      <c r="H645" s="16">
        <v>46027</v>
      </c>
      <c r="I645" s="115"/>
      <c r="J645" s="115">
        <v>45945</v>
      </c>
      <c r="K645" s="115"/>
      <c r="L645" s="115"/>
      <c r="M645" s="115"/>
      <c r="N645" s="115"/>
      <c r="O645" s="115"/>
      <c r="P645" s="115">
        <v>46006</v>
      </c>
      <c r="Q645" s="115" t="s">
        <v>1840</v>
      </c>
      <c r="R645" s="115">
        <v>46010</v>
      </c>
      <c r="S645" s="16"/>
      <c r="T645" s="7" t="s">
        <v>22</v>
      </c>
      <c r="U645" s="316" t="s">
        <v>3761</v>
      </c>
      <c r="V645" s="16">
        <v>45990</v>
      </c>
      <c r="W645" s="16">
        <v>45999</v>
      </c>
      <c r="X645" s="4"/>
      <c r="Y645" s="100"/>
      <c r="Z645" s="30" t="s">
        <v>3352</v>
      </c>
      <c r="AA645" s="8">
        <v>46042</v>
      </c>
      <c r="AB645" s="10"/>
      <c r="AC645" s="10"/>
      <c r="AD645" s="21"/>
      <c r="AE645" s="29">
        <f>8776128.26/2</f>
        <v>4388064.13</v>
      </c>
      <c r="AF645" s="21"/>
      <c r="AG645" s="45"/>
      <c r="AH645" s="116">
        <f>8776128.26/2</f>
        <v>4388064.13</v>
      </c>
    </row>
    <row r="646" spans="1:34" s="9" customFormat="1" ht="122.25" customHeight="1">
      <c r="A646" s="9">
        <f t="shared" ca="1" si="20"/>
        <v>140</v>
      </c>
      <c r="B646" s="31">
        <v>45938</v>
      </c>
      <c r="C646" s="11" t="s">
        <v>27</v>
      </c>
      <c r="D646" s="2" t="s">
        <v>3358</v>
      </c>
      <c r="E646" s="11" t="s">
        <v>3354</v>
      </c>
      <c r="F646" s="30" t="s">
        <v>1933</v>
      </c>
      <c r="G646" s="358" t="s">
        <v>3855</v>
      </c>
      <c r="H646" s="16">
        <v>46054</v>
      </c>
      <c r="I646" s="115"/>
      <c r="J646" s="115">
        <v>45945</v>
      </c>
      <c r="K646" s="115"/>
      <c r="L646" s="115"/>
      <c r="M646" s="115"/>
      <c r="N646" s="115"/>
      <c r="O646" s="115"/>
      <c r="P646" s="115">
        <v>46006</v>
      </c>
      <c r="Q646" s="115" t="s">
        <v>1840</v>
      </c>
      <c r="R646" s="115">
        <v>46010</v>
      </c>
      <c r="S646" s="16"/>
      <c r="T646" s="7" t="s">
        <v>22</v>
      </c>
      <c r="U646" s="316" t="s">
        <v>3761</v>
      </c>
      <c r="V646" s="16">
        <v>45990</v>
      </c>
      <c r="W646" s="16">
        <v>45999</v>
      </c>
      <c r="X646" s="4"/>
      <c r="Y646" s="100"/>
      <c r="Z646" s="30" t="s">
        <v>3352</v>
      </c>
      <c r="AA646" s="8">
        <v>46042</v>
      </c>
      <c r="AB646" s="10"/>
      <c r="AC646" s="10"/>
      <c r="AD646" s="21"/>
      <c r="AE646" s="29">
        <f>8776128.26/2</f>
        <v>4388064.13</v>
      </c>
      <c r="AF646" s="21"/>
      <c r="AG646" s="45"/>
      <c r="AH646" s="116">
        <f>8776128.26/2</f>
        <v>4388064.13</v>
      </c>
    </row>
    <row r="647" spans="1:34" s="9" customFormat="1" ht="122.25" customHeight="1">
      <c r="A647" s="9">
        <f t="shared" ca="1" si="20"/>
        <v>193</v>
      </c>
      <c r="B647" s="31">
        <v>45919</v>
      </c>
      <c r="C647" s="11" t="s">
        <v>24</v>
      </c>
      <c r="D647" s="2" t="s">
        <v>3045</v>
      </c>
      <c r="E647" s="11" t="s">
        <v>3046</v>
      </c>
      <c r="F647" s="30" t="s">
        <v>295</v>
      </c>
      <c r="G647" s="30" t="s">
        <v>3819</v>
      </c>
      <c r="H647" s="16">
        <v>46001</v>
      </c>
      <c r="I647" s="115">
        <v>45919</v>
      </c>
      <c r="J647" s="115">
        <v>45919</v>
      </c>
      <c r="K647" s="115">
        <v>45923</v>
      </c>
      <c r="L647" s="115"/>
      <c r="M647" s="115"/>
      <c r="N647" s="115"/>
      <c r="O647" s="115"/>
      <c r="P647" s="115">
        <v>45981</v>
      </c>
      <c r="Q647" s="115">
        <v>45978</v>
      </c>
      <c r="R647" s="115" t="s">
        <v>3988</v>
      </c>
      <c r="S647" s="115"/>
      <c r="T647" s="7" t="s">
        <v>22</v>
      </c>
      <c r="U647" s="2" t="s">
        <v>3772</v>
      </c>
      <c r="V647" s="16">
        <v>45979</v>
      </c>
      <c r="W647" s="16">
        <v>46004</v>
      </c>
      <c r="X647" s="4" t="s">
        <v>3788</v>
      </c>
      <c r="Y647" s="100"/>
      <c r="Z647" s="30" t="s">
        <v>29</v>
      </c>
      <c r="AA647" s="8">
        <v>46035</v>
      </c>
      <c r="AB647" s="10"/>
      <c r="AC647" s="22">
        <v>120454.94</v>
      </c>
      <c r="AD647" s="21"/>
      <c r="AE647" s="21"/>
      <c r="AF647" s="21"/>
      <c r="AG647" s="45"/>
      <c r="AH647" s="116">
        <v>120454.94</v>
      </c>
    </row>
    <row r="648" spans="1:34" s="9" customFormat="1" ht="122.25" customHeight="1">
      <c r="A648" s="9">
        <f t="shared" ca="1" si="20"/>
        <v>140</v>
      </c>
      <c r="B648" s="31">
        <v>45947</v>
      </c>
      <c r="C648" s="11" t="s">
        <v>694</v>
      </c>
      <c r="D648" s="2" t="s">
        <v>3388</v>
      </c>
      <c r="E648" s="11" t="s">
        <v>3389</v>
      </c>
      <c r="F648" s="30" t="s">
        <v>87</v>
      </c>
      <c r="G648" s="30" t="s">
        <v>3390</v>
      </c>
      <c r="H648" s="16">
        <v>46054</v>
      </c>
      <c r="I648" s="115">
        <v>45951</v>
      </c>
      <c r="J648" s="115">
        <v>45951</v>
      </c>
      <c r="K648" s="115">
        <v>45953</v>
      </c>
      <c r="L648" s="115"/>
      <c r="M648" s="115"/>
      <c r="N648" s="115"/>
      <c r="O648" s="115"/>
      <c r="P648" s="115"/>
      <c r="Q648" s="115">
        <v>46001</v>
      </c>
      <c r="R648" s="115"/>
      <c r="S648" s="115"/>
      <c r="T648" s="7" t="s">
        <v>20</v>
      </c>
      <c r="U648" s="16" t="s">
        <v>909</v>
      </c>
      <c r="V648" s="16">
        <v>46004</v>
      </c>
      <c r="W648" s="16">
        <v>46045</v>
      </c>
      <c r="X648" s="4" t="s">
        <v>4051</v>
      </c>
      <c r="Y648" s="100"/>
      <c r="Z648" s="30" t="s">
        <v>54</v>
      </c>
      <c r="AA648" s="8">
        <v>46056</v>
      </c>
      <c r="AB648" s="10"/>
      <c r="AC648" s="22">
        <v>39121.279999999999</v>
      </c>
      <c r="AD648" s="21"/>
      <c r="AE648" s="21"/>
      <c r="AF648" s="21"/>
      <c r="AG648" s="45"/>
      <c r="AH648" s="116">
        <v>39121.279999999999</v>
      </c>
    </row>
    <row r="649" spans="1:34" s="9" customFormat="1" ht="86.25" customHeight="1">
      <c r="A649" s="9">
        <f t="shared" ca="1" si="20"/>
        <v>167</v>
      </c>
      <c r="B649" s="31">
        <v>45936</v>
      </c>
      <c r="C649" s="11" t="s">
        <v>694</v>
      </c>
      <c r="D649" s="34" t="s">
        <v>3270</v>
      </c>
      <c r="E649" s="11" t="s">
        <v>3271</v>
      </c>
      <c r="F649" s="30" t="s">
        <v>3272</v>
      </c>
      <c r="G649" s="30" t="s">
        <v>3273</v>
      </c>
      <c r="H649" s="16">
        <v>46027</v>
      </c>
      <c r="I649" s="115">
        <v>45936</v>
      </c>
      <c r="J649" s="115">
        <v>45936</v>
      </c>
      <c r="K649" s="115">
        <v>45945</v>
      </c>
      <c r="L649" s="115" t="s">
        <v>925</v>
      </c>
      <c r="M649" s="115"/>
      <c r="N649" s="115" t="s">
        <v>3804</v>
      </c>
      <c r="O649" s="115"/>
      <c r="P649" s="115"/>
      <c r="Q649" s="115"/>
      <c r="R649" s="115"/>
      <c r="S649" s="115"/>
      <c r="T649" s="7" t="s">
        <v>22</v>
      </c>
      <c r="U649" s="16" t="s">
        <v>4184</v>
      </c>
      <c r="V649" s="16">
        <v>46015</v>
      </c>
      <c r="W649" s="16">
        <v>46036</v>
      </c>
      <c r="X649" s="4" t="s">
        <v>4183</v>
      </c>
      <c r="Y649" s="100"/>
      <c r="Z649" s="30" t="s">
        <v>3274</v>
      </c>
      <c r="AA649" s="8">
        <v>46010</v>
      </c>
      <c r="AB649" s="22">
        <v>190139.41</v>
      </c>
      <c r="AC649" s="10"/>
      <c r="AD649" s="21"/>
      <c r="AE649" s="21"/>
      <c r="AF649" s="21"/>
      <c r="AG649" s="45"/>
      <c r="AH649" s="116">
        <v>190139.41</v>
      </c>
    </row>
    <row r="650" spans="1:34" s="9" customFormat="1" ht="122.25" customHeight="1">
      <c r="A650" s="9">
        <f t="shared" ca="1" si="20"/>
        <v>112</v>
      </c>
      <c r="B650" s="31">
        <v>45953</v>
      </c>
      <c r="C650" s="11" t="s">
        <v>694</v>
      </c>
      <c r="D650" s="2" t="s">
        <v>3554</v>
      </c>
      <c r="E650" s="11" t="s">
        <v>3555</v>
      </c>
      <c r="F650" s="30" t="s">
        <v>4264</v>
      </c>
      <c r="G650" s="30" t="s">
        <v>3255</v>
      </c>
      <c r="H650" s="16">
        <v>46082</v>
      </c>
      <c r="I650" s="115">
        <v>45954</v>
      </c>
      <c r="J650" s="115">
        <v>45957</v>
      </c>
      <c r="K650" s="115">
        <v>45958</v>
      </c>
      <c r="L650" s="115"/>
      <c r="M650" s="115"/>
      <c r="N650" s="115" t="s">
        <v>4179</v>
      </c>
      <c r="O650" s="115"/>
      <c r="P650" s="115">
        <v>46044</v>
      </c>
      <c r="Q650" s="115">
        <v>46358</v>
      </c>
      <c r="R650" s="115"/>
      <c r="S650" s="115"/>
      <c r="T650" s="7" t="s">
        <v>22</v>
      </c>
      <c r="U650" s="16" t="s">
        <v>4450</v>
      </c>
      <c r="V650" s="16">
        <v>46235</v>
      </c>
      <c r="W650" s="16" t="s">
        <v>4449</v>
      </c>
      <c r="X650" s="4" t="s">
        <v>3729</v>
      </c>
      <c r="Y650" s="100"/>
      <c r="Z650" s="30" t="s">
        <v>46</v>
      </c>
      <c r="AA650" s="8">
        <v>46051</v>
      </c>
      <c r="AB650" s="22">
        <v>9048.6</v>
      </c>
      <c r="AC650" s="10"/>
      <c r="AD650" s="21"/>
      <c r="AE650" s="21"/>
      <c r="AF650" s="21"/>
      <c r="AG650" s="45"/>
      <c r="AH650" s="116">
        <v>9048.6</v>
      </c>
    </row>
    <row r="651" spans="1:34" s="9" customFormat="1" ht="59.25" customHeight="1">
      <c r="A651" s="9">
        <f t="shared" ca="1" si="20"/>
        <v>140</v>
      </c>
      <c r="B651" s="31">
        <v>45947</v>
      </c>
      <c r="C651" s="11" t="s">
        <v>694</v>
      </c>
      <c r="D651" s="2" t="s">
        <v>3407</v>
      </c>
      <c r="E651" s="11" t="s">
        <v>3408</v>
      </c>
      <c r="F651" s="30" t="s">
        <v>740</v>
      </c>
      <c r="G651" s="30" t="s">
        <v>3409</v>
      </c>
      <c r="H651" s="16">
        <v>46054</v>
      </c>
      <c r="I651" s="115">
        <v>45951</v>
      </c>
      <c r="J651" s="115">
        <v>45951</v>
      </c>
      <c r="K651" s="115">
        <v>45952</v>
      </c>
      <c r="L651" s="115" t="s">
        <v>878</v>
      </c>
      <c r="M651" s="115" t="s">
        <v>3710</v>
      </c>
      <c r="N651" s="115"/>
      <c r="O651" s="115"/>
      <c r="P651" s="115"/>
      <c r="Q651" s="115">
        <v>46357</v>
      </c>
      <c r="R651" s="115"/>
      <c r="S651" s="115"/>
      <c r="T651" s="7" t="s">
        <v>22</v>
      </c>
      <c r="U651" s="16" t="s">
        <v>4052</v>
      </c>
      <c r="V651" s="16">
        <v>46017</v>
      </c>
      <c r="W651" s="16">
        <v>46066</v>
      </c>
      <c r="X651" s="334" t="s">
        <v>4534</v>
      </c>
      <c r="Y651" s="100"/>
      <c r="Z651" s="30" t="s">
        <v>742</v>
      </c>
      <c r="AA651" s="8">
        <v>46017</v>
      </c>
      <c r="AB651" s="22">
        <v>28860.98</v>
      </c>
      <c r="AC651" s="10"/>
      <c r="AD651" s="21"/>
      <c r="AE651" s="21"/>
      <c r="AF651" s="21"/>
      <c r="AG651" s="45"/>
      <c r="AH651" s="116">
        <v>28860.98</v>
      </c>
    </row>
    <row r="652" spans="1:34" s="9" customFormat="1" ht="57" customHeight="1">
      <c r="A652" s="9">
        <f t="shared" ca="1" si="20"/>
        <v>171</v>
      </c>
      <c r="B652" s="31">
        <v>45919</v>
      </c>
      <c r="C652" s="11" t="s">
        <v>24</v>
      </c>
      <c r="D652" s="2" t="s">
        <v>3052</v>
      </c>
      <c r="E652" s="11" t="s">
        <v>3053</v>
      </c>
      <c r="F652" s="30" t="s">
        <v>97</v>
      </c>
      <c r="G652" s="30" t="s">
        <v>4525</v>
      </c>
      <c r="H652" s="16">
        <v>46023</v>
      </c>
      <c r="I652" s="115">
        <v>45919</v>
      </c>
      <c r="J652" s="115">
        <v>45919</v>
      </c>
      <c r="K652" s="115">
        <v>45923</v>
      </c>
      <c r="L652" s="115"/>
      <c r="M652" s="115">
        <v>46009</v>
      </c>
      <c r="N652" s="115" t="s">
        <v>3994</v>
      </c>
      <c r="O652" s="115"/>
      <c r="P652" s="115">
        <v>46034</v>
      </c>
      <c r="Q652" s="115">
        <v>46038</v>
      </c>
      <c r="R652" s="115"/>
      <c r="S652" s="115"/>
      <c r="T652" s="7" t="s">
        <v>25</v>
      </c>
      <c r="U652" s="2" t="s">
        <v>1335</v>
      </c>
      <c r="V652" s="16">
        <v>46059</v>
      </c>
      <c r="W652" s="16">
        <v>46062</v>
      </c>
      <c r="X652" s="4" t="s">
        <v>4289</v>
      </c>
      <c r="Y652" s="100"/>
      <c r="Z652" s="30" t="s">
        <v>55</v>
      </c>
      <c r="AA652" s="8">
        <v>46059</v>
      </c>
      <c r="AB652" s="10"/>
      <c r="AC652" s="22">
        <v>7795</v>
      </c>
      <c r="AD652" s="21"/>
      <c r="AE652" s="21"/>
      <c r="AF652" s="21"/>
      <c r="AG652" s="45"/>
      <c r="AH652" s="116">
        <v>7795</v>
      </c>
    </row>
    <row r="653" spans="1:34" s="9" customFormat="1" ht="57" customHeight="1">
      <c r="A653" s="9">
        <f t="shared" ca="1" si="20"/>
        <v>171</v>
      </c>
      <c r="B653" s="31">
        <v>45919</v>
      </c>
      <c r="C653" s="11" t="s">
        <v>24</v>
      </c>
      <c r="D653" s="2" t="s">
        <v>3052</v>
      </c>
      <c r="E653" s="11" t="s">
        <v>3053</v>
      </c>
      <c r="F653" s="30" t="s">
        <v>97</v>
      </c>
      <c r="G653" s="30" t="s">
        <v>4526</v>
      </c>
      <c r="H653" s="16">
        <v>46023</v>
      </c>
      <c r="I653" s="115">
        <v>45919</v>
      </c>
      <c r="J653" s="115">
        <v>45919</v>
      </c>
      <c r="K653" s="115">
        <v>45923</v>
      </c>
      <c r="L653" s="115"/>
      <c r="M653" s="115">
        <v>46009</v>
      </c>
      <c r="N653" s="115" t="s">
        <v>3994</v>
      </c>
      <c r="O653" s="115"/>
      <c r="P653" s="115">
        <v>46059</v>
      </c>
      <c r="Q653" s="115">
        <v>46038</v>
      </c>
      <c r="R653" s="115"/>
      <c r="S653" s="16"/>
      <c r="T653" s="7" t="s">
        <v>25</v>
      </c>
      <c r="U653" s="357" t="s">
        <v>4603</v>
      </c>
      <c r="V653" s="16">
        <v>46084</v>
      </c>
      <c r="W653" s="16">
        <v>46085</v>
      </c>
      <c r="X653" s="4" t="s">
        <v>4548</v>
      </c>
      <c r="Y653" s="100"/>
      <c r="Z653" s="30" t="s">
        <v>55</v>
      </c>
      <c r="AA653" s="8">
        <v>46059</v>
      </c>
      <c r="AB653" s="10"/>
      <c r="AC653" s="22">
        <v>7795</v>
      </c>
      <c r="AD653" s="21"/>
      <c r="AE653" s="21"/>
      <c r="AF653" s="21"/>
      <c r="AG653" s="45"/>
      <c r="AH653" s="116">
        <v>7795</v>
      </c>
    </row>
    <row r="654" spans="1:34" s="9" customFormat="1" ht="122.25" customHeight="1">
      <c r="A654" s="9">
        <f t="shared" ca="1" si="20"/>
        <v>188</v>
      </c>
      <c r="B654" s="31">
        <v>45959</v>
      </c>
      <c r="C654" s="11" t="s">
        <v>27</v>
      </c>
      <c r="D654" s="2" t="s">
        <v>3631</v>
      </c>
      <c r="E654" s="11" t="s">
        <v>3632</v>
      </c>
      <c r="F654" s="30" t="s">
        <v>1933</v>
      </c>
      <c r="G654" s="30" t="s">
        <v>3766</v>
      </c>
      <c r="H654" s="16">
        <v>46006</v>
      </c>
      <c r="I654" s="115"/>
      <c r="J654" s="115">
        <v>45953</v>
      </c>
      <c r="K654" s="115"/>
      <c r="L654" s="115"/>
      <c r="M654" s="115"/>
      <c r="N654" s="115"/>
      <c r="O654" s="115"/>
      <c r="P654" s="115"/>
      <c r="Q654" s="16"/>
      <c r="R654" s="16"/>
      <c r="S654" s="16"/>
      <c r="T654" s="16" t="s">
        <v>22</v>
      </c>
      <c r="U654" s="16" t="s">
        <v>4191</v>
      </c>
      <c r="V654" s="16">
        <v>46021</v>
      </c>
      <c r="W654" s="16">
        <v>46048</v>
      </c>
      <c r="X654" s="4"/>
      <c r="Y654" s="100"/>
      <c r="Z654" s="30" t="s">
        <v>54</v>
      </c>
      <c r="AA654" s="8">
        <v>46072</v>
      </c>
      <c r="AB654" s="10"/>
      <c r="AC654" s="10"/>
      <c r="AD654" s="21"/>
      <c r="AE654" s="77">
        <v>552789.53</v>
      </c>
      <c r="AF654" s="21"/>
      <c r="AG654" s="45"/>
      <c r="AH654" s="116">
        <v>552789.53</v>
      </c>
    </row>
    <row r="655" spans="1:34" s="9" customFormat="1" ht="122.25" customHeight="1">
      <c r="B655" s="31">
        <v>45947</v>
      </c>
      <c r="C655" s="11" t="s">
        <v>27</v>
      </c>
      <c r="D655" s="2" t="s">
        <v>3530</v>
      </c>
      <c r="E655" s="11" t="s">
        <v>3531</v>
      </c>
      <c r="F655" s="30" t="s">
        <v>79</v>
      </c>
      <c r="G655" s="30" t="s">
        <v>3532</v>
      </c>
      <c r="H655" s="16">
        <v>45989</v>
      </c>
      <c r="I655" s="115"/>
      <c r="J655" s="115">
        <v>45953</v>
      </c>
      <c r="K655" s="115"/>
      <c r="L655" s="115"/>
      <c r="M655" s="115"/>
      <c r="N655" s="115" t="s">
        <v>3755</v>
      </c>
      <c r="O655" s="115"/>
      <c r="P655" s="115">
        <v>46000</v>
      </c>
      <c r="Q655" s="115"/>
      <c r="R655" s="115">
        <v>46034</v>
      </c>
      <c r="S655" s="115"/>
      <c r="T655" s="7" t="s">
        <v>20</v>
      </c>
      <c r="U655" s="15" t="s">
        <v>3795</v>
      </c>
      <c r="V655" s="16">
        <v>45981</v>
      </c>
      <c r="W655" s="16">
        <v>46010</v>
      </c>
      <c r="X655" s="320" t="s">
        <v>3911</v>
      </c>
      <c r="Y655" s="100"/>
      <c r="Z655" s="30" t="s">
        <v>103</v>
      </c>
      <c r="AA655" s="8">
        <v>46069</v>
      </c>
      <c r="AB655" s="10"/>
      <c r="AC655" s="22">
        <v>41467.879999999997</v>
      </c>
      <c r="AD655" s="21"/>
      <c r="AE655" s="21"/>
      <c r="AF655" s="21"/>
      <c r="AG655" s="45"/>
      <c r="AH655" s="116">
        <v>41467.879999999997</v>
      </c>
    </row>
    <row r="656" spans="1:34" s="9" customFormat="1" ht="306.75" customHeight="1">
      <c r="A656" s="9">
        <f t="shared" ref="A656:A666" ca="1" si="21">TODAY()-H656+1</f>
        <v>202</v>
      </c>
      <c r="B656" s="31">
        <v>45883</v>
      </c>
      <c r="C656" s="11" t="s">
        <v>24</v>
      </c>
      <c r="D656" s="2" t="s">
        <v>2756</v>
      </c>
      <c r="E656" s="11" t="s">
        <v>2757</v>
      </c>
      <c r="F656" s="30" t="s">
        <v>36</v>
      </c>
      <c r="G656" s="30" t="s">
        <v>4159</v>
      </c>
      <c r="H656" s="16">
        <v>45992</v>
      </c>
      <c r="I656" s="115">
        <v>45883</v>
      </c>
      <c r="J656" s="115">
        <v>45884</v>
      </c>
      <c r="K656" s="115">
        <v>45883</v>
      </c>
      <c r="L656" s="115"/>
      <c r="M656" s="115"/>
      <c r="N656" s="115"/>
      <c r="O656" s="115"/>
      <c r="P656" s="115"/>
      <c r="Q656" s="115"/>
      <c r="R656" s="115"/>
      <c r="S656" s="115"/>
      <c r="T656" s="7" t="s">
        <v>30</v>
      </c>
      <c r="U656" s="11" t="s">
        <v>3968</v>
      </c>
      <c r="V656" s="16">
        <v>46019</v>
      </c>
      <c r="W656" s="16">
        <v>46027</v>
      </c>
      <c r="X656" s="4" t="s">
        <v>4100</v>
      </c>
      <c r="Y656" s="100"/>
      <c r="Z656" s="30" t="s">
        <v>113</v>
      </c>
      <c r="AA656" s="8">
        <v>46050</v>
      </c>
      <c r="AB656" s="22">
        <v>211075.84</v>
      </c>
      <c r="AC656" s="10"/>
      <c r="AD656" s="21"/>
      <c r="AE656" s="21"/>
      <c r="AF656" s="21"/>
      <c r="AG656" s="45"/>
      <c r="AH656" s="116">
        <v>211075.84</v>
      </c>
    </row>
    <row r="657" spans="1:34" s="9" customFormat="1" ht="278.25" customHeight="1">
      <c r="A657" s="9">
        <f t="shared" ca="1" si="21"/>
        <v>171</v>
      </c>
      <c r="B657" s="31">
        <v>45919</v>
      </c>
      <c r="C657" s="11" t="s">
        <v>24</v>
      </c>
      <c r="D657" s="2" t="s">
        <v>3049</v>
      </c>
      <c r="E657" s="11" t="s">
        <v>3050</v>
      </c>
      <c r="F657" s="30" t="s">
        <v>3051</v>
      </c>
      <c r="G657" s="30" t="s">
        <v>4161</v>
      </c>
      <c r="H657" s="16">
        <v>46023</v>
      </c>
      <c r="I657" s="115">
        <v>45919</v>
      </c>
      <c r="J657" s="115">
        <v>45919</v>
      </c>
      <c r="K657" s="115">
        <v>45919</v>
      </c>
      <c r="L657" s="115"/>
      <c r="M657" s="115"/>
      <c r="N657" s="115"/>
      <c r="O657" s="115"/>
      <c r="P657" s="115"/>
      <c r="Q657" s="115"/>
      <c r="R657" s="115" t="s">
        <v>4212</v>
      </c>
      <c r="S657" s="115"/>
      <c r="T657" s="7" t="s">
        <v>30</v>
      </c>
      <c r="U657" s="11" t="s">
        <v>3968</v>
      </c>
      <c r="V657" s="16">
        <v>46019</v>
      </c>
      <c r="W657" s="16">
        <v>46027</v>
      </c>
      <c r="X657" s="4" t="s">
        <v>4100</v>
      </c>
      <c r="Y657" s="100"/>
      <c r="Z657" s="30" t="s">
        <v>113</v>
      </c>
      <c r="AA657" s="8">
        <v>46050</v>
      </c>
      <c r="AB657" s="22">
        <v>831184.15</v>
      </c>
      <c r="AC657" s="10"/>
      <c r="AD657" s="21"/>
      <c r="AE657" s="21"/>
      <c r="AF657" s="21"/>
      <c r="AG657" s="45"/>
      <c r="AH657" s="116">
        <v>831184.15</v>
      </c>
    </row>
    <row r="658" spans="1:34" s="9" customFormat="1" ht="122.25" customHeight="1">
      <c r="A658" s="9">
        <f t="shared" ca="1" si="21"/>
        <v>157</v>
      </c>
      <c r="B658" s="31">
        <v>45916</v>
      </c>
      <c r="C658" s="11" t="s">
        <v>24</v>
      </c>
      <c r="D658" s="2" t="s">
        <v>3002</v>
      </c>
      <c r="E658" s="11" t="s">
        <v>3003</v>
      </c>
      <c r="F658" s="30" t="s">
        <v>2156</v>
      </c>
      <c r="G658" s="30" t="s">
        <v>3004</v>
      </c>
      <c r="H658" s="16">
        <v>46037</v>
      </c>
      <c r="I658" s="115">
        <v>45916</v>
      </c>
      <c r="J658" s="115">
        <v>45916</v>
      </c>
      <c r="K658" s="115">
        <v>45916</v>
      </c>
      <c r="L658" s="115"/>
      <c r="M658" s="115"/>
      <c r="N658" s="115"/>
      <c r="O658" s="115"/>
      <c r="P658" s="115">
        <v>46009</v>
      </c>
      <c r="Q658" s="115">
        <v>45988</v>
      </c>
      <c r="R658" s="115"/>
      <c r="S658" s="115"/>
      <c r="T658" s="7" t="s">
        <v>22</v>
      </c>
      <c r="U658" s="2" t="s">
        <v>4133</v>
      </c>
      <c r="V658" s="16" t="s">
        <v>4166</v>
      </c>
      <c r="W658" s="16" t="s">
        <v>4283</v>
      </c>
      <c r="X658" s="4" t="s">
        <v>4202</v>
      </c>
      <c r="Y658" s="100"/>
      <c r="Z658" s="30" t="s">
        <v>113</v>
      </c>
      <c r="AA658" s="8">
        <v>46078</v>
      </c>
      <c r="AB658" s="10"/>
      <c r="AC658" s="22">
        <v>25560</v>
      </c>
      <c r="AD658" s="21"/>
      <c r="AE658" s="21"/>
      <c r="AF658" s="21"/>
      <c r="AG658" s="45"/>
      <c r="AH658" s="116">
        <v>25560</v>
      </c>
    </row>
    <row r="659" spans="1:34" s="9" customFormat="1" ht="141" customHeight="1">
      <c r="A659" s="9">
        <f t="shared" ca="1" si="21"/>
        <v>188</v>
      </c>
      <c r="B659" s="31">
        <v>45947</v>
      </c>
      <c r="C659" s="11" t="s">
        <v>27</v>
      </c>
      <c r="D659" s="2" t="s">
        <v>3545</v>
      </c>
      <c r="E659" s="11" t="s">
        <v>3546</v>
      </c>
      <c r="F659" s="125" t="s">
        <v>2400</v>
      </c>
      <c r="G659" s="30" t="s">
        <v>3547</v>
      </c>
      <c r="H659" s="16">
        <v>46006</v>
      </c>
      <c r="I659" s="115"/>
      <c r="J659" s="115">
        <v>45953</v>
      </c>
      <c r="K659" s="115"/>
      <c r="L659" s="115"/>
      <c r="M659" s="115">
        <v>45978</v>
      </c>
      <c r="N659" s="115" t="s">
        <v>3815</v>
      </c>
      <c r="O659" s="115"/>
      <c r="P659" s="115">
        <v>46001</v>
      </c>
      <c r="Q659" s="16"/>
      <c r="R659" s="115">
        <v>46056</v>
      </c>
      <c r="S659" s="115"/>
      <c r="T659" s="7" t="s">
        <v>20</v>
      </c>
      <c r="U659" s="352" t="s">
        <v>4312</v>
      </c>
      <c r="V659" s="16">
        <v>45999</v>
      </c>
      <c r="W659" s="16">
        <v>46038</v>
      </c>
      <c r="X659" s="354" t="s">
        <v>3882</v>
      </c>
      <c r="Y659" s="100"/>
      <c r="Z659" s="30" t="s">
        <v>103</v>
      </c>
      <c r="AA659" s="8">
        <v>46076</v>
      </c>
      <c r="AB659" s="10"/>
      <c r="AC659" s="22">
        <v>9560.4</v>
      </c>
      <c r="AD659" s="21"/>
      <c r="AE659" s="21"/>
      <c r="AF659" s="21"/>
      <c r="AG659" s="45"/>
      <c r="AH659" s="116">
        <v>9560.4</v>
      </c>
    </row>
    <row r="660" spans="1:34" s="9" customFormat="1" ht="122.25" customHeight="1">
      <c r="A660" s="9">
        <f t="shared" ca="1" si="21"/>
        <v>167</v>
      </c>
      <c r="B660" s="31">
        <v>45939</v>
      </c>
      <c r="C660" s="11" t="s">
        <v>27</v>
      </c>
      <c r="D660" s="2" t="s">
        <v>3349</v>
      </c>
      <c r="E660" s="11" t="s">
        <v>3350</v>
      </c>
      <c r="F660" s="30" t="s">
        <v>74</v>
      </c>
      <c r="G660" s="30" t="s">
        <v>3351</v>
      </c>
      <c r="H660" s="16">
        <v>46027</v>
      </c>
      <c r="I660" s="115"/>
      <c r="J660" s="115">
        <v>45945</v>
      </c>
      <c r="K660" s="115"/>
      <c r="L660" s="115">
        <v>45968</v>
      </c>
      <c r="M660" s="115">
        <v>45986</v>
      </c>
      <c r="N660" s="115"/>
      <c r="O660" s="115"/>
      <c r="P660" s="115">
        <v>46013</v>
      </c>
      <c r="Q660" s="16"/>
      <c r="R660" s="115">
        <v>46037</v>
      </c>
      <c r="S660" s="115"/>
      <c r="T660" s="7" t="s">
        <v>22</v>
      </c>
      <c r="U660" s="15" t="s">
        <v>4026</v>
      </c>
      <c r="V660" s="16">
        <v>45999</v>
      </c>
      <c r="W660" s="16">
        <v>46028</v>
      </c>
      <c r="X660" s="4"/>
      <c r="Y660" s="100"/>
      <c r="Z660" s="30" t="s">
        <v>3352</v>
      </c>
      <c r="AA660" s="8">
        <v>46050</v>
      </c>
      <c r="AB660" s="10"/>
      <c r="AC660" s="10"/>
      <c r="AD660" s="21"/>
      <c r="AE660" s="29">
        <v>2175417.2999999998</v>
      </c>
      <c r="AF660" s="21"/>
      <c r="AG660" s="45"/>
      <c r="AH660" s="116">
        <v>2175417.2999999998</v>
      </c>
    </row>
    <row r="661" spans="1:34" s="9" customFormat="1" ht="86.25" customHeight="1">
      <c r="A661" s="9">
        <f t="shared" ca="1" si="21"/>
        <v>136</v>
      </c>
      <c r="B661" s="31">
        <v>45932</v>
      </c>
      <c r="C661" s="2" t="s">
        <v>694</v>
      </c>
      <c r="D661" s="2" t="s">
        <v>3256</v>
      </c>
      <c r="E661" s="11" t="s">
        <v>3257</v>
      </c>
      <c r="F661" s="30" t="s">
        <v>2078</v>
      </c>
      <c r="G661" s="30" t="s">
        <v>3258</v>
      </c>
      <c r="H661" s="16">
        <v>46058</v>
      </c>
      <c r="I661" s="115">
        <v>45933</v>
      </c>
      <c r="J661" s="115">
        <v>45936</v>
      </c>
      <c r="K661" s="115">
        <v>45937</v>
      </c>
      <c r="L661" s="115" t="s">
        <v>878</v>
      </c>
      <c r="M661" s="115"/>
      <c r="N661" s="115"/>
      <c r="O661" s="115"/>
      <c r="P661" s="115"/>
      <c r="Q661" s="115">
        <v>46008</v>
      </c>
      <c r="R661" s="115"/>
      <c r="S661" s="115"/>
      <c r="T661" s="7" t="s">
        <v>20</v>
      </c>
      <c r="U661" s="16" t="s">
        <v>4049</v>
      </c>
      <c r="V661" s="16">
        <v>46016</v>
      </c>
      <c r="W661" s="16">
        <v>46058</v>
      </c>
      <c r="X661" s="351" t="s">
        <v>4050</v>
      </c>
      <c r="Y661" s="100"/>
      <c r="Z661" s="30" t="s">
        <v>54</v>
      </c>
      <c r="AA661" s="8">
        <v>46066</v>
      </c>
      <c r="AB661" s="23"/>
      <c r="AC661" s="22">
        <v>35064.800000000003</v>
      </c>
      <c r="AD661" s="21"/>
      <c r="AE661" s="21"/>
      <c r="AF661" s="21"/>
      <c r="AG661" s="45"/>
      <c r="AH661" s="118">
        <v>35064.800000000003</v>
      </c>
    </row>
    <row r="662" spans="1:34" s="9" customFormat="1" ht="75">
      <c r="A662" s="9">
        <f t="shared" ca="1" si="21"/>
        <v>167</v>
      </c>
      <c r="B662" s="31">
        <v>45932</v>
      </c>
      <c r="C662" s="2" t="s">
        <v>694</v>
      </c>
      <c r="D662" s="34" t="s">
        <v>3248</v>
      </c>
      <c r="E662" s="11" t="s">
        <v>3249</v>
      </c>
      <c r="F662" s="30" t="s">
        <v>44</v>
      </c>
      <c r="G662" s="30" t="s">
        <v>3803</v>
      </c>
      <c r="H662" s="16">
        <v>46027</v>
      </c>
      <c r="I662" s="115"/>
      <c r="J662" s="115">
        <v>45936</v>
      </c>
      <c r="K662" s="115">
        <v>45937</v>
      </c>
      <c r="L662" s="115"/>
      <c r="M662" s="115">
        <v>45993</v>
      </c>
      <c r="N662" s="115"/>
      <c r="O662" s="115"/>
      <c r="P662" s="115">
        <v>46038</v>
      </c>
      <c r="Q662" s="115">
        <v>46357</v>
      </c>
      <c r="R662" s="115">
        <v>46328</v>
      </c>
      <c r="S662" s="115">
        <v>46065</v>
      </c>
      <c r="T662" s="7" t="s">
        <v>22</v>
      </c>
      <c r="U662" s="16" t="s">
        <v>4176</v>
      </c>
      <c r="V662" s="16">
        <v>46002</v>
      </c>
      <c r="W662" s="16">
        <v>46114</v>
      </c>
      <c r="X662" s="334" t="s">
        <v>4175</v>
      </c>
      <c r="Y662" s="100"/>
      <c r="Z662" s="30" t="s">
        <v>54</v>
      </c>
      <c r="AA662" s="8">
        <v>46061</v>
      </c>
      <c r="AB662" s="23"/>
      <c r="AC662" s="22">
        <v>62546</v>
      </c>
      <c r="AD662" s="21"/>
      <c r="AE662" s="21"/>
      <c r="AF662" s="21"/>
      <c r="AG662" s="45"/>
      <c r="AH662" s="118">
        <v>62546</v>
      </c>
    </row>
    <row r="663" spans="1:34" s="9" customFormat="1" ht="93.75">
      <c r="A663" s="9">
        <f t="shared" ca="1" si="21"/>
        <v>188</v>
      </c>
      <c r="B663" s="31">
        <v>45947</v>
      </c>
      <c r="C663" s="11" t="s">
        <v>27</v>
      </c>
      <c r="D663" s="2" t="s">
        <v>3551</v>
      </c>
      <c r="E663" s="11" t="s">
        <v>3552</v>
      </c>
      <c r="F663" s="30" t="s">
        <v>1129</v>
      </c>
      <c r="G663" s="30" t="s">
        <v>3553</v>
      </c>
      <c r="H663" s="16">
        <v>46006</v>
      </c>
      <c r="I663" s="115"/>
      <c r="J663" s="115">
        <v>45953</v>
      </c>
      <c r="K663" s="115"/>
      <c r="L663" s="115"/>
      <c r="M663" s="115"/>
      <c r="N663" s="115"/>
      <c r="O663" s="115"/>
      <c r="P663" s="115">
        <v>46009</v>
      </c>
      <c r="Q663" s="16"/>
      <c r="R663" s="115"/>
      <c r="S663" s="115"/>
      <c r="T663" s="7" t="s">
        <v>25</v>
      </c>
      <c r="U663" s="356" t="s">
        <v>4193</v>
      </c>
      <c r="V663" s="16">
        <v>46030</v>
      </c>
      <c r="W663" s="16">
        <v>46044</v>
      </c>
      <c r="X663" s="313" t="s">
        <v>4194</v>
      </c>
      <c r="Y663" s="100"/>
      <c r="Z663" s="30" t="s">
        <v>103</v>
      </c>
      <c r="AA663" s="8">
        <v>46082</v>
      </c>
      <c r="AB663" s="10"/>
      <c r="AC663" s="10"/>
      <c r="AD663" s="21"/>
      <c r="AE663" s="21"/>
      <c r="AF663" s="29">
        <v>14588.3</v>
      </c>
      <c r="AG663" s="45"/>
      <c r="AH663" s="116">
        <v>14588.3</v>
      </c>
    </row>
    <row r="664" spans="1:34" s="9" customFormat="1" ht="122.25" customHeight="1">
      <c r="A664" s="9">
        <f t="shared" ca="1" si="21"/>
        <v>205</v>
      </c>
      <c r="B664" s="31">
        <v>45947</v>
      </c>
      <c r="C664" s="11" t="s">
        <v>27</v>
      </c>
      <c r="D664" s="2" t="s">
        <v>3539</v>
      </c>
      <c r="E664" s="11" t="s">
        <v>3540</v>
      </c>
      <c r="F664" s="30" t="s">
        <v>79</v>
      </c>
      <c r="G664" s="30" t="s">
        <v>3541</v>
      </c>
      <c r="H664" s="16">
        <v>45989</v>
      </c>
      <c r="I664" s="115"/>
      <c r="J664" s="115">
        <v>45953</v>
      </c>
      <c r="K664" s="115"/>
      <c r="L664" s="115"/>
      <c r="M664" s="115"/>
      <c r="N664" s="115"/>
      <c r="O664" s="115"/>
      <c r="P664" s="115">
        <v>46013</v>
      </c>
      <c r="Q664" s="16"/>
      <c r="R664" s="115">
        <v>46063</v>
      </c>
      <c r="S664" s="115"/>
      <c r="T664" s="7" t="s">
        <v>20</v>
      </c>
      <c r="U664" s="15" t="s">
        <v>3908</v>
      </c>
      <c r="V664" s="16">
        <v>46007</v>
      </c>
      <c r="W664" s="16">
        <v>46050</v>
      </c>
      <c r="X664" s="347" t="s">
        <v>4495</v>
      </c>
      <c r="Y664" s="100"/>
      <c r="Z664" s="30" t="s">
        <v>103</v>
      </c>
      <c r="AA664" s="8">
        <v>46087</v>
      </c>
      <c r="AB664" s="10"/>
      <c r="AC664" s="22">
        <v>34991.9</v>
      </c>
      <c r="AD664" s="21"/>
      <c r="AE664" s="21"/>
      <c r="AF664" s="21"/>
      <c r="AG664" s="45"/>
      <c r="AH664" s="116">
        <v>34991.9</v>
      </c>
    </row>
    <row r="665" spans="1:34" s="9" customFormat="1" ht="122.25" customHeight="1">
      <c r="A665" s="9">
        <f t="shared" ca="1" si="21"/>
        <v>142</v>
      </c>
      <c r="B665" s="31">
        <v>46003</v>
      </c>
      <c r="C665" s="11" t="s">
        <v>24</v>
      </c>
      <c r="D665" s="2" t="s">
        <v>3980</v>
      </c>
      <c r="E665" s="11" t="s">
        <v>3981</v>
      </c>
      <c r="F665" s="30" t="s">
        <v>3982</v>
      </c>
      <c r="G665" s="30" t="s">
        <v>3983</v>
      </c>
      <c r="H665" s="16">
        <v>46052</v>
      </c>
      <c r="I665" s="115">
        <v>46003</v>
      </c>
      <c r="J665" s="115">
        <v>46003</v>
      </c>
      <c r="K665" s="115">
        <v>46008</v>
      </c>
      <c r="L665" s="115"/>
      <c r="M665" s="115"/>
      <c r="N665" s="115" t="s">
        <v>4137</v>
      </c>
      <c r="O665" s="115"/>
      <c r="P665" s="115">
        <v>46373</v>
      </c>
      <c r="Q665" s="115">
        <v>46037</v>
      </c>
      <c r="R665" s="115"/>
      <c r="S665" s="115"/>
      <c r="T665" s="7" t="s">
        <v>20</v>
      </c>
      <c r="U665" s="2" t="s">
        <v>4380</v>
      </c>
      <c r="V665" s="16" t="s">
        <v>4381</v>
      </c>
      <c r="W665" s="16" t="s">
        <v>4524</v>
      </c>
      <c r="X665" s="4" t="s">
        <v>4379</v>
      </c>
      <c r="Y665" s="100"/>
      <c r="Z665" s="30" t="s">
        <v>61</v>
      </c>
      <c r="AA665" s="8">
        <v>46013</v>
      </c>
      <c r="AB665" s="10"/>
      <c r="AC665" s="22">
        <v>1226</v>
      </c>
      <c r="AD665" s="21"/>
      <c r="AE665" s="21"/>
      <c r="AF665" s="21"/>
      <c r="AG665" s="45"/>
      <c r="AH665" s="116">
        <v>1226</v>
      </c>
    </row>
    <row r="666" spans="1:34" s="9" customFormat="1" ht="122.25" customHeight="1">
      <c r="A666" s="9">
        <f t="shared" ca="1" si="21"/>
        <v>164</v>
      </c>
      <c r="B666" s="31">
        <v>45961</v>
      </c>
      <c r="C666" s="11" t="s">
        <v>24</v>
      </c>
      <c r="D666" s="2" t="s">
        <v>3682</v>
      </c>
      <c r="E666" s="11" t="s">
        <v>3683</v>
      </c>
      <c r="F666" s="30" t="s">
        <v>95</v>
      </c>
      <c r="G666" s="30" t="s">
        <v>3989</v>
      </c>
      <c r="H666" s="16">
        <v>46030</v>
      </c>
      <c r="I666" s="115">
        <v>45961</v>
      </c>
      <c r="J666" s="115">
        <v>45965</v>
      </c>
      <c r="K666" s="115">
        <v>45961</v>
      </c>
      <c r="L666" s="115"/>
      <c r="M666" s="115"/>
      <c r="N666" s="115"/>
      <c r="O666" s="115"/>
      <c r="P666" s="115">
        <v>46008</v>
      </c>
      <c r="Q666" s="115">
        <v>46008</v>
      </c>
      <c r="R666" s="115" t="s">
        <v>4200</v>
      </c>
      <c r="S666" s="115"/>
      <c r="T666" s="7" t="s">
        <v>22</v>
      </c>
      <c r="U666" s="2" t="s">
        <v>3995</v>
      </c>
      <c r="V666" s="16">
        <v>46001</v>
      </c>
      <c r="W666" s="16" t="s">
        <v>4199</v>
      </c>
      <c r="X666" s="4" t="s">
        <v>3967</v>
      </c>
      <c r="Y666" s="100"/>
      <c r="Z666" s="30" t="s">
        <v>54</v>
      </c>
      <c r="AA666" s="8">
        <v>46061</v>
      </c>
      <c r="AB666" s="10"/>
      <c r="AC666" s="22">
        <v>58880.160000000003</v>
      </c>
      <c r="AD666" s="21"/>
      <c r="AE666" s="21"/>
      <c r="AF666" s="21"/>
      <c r="AG666" s="45"/>
      <c r="AH666" s="116">
        <v>58880.160000000003</v>
      </c>
    </row>
    <row r="667" spans="1:34" s="9" customFormat="1" ht="112.5">
      <c r="B667" s="31">
        <v>45947</v>
      </c>
      <c r="C667" s="11" t="s">
        <v>694</v>
      </c>
      <c r="D667" s="2" t="s">
        <v>3400</v>
      </c>
      <c r="E667" s="11" t="s">
        <v>3401</v>
      </c>
      <c r="F667" s="30" t="s">
        <v>2069</v>
      </c>
      <c r="G667" s="30" t="s">
        <v>3874</v>
      </c>
      <c r="H667" s="16">
        <v>46054</v>
      </c>
      <c r="I667" s="115">
        <v>45951</v>
      </c>
      <c r="J667" s="115">
        <v>45951</v>
      </c>
      <c r="K667" s="115">
        <v>45959</v>
      </c>
      <c r="L667" s="115"/>
      <c r="M667" s="115"/>
      <c r="N667" s="115"/>
      <c r="O667" s="115"/>
      <c r="P667" s="115"/>
      <c r="Q667" s="115">
        <v>46013</v>
      </c>
      <c r="R667" s="115">
        <v>46083</v>
      </c>
      <c r="S667" s="115">
        <v>46084</v>
      </c>
      <c r="T667" s="7" t="s">
        <v>22</v>
      </c>
      <c r="U667" s="16" t="s">
        <v>4323</v>
      </c>
      <c r="V667" s="16">
        <v>46023</v>
      </c>
      <c r="W667" s="16" t="s">
        <v>4447</v>
      </c>
      <c r="X667" s="292" t="s">
        <v>4177</v>
      </c>
      <c r="Y667" s="100"/>
      <c r="Z667" s="30" t="s">
        <v>55</v>
      </c>
      <c r="AA667" s="8">
        <v>46385</v>
      </c>
      <c r="AB667" s="22">
        <v>17742.7</v>
      </c>
      <c r="AC667" s="10"/>
      <c r="AD667" s="21"/>
      <c r="AE667" s="21"/>
      <c r="AF667" s="21"/>
      <c r="AG667" s="45"/>
      <c r="AH667" s="116">
        <v>17742.7</v>
      </c>
    </row>
    <row r="668" spans="1:34" s="9" customFormat="1" ht="306.75" customHeight="1">
      <c r="A668" s="9">
        <f t="shared" ref="A668:A678" ca="1" si="22">TODAY()-H668+1</f>
        <v>202</v>
      </c>
      <c r="B668" s="31">
        <v>45883</v>
      </c>
      <c r="C668" s="11" t="s">
        <v>24</v>
      </c>
      <c r="D668" s="2" t="s">
        <v>2756</v>
      </c>
      <c r="E668" s="11" t="s">
        <v>2757</v>
      </c>
      <c r="F668" s="30" t="s">
        <v>36</v>
      </c>
      <c r="G668" s="30" t="s">
        <v>4160</v>
      </c>
      <c r="H668" s="16">
        <v>45992</v>
      </c>
      <c r="I668" s="115">
        <v>45883</v>
      </c>
      <c r="J668" s="115">
        <v>45884</v>
      </c>
      <c r="K668" s="115">
        <v>45883</v>
      </c>
      <c r="L668" s="115"/>
      <c r="M668" s="115"/>
      <c r="N668" s="115"/>
      <c r="O668" s="115"/>
      <c r="P668" s="115">
        <v>46050</v>
      </c>
      <c r="Q668" s="115">
        <v>46056</v>
      </c>
      <c r="R668" s="115"/>
      <c r="S668" s="16"/>
      <c r="T668" s="7" t="s">
        <v>30</v>
      </c>
      <c r="U668" s="11" t="s">
        <v>4206</v>
      </c>
      <c r="V668" s="16">
        <v>46052</v>
      </c>
      <c r="W668" s="16">
        <v>46058</v>
      </c>
      <c r="X668" s="4"/>
      <c r="Y668" s="100"/>
      <c r="Z668" s="30" t="s">
        <v>113</v>
      </c>
      <c r="AA668" s="8">
        <v>46084</v>
      </c>
      <c r="AB668" s="22">
        <v>4548.07</v>
      </c>
      <c r="AC668" s="10"/>
      <c r="AD668" s="21"/>
      <c r="AE668" s="21"/>
      <c r="AF668" s="21"/>
      <c r="AG668" s="45"/>
      <c r="AH668" s="116">
        <v>4548.07</v>
      </c>
    </row>
    <row r="669" spans="1:34" s="9" customFormat="1" ht="278.25" customHeight="1">
      <c r="A669" s="9">
        <f t="shared" ca="1" si="22"/>
        <v>171</v>
      </c>
      <c r="B669" s="31">
        <v>45919</v>
      </c>
      <c r="C669" s="11" t="s">
        <v>24</v>
      </c>
      <c r="D669" s="2" t="s">
        <v>3049</v>
      </c>
      <c r="E669" s="11" t="s">
        <v>3050</v>
      </c>
      <c r="F669" s="30" t="s">
        <v>3051</v>
      </c>
      <c r="G669" s="30" t="s">
        <v>4162</v>
      </c>
      <c r="H669" s="16">
        <v>46023</v>
      </c>
      <c r="I669" s="115">
        <v>45919</v>
      </c>
      <c r="J669" s="115">
        <v>45919</v>
      </c>
      <c r="K669" s="115">
        <v>45919</v>
      </c>
      <c r="L669" s="115"/>
      <c r="M669" s="115"/>
      <c r="N669" s="115"/>
      <c r="O669" s="115"/>
      <c r="P669" s="115">
        <v>46050</v>
      </c>
      <c r="Q669" s="115">
        <v>46056</v>
      </c>
      <c r="R669" s="115"/>
      <c r="S669" s="16"/>
      <c r="T669" s="7" t="s">
        <v>30</v>
      </c>
      <c r="U669" s="11" t="s">
        <v>4206</v>
      </c>
      <c r="V669" s="16">
        <v>46052</v>
      </c>
      <c r="W669" s="16">
        <v>46058</v>
      </c>
      <c r="X669" s="4"/>
      <c r="Y669" s="100"/>
      <c r="Z669" s="30" t="s">
        <v>113</v>
      </c>
      <c r="AA669" s="8">
        <v>46084</v>
      </c>
      <c r="AB669" s="22">
        <v>18192.259999999998</v>
      </c>
      <c r="AC669" s="10"/>
      <c r="AD669" s="21"/>
      <c r="AE669" s="21"/>
      <c r="AF669" s="21"/>
      <c r="AG669" s="45"/>
      <c r="AH669" s="116">
        <v>18192.259999999998</v>
      </c>
    </row>
    <row r="670" spans="1:34" s="9" customFormat="1" ht="303" customHeight="1">
      <c r="A670" s="9">
        <f t="shared" ca="1" si="22"/>
        <v>140</v>
      </c>
      <c r="B670" s="31">
        <v>45945</v>
      </c>
      <c r="C670" s="11" t="s">
        <v>24</v>
      </c>
      <c r="D670" s="2" t="s">
        <v>3381</v>
      </c>
      <c r="E670" s="11" t="s">
        <v>3382</v>
      </c>
      <c r="F670" s="30" t="s">
        <v>36</v>
      </c>
      <c r="G670" s="30" t="s">
        <v>4328</v>
      </c>
      <c r="H670" s="16">
        <v>46054</v>
      </c>
      <c r="I670" s="115">
        <v>45946</v>
      </c>
      <c r="J670" s="115">
        <v>45946</v>
      </c>
      <c r="K670" s="115">
        <v>45946</v>
      </c>
      <c r="L670" s="115"/>
      <c r="M670" s="115"/>
      <c r="N670" s="115"/>
      <c r="O670" s="115"/>
      <c r="P670" s="115">
        <v>46050</v>
      </c>
      <c r="Q670" s="115">
        <v>46056</v>
      </c>
      <c r="R670" s="115"/>
      <c r="S670" s="16"/>
      <c r="T670" s="7" t="s">
        <v>30</v>
      </c>
      <c r="U670" s="11" t="s">
        <v>4206</v>
      </c>
      <c r="V670" s="16">
        <v>46052</v>
      </c>
      <c r="W670" s="16">
        <v>46058</v>
      </c>
      <c r="X670" s="4"/>
      <c r="Y670" s="100"/>
      <c r="Z670" s="30" t="s">
        <v>113</v>
      </c>
      <c r="AA670" s="8">
        <v>46084</v>
      </c>
      <c r="AB670" s="22">
        <f>451822.53+860282.2</f>
        <v>1312104.73</v>
      </c>
      <c r="AC670" s="10"/>
      <c r="AD670" s="21"/>
      <c r="AE670" s="21"/>
      <c r="AF670" s="21"/>
      <c r="AG670" s="45"/>
      <c r="AH670" s="116">
        <f>451822.53+860282.2</f>
        <v>1312104.73</v>
      </c>
    </row>
    <row r="671" spans="1:34" s="9" customFormat="1" ht="122.25" customHeight="1">
      <c r="A671" s="9">
        <f t="shared" ca="1" si="22"/>
        <v>90</v>
      </c>
      <c r="B671" s="31">
        <v>46010</v>
      </c>
      <c r="C671" s="11" t="s">
        <v>27</v>
      </c>
      <c r="D671" s="2" t="s">
        <v>4064</v>
      </c>
      <c r="E671" s="11" t="s">
        <v>4065</v>
      </c>
      <c r="F671" s="30" t="s">
        <v>4066</v>
      </c>
      <c r="G671" s="30" t="s">
        <v>4067</v>
      </c>
      <c r="H671" s="16">
        <v>46104</v>
      </c>
      <c r="I671" s="115">
        <v>46013</v>
      </c>
      <c r="J671" s="115">
        <v>46014</v>
      </c>
      <c r="K671" s="115"/>
      <c r="L671" s="115"/>
      <c r="M671" s="115" t="s">
        <v>4109</v>
      </c>
      <c r="N671" s="350" t="s">
        <v>4268</v>
      </c>
      <c r="O671" s="115"/>
      <c r="P671" s="115">
        <v>46037</v>
      </c>
      <c r="Q671" s="16" t="s">
        <v>851</v>
      </c>
      <c r="R671" s="115" t="s">
        <v>878</v>
      </c>
      <c r="S671" s="115">
        <v>46094</v>
      </c>
      <c r="T671" s="7" t="s">
        <v>20</v>
      </c>
      <c r="U671" t="s">
        <v>4435</v>
      </c>
      <c r="V671" s="16">
        <v>46053</v>
      </c>
      <c r="W671" s="16">
        <v>46085</v>
      </c>
      <c r="X671" s="4" t="s">
        <v>4434</v>
      </c>
      <c r="Y671" s="100"/>
      <c r="Z671" s="30" t="s">
        <v>4270</v>
      </c>
      <c r="AA671" s="8">
        <v>46045</v>
      </c>
      <c r="AB671" s="10"/>
      <c r="AC671" s="22">
        <v>3600</v>
      </c>
      <c r="AD671" s="21"/>
      <c r="AE671" s="21"/>
      <c r="AF671" s="21"/>
      <c r="AG671" s="45"/>
      <c r="AH671" s="116">
        <v>3600</v>
      </c>
    </row>
    <row r="672" spans="1:34" s="9" customFormat="1" ht="122.25" customHeight="1">
      <c r="A672" s="9">
        <f t="shared" ca="1" si="22"/>
        <v>-2</v>
      </c>
      <c r="B672" s="31">
        <v>46010</v>
      </c>
      <c r="C672" s="11" t="s">
        <v>27</v>
      </c>
      <c r="D672" s="2" t="s">
        <v>4068</v>
      </c>
      <c r="E672" s="11" t="s">
        <v>4069</v>
      </c>
      <c r="F672" s="30" t="s">
        <v>4070</v>
      </c>
      <c r="G672" s="30" t="s">
        <v>4071</v>
      </c>
      <c r="H672" s="16">
        <v>46196</v>
      </c>
      <c r="I672" s="115">
        <v>46013</v>
      </c>
      <c r="J672" s="115">
        <v>46014</v>
      </c>
      <c r="K672" s="115"/>
      <c r="L672" s="115"/>
      <c r="M672" s="115" t="s">
        <v>4110</v>
      </c>
      <c r="N672" s="115"/>
      <c r="O672" s="115"/>
      <c r="P672" s="115" t="s">
        <v>4269</v>
      </c>
      <c r="Q672" s="16" t="s">
        <v>851</v>
      </c>
      <c r="R672" s="115"/>
      <c r="S672" s="115">
        <v>46091</v>
      </c>
      <c r="T672" s="7" t="s">
        <v>20</v>
      </c>
      <c r="U672" t="s">
        <v>4267</v>
      </c>
      <c r="V672" s="16">
        <v>46050</v>
      </c>
      <c r="W672" s="16">
        <v>46085</v>
      </c>
      <c r="X672" s="4" t="s">
        <v>4434</v>
      </c>
      <c r="Y672" s="100"/>
      <c r="Z672" s="30" t="s">
        <v>432</v>
      </c>
      <c r="AA672" s="8">
        <v>46028</v>
      </c>
      <c r="AB672" s="10"/>
      <c r="AC672" s="135">
        <v>9150</v>
      </c>
      <c r="AD672" s="21"/>
      <c r="AE672" s="21"/>
      <c r="AF672" s="21"/>
      <c r="AG672" s="45"/>
      <c r="AH672" s="116">
        <v>9150</v>
      </c>
    </row>
    <row r="673" spans="1:34" s="9" customFormat="1" ht="122.25" customHeight="1">
      <c r="A673" s="9">
        <f t="shared" ca="1" si="22"/>
        <v>90</v>
      </c>
      <c r="B673" s="31">
        <v>46015</v>
      </c>
      <c r="C673" s="11" t="s">
        <v>27</v>
      </c>
      <c r="D673" s="2" t="s">
        <v>4101</v>
      </c>
      <c r="E673" s="11" t="s">
        <v>4102</v>
      </c>
      <c r="F673" s="30" t="s">
        <v>4103</v>
      </c>
      <c r="G673" s="30" t="s">
        <v>4104</v>
      </c>
      <c r="H673" s="16">
        <v>46104</v>
      </c>
      <c r="I673" s="115">
        <v>46017</v>
      </c>
      <c r="J673" s="115">
        <v>46020</v>
      </c>
      <c r="K673" s="115">
        <v>46017</v>
      </c>
      <c r="L673" s="115"/>
      <c r="M673" s="115">
        <v>46027</v>
      </c>
      <c r="N673" s="350"/>
      <c r="O673" s="115"/>
      <c r="P673" s="115">
        <v>46048</v>
      </c>
      <c r="Q673" s="16" t="s">
        <v>851</v>
      </c>
      <c r="R673" s="115"/>
      <c r="S673" s="115">
        <v>46091</v>
      </c>
      <c r="T673" s="7" t="s">
        <v>20</v>
      </c>
      <c r="U673" t="s">
        <v>4267</v>
      </c>
      <c r="V673" s="16">
        <v>46053</v>
      </c>
      <c r="W673" s="16">
        <v>46083</v>
      </c>
      <c r="X673" s="4"/>
      <c r="Y673" s="100"/>
      <c r="Z673" s="30" t="s">
        <v>4105</v>
      </c>
      <c r="AA673" s="8">
        <v>46063</v>
      </c>
      <c r="AB673" s="10"/>
      <c r="AC673" s="22">
        <v>2898</v>
      </c>
      <c r="AD673" s="21"/>
      <c r="AE673" s="21"/>
      <c r="AF673" s="21"/>
      <c r="AG673" s="45"/>
      <c r="AH673" s="116">
        <v>2898</v>
      </c>
    </row>
    <row r="674" spans="1:34" s="9" customFormat="1" ht="122.25" customHeight="1">
      <c r="A674" s="9">
        <f t="shared" ca="1" si="22"/>
        <v>164</v>
      </c>
      <c r="B674" s="31">
        <v>45961</v>
      </c>
      <c r="C674" s="11" t="s">
        <v>24</v>
      </c>
      <c r="D674" s="2" t="s">
        <v>3666</v>
      </c>
      <c r="E674" s="11" t="s">
        <v>3667</v>
      </c>
      <c r="F674" s="30" t="s">
        <v>295</v>
      </c>
      <c r="G674" s="30" t="s">
        <v>4083</v>
      </c>
      <c r="H674" s="16">
        <v>46030</v>
      </c>
      <c r="I674" s="115">
        <v>45961</v>
      </c>
      <c r="J674" s="115">
        <v>45964</v>
      </c>
      <c r="K674" s="115">
        <v>45961</v>
      </c>
      <c r="L674" s="115"/>
      <c r="M674" s="115"/>
      <c r="N674" s="115"/>
      <c r="O674" s="115"/>
      <c r="P674" s="115">
        <v>46014</v>
      </c>
      <c r="Q674" s="115">
        <v>46014</v>
      </c>
      <c r="R674" s="115"/>
      <c r="S674" s="115"/>
      <c r="T674" s="7" t="s">
        <v>22</v>
      </c>
      <c r="U674" s="16" t="s">
        <v>4096</v>
      </c>
      <c r="V674" s="16" t="s">
        <v>4079</v>
      </c>
      <c r="W674" s="16" t="s">
        <v>4260</v>
      </c>
      <c r="X674" s="4" t="s">
        <v>4138</v>
      </c>
      <c r="Y674" s="100"/>
      <c r="Z674" s="30" t="s">
        <v>29</v>
      </c>
      <c r="AA674" s="8">
        <v>46072</v>
      </c>
      <c r="AB674" s="10"/>
      <c r="AC674" s="22">
        <v>133313.29</v>
      </c>
      <c r="AD674" s="21"/>
      <c r="AE674" s="21"/>
      <c r="AF674" s="21"/>
      <c r="AG674" s="45"/>
      <c r="AH674" s="116">
        <v>133313.29</v>
      </c>
    </row>
    <row r="675" spans="1:34" s="9" customFormat="1" ht="122.25" customHeight="1">
      <c r="A675" s="9">
        <f t="shared" ca="1" si="22"/>
        <v>131</v>
      </c>
      <c r="B675" s="31">
        <v>46009</v>
      </c>
      <c r="C675" s="11" t="s">
        <v>24</v>
      </c>
      <c r="D675" s="2" t="s">
        <v>4010</v>
      </c>
      <c r="E675" s="11" t="s">
        <v>4011</v>
      </c>
      <c r="F675" s="30" t="s">
        <v>295</v>
      </c>
      <c r="G675" s="30" t="s">
        <v>4429</v>
      </c>
      <c r="H675" s="16">
        <v>46063</v>
      </c>
      <c r="I675" s="115">
        <v>46010</v>
      </c>
      <c r="J675" s="115">
        <v>46010</v>
      </c>
      <c r="K675" s="115">
        <v>46014</v>
      </c>
      <c r="L675" s="115"/>
      <c r="M675" s="115"/>
      <c r="N675" s="115"/>
      <c r="O675" s="115"/>
      <c r="P675" s="115">
        <v>46063</v>
      </c>
      <c r="Q675" s="115">
        <v>46043</v>
      </c>
      <c r="R675" s="115"/>
      <c r="S675" s="115"/>
      <c r="T675" s="7" t="s">
        <v>22</v>
      </c>
      <c r="U675" s="11" t="s">
        <v>4092</v>
      </c>
      <c r="V675" s="16" t="s">
        <v>4205</v>
      </c>
      <c r="W675" s="16" t="s">
        <v>4483</v>
      </c>
      <c r="X675" s="4" t="s">
        <v>4261</v>
      </c>
      <c r="Y675" s="100"/>
      <c r="Z675" s="30" t="s">
        <v>29</v>
      </c>
      <c r="AA675" s="68">
        <v>46099</v>
      </c>
      <c r="AB675" s="23"/>
      <c r="AC675" s="22">
        <v>28652.76</v>
      </c>
      <c r="AD675" s="65"/>
      <c r="AE675" s="65"/>
      <c r="AF675" s="65"/>
      <c r="AG675" s="279"/>
      <c r="AH675" s="118">
        <v>28652.76</v>
      </c>
    </row>
    <row r="676" spans="1:34" s="9" customFormat="1" ht="122.25" customHeight="1">
      <c r="A676" s="9">
        <f t="shared" ca="1" si="22"/>
        <v>164</v>
      </c>
      <c r="B676" s="31">
        <v>45961</v>
      </c>
      <c r="C676" s="11" t="s">
        <v>24</v>
      </c>
      <c r="D676" s="2" t="s">
        <v>3684</v>
      </c>
      <c r="E676" s="11" t="s">
        <v>3685</v>
      </c>
      <c r="F676" s="30" t="s">
        <v>98</v>
      </c>
      <c r="G676" s="30" t="s">
        <v>3736</v>
      </c>
      <c r="H676" s="16">
        <v>46030</v>
      </c>
      <c r="I676" s="115">
        <v>45961</v>
      </c>
      <c r="J676" s="115">
        <v>45965</v>
      </c>
      <c r="K676" s="115">
        <v>45967</v>
      </c>
      <c r="L676" s="115"/>
      <c r="M676" s="115"/>
      <c r="N676" s="115"/>
      <c r="O676" s="115"/>
      <c r="P676" s="115">
        <v>46003</v>
      </c>
      <c r="Q676" s="115">
        <v>46008</v>
      </c>
      <c r="R676" s="115"/>
      <c r="S676" s="16"/>
      <c r="T676" s="7" t="s">
        <v>22</v>
      </c>
      <c r="U676" s="2" t="s">
        <v>4163</v>
      </c>
      <c r="V676" s="16">
        <v>46000</v>
      </c>
      <c r="W676" s="16" t="s">
        <v>4259</v>
      </c>
      <c r="X676" s="4" t="s">
        <v>3966</v>
      </c>
      <c r="Y676" s="100"/>
      <c r="Z676" s="30" t="s">
        <v>54</v>
      </c>
      <c r="AA676" s="8">
        <v>46062</v>
      </c>
      <c r="AB676" s="22">
        <v>28042.2</v>
      </c>
      <c r="AC676" s="10"/>
      <c r="AD676" s="21"/>
      <c r="AE676" s="21"/>
      <c r="AF676" s="21"/>
      <c r="AG676" s="45"/>
      <c r="AH676" s="116">
        <v>28042.2</v>
      </c>
    </row>
    <row r="677" spans="1:34" s="9" customFormat="1" ht="131.25">
      <c r="A677" s="9">
        <f t="shared" ca="1" si="22"/>
        <v>307</v>
      </c>
      <c r="B677" s="31">
        <v>45848</v>
      </c>
      <c r="C677" s="2" t="s">
        <v>27</v>
      </c>
      <c r="D677" s="2" t="s">
        <v>2266</v>
      </c>
      <c r="E677" s="11" t="s">
        <v>2267</v>
      </c>
      <c r="F677" s="30" t="s">
        <v>2268</v>
      </c>
      <c r="G677" s="30" t="s">
        <v>2390</v>
      </c>
      <c r="H677" s="16">
        <v>45887</v>
      </c>
      <c r="I677" s="115"/>
      <c r="J677" s="115"/>
      <c r="K677" s="115"/>
      <c r="L677" s="115"/>
      <c r="M677" s="272"/>
      <c r="N677" s="115">
        <v>45924</v>
      </c>
      <c r="O677" s="115"/>
      <c r="P677" s="115">
        <v>45982</v>
      </c>
      <c r="Q677" s="16" t="s">
        <v>1449</v>
      </c>
      <c r="R677" s="115"/>
      <c r="S677" s="115"/>
      <c r="T677" s="7" t="s">
        <v>34</v>
      </c>
      <c r="U677" s="182" t="s">
        <v>3644</v>
      </c>
      <c r="V677" s="16">
        <v>45972</v>
      </c>
      <c r="W677" s="16">
        <v>45986</v>
      </c>
      <c r="X677" s="4" t="s">
        <v>4154</v>
      </c>
      <c r="Y677" s="100"/>
      <c r="Z677" s="30" t="s">
        <v>717</v>
      </c>
      <c r="AA677" s="6" t="s">
        <v>4041</v>
      </c>
      <c r="AB677" s="10"/>
      <c r="AC677" s="10"/>
      <c r="AD677" s="21"/>
      <c r="AE677" s="361" t="s">
        <v>4043</v>
      </c>
      <c r="AF677" s="21"/>
      <c r="AG677" s="45"/>
      <c r="AH677" s="345" t="s">
        <v>4043</v>
      </c>
    </row>
    <row r="678" spans="1:34" s="9" customFormat="1" ht="131.25">
      <c r="A678" s="9">
        <f t="shared" ca="1" si="22"/>
        <v>307</v>
      </c>
      <c r="B678" s="31">
        <v>45848</v>
      </c>
      <c r="C678" s="2" t="s">
        <v>27</v>
      </c>
      <c r="D678" s="2" t="s">
        <v>2388</v>
      </c>
      <c r="E678" s="11" t="s">
        <v>2389</v>
      </c>
      <c r="F678" s="30" t="s">
        <v>2268</v>
      </c>
      <c r="G678" s="30" t="s">
        <v>2269</v>
      </c>
      <c r="H678" s="16">
        <v>45887</v>
      </c>
      <c r="I678" s="115"/>
      <c r="J678" s="115"/>
      <c r="K678" s="115"/>
      <c r="L678" s="115"/>
      <c r="M678" s="272"/>
      <c r="N678" s="115">
        <v>45924</v>
      </c>
      <c r="O678" s="115"/>
      <c r="P678" s="115">
        <v>45982</v>
      </c>
      <c r="Q678" s="16" t="s">
        <v>1449</v>
      </c>
      <c r="R678" s="115"/>
      <c r="S678" s="115"/>
      <c r="T678" s="7" t="s">
        <v>34</v>
      </c>
      <c r="U678" s="182" t="s">
        <v>3644</v>
      </c>
      <c r="V678" s="16">
        <v>45972</v>
      </c>
      <c r="W678" s="16">
        <v>45986</v>
      </c>
      <c r="X678" s="4" t="s">
        <v>4155</v>
      </c>
      <c r="Y678" s="100"/>
      <c r="Z678" s="30" t="s">
        <v>717</v>
      </c>
      <c r="AA678" s="6" t="s">
        <v>4041</v>
      </c>
      <c r="AB678" s="10"/>
      <c r="AC678" s="10"/>
      <c r="AD678" s="21"/>
      <c r="AE678" s="362" t="s">
        <v>4042</v>
      </c>
      <c r="AF678" s="21"/>
      <c r="AG678" s="45"/>
      <c r="AH678" s="345" t="s">
        <v>4042</v>
      </c>
    </row>
    <row r="679" spans="1:34" s="9" customFormat="1" ht="112.5">
      <c r="B679" s="31">
        <v>45883</v>
      </c>
      <c r="C679" s="2" t="s">
        <v>27</v>
      </c>
      <c r="D679" s="2" t="s">
        <v>2748</v>
      </c>
      <c r="E679" s="11" t="s">
        <v>2749</v>
      </c>
      <c r="F679" s="30" t="s">
        <v>2268</v>
      </c>
      <c r="G679" s="30" t="s">
        <v>2750</v>
      </c>
      <c r="H679" s="16">
        <v>45930</v>
      </c>
      <c r="I679" s="115">
        <v>45883</v>
      </c>
      <c r="J679" s="115">
        <v>45884</v>
      </c>
      <c r="K679" s="115">
        <v>45883</v>
      </c>
      <c r="L679" s="115"/>
      <c r="M679" s="115"/>
      <c r="N679" s="115"/>
      <c r="O679" s="115"/>
      <c r="P679" s="115">
        <v>45982</v>
      </c>
      <c r="Q679" s="16" t="s">
        <v>1449</v>
      </c>
      <c r="R679" s="115"/>
      <c r="S679" s="115"/>
      <c r="T679" s="7" t="s">
        <v>22</v>
      </c>
      <c r="U679" s="182" t="s">
        <v>3644</v>
      </c>
      <c r="V679" s="16">
        <v>45972</v>
      </c>
      <c r="W679" s="16">
        <v>45986</v>
      </c>
      <c r="X679" s="4" t="s">
        <v>4156</v>
      </c>
      <c r="Y679" s="100"/>
      <c r="Z679" s="30" t="s">
        <v>2751</v>
      </c>
      <c r="AA679" s="6" t="s">
        <v>4041</v>
      </c>
      <c r="AB679" s="10"/>
      <c r="AC679" s="10"/>
      <c r="AD679" s="21"/>
      <c r="AE679" s="362" t="s">
        <v>4040</v>
      </c>
      <c r="AF679" s="21"/>
      <c r="AG679" s="45"/>
      <c r="AH679" s="345" t="s">
        <v>4040</v>
      </c>
    </row>
    <row r="680" spans="1:34" s="9" customFormat="1" ht="75">
      <c r="A680" s="9">
        <f ca="1">TODAY()-H680+1</f>
        <v>188</v>
      </c>
      <c r="B680" s="31">
        <v>45923</v>
      </c>
      <c r="C680" s="11" t="s">
        <v>24</v>
      </c>
      <c r="D680" s="2" t="s">
        <v>3114</v>
      </c>
      <c r="E680" s="11" t="s">
        <v>3115</v>
      </c>
      <c r="F680" s="30" t="s">
        <v>3659</v>
      </c>
      <c r="G680" s="30" t="s">
        <v>3116</v>
      </c>
      <c r="H680" s="16">
        <v>46006</v>
      </c>
      <c r="I680" s="115">
        <v>45923</v>
      </c>
      <c r="J680" s="115">
        <v>45924</v>
      </c>
      <c r="K680" s="115">
        <v>45923</v>
      </c>
      <c r="L680" s="115"/>
      <c r="M680" s="115">
        <v>45968</v>
      </c>
      <c r="N680" s="115"/>
      <c r="O680" s="115"/>
      <c r="P680" s="115">
        <v>46006</v>
      </c>
      <c r="Q680" s="115">
        <v>45994</v>
      </c>
      <c r="R680" s="115" t="s">
        <v>4213</v>
      </c>
      <c r="S680" s="115"/>
      <c r="T680" s="7" t="s">
        <v>30</v>
      </c>
      <c r="U680" s="2" t="s">
        <v>4134</v>
      </c>
      <c r="V680" s="16" t="s">
        <v>3963</v>
      </c>
      <c r="W680" s="16" t="s">
        <v>4284</v>
      </c>
      <c r="X680" s="4" t="s">
        <v>3964</v>
      </c>
      <c r="Y680" s="100"/>
      <c r="Z680" s="30" t="s">
        <v>103</v>
      </c>
      <c r="AA680" s="8">
        <v>46092</v>
      </c>
      <c r="AB680" s="10"/>
      <c r="AC680" s="22">
        <v>7494.1</v>
      </c>
      <c r="AD680" s="21"/>
      <c r="AE680" s="21"/>
      <c r="AF680" s="21"/>
      <c r="AG680" s="45"/>
      <c r="AH680" s="116">
        <v>7494.1</v>
      </c>
    </row>
    <row r="681" spans="1:34" s="9" customFormat="1" ht="122.25" customHeight="1">
      <c r="A681" s="9">
        <f ca="1">TODAY()-H681+1</f>
        <v>140</v>
      </c>
      <c r="B681" s="31">
        <v>45960</v>
      </c>
      <c r="C681" s="11" t="s">
        <v>24</v>
      </c>
      <c r="D681" s="2" t="s">
        <v>3660</v>
      </c>
      <c r="E681" s="11" t="s">
        <v>3661</v>
      </c>
      <c r="F681" s="30" t="s">
        <v>104</v>
      </c>
      <c r="G681" s="30" t="s">
        <v>3662</v>
      </c>
      <c r="H681" s="16">
        <v>46054</v>
      </c>
      <c r="I681" s="115">
        <v>45960</v>
      </c>
      <c r="J681" s="115">
        <v>45964</v>
      </c>
      <c r="K681" s="115">
        <v>45961</v>
      </c>
      <c r="L681" s="115"/>
      <c r="M681" s="115">
        <v>46029</v>
      </c>
      <c r="N681" s="115" t="s">
        <v>4214</v>
      </c>
      <c r="O681" s="115"/>
      <c r="P681" s="115">
        <v>46038</v>
      </c>
      <c r="Q681" s="115">
        <v>46038</v>
      </c>
      <c r="R681" s="115"/>
      <c r="S681" s="115"/>
      <c r="T681" s="7" t="s">
        <v>20</v>
      </c>
      <c r="U681" s="2" t="s">
        <v>4286</v>
      </c>
      <c r="V681" s="16">
        <v>46043</v>
      </c>
      <c r="W681" s="16">
        <v>46046</v>
      </c>
      <c r="X681" s="4"/>
      <c r="Y681" s="100"/>
      <c r="Z681" s="30" t="s">
        <v>54</v>
      </c>
      <c r="AA681" s="8">
        <v>46094</v>
      </c>
      <c r="AB681" s="10"/>
      <c r="AC681" s="22">
        <v>2275</v>
      </c>
      <c r="AD681" s="21"/>
      <c r="AE681" s="21"/>
      <c r="AF681" s="21"/>
      <c r="AG681" s="45"/>
      <c r="AH681" s="116">
        <v>2275</v>
      </c>
    </row>
    <row r="682" spans="1:34" s="9" customFormat="1" ht="187.5">
      <c r="A682" s="9">
        <v>0</v>
      </c>
      <c r="B682" s="31">
        <v>45947</v>
      </c>
      <c r="C682" s="11" t="s">
        <v>27</v>
      </c>
      <c r="D682" s="2" t="s">
        <v>3478</v>
      </c>
      <c r="E682" s="11" t="s">
        <v>3479</v>
      </c>
      <c r="F682" s="30" t="s">
        <v>2400</v>
      </c>
      <c r="G682" s="30" t="s">
        <v>3480</v>
      </c>
      <c r="H682" s="16">
        <v>46006</v>
      </c>
      <c r="I682" s="115">
        <v>45952</v>
      </c>
      <c r="J682" s="115">
        <v>45953</v>
      </c>
      <c r="K682" s="115"/>
      <c r="L682" s="115"/>
      <c r="M682" s="115"/>
      <c r="N682" s="115" t="s">
        <v>3883</v>
      </c>
      <c r="O682" s="350"/>
      <c r="P682" s="115"/>
      <c r="Q682" s="16"/>
      <c r="R682" s="115" t="s">
        <v>4347</v>
      </c>
      <c r="S682" s="115"/>
      <c r="T682" s="7" t="s">
        <v>20</v>
      </c>
      <c r="U682" s="353" t="s">
        <v>3881</v>
      </c>
      <c r="V682" s="16">
        <v>46009</v>
      </c>
      <c r="W682" s="16">
        <v>46027</v>
      </c>
      <c r="X682" s="355" t="s">
        <v>4108</v>
      </c>
      <c r="Y682" s="100"/>
      <c r="Z682" s="30" t="s">
        <v>103</v>
      </c>
      <c r="AA682" s="8">
        <v>46090</v>
      </c>
      <c r="AB682" s="10"/>
      <c r="AC682" s="22">
        <v>1444.8</v>
      </c>
      <c r="AD682" s="21"/>
      <c r="AE682" s="21"/>
      <c r="AF682" s="21"/>
      <c r="AG682" s="45"/>
      <c r="AH682" s="116">
        <v>1444.8</v>
      </c>
    </row>
    <row r="683" spans="1:34" s="9" customFormat="1" ht="127.5" customHeight="1">
      <c r="B683" s="31">
        <v>45947</v>
      </c>
      <c r="C683" s="11" t="s">
        <v>27</v>
      </c>
      <c r="D683" s="2" t="s">
        <v>3542</v>
      </c>
      <c r="E683" s="11" t="s">
        <v>3543</v>
      </c>
      <c r="F683" s="30" t="s">
        <v>149</v>
      </c>
      <c r="G683" s="30" t="s">
        <v>3544</v>
      </c>
      <c r="H683" s="16">
        <v>45989</v>
      </c>
      <c r="I683" s="115">
        <v>45953</v>
      </c>
      <c r="J683" s="115"/>
      <c r="K683" s="115"/>
      <c r="L683" s="115"/>
      <c r="M683" s="115"/>
      <c r="N683" s="115" t="s">
        <v>3957</v>
      </c>
      <c r="O683" s="115"/>
      <c r="P683" s="115">
        <v>46009</v>
      </c>
      <c r="Q683" s="16"/>
      <c r="R683" s="115">
        <v>46056</v>
      </c>
      <c r="S683" s="115"/>
      <c r="T683" s="7" t="s">
        <v>20</v>
      </c>
      <c r="U683" s="100" t="s">
        <v>3990</v>
      </c>
      <c r="V683" s="16">
        <v>46014</v>
      </c>
      <c r="W683" s="16">
        <v>46042</v>
      </c>
      <c r="X683" s="24" t="s">
        <v>4192</v>
      </c>
      <c r="Y683" s="100"/>
      <c r="Z683" s="30" t="s">
        <v>103</v>
      </c>
      <c r="AA683" s="8">
        <v>46095</v>
      </c>
      <c r="AB683" s="10"/>
      <c r="AC683" s="22">
        <v>15270</v>
      </c>
      <c r="AD683" s="21"/>
      <c r="AE683" s="21"/>
      <c r="AF683" s="21"/>
      <c r="AG683" s="45"/>
      <c r="AH683" s="116">
        <v>15270</v>
      </c>
    </row>
    <row r="684" spans="1:34" s="9" customFormat="1" ht="122.25" customHeight="1">
      <c r="A684" s="9">
        <f t="shared" ref="A684:A690" ca="1" si="23">TODAY()-H684+1</f>
        <v>90</v>
      </c>
      <c r="B684" s="31">
        <v>46010</v>
      </c>
      <c r="C684" s="11" t="s">
        <v>27</v>
      </c>
      <c r="D684" s="2" t="s">
        <v>4061</v>
      </c>
      <c r="E684" s="11" t="s">
        <v>4062</v>
      </c>
      <c r="F684" s="30" t="s">
        <v>147</v>
      </c>
      <c r="G684" s="30" t="s">
        <v>4063</v>
      </c>
      <c r="H684" s="16">
        <v>46104</v>
      </c>
      <c r="I684" s="115"/>
      <c r="J684" s="115">
        <v>46014</v>
      </c>
      <c r="K684" s="115"/>
      <c r="L684" s="115"/>
      <c r="M684" s="115"/>
      <c r="N684" s="350"/>
      <c r="O684" s="115"/>
      <c r="P684" s="115">
        <v>46044</v>
      </c>
      <c r="Q684" s="16"/>
      <c r="R684" s="115"/>
      <c r="S684" s="115">
        <v>46091</v>
      </c>
      <c r="T684" s="7" t="s">
        <v>20</v>
      </c>
      <c r="U684" t="s">
        <v>4267</v>
      </c>
      <c r="V684" s="16">
        <v>46054</v>
      </c>
      <c r="W684" s="16">
        <v>46085</v>
      </c>
      <c r="X684" s="4" t="s">
        <v>4434</v>
      </c>
      <c r="Y684" s="100"/>
      <c r="Z684" s="30" t="s">
        <v>54</v>
      </c>
      <c r="AA684" s="8">
        <v>46101</v>
      </c>
      <c r="AB684" s="10"/>
      <c r="AC684" s="22">
        <v>2490</v>
      </c>
      <c r="AD684" s="21"/>
      <c r="AE684" s="21"/>
      <c r="AF684" s="21"/>
      <c r="AG684" s="45"/>
      <c r="AH684" s="116">
        <v>2490</v>
      </c>
    </row>
    <row r="685" spans="1:34" s="9" customFormat="1" ht="18.75" customHeight="1">
      <c r="A685" s="9">
        <f t="shared" ca="1" si="23"/>
        <v>167</v>
      </c>
      <c r="B685" s="31">
        <v>45924</v>
      </c>
      <c r="C685" s="2" t="s">
        <v>694</v>
      </c>
      <c r="D685" s="2" t="s">
        <v>3168</v>
      </c>
      <c r="E685" s="11" t="s">
        <v>3169</v>
      </c>
      <c r="F685" s="30" t="s">
        <v>31</v>
      </c>
      <c r="G685" s="30" t="s">
        <v>3170</v>
      </c>
      <c r="H685" s="16">
        <v>46027</v>
      </c>
      <c r="I685" s="115">
        <v>45925</v>
      </c>
      <c r="J685" s="115">
        <v>45926</v>
      </c>
      <c r="K685" s="115">
        <v>45925</v>
      </c>
      <c r="L685" s="115"/>
      <c r="M685" s="115"/>
      <c r="N685" s="115"/>
      <c r="O685" s="115"/>
      <c r="P685" s="16" t="s">
        <v>860</v>
      </c>
      <c r="Q685" s="115">
        <v>46099</v>
      </c>
      <c r="R685" s="115">
        <v>46077</v>
      </c>
      <c r="S685" s="115">
        <v>46086</v>
      </c>
      <c r="T685" s="16" t="s">
        <v>22</v>
      </c>
      <c r="U685" s="16" t="s">
        <v>4441</v>
      </c>
      <c r="V685" s="16" t="s">
        <v>4445</v>
      </c>
      <c r="W685" s="16" t="s">
        <v>4442</v>
      </c>
      <c r="X685" s="292" t="s">
        <v>4444</v>
      </c>
      <c r="Y685" s="100"/>
      <c r="Z685" s="30" t="s">
        <v>61</v>
      </c>
      <c r="AA685" s="8">
        <v>45961</v>
      </c>
      <c r="AB685" s="22">
        <v>101518.12</v>
      </c>
      <c r="AC685" s="10"/>
      <c r="AD685" s="21"/>
      <c r="AE685" s="21"/>
      <c r="AF685" s="21"/>
      <c r="AG685" s="45"/>
      <c r="AH685" s="118">
        <v>101518.12</v>
      </c>
    </row>
    <row r="686" spans="1:34" s="9" customFormat="1" ht="122.25" customHeight="1">
      <c r="A686" s="9">
        <f t="shared" ca="1" si="23"/>
        <v>167</v>
      </c>
      <c r="B686" s="31">
        <v>45947</v>
      </c>
      <c r="C686" s="11" t="s">
        <v>694</v>
      </c>
      <c r="D686" s="2" t="s">
        <v>3397</v>
      </c>
      <c r="E686" s="11" t="s">
        <v>3398</v>
      </c>
      <c r="F686" s="30" t="s">
        <v>31</v>
      </c>
      <c r="G686" s="30" t="s">
        <v>3399</v>
      </c>
      <c r="H686" s="16">
        <v>46027</v>
      </c>
      <c r="I686" s="115">
        <v>45951</v>
      </c>
      <c r="J686" s="115">
        <v>45951</v>
      </c>
      <c r="K686" s="115">
        <v>45952</v>
      </c>
      <c r="L686" s="115"/>
      <c r="M686" s="115"/>
      <c r="N686" s="115"/>
      <c r="O686" s="115"/>
      <c r="P686" s="16" t="s">
        <v>860</v>
      </c>
      <c r="Q686" s="115">
        <v>46099</v>
      </c>
      <c r="R686" s="115">
        <v>46077</v>
      </c>
      <c r="S686" s="115">
        <v>46085</v>
      </c>
      <c r="T686" s="16" t="s">
        <v>22</v>
      </c>
      <c r="U686" s="16" t="s">
        <v>4441</v>
      </c>
      <c r="V686" s="16" t="s">
        <v>4445</v>
      </c>
      <c r="W686" s="16" t="s">
        <v>4442</v>
      </c>
      <c r="X686" s="292" t="s">
        <v>4444</v>
      </c>
      <c r="Y686" s="100"/>
      <c r="Z686" s="30" t="s">
        <v>61</v>
      </c>
      <c r="AA686" s="8">
        <v>45987</v>
      </c>
      <c r="AB686" s="22">
        <v>71598.38</v>
      </c>
      <c r="AC686" s="10"/>
      <c r="AD686" s="21"/>
      <c r="AE686" s="21"/>
      <c r="AF686" s="21"/>
      <c r="AG686" s="45"/>
      <c r="AH686" s="116">
        <v>71598.38</v>
      </c>
    </row>
    <row r="687" spans="1:34" s="9" customFormat="1" ht="122.25" customHeight="1">
      <c r="A687" s="9">
        <f t="shared" ca="1" si="23"/>
        <v>90</v>
      </c>
      <c r="B687" s="31">
        <v>46010</v>
      </c>
      <c r="C687" s="11" t="s">
        <v>27</v>
      </c>
      <c r="D687" s="2" t="s">
        <v>4031</v>
      </c>
      <c r="E687" s="11" t="s">
        <v>4032</v>
      </c>
      <c r="F687" s="30" t="s">
        <v>148</v>
      </c>
      <c r="G687" s="30" t="s">
        <v>4055</v>
      </c>
      <c r="H687" s="16">
        <v>46104</v>
      </c>
      <c r="I687" s="115">
        <v>46013</v>
      </c>
      <c r="J687" s="115">
        <v>46014</v>
      </c>
      <c r="K687" s="115"/>
      <c r="L687" s="115"/>
      <c r="M687" s="115"/>
      <c r="N687" s="115"/>
      <c r="O687" s="115"/>
      <c r="P687" s="115"/>
      <c r="Q687" s="16"/>
      <c r="R687" s="115"/>
      <c r="S687" s="115"/>
      <c r="T687" s="7" t="s">
        <v>20</v>
      </c>
      <c r="U687" s="16" t="s">
        <v>4267</v>
      </c>
      <c r="V687" s="16">
        <v>46053</v>
      </c>
      <c r="W687" s="16">
        <v>46083</v>
      </c>
      <c r="X687" s="4" t="s">
        <v>4692</v>
      </c>
      <c r="Y687" s="100"/>
      <c r="Z687" s="30" t="s">
        <v>4249</v>
      </c>
      <c r="AA687" s="342">
        <v>45694</v>
      </c>
      <c r="AB687" s="10"/>
      <c r="AC687" s="29">
        <v>4050</v>
      </c>
      <c r="AD687" s="21"/>
      <c r="AE687" s="21"/>
      <c r="AF687" s="21"/>
      <c r="AG687" s="45"/>
      <c r="AH687" s="21">
        <v>4050</v>
      </c>
    </row>
    <row r="688" spans="1:34" s="9" customFormat="1" ht="122.25" customHeight="1">
      <c r="A688" s="9">
        <f t="shared" ca="1" si="23"/>
        <v>131</v>
      </c>
      <c r="B688" s="31">
        <v>46009</v>
      </c>
      <c r="C688" s="11" t="s">
        <v>24</v>
      </c>
      <c r="D688" s="2" t="s">
        <v>4006</v>
      </c>
      <c r="E688" s="11" t="s">
        <v>4007</v>
      </c>
      <c r="F688" s="30" t="s">
        <v>95</v>
      </c>
      <c r="G688" s="30" t="s">
        <v>4251</v>
      </c>
      <c r="H688" s="16">
        <v>46063</v>
      </c>
      <c r="I688" s="115">
        <v>46010</v>
      </c>
      <c r="J688" s="115">
        <v>46010</v>
      </c>
      <c r="K688" s="115">
        <v>46010</v>
      </c>
      <c r="L688" s="115"/>
      <c r="M688" s="115"/>
      <c r="N688" s="115"/>
      <c r="O688" s="115"/>
      <c r="P688" s="115">
        <v>46038</v>
      </c>
      <c r="Q688" s="115">
        <v>46038</v>
      </c>
      <c r="R688" s="115"/>
      <c r="S688" s="115"/>
      <c r="T688" s="7" t="s">
        <v>22</v>
      </c>
      <c r="U688" s="2" t="s">
        <v>4485</v>
      </c>
      <c r="V688" s="16" t="s">
        <v>4382</v>
      </c>
      <c r="W688" s="16" t="s">
        <v>4484</v>
      </c>
      <c r="X688" s="4" t="s">
        <v>4430</v>
      </c>
      <c r="Y688" s="100"/>
      <c r="Z688" s="30" t="s">
        <v>4005</v>
      </c>
      <c r="AA688" s="68">
        <v>46092</v>
      </c>
      <c r="AB688" s="23"/>
      <c r="AC688" s="22">
        <v>26381.599999999999</v>
      </c>
      <c r="AD688" s="65"/>
      <c r="AE688" s="65"/>
      <c r="AF688" s="65"/>
      <c r="AG688" s="279"/>
      <c r="AH688" s="118">
        <v>26381.599999999999</v>
      </c>
    </row>
    <row r="689" spans="1:34" s="9" customFormat="1" ht="155.25" customHeight="1">
      <c r="A689" s="9">
        <f t="shared" ca="1" si="23"/>
        <v>142</v>
      </c>
      <c r="B689" s="31">
        <v>46013</v>
      </c>
      <c r="C689" s="11" t="s">
        <v>24</v>
      </c>
      <c r="D689" s="2" t="s">
        <v>4087</v>
      </c>
      <c r="E689" s="11" t="s">
        <v>4088</v>
      </c>
      <c r="F689" s="30" t="s">
        <v>4089</v>
      </c>
      <c r="G689" s="30" t="s">
        <v>4090</v>
      </c>
      <c r="H689" s="16">
        <v>46052</v>
      </c>
      <c r="I689" s="115">
        <v>46013</v>
      </c>
      <c r="J689" s="115">
        <v>46013</v>
      </c>
      <c r="K689" s="115">
        <v>46014</v>
      </c>
      <c r="L689" s="115"/>
      <c r="M689" s="115"/>
      <c r="N689" s="115"/>
      <c r="O689" s="115"/>
      <c r="P689" s="115"/>
      <c r="Q689" s="115">
        <v>46056</v>
      </c>
      <c r="R689" s="115"/>
      <c r="S689" s="115"/>
      <c r="T689" s="7" t="s">
        <v>20</v>
      </c>
      <c r="U689" s="7" t="s">
        <v>4323</v>
      </c>
      <c r="V689" s="16">
        <v>46065</v>
      </c>
      <c r="W689" s="16" t="s">
        <v>4520</v>
      </c>
      <c r="X689" s="4"/>
      <c r="Y689" s="100"/>
      <c r="Z689" s="30" t="s">
        <v>4091</v>
      </c>
      <c r="AA689" s="8">
        <v>46017</v>
      </c>
      <c r="AB689" s="10"/>
      <c r="AC689" s="10"/>
      <c r="AD689" s="21"/>
      <c r="AE689" s="29">
        <v>24469</v>
      </c>
      <c r="AF689" s="21"/>
      <c r="AG689" s="45"/>
      <c r="AH689" s="116">
        <v>24469</v>
      </c>
    </row>
    <row r="690" spans="1:34" s="9" customFormat="1" ht="303" customHeight="1">
      <c r="A690" s="9">
        <f t="shared" ca="1" si="23"/>
        <v>140</v>
      </c>
      <c r="B690" s="31">
        <v>45945</v>
      </c>
      <c r="C690" s="11" t="s">
        <v>24</v>
      </c>
      <c r="D690" s="2" t="s">
        <v>3381</v>
      </c>
      <c r="E690" s="11" t="s">
        <v>3382</v>
      </c>
      <c r="F690" s="30" t="s">
        <v>36</v>
      </c>
      <c r="G690" s="30" t="s">
        <v>4329</v>
      </c>
      <c r="H690" s="16">
        <v>46054</v>
      </c>
      <c r="I690" s="115">
        <v>45946</v>
      </c>
      <c r="J690" s="115">
        <v>45946</v>
      </c>
      <c r="K690" s="115">
        <v>45946</v>
      </c>
      <c r="L690" s="115"/>
      <c r="M690" s="115"/>
      <c r="N690" s="115"/>
      <c r="O690" s="115"/>
      <c r="P690" s="115">
        <v>46079</v>
      </c>
      <c r="Q690" s="115">
        <v>46079</v>
      </c>
      <c r="R690" s="115"/>
      <c r="S690" s="115"/>
      <c r="T690" s="7" t="s">
        <v>30</v>
      </c>
      <c r="U690" s="11" t="s">
        <v>4327</v>
      </c>
      <c r="V690" s="16">
        <v>46077</v>
      </c>
      <c r="W690" s="16">
        <v>46084</v>
      </c>
      <c r="X690" s="4" t="s">
        <v>4330</v>
      </c>
      <c r="Y690" s="100"/>
      <c r="Z690" s="30" t="s">
        <v>113</v>
      </c>
      <c r="AA690" s="8">
        <v>46115</v>
      </c>
      <c r="AB690" s="29">
        <v>1477132</v>
      </c>
      <c r="AC690" s="10"/>
      <c r="AD690" s="21"/>
      <c r="AE690" s="21"/>
      <c r="AF690" s="21"/>
      <c r="AG690" s="45"/>
      <c r="AH690" s="16"/>
    </row>
    <row r="691" spans="1:34" ht="15.75" thickBot="1"/>
    <row r="692" spans="1:34" s="9" customFormat="1" ht="238.5" customHeight="1" thickBot="1">
      <c r="A692" s="9">
        <f t="shared" ref="A692:A700" ca="1" si="24">TODAY()-H692+1</f>
        <v>263</v>
      </c>
      <c r="B692" s="31">
        <v>45832</v>
      </c>
      <c r="C692" s="2" t="s">
        <v>27</v>
      </c>
      <c r="D692" s="2" t="s">
        <v>2222</v>
      </c>
      <c r="E692" s="11" t="s">
        <v>2223</v>
      </c>
      <c r="F692" s="30" t="s">
        <v>1933</v>
      </c>
      <c r="G692" s="349" t="s">
        <v>4277</v>
      </c>
      <c r="H692" s="16">
        <v>45931</v>
      </c>
      <c r="I692" s="115"/>
      <c r="J692" s="115"/>
      <c r="K692" s="115"/>
      <c r="L692" s="6"/>
      <c r="M692" s="6"/>
      <c r="N692" s="6"/>
      <c r="O692" s="16"/>
      <c r="P692" s="16"/>
      <c r="Q692" s="16" t="s">
        <v>1449</v>
      </c>
      <c r="R692" s="16"/>
      <c r="S692" s="16"/>
      <c r="T692" s="7" t="s">
        <v>22</v>
      </c>
      <c r="U692" s="314"/>
      <c r="V692" s="6"/>
      <c r="W692" s="16"/>
      <c r="X692" s="4"/>
      <c r="Y692" s="100"/>
      <c r="Z692" s="30" t="s">
        <v>4085</v>
      </c>
      <c r="AA692" s="8">
        <v>46049</v>
      </c>
      <c r="AB692" s="10"/>
      <c r="AC692" s="10"/>
      <c r="AD692" s="21"/>
      <c r="AE692" s="10">
        <v>5617382.4000000004</v>
      </c>
      <c r="AF692" s="21"/>
      <c r="AG692" s="45"/>
      <c r="AH692" s="16"/>
    </row>
    <row r="693" spans="1:34" s="9" customFormat="1" ht="238.5" customHeight="1">
      <c r="A693" s="150">
        <f t="shared" ca="1" si="24"/>
        <v>202</v>
      </c>
      <c r="B693" s="147">
        <v>45833</v>
      </c>
      <c r="C693" s="34" t="s">
        <v>27</v>
      </c>
      <c r="D693" s="34" t="s">
        <v>2220</v>
      </c>
      <c r="E693" s="148" t="s">
        <v>2221</v>
      </c>
      <c r="F693" s="125" t="s">
        <v>1933</v>
      </c>
      <c r="G693" s="349" t="s">
        <v>4331</v>
      </c>
      <c r="H693" s="6">
        <v>45992</v>
      </c>
      <c r="I693" s="115"/>
      <c r="J693" s="115"/>
      <c r="K693" s="115"/>
      <c r="L693" s="6"/>
      <c r="M693" s="6"/>
      <c r="N693" s="6"/>
      <c r="O693" s="6"/>
      <c r="P693" s="115"/>
      <c r="Q693" s="16"/>
      <c r="R693" s="6"/>
      <c r="S693" s="16"/>
      <c r="T693" s="7" t="s">
        <v>22</v>
      </c>
      <c r="U693" s="327"/>
      <c r="V693" s="16"/>
      <c r="W693" s="16"/>
      <c r="X693" s="4"/>
      <c r="Y693" s="100"/>
      <c r="Z693" s="30" t="s">
        <v>54</v>
      </c>
      <c r="AA693" s="8">
        <v>46081</v>
      </c>
      <c r="AB693" s="10"/>
      <c r="AC693" s="10"/>
      <c r="AD693" s="21"/>
      <c r="AE693" s="10">
        <v>655687.74</v>
      </c>
      <c r="AF693" s="21"/>
      <c r="AG693" s="45"/>
      <c r="AH693" s="116"/>
    </row>
    <row r="694" spans="1:34" s="9" customFormat="1" ht="236.25" customHeight="1">
      <c r="A694" s="150">
        <f t="shared" ca="1" si="24"/>
        <v>202</v>
      </c>
      <c r="B694" s="31">
        <v>45862</v>
      </c>
      <c r="C694" s="11" t="s">
        <v>694</v>
      </c>
      <c r="D694" s="2" t="s">
        <v>2451</v>
      </c>
      <c r="E694" s="11" t="s">
        <v>2452</v>
      </c>
      <c r="F694" s="30" t="s">
        <v>105</v>
      </c>
      <c r="G694" s="30" t="s">
        <v>3869</v>
      </c>
      <c r="H694" s="16">
        <v>45992</v>
      </c>
      <c r="I694" s="115">
        <v>45862</v>
      </c>
      <c r="J694" s="115">
        <v>45862</v>
      </c>
      <c r="K694" s="115">
        <v>45863</v>
      </c>
      <c r="L694" s="115"/>
      <c r="M694" s="115"/>
      <c r="N694" s="115"/>
      <c r="O694" s="115"/>
      <c r="P694" s="115"/>
      <c r="Q694" s="115">
        <v>46013</v>
      </c>
      <c r="R694" s="115">
        <v>46034</v>
      </c>
      <c r="S694" s="6" t="s">
        <v>878</v>
      </c>
      <c r="T694" s="7" t="s">
        <v>22</v>
      </c>
      <c r="U694" s="16" t="s">
        <v>3944</v>
      </c>
      <c r="V694" s="16">
        <v>45997</v>
      </c>
      <c r="W694" s="16">
        <v>46028</v>
      </c>
      <c r="X694" s="4" t="s">
        <v>4020</v>
      </c>
      <c r="Y694" s="100"/>
      <c r="Z694" s="30" t="s">
        <v>29</v>
      </c>
      <c r="AA694" s="8">
        <v>46058</v>
      </c>
      <c r="AB694" s="22">
        <v>174997.21</v>
      </c>
      <c r="AC694" s="10"/>
      <c r="AD694" s="21"/>
      <c r="AE694" s="10"/>
      <c r="AF694" s="21"/>
      <c r="AG694" s="45"/>
      <c r="AH694" s="116">
        <v>174997.21</v>
      </c>
    </row>
    <row r="695" spans="1:34" s="9" customFormat="1" ht="75">
      <c r="A695" s="9">
        <f t="shared" ca="1" si="24"/>
        <v>202</v>
      </c>
      <c r="B695" s="31">
        <v>45932</v>
      </c>
      <c r="C695" s="2" t="s">
        <v>694</v>
      </c>
      <c r="D695" s="2" t="s">
        <v>3262</v>
      </c>
      <c r="E695" s="11" t="s">
        <v>3263</v>
      </c>
      <c r="F695" s="30" t="s">
        <v>105</v>
      </c>
      <c r="G695" s="30" t="s">
        <v>3873</v>
      </c>
      <c r="H695" s="16">
        <v>45992</v>
      </c>
      <c r="I695" s="115">
        <v>45933</v>
      </c>
      <c r="J695" s="115">
        <v>45936</v>
      </c>
      <c r="K695" s="115">
        <v>45934</v>
      </c>
      <c r="L695" s="115"/>
      <c r="M695" s="115"/>
      <c r="N695" s="115"/>
      <c r="O695" s="115"/>
      <c r="P695" s="115"/>
      <c r="Q695" s="115">
        <v>46013</v>
      </c>
      <c r="R695" s="115">
        <v>46357</v>
      </c>
      <c r="S695" s="16" t="s">
        <v>878</v>
      </c>
      <c r="T695" s="16" t="s">
        <v>22</v>
      </c>
      <c r="U695" s="16" t="s">
        <v>4045</v>
      </c>
      <c r="V695" s="16">
        <v>45997</v>
      </c>
      <c r="W695" s="16">
        <v>46028</v>
      </c>
      <c r="X695" s="4" t="s">
        <v>4044</v>
      </c>
      <c r="Y695" s="100"/>
      <c r="Z695" s="30" t="s">
        <v>89</v>
      </c>
      <c r="AA695" s="8">
        <v>46058</v>
      </c>
      <c r="AB695" s="22">
        <v>13166.77</v>
      </c>
      <c r="AC695" s="10"/>
      <c r="AD695" s="21"/>
      <c r="AE695" s="21"/>
      <c r="AF695" s="21"/>
      <c r="AG695" s="45"/>
      <c r="AH695" s="118">
        <v>13166.77</v>
      </c>
    </row>
    <row r="696" spans="1:34" s="9" customFormat="1" ht="236.25" customHeight="1">
      <c r="A696" s="9">
        <f t="shared" ca="1" si="24"/>
        <v>202</v>
      </c>
      <c r="B696" s="31">
        <v>45862</v>
      </c>
      <c r="C696" s="11" t="s">
        <v>694</v>
      </c>
      <c r="D696" s="2" t="s">
        <v>2451</v>
      </c>
      <c r="E696" s="11" t="s">
        <v>2452</v>
      </c>
      <c r="F696" s="30" t="s">
        <v>105</v>
      </c>
      <c r="G696" s="30" t="s">
        <v>3870</v>
      </c>
      <c r="H696" s="16">
        <v>45992</v>
      </c>
      <c r="I696" s="115">
        <v>45862</v>
      </c>
      <c r="J696" s="115">
        <v>45862</v>
      </c>
      <c r="K696" s="115">
        <v>45863</v>
      </c>
      <c r="L696" s="115"/>
      <c r="M696" s="115"/>
      <c r="N696" s="115"/>
      <c r="O696" s="115"/>
      <c r="P696" s="115">
        <v>46038</v>
      </c>
      <c r="Q696" s="115">
        <v>46065</v>
      </c>
      <c r="R696" s="115" t="s">
        <v>4440</v>
      </c>
      <c r="S696" s="115" t="s">
        <v>4440</v>
      </c>
      <c r="T696" s="7" t="s">
        <v>22</v>
      </c>
      <c r="U696" s="16" t="s">
        <v>3510</v>
      </c>
      <c r="V696" s="16">
        <v>45995</v>
      </c>
      <c r="W696" s="16">
        <v>46011</v>
      </c>
      <c r="X696" s="334"/>
      <c r="Y696" s="100"/>
      <c r="Z696" s="30" t="s">
        <v>29</v>
      </c>
      <c r="AA696" s="8">
        <v>46081</v>
      </c>
      <c r="AB696" s="22">
        <v>5426.26</v>
      </c>
      <c r="AC696" s="10"/>
      <c r="AD696" s="21"/>
      <c r="AE696" s="10"/>
      <c r="AF696" s="21"/>
      <c r="AG696" s="45"/>
      <c r="AH696" s="116">
        <v>5426.26</v>
      </c>
    </row>
    <row r="697" spans="1:34" s="9" customFormat="1" ht="201" customHeight="1">
      <c r="A697" s="9">
        <f t="shared" ca="1" si="24"/>
        <v>167</v>
      </c>
      <c r="B697" s="31">
        <v>45932</v>
      </c>
      <c r="C697" s="2" t="s">
        <v>694</v>
      </c>
      <c r="D697" s="34" t="s">
        <v>3262</v>
      </c>
      <c r="E697" s="11" t="s">
        <v>3263</v>
      </c>
      <c r="F697" s="30" t="s">
        <v>105</v>
      </c>
      <c r="G697" s="30" t="s">
        <v>4210</v>
      </c>
      <c r="H697" s="16">
        <v>46027</v>
      </c>
      <c r="I697" s="115">
        <v>45933</v>
      </c>
      <c r="J697" s="115">
        <v>45936</v>
      </c>
      <c r="K697" s="115">
        <v>45934</v>
      </c>
      <c r="L697" s="115"/>
      <c r="M697" s="115"/>
      <c r="N697" s="115"/>
      <c r="O697" s="115"/>
      <c r="P697" s="115">
        <v>46038</v>
      </c>
      <c r="Q697" s="115">
        <v>46235</v>
      </c>
      <c r="R697" s="115">
        <v>46328</v>
      </c>
      <c r="S697" s="115" t="s">
        <v>4811</v>
      </c>
      <c r="T697" s="7" t="s">
        <v>22</v>
      </c>
      <c r="U697" s="16" t="s">
        <v>4173</v>
      </c>
      <c r="V697" s="16" t="s">
        <v>4174</v>
      </c>
      <c r="W697" s="16">
        <v>46055</v>
      </c>
      <c r="X697" s="334" t="s">
        <v>4172</v>
      </c>
      <c r="Y697" s="100"/>
      <c r="Z697" s="30" t="s">
        <v>89</v>
      </c>
      <c r="AA697" s="8">
        <v>46081</v>
      </c>
      <c r="AB697" s="22">
        <v>267887</v>
      </c>
      <c r="AC697" s="10"/>
      <c r="AD697" s="21"/>
      <c r="AE697" s="21"/>
      <c r="AF697" s="21"/>
      <c r="AG697" s="45"/>
      <c r="AH697" s="116">
        <v>267887</v>
      </c>
    </row>
    <row r="698" spans="1:34" s="9" customFormat="1" ht="122.25" customHeight="1">
      <c r="A698" s="9">
        <f t="shared" ca="1" si="24"/>
        <v>131</v>
      </c>
      <c r="B698" s="31">
        <v>46009</v>
      </c>
      <c r="C698" s="11" t="s">
        <v>24</v>
      </c>
      <c r="D698" s="2" t="s">
        <v>4014</v>
      </c>
      <c r="E698" s="11" t="s">
        <v>4015</v>
      </c>
      <c r="F698" s="30" t="s">
        <v>98</v>
      </c>
      <c r="G698" s="30" t="s">
        <v>4078</v>
      </c>
      <c r="H698" s="16">
        <v>46063</v>
      </c>
      <c r="I698" s="115">
        <v>46010</v>
      </c>
      <c r="J698" s="115">
        <v>46010</v>
      </c>
      <c r="K698" s="115">
        <v>46013</v>
      </c>
      <c r="L698" s="115"/>
      <c r="M698" s="115"/>
      <c r="N698" s="115"/>
      <c r="O698" s="115"/>
      <c r="P698" s="115">
        <v>46063</v>
      </c>
      <c r="Q698" s="115">
        <v>46037</v>
      </c>
      <c r="R698" s="115"/>
      <c r="S698" s="115"/>
      <c r="T698" s="7" t="s">
        <v>22</v>
      </c>
      <c r="U698" s="2" t="s">
        <v>4198</v>
      </c>
      <c r="V698" s="16" t="s">
        <v>4157</v>
      </c>
      <c r="W698" s="16" t="s">
        <v>4378</v>
      </c>
      <c r="X698" s="4" t="s">
        <v>4158</v>
      </c>
      <c r="Y698" s="100"/>
      <c r="Z698" s="30" t="s">
        <v>54</v>
      </c>
      <c r="AA698" s="68">
        <v>46092</v>
      </c>
      <c r="AB698" s="22">
        <v>29176.2</v>
      </c>
      <c r="AD698" s="65"/>
      <c r="AE698" s="65"/>
      <c r="AF698" s="65"/>
      <c r="AG698" s="279"/>
      <c r="AH698" s="118">
        <v>29176.2</v>
      </c>
    </row>
    <row r="699" spans="1:34" s="9" customFormat="1" ht="122.25" customHeight="1">
      <c r="A699" s="9">
        <f t="shared" ca="1" si="24"/>
        <v>114</v>
      </c>
      <c r="B699" s="31">
        <v>46065</v>
      </c>
      <c r="C699" s="11" t="s">
        <v>24</v>
      </c>
      <c r="D699" s="2" t="s">
        <v>4478</v>
      </c>
      <c r="E699" s="11" t="s">
        <v>4479</v>
      </c>
      <c r="F699" s="30" t="s">
        <v>4089</v>
      </c>
      <c r="G699" s="30" t="s">
        <v>4480</v>
      </c>
      <c r="H699" s="16">
        <v>46080</v>
      </c>
      <c r="I699" s="115">
        <v>46066</v>
      </c>
      <c r="J699" s="115">
        <v>46069</v>
      </c>
      <c r="K699" s="115">
        <v>46066</v>
      </c>
      <c r="L699" s="115"/>
      <c r="M699" s="115"/>
      <c r="N699" s="115"/>
      <c r="O699" s="115"/>
      <c r="P699" s="115"/>
      <c r="Q699" s="115">
        <v>46098</v>
      </c>
      <c r="R699" s="115" t="s">
        <v>4712</v>
      </c>
      <c r="S699" s="115"/>
      <c r="T699" s="7" t="s">
        <v>20</v>
      </c>
      <c r="U699" s="11" t="s">
        <v>3338</v>
      </c>
      <c r="V699" s="16">
        <v>46087</v>
      </c>
      <c r="W699" s="16">
        <v>46094</v>
      </c>
      <c r="X699" s="4" t="s">
        <v>4669</v>
      </c>
      <c r="Y699" s="100"/>
      <c r="Z699" s="30" t="s">
        <v>4601</v>
      </c>
      <c r="AA699" s="8">
        <v>46071</v>
      </c>
      <c r="AB699" s="10"/>
      <c r="AC699" s="10"/>
      <c r="AD699" s="10"/>
      <c r="AE699" s="22">
        <v>16252.5</v>
      </c>
      <c r="AF699" s="10"/>
      <c r="AG699" s="10"/>
      <c r="AH699" s="10">
        <v>16252.5</v>
      </c>
    </row>
    <row r="700" spans="1:34" s="9" customFormat="1" ht="122.25" customHeight="1">
      <c r="A700" s="9">
        <f t="shared" ca="1" si="24"/>
        <v>131</v>
      </c>
      <c r="B700" s="31">
        <v>46009</v>
      </c>
      <c r="C700" s="11" t="s">
        <v>24</v>
      </c>
      <c r="D700" s="31" t="s">
        <v>4000</v>
      </c>
      <c r="E700" s="11" t="s">
        <v>4001</v>
      </c>
      <c r="F700" s="30" t="s">
        <v>3998</v>
      </c>
      <c r="G700" s="30" t="s">
        <v>4313</v>
      </c>
      <c r="H700" s="16">
        <v>46063</v>
      </c>
      <c r="I700" s="115">
        <v>46010</v>
      </c>
      <c r="J700" s="115">
        <v>46010</v>
      </c>
      <c r="K700" s="115">
        <v>46015</v>
      </c>
      <c r="L700" s="115"/>
      <c r="M700" s="115"/>
      <c r="N700" s="115"/>
      <c r="O700" s="115"/>
      <c r="P700" s="115">
        <v>46063</v>
      </c>
      <c r="Q700" s="115">
        <v>46056</v>
      </c>
      <c r="R700" s="115" t="s">
        <v>4715</v>
      </c>
      <c r="S700" s="115"/>
      <c r="T700" s="7" t="s">
        <v>22</v>
      </c>
      <c r="U700" s="2" t="s">
        <v>4201</v>
      </c>
      <c r="V700" s="16" t="s">
        <v>4322</v>
      </c>
      <c r="W700" s="16" t="s">
        <v>4634</v>
      </c>
      <c r="X700" s="4" t="s">
        <v>4431</v>
      </c>
      <c r="Y700" s="100"/>
      <c r="Z700" s="30" t="s">
        <v>3999</v>
      </c>
      <c r="AA700" s="339">
        <v>46081</v>
      </c>
      <c r="AB700" s="10"/>
      <c r="AC700" s="22">
        <v>28188</v>
      </c>
      <c r="AD700" s="21"/>
      <c r="AE700" s="21"/>
      <c r="AF700" s="21"/>
      <c r="AG700" s="45"/>
      <c r="AH700" s="116">
        <v>28188</v>
      </c>
    </row>
    <row r="701" spans="1:34" s="9" customFormat="1" ht="122.25" customHeight="1">
      <c r="B701" s="31">
        <v>45988</v>
      </c>
      <c r="C701" s="11" t="s">
        <v>694</v>
      </c>
      <c r="D701" s="34" t="s">
        <v>3820</v>
      </c>
      <c r="E701" s="11" t="s">
        <v>3821</v>
      </c>
      <c r="F701" s="30" t="s">
        <v>4053</v>
      </c>
      <c r="G701" s="30" t="s">
        <v>4499</v>
      </c>
      <c r="H701" s="16">
        <v>46082</v>
      </c>
      <c r="I701" s="115">
        <v>45988</v>
      </c>
      <c r="J701" s="115">
        <v>45989</v>
      </c>
      <c r="K701" s="115">
        <v>46007</v>
      </c>
      <c r="L701" s="115"/>
      <c r="M701" s="115" t="s">
        <v>4456</v>
      </c>
      <c r="N701" s="115" t="s">
        <v>878</v>
      </c>
      <c r="O701" s="115"/>
      <c r="P701" s="115">
        <v>46066</v>
      </c>
      <c r="Q701" s="115">
        <v>46079</v>
      </c>
      <c r="R701" s="115">
        <v>46105</v>
      </c>
      <c r="S701" s="115">
        <v>46107</v>
      </c>
      <c r="T701" s="7" t="s">
        <v>22</v>
      </c>
      <c r="U701" s="16" t="s">
        <v>4689</v>
      </c>
      <c r="V701" s="16">
        <v>46062</v>
      </c>
      <c r="W701" s="16">
        <v>46101</v>
      </c>
      <c r="X701" s="334" t="s">
        <v>4529</v>
      </c>
      <c r="Y701" s="100"/>
      <c r="Z701" s="30" t="s">
        <v>46</v>
      </c>
      <c r="AA701" s="8">
        <v>46083</v>
      </c>
      <c r="AB701" s="22">
        <v>12595</v>
      </c>
      <c r="AC701" s="10"/>
      <c r="AD701" s="21"/>
      <c r="AE701" s="21"/>
      <c r="AF701" s="21"/>
      <c r="AG701" s="45"/>
      <c r="AH701" s="116">
        <v>12595</v>
      </c>
    </row>
    <row r="702" spans="1:34" s="9" customFormat="1" ht="122.25" customHeight="1">
      <c r="A702" s="9">
        <f t="shared" ref="A702:A718" ca="1" si="25">TODAY()-H702+1</f>
        <v>140</v>
      </c>
      <c r="B702" s="31">
        <v>45961</v>
      </c>
      <c r="C702" s="11" t="s">
        <v>24</v>
      </c>
      <c r="D702" s="2" t="s">
        <v>3663</v>
      </c>
      <c r="E702" s="11" t="s">
        <v>3664</v>
      </c>
      <c r="F702" s="30" t="s">
        <v>4454</v>
      </c>
      <c r="G702" s="30" t="s">
        <v>3665</v>
      </c>
      <c r="H702" s="16">
        <v>46054</v>
      </c>
      <c r="I702" s="115">
        <v>45961</v>
      </c>
      <c r="J702" s="115">
        <v>45964</v>
      </c>
      <c r="K702" s="115">
        <v>45961</v>
      </c>
      <c r="L702" s="115"/>
      <c r="M702" s="115">
        <v>46030</v>
      </c>
      <c r="N702" s="115"/>
      <c r="O702" s="115"/>
      <c r="P702" s="115">
        <v>46038</v>
      </c>
      <c r="Q702" s="115">
        <v>46038</v>
      </c>
      <c r="R702" s="115"/>
      <c r="S702" s="115"/>
      <c r="T702" s="7" t="s">
        <v>22</v>
      </c>
      <c r="U702" s="182" t="s">
        <v>4325</v>
      </c>
      <c r="V702" s="182" t="s">
        <v>4433</v>
      </c>
      <c r="W702" s="182" t="s">
        <v>4486</v>
      </c>
      <c r="X702" s="4" t="s">
        <v>4324</v>
      </c>
      <c r="Y702" s="100"/>
      <c r="Z702" s="30" t="s">
        <v>265</v>
      </c>
      <c r="AA702" s="8">
        <v>46111</v>
      </c>
      <c r="AB702" s="10"/>
      <c r="AC702" s="22">
        <v>25560</v>
      </c>
      <c r="AD702" s="21"/>
      <c r="AE702" s="21"/>
      <c r="AF702" s="21"/>
      <c r="AG702" s="45"/>
      <c r="AH702" s="116">
        <v>25560</v>
      </c>
    </row>
    <row r="703" spans="1:34" s="9" customFormat="1" ht="122.25" customHeight="1">
      <c r="A703" s="9">
        <f t="shared" ca="1" si="25"/>
        <v>140</v>
      </c>
      <c r="B703" s="31">
        <v>45939</v>
      </c>
      <c r="C703" s="11" t="s">
        <v>27</v>
      </c>
      <c r="D703" s="2" t="s">
        <v>3349</v>
      </c>
      <c r="E703" s="11" t="s">
        <v>3350</v>
      </c>
      <c r="F703" s="30" t="s">
        <v>74</v>
      </c>
      <c r="G703" s="338" t="s">
        <v>3991</v>
      </c>
      <c r="H703" s="16">
        <v>46054</v>
      </c>
      <c r="I703" s="115"/>
      <c r="J703" s="115">
        <v>45945</v>
      </c>
      <c r="K703" s="115"/>
      <c r="L703" s="115"/>
      <c r="M703" s="115"/>
      <c r="N703" s="115"/>
      <c r="O703" s="115"/>
      <c r="P703" s="115">
        <v>46049</v>
      </c>
      <c r="Q703" s="115"/>
      <c r="R703" s="115"/>
      <c r="S703" s="115">
        <v>46119</v>
      </c>
      <c r="T703" s="7" t="s">
        <v>22</v>
      </c>
      <c r="U703" s="182" t="s">
        <v>4332</v>
      </c>
      <c r="V703" s="16">
        <v>46047</v>
      </c>
      <c r="W703" s="16" t="s">
        <v>4469</v>
      </c>
      <c r="X703" s="4" t="s">
        <v>4207</v>
      </c>
      <c r="Y703" s="100"/>
      <c r="Z703" s="30" t="s">
        <v>3352</v>
      </c>
      <c r="AA703" s="8">
        <v>46084</v>
      </c>
      <c r="AB703" s="10"/>
      <c r="AC703" s="10"/>
      <c r="AD703" s="21"/>
      <c r="AE703" s="29">
        <v>1312169.19</v>
      </c>
      <c r="AF703" s="21"/>
      <c r="AG703" s="45"/>
      <c r="AH703" s="116">
        <v>1312169.19</v>
      </c>
    </row>
    <row r="704" spans="1:34" s="9" customFormat="1" ht="56.25">
      <c r="A704" s="9">
        <f t="shared" ca="1" si="25"/>
        <v>167</v>
      </c>
      <c r="B704" s="31">
        <v>45932</v>
      </c>
      <c r="C704" s="2" t="s">
        <v>694</v>
      </c>
      <c r="D704" s="2" t="s">
        <v>3262</v>
      </c>
      <c r="E704" s="11" t="s">
        <v>3263</v>
      </c>
      <c r="F704" s="30" t="s">
        <v>105</v>
      </c>
      <c r="G704" s="30" t="s">
        <v>4320</v>
      </c>
      <c r="H704" s="16">
        <v>46027</v>
      </c>
      <c r="I704" s="115">
        <v>45933</v>
      </c>
      <c r="J704" s="115">
        <v>45936</v>
      </c>
      <c r="K704" s="115">
        <v>45934</v>
      </c>
      <c r="L704" s="115"/>
      <c r="M704" s="115"/>
      <c r="N704" s="115" t="s">
        <v>2385</v>
      </c>
      <c r="O704" s="115"/>
      <c r="P704" s="115"/>
      <c r="Q704" s="115" t="s">
        <v>4536</v>
      </c>
      <c r="R704" s="115"/>
      <c r="S704" s="115" t="s">
        <v>4812</v>
      </c>
      <c r="T704" s="7" t="s">
        <v>22</v>
      </c>
      <c r="U704" s="16" t="s">
        <v>4467</v>
      </c>
      <c r="V704" s="16">
        <v>46055</v>
      </c>
      <c r="W704" s="16">
        <v>46073</v>
      </c>
      <c r="X704" s="292" t="s">
        <v>4468</v>
      </c>
      <c r="Y704" s="100"/>
      <c r="Z704" s="30" t="s">
        <v>89</v>
      </c>
      <c r="AA704" s="8">
        <v>46108</v>
      </c>
      <c r="AB704" s="22">
        <v>41375.31</v>
      </c>
      <c r="AC704" s="10"/>
      <c r="AD704" s="21"/>
      <c r="AE704" s="21"/>
      <c r="AF704" s="21"/>
      <c r="AG704" s="45"/>
      <c r="AH704" s="118">
        <v>41375.31</v>
      </c>
    </row>
    <row r="705" spans="1:34" s="9" customFormat="1" ht="112.5">
      <c r="A705" s="9">
        <f t="shared" ca="1" si="25"/>
        <v>140</v>
      </c>
      <c r="B705" s="31">
        <v>45947</v>
      </c>
      <c r="C705" s="11" t="s">
        <v>694</v>
      </c>
      <c r="D705" s="2" t="s">
        <v>3391</v>
      </c>
      <c r="E705" s="11" t="s">
        <v>3392</v>
      </c>
      <c r="F705" s="30" t="s">
        <v>105</v>
      </c>
      <c r="G705" s="30" t="s">
        <v>4319</v>
      </c>
      <c r="H705" s="16">
        <v>46054</v>
      </c>
      <c r="I705" s="115">
        <v>45951</v>
      </c>
      <c r="J705" s="115">
        <v>45951</v>
      </c>
      <c r="K705" s="115">
        <v>45952</v>
      </c>
      <c r="L705" s="115"/>
      <c r="M705" s="115"/>
      <c r="N705" s="115" t="s">
        <v>925</v>
      </c>
      <c r="O705" s="115"/>
      <c r="P705" s="115"/>
      <c r="Q705" s="115"/>
      <c r="R705" s="115"/>
      <c r="S705" s="16"/>
      <c r="T705" s="7" t="s">
        <v>22</v>
      </c>
      <c r="U705" s="16" t="s">
        <v>4467</v>
      </c>
      <c r="V705" s="16">
        <v>46055</v>
      </c>
      <c r="W705" s="16">
        <v>46073</v>
      </c>
      <c r="X705" s="292" t="s">
        <v>4466</v>
      </c>
      <c r="Y705" s="100"/>
      <c r="Z705" s="30" t="s">
        <v>89</v>
      </c>
      <c r="AA705" s="8">
        <v>46108</v>
      </c>
      <c r="AB705" s="22">
        <v>105896.71</v>
      </c>
      <c r="AC705" s="10"/>
      <c r="AD705" s="21"/>
      <c r="AE705" s="21"/>
      <c r="AF705" s="21"/>
      <c r="AG705" s="45"/>
      <c r="AH705" s="116">
        <v>105896.71</v>
      </c>
    </row>
    <row r="706" spans="1:34" s="9" customFormat="1" ht="122.25" customHeight="1">
      <c r="A706" s="9">
        <f t="shared" ca="1" si="25"/>
        <v>112</v>
      </c>
      <c r="B706" s="31">
        <v>45996</v>
      </c>
      <c r="C706" s="11" t="s">
        <v>694</v>
      </c>
      <c r="D706" s="2" t="s">
        <v>3923</v>
      </c>
      <c r="E706" s="11" t="s">
        <v>3924</v>
      </c>
      <c r="F706" s="30" t="s">
        <v>44</v>
      </c>
      <c r="G706" s="30" t="s">
        <v>4290</v>
      </c>
      <c r="H706" s="16">
        <v>46082</v>
      </c>
      <c r="I706" s="115">
        <v>46000</v>
      </c>
      <c r="J706" s="115">
        <v>46000</v>
      </c>
      <c r="K706" s="115">
        <v>46001</v>
      </c>
      <c r="L706" s="115">
        <v>46044</v>
      </c>
      <c r="M706" s="115"/>
      <c r="N706" s="115"/>
      <c r="O706" s="115"/>
      <c r="P706" s="115">
        <v>46050</v>
      </c>
      <c r="Q706" s="115">
        <v>46079</v>
      </c>
      <c r="R706" s="115" t="s">
        <v>4764</v>
      </c>
      <c r="S706" s="115" t="s">
        <v>4814</v>
      </c>
      <c r="T706" s="7" t="s">
        <v>22</v>
      </c>
      <c r="U706" s="16" t="s">
        <v>4461</v>
      </c>
      <c r="V706" s="16" t="s">
        <v>4460</v>
      </c>
      <c r="W706" s="16">
        <v>46092</v>
      </c>
      <c r="X706" s="334" t="s">
        <v>4459</v>
      </c>
      <c r="Y706" s="100"/>
      <c r="Z706" s="30" t="s">
        <v>54</v>
      </c>
      <c r="AA706" s="8">
        <v>46101</v>
      </c>
      <c r="AB706" s="10"/>
      <c r="AC706" s="22">
        <v>17710.63</v>
      </c>
      <c r="AD706" s="21"/>
      <c r="AE706" s="21"/>
      <c r="AF706" s="21"/>
      <c r="AG706" s="45"/>
      <c r="AH706" s="116">
        <v>17710.63</v>
      </c>
    </row>
    <row r="707" spans="1:34" s="9" customFormat="1" ht="122.25" customHeight="1">
      <c r="A707" s="9">
        <f t="shared" ca="1" si="25"/>
        <v>150</v>
      </c>
      <c r="B707" s="31">
        <v>46003</v>
      </c>
      <c r="C707" s="11" t="s">
        <v>694</v>
      </c>
      <c r="D707" s="2" t="s">
        <v>3974</v>
      </c>
      <c r="E707" s="11" t="s">
        <v>3975</v>
      </c>
      <c r="F707" s="30" t="s">
        <v>3277</v>
      </c>
      <c r="G707" s="30" t="s">
        <v>3976</v>
      </c>
      <c r="H707" s="16">
        <v>46044</v>
      </c>
      <c r="I707" s="115">
        <v>46003</v>
      </c>
      <c r="J707" s="115">
        <v>46003</v>
      </c>
      <c r="K707" s="115">
        <v>46006</v>
      </c>
      <c r="L707" s="115"/>
      <c r="M707" s="115"/>
      <c r="N707" s="115" t="s">
        <v>4180</v>
      </c>
      <c r="O707" s="115"/>
      <c r="P707" s="115">
        <v>46038</v>
      </c>
      <c r="Q707" s="115">
        <v>46079</v>
      </c>
      <c r="R707" s="115">
        <v>46297</v>
      </c>
      <c r="S707" s="115" t="s">
        <v>4815</v>
      </c>
      <c r="T707" s="7" t="s">
        <v>22</v>
      </c>
      <c r="U707" s="4" t="s">
        <v>4531</v>
      </c>
      <c r="V707" s="16">
        <v>46051</v>
      </c>
      <c r="W707" s="16">
        <v>46066</v>
      </c>
      <c r="X707" s="334" t="s">
        <v>4532</v>
      </c>
      <c r="Y707" s="100"/>
      <c r="Z707" s="30" t="s">
        <v>55</v>
      </c>
      <c r="AA707" s="8">
        <v>46065</v>
      </c>
      <c r="AB707" s="22">
        <v>18840</v>
      </c>
      <c r="AC707" s="10"/>
      <c r="AD707" s="21"/>
      <c r="AE707" s="21"/>
      <c r="AF707" s="21"/>
      <c r="AG707" s="45"/>
      <c r="AH707" s="116">
        <v>18840</v>
      </c>
    </row>
    <row r="708" spans="1:34" s="9" customFormat="1" ht="122.25" customHeight="1">
      <c r="A708" s="9">
        <f t="shared" ca="1" si="25"/>
        <v>112</v>
      </c>
      <c r="B708" s="31">
        <v>45939</v>
      </c>
      <c r="C708" s="11" t="s">
        <v>27</v>
      </c>
      <c r="D708" s="2" t="s">
        <v>3349</v>
      </c>
      <c r="E708" s="11" t="s">
        <v>3350</v>
      </c>
      <c r="F708" s="30" t="s">
        <v>74</v>
      </c>
      <c r="G708" s="338" t="s">
        <v>4636</v>
      </c>
      <c r="H708" s="16">
        <v>46082</v>
      </c>
      <c r="I708" s="115"/>
      <c r="J708" s="115">
        <v>45945</v>
      </c>
      <c r="K708" s="115"/>
      <c r="L708" s="115"/>
      <c r="M708" s="115"/>
      <c r="N708" s="115"/>
      <c r="O708" s="115"/>
      <c r="P708" s="115">
        <v>46066</v>
      </c>
      <c r="Q708" s="115"/>
      <c r="R708" s="115">
        <v>46105</v>
      </c>
      <c r="S708" s="115">
        <v>46112</v>
      </c>
      <c r="T708" s="7" t="s">
        <v>22</v>
      </c>
      <c r="U708" s="221" t="s">
        <v>4622</v>
      </c>
      <c r="V708" s="16">
        <v>46077</v>
      </c>
      <c r="W708" s="16">
        <v>46099</v>
      </c>
      <c r="X708" s="4" t="s">
        <v>4635</v>
      </c>
      <c r="Y708" s="100"/>
      <c r="Z708" s="30" t="s">
        <v>3352</v>
      </c>
      <c r="AA708" s="8">
        <v>46111</v>
      </c>
      <c r="AB708" s="10"/>
      <c r="AC708" s="10"/>
      <c r="AD708" s="21"/>
      <c r="AE708" s="29">
        <v>1975988.96</v>
      </c>
      <c r="AF708" s="21"/>
      <c r="AG708" s="45"/>
      <c r="AH708" s="116">
        <v>1975988.96</v>
      </c>
    </row>
    <row r="709" spans="1:34" s="9" customFormat="1" ht="122.25" customHeight="1">
      <c r="A709" s="9">
        <f t="shared" ca="1" si="25"/>
        <v>150</v>
      </c>
      <c r="B709" s="31">
        <v>46003</v>
      </c>
      <c r="C709" s="11" t="s">
        <v>694</v>
      </c>
      <c r="D709" s="2" t="s">
        <v>3971</v>
      </c>
      <c r="E709" s="11" t="s">
        <v>3972</v>
      </c>
      <c r="F709" s="30" t="s">
        <v>3277</v>
      </c>
      <c r="G709" s="30" t="s">
        <v>3973</v>
      </c>
      <c r="H709" s="16">
        <v>46044</v>
      </c>
      <c r="I709" s="115">
        <v>46003</v>
      </c>
      <c r="J709" s="115">
        <v>46003</v>
      </c>
      <c r="K709" s="115">
        <v>46006</v>
      </c>
      <c r="L709" s="115"/>
      <c r="M709" s="115"/>
      <c r="N709" s="115" t="s">
        <v>4181</v>
      </c>
      <c r="O709" s="115"/>
      <c r="P709" s="115">
        <v>46080</v>
      </c>
      <c r="Q709" s="115">
        <v>46092</v>
      </c>
      <c r="R709" s="115">
        <v>46106</v>
      </c>
      <c r="S709" s="115">
        <v>46111</v>
      </c>
      <c r="T709" s="7" t="s">
        <v>22</v>
      </c>
      <c r="U709" s="16" t="s">
        <v>4622</v>
      </c>
      <c r="V709" s="16">
        <v>46091</v>
      </c>
      <c r="W709" s="16" t="s">
        <v>4691</v>
      </c>
      <c r="X709" s="363" t="s">
        <v>4690</v>
      </c>
      <c r="Y709" s="100"/>
      <c r="Z709" s="30" t="s">
        <v>55</v>
      </c>
      <c r="AA709" s="8">
        <v>46101</v>
      </c>
      <c r="AB709" s="22">
        <v>37680</v>
      </c>
      <c r="AC709" s="10"/>
      <c r="AD709" s="21"/>
      <c r="AE709" s="21"/>
      <c r="AF709" s="21"/>
      <c r="AG709" s="45"/>
      <c r="AH709" s="116">
        <v>37680</v>
      </c>
    </row>
    <row r="710" spans="1:34" s="9" customFormat="1" ht="96.75" customHeight="1">
      <c r="A710" s="9">
        <f t="shared" ca="1" si="25"/>
        <v>202</v>
      </c>
      <c r="B710" s="31">
        <v>45861</v>
      </c>
      <c r="C710" s="11" t="s">
        <v>694</v>
      </c>
      <c r="D710" s="2" t="s">
        <v>2453</v>
      </c>
      <c r="E710" s="11" t="s">
        <v>2454</v>
      </c>
      <c r="F710" s="30" t="s">
        <v>31</v>
      </c>
      <c r="G710" s="30" t="s">
        <v>2640</v>
      </c>
      <c r="H710" s="16">
        <v>45992</v>
      </c>
      <c r="I710" s="115">
        <v>45866</v>
      </c>
      <c r="J710" s="115">
        <v>45862</v>
      </c>
      <c r="K710" s="115">
        <v>45868</v>
      </c>
      <c r="L710" s="115"/>
      <c r="M710" s="115"/>
      <c r="N710" s="115"/>
      <c r="O710" s="115"/>
      <c r="P710" s="16" t="s">
        <v>860</v>
      </c>
      <c r="Q710" s="115">
        <v>46099</v>
      </c>
      <c r="R710" s="115">
        <v>46077</v>
      </c>
      <c r="S710" s="115">
        <v>46086</v>
      </c>
      <c r="T710" s="16" t="s">
        <v>22</v>
      </c>
      <c r="U710" s="16" t="s">
        <v>4441</v>
      </c>
      <c r="V710" s="16" t="s">
        <v>4445</v>
      </c>
      <c r="W710" s="16" t="s">
        <v>4442</v>
      </c>
      <c r="X710" s="359" t="s">
        <v>4443</v>
      </c>
      <c r="Y710" s="317"/>
      <c r="Z710" s="30" t="s">
        <v>3770</v>
      </c>
      <c r="AA710" s="8">
        <v>45961</v>
      </c>
      <c r="AB710" s="22">
        <v>66826.05</v>
      </c>
      <c r="AC710" s="10"/>
      <c r="AD710" s="21"/>
      <c r="AE710" s="10"/>
      <c r="AF710" s="21"/>
      <c r="AG710" s="45"/>
      <c r="AH710" s="116">
        <v>66826.05</v>
      </c>
    </row>
    <row r="711" spans="1:34" s="9" customFormat="1" ht="18.75" customHeight="1">
      <c r="A711" s="9">
        <f t="shared" ca="1" si="25"/>
        <v>167</v>
      </c>
      <c r="B711" s="31">
        <v>45932</v>
      </c>
      <c r="C711" s="2" t="s">
        <v>694</v>
      </c>
      <c r="D711" s="2" t="s">
        <v>3259</v>
      </c>
      <c r="E711" s="11" t="s">
        <v>3260</v>
      </c>
      <c r="F711" s="30" t="s">
        <v>31</v>
      </c>
      <c r="G711" s="30" t="s">
        <v>3261</v>
      </c>
      <c r="H711" s="16">
        <v>46027</v>
      </c>
      <c r="I711" s="115">
        <v>45933</v>
      </c>
      <c r="J711" s="115">
        <v>45936</v>
      </c>
      <c r="K711" s="115">
        <v>45937</v>
      </c>
      <c r="L711" s="115"/>
      <c r="M711" s="115"/>
      <c r="N711" s="115"/>
      <c r="O711" s="115"/>
      <c r="P711" s="16" t="s">
        <v>860</v>
      </c>
      <c r="Q711" s="115">
        <v>46099</v>
      </c>
      <c r="R711" s="115">
        <v>46077</v>
      </c>
      <c r="S711" s="115">
        <v>46086</v>
      </c>
      <c r="T711" s="16" t="s">
        <v>22</v>
      </c>
      <c r="U711" s="16" t="s">
        <v>4441</v>
      </c>
      <c r="V711" s="16" t="s">
        <v>4445</v>
      </c>
      <c r="W711" s="16" t="s">
        <v>4442</v>
      </c>
      <c r="X711" s="359" t="s">
        <v>4444</v>
      </c>
      <c r="Y711" s="100"/>
      <c r="Z711" s="30" t="s">
        <v>61</v>
      </c>
      <c r="AA711" s="8">
        <v>45987</v>
      </c>
      <c r="AB711" s="22">
        <v>67283.75</v>
      </c>
      <c r="AC711" s="10"/>
      <c r="AD711" s="21"/>
      <c r="AE711" s="21"/>
      <c r="AF711" s="21"/>
      <c r="AG711" s="45"/>
      <c r="AH711" s="118">
        <v>67283.75</v>
      </c>
    </row>
    <row r="712" spans="1:34" s="9" customFormat="1" ht="122.25" customHeight="1" thickBot="1">
      <c r="A712" s="9">
        <f t="shared" ca="1" si="25"/>
        <v>103</v>
      </c>
      <c r="B712" s="31">
        <v>46009</v>
      </c>
      <c r="C712" s="11" t="s">
        <v>24</v>
      </c>
      <c r="D712" s="2" t="s">
        <v>3996</v>
      </c>
      <c r="E712" s="11" t="s">
        <v>3997</v>
      </c>
      <c r="F712" s="30" t="s">
        <v>3998</v>
      </c>
      <c r="G712" s="30" t="s">
        <v>4314</v>
      </c>
      <c r="H712" s="16">
        <v>46091</v>
      </c>
      <c r="I712" s="115">
        <v>46010</v>
      </c>
      <c r="J712" s="115">
        <v>46010</v>
      </c>
      <c r="K712" s="115">
        <v>46015</v>
      </c>
      <c r="L712" s="115"/>
      <c r="M712" s="115"/>
      <c r="N712" s="115"/>
      <c r="O712" s="115"/>
      <c r="P712" s="115">
        <v>46071</v>
      </c>
      <c r="Q712" s="115">
        <v>46071</v>
      </c>
      <c r="R712" s="115" t="s">
        <v>4714</v>
      </c>
      <c r="S712" s="115"/>
      <c r="T712" s="7" t="s">
        <v>22</v>
      </c>
      <c r="U712" s="11" t="s">
        <v>4094</v>
      </c>
      <c r="V712" s="16">
        <v>46069</v>
      </c>
      <c r="W712" s="16" t="s">
        <v>4523</v>
      </c>
      <c r="X712" s="4" t="s">
        <v>4098</v>
      </c>
      <c r="Y712" s="100"/>
      <c r="Z712" s="30" t="s">
        <v>3999</v>
      </c>
      <c r="AA712" s="8">
        <v>46093</v>
      </c>
      <c r="AB712" s="10"/>
      <c r="AC712" s="22">
        <v>27401.87</v>
      </c>
      <c r="AD712" s="21"/>
      <c r="AE712" s="21"/>
      <c r="AF712" s="21"/>
      <c r="AG712" s="45"/>
      <c r="AH712" s="116">
        <v>27401.87</v>
      </c>
    </row>
    <row r="713" spans="1:34" s="9" customFormat="1" ht="238.5" customHeight="1">
      <c r="A713" s="150">
        <f t="shared" ca="1" si="25"/>
        <v>202</v>
      </c>
      <c r="B713" s="147">
        <v>45833</v>
      </c>
      <c r="C713" s="34" t="s">
        <v>27</v>
      </c>
      <c r="D713" s="34" t="s">
        <v>2220</v>
      </c>
      <c r="E713" s="148" t="s">
        <v>2221</v>
      </c>
      <c r="F713" s="125" t="s">
        <v>1933</v>
      </c>
      <c r="G713" s="125" t="s">
        <v>4033</v>
      </c>
      <c r="H713" s="6">
        <v>45992</v>
      </c>
      <c r="I713" s="115"/>
      <c r="J713" s="115"/>
      <c r="K713" s="115"/>
      <c r="L713" s="115"/>
      <c r="M713" s="115"/>
      <c r="N713" s="115"/>
      <c r="O713" s="115"/>
      <c r="P713" s="115">
        <v>46006</v>
      </c>
      <c r="Q713" s="115" t="s">
        <v>1449</v>
      </c>
      <c r="R713" s="115">
        <v>46010</v>
      </c>
      <c r="S713" s="115">
        <v>46059</v>
      </c>
      <c r="T713" s="7" t="s">
        <v>22</v>
      </c>
      <c r="U713" s="327" t="s">
        <v>3761</v>
      </c>
      <c r="V713" s="16">
        <v>45990</v>
      </c>
      <c r="W713" s="16">
        <v>45999</v>
      </c>
      <c r="X713" s="4"/>
      <c r="Y713" s="100"/>
      <c r="Z713" s="30" t="s">
        <v>54</v>
      </c>
      <c r="AA713" s="8">
        <v>46042</v>
      </c>
      <c r="AB713" s="10"/>
      <c r="AC713" s="10"/>
      <c r="AD713" s="21"/>
      <c r="AE713" s="22">
        <v>655687.74</v>
      </c>
      <c r="AF713" s="21"/>
      <c r="AG713" s="45"/>
      <c r="AH713" s="116">
        <v>655687.74</v>
      </c>
    </row>
    <row r="714" spans="1:34" s="9" customFormat="1" ht="122.25" customHeight="1">
      <c r="A714" s="9">
        <f t="shared" ca="1" si="25"/>
        <v>20</v>
      </c>
      <c r="B714" s="31">
        <v>46059</v>
      </c>
      <c r="C714" s="11" t="s">
        <v>24</v>
      </c>
      <c r="D714" s="2" t="s">
        <v>4397</v>
      </c>
      <c r="E714" s="11" t="s">
        <v>4398</v>
      </c>
      <c r="F714" s="30" t="s">
        <v>3659</v>
      </c>
      <c r="G714" s="30" t="s">
        <v>4399</v>
      </c>
      <c r="H714" s="16">
        <v>46174</v>
      </c>
      <c r="I714" s="115">
        <v>46063</v>
      </c>
      <c r="J714" s="115">
        <v>46063</v>
      </c>
      <c r="K714" s="115">
        <v>46063</v>
      </c>
      <c r="L714" s="115"/>
      <c r="M714" s="16">
        <v>46129</v>
      </c>
      <c r="N714" s="16"/>
      <c r="O714" s="16"/>
      <c r="P714" s="16"/>
      <c r="Q714" s="16"/>
      <c r="R714" s="16"/>
      <c r="S714" s="16"/>
      <c r="T714" s="7" t="s">
        <v>30</v>
      </c>
      <c r="U714" s="202"/>
      <c r="V714" s="16"/>
      <c r="W714" s="16"/>
      <c r="X714" s="4" t="s">
        <v>4941</v>
      </c>
      <c r="Y714" s="100"/>
      <c r="Z714" s="30" t="s">
        <v>103</v>
      </c>
      <c r="AA714" s="8">
        <v>46167</v>
      </c>
      <c r="AB714" s="10"/>
      <c r="AC714" s="10">
        <v>5500.38</v>
      </c>
      <c r="AD714" s="10"/>
      <c r="AE714" s="10"/>
      <c r="AF714" s="10"/>
      <c r="AG714" s="10"/>
      <c r="AH714" s="10"/>
    </row>
    <row r="715" spans="1:34" s="9" customFormat="1" ht="75">
      <c r="A715" s="9">
        <f t="shared" ca="1" si="25"/>
        <v>167</v>
      </c>
      <c r="B715" s="31">
        <v>45932</v>
      </c>
      <c r="C715" s="2" t="s">
        <v>694</v>
      </c>
      <c r="D715" s="2" t="s">
        <v>3248</v>
      </c>
      <c r="E715" s="11" t="s">
        <v>3249</v>
      </c>
      <c r="F715" s="30" t="s">
        <v>44</v>
      </c>
      <c r="G715" s="30" t="s">
        <v>4627</v>
      </c>
      <c r="H715" s="16">
        <v>46027</v>
      </c>
      <c r="I715" s="115"/>
      <c r="J715" s="115">
        <v>45936</v>
      </c>
      <c r="K715" s="115">
        <v>45937</v>
      </c>
      <c r="L715" s="115"/>
      <c r="M715" s="115">
        <v>46056</v>
      </c>
      <c r="N715" s="115"/>
      <c r="O715" s="115"/>
      <c r="P715" s="115">
        <v>46076</v>
      </c>
      <c r="Q715" s="115">
        <v>46079</v>
      </c>
      <c r="R715" s="115">
        <v>46105</v>
      </c>
      <c r="S715" s="115">
        <v>46121</v>
      </c>
      <c r="T715" s="7" t="s">
        <v>22</v>
      </c>
      <c r="U715" s="28" t="s">
        <v>4910</v>
      </c>
      <c r="V715" s="16">
        <v>46062</v>
      </c>
      <c r="W715" s="16">
        <v>46108</v>
      </c>
      <c r="X715" s="334" t="s">
        <v>4527</v>
      </c>
      <c r="Y715" s="100"/>
      <c r="Z715" s="30" t="s">
        <v>54</v>
      </c>
      <c r="AA715" s="8">
        <v>46113</v>
      </c>
      <c r="AB715" s="23"/>
      <c r="AC715" s="22">
        <v>88020.64</v>
      </c>
      <c r="AD715" s="21"/>
      <c r="AE715" s="21"/>
      <c r="AF715" s="21"/>
      <c r="AG715" s="45"/>
      <c r="AH715" s="118">
        <v>88020.64</v>
      </c>
    </row>
    <row r="716" spans="1:34" s="9" customFormat="1" ht="104.25" customHeight="1">
      <c r="A716" s="9">
        <f t="shared" ca="1" si="25"/>
        <v>112</v>
      </c>
      <c r="B716" s="31">
        <v>45947</v>
      </c>
      <c r="C716" s="11" t="s">
        <v>694</v>
      </c>
      <c r="D716" s="2" t="s">
        <v>3393</v>
      </c>
      <c r="E716" s="11" t="s">
        <v>3394</v>
      </c>
      <c r="F716" s="30" t="s">
        <v>44</v>
      </c>
      <c r="G716" s="30" t="s">
        <v>3730</v>
      </c>
      <c r="H716" s="16">
        <v>46082</v>
      </c>
      <c r="I716" s="115">
        <v>45951</v>
      </c>
      <c r="J716" s="115">
        <v>45951</v>
      </c>
      <c r="K716" s="115">
        <v>45952</v>
      </c>
      <c r="L716" s="115" t="s">
        <v>878</v>
      </c>
      <c r="M716" s="115">
        <v>46056</v>
      </c>
      <c r="N716" s="115"/>
      <c r="O716" s="115"/>
      <c r="P716" s="115">
        <v>46076</v>
      </c>
      <c r="Q716" s="115">
        <v>46079</v>
      </c>
      <c r="R716" s="115">
        <v>46105</v>
      </c>
      <c r="S716" s="115">
        <v>46121</v>
      </c>
      <c r="T716" s="7" t="s">
        <v>22</v>
      </c>
      <c r="U716" s="28" t="s">
        <v>4910</v>
      </c>
      <c r="V716" s="16">
        <v>46062</v>
      </c>
      <c r="W716" s="16">
        <v>46108</v>
      </c>
      <c r="X716" s="334" t="s">
        <v>4528</v>
      </c>
      <c r="Y716" s="100"/>
      <c r="Z716" s="30" t="s">
        <v>54</v>
      </c>
      <c r="AA716" s="8">
        <v>46113</v>
      </c>
      <c r="AB716" s="10"/>
      <c r="AC716" s="22">
        <v>20421.5</v>
      </c>
      <c r="AD716" s="21"/>
      <c r="AE716" s="21"/>
      <c r="AF716" s="21"/>
      <c r="AG716" s="45"/>
      <c r="AH716" s="116">
        <v>20421.5</v>
      </c>
    </row>
    <row r="717" spans="1:34" s="9" customFormat="1" ht="122.25" customHeight="1">
      <c r="A717" s="9">
        <f t="shared" ca="1" si="25"/>
        <v>140</v>
      </c>
      <c r="B717" s="31">
        <v>46386</v>
      </c>
      <c r="C717" s="11" t="s">
        <v>694</v>
      </c>
      <c r="D717" s="2" t="s">
        <v>4111</v>
      </c>
      <c r="E717" s="11" t="s">
        <v>4112</v>
      </c>
      <c r="F717" s="30" t="s">
        <v>87</v>
      </c>
      <c r="G717" s="30" t="s">
        <v>4113</v>
      </c>
      <c r="H717" s="16">
        <v>46054</v>
      </c>
      <c r="I717" s="115" t="s">
        <v>4182</v>
      </c>
      <c r="J717" s="115">
        <v>46028</v>
      </c>
      <c r="K717" s="115">
        <v>46029</v>
      </c>
      <c r="L717" s="115"/>
      <c r="M717" s="115" t="s">
        <v>3720</v>
      </c>
      <c r="N717" s="115"/>
      <c r="O717" s="115"/>
      <c r="P717" s="115">
        <v>46055</v>
      </c>
      <c r="Q717" s="115">
        <v>46065</v>
      </c>
      <c r="R717" s="115" t="s">
        <v>4810</v>
      </c>
      <c r="S717" s="115">
        <v>46118</v>
      </c>
      <c r="T717" s="7" t="s">
        <v>20</v>
      </c>
      <c r="U717" s="2" t="s">
        <v>3724</v>
      </c>
      <c r="V717" s="16">
        <v>46060</v>
      </c>
      <c r="W717" s="16">
        <v>46100</v>
      </c>
      <c r="X717" s="365"/>
      <c r="Y717" s="100"/>
      <c r="Z717" s="30" t="s">
        <v>54</v>
      </c>
      <c r="AA717" s="8">
        <v>46109</v>
      </c>
      <c r="AB717" s="10"/>
      <c r="AC717" s="22">
        <v>75763.929999999993</v>
      </c>
      <c r="AD717" s="21"/>
      <c r="AE717" s="21"/>
      <c r="AF717" s="21"/>
      <c r="AG717" s="45"/>
      <c r="AH717" s="116">
        <v>75763.929999999993</v>
      </c>
    </row>
    <row r="718" spans="1:34" s="9" customFormat="1" ht="122.25" customHeight="1">
      <c r="A718" s="9">
        <f t="shared" ca="1" si="25"/>
        <v>112</v>
      </c>
      <c r="B718" s="31">
        <v>46002</v>
      </c>
      <c r="C718" s="11" t="s">
        <v>694</v>
      </c>
      <c r="D718" s="2" t="s">
        <v>3969</v>
      </c>
      <c r="E718" s="11" t="s">
        <v>3970</v>
      </c>
      <c r="F718" s="30" t="s">
        <v>2078</v>
      </c>
      <c r="G718" s="30" t="s">
        <v>4498</v>
      </c>
      <c r="H718" s="16">
        <v>46082</v>
      </c>
      <c r="I718" s="115">
        <v>46002</v>
      </c>
      <c r="J718" s="115">
        <v>46003</v>
      </c>
      <c r="K718" s="115">
        <v>46002</v>
      </c>
      <c r="L718" s="115">
        <v>46038</v>
      </c>
      <c r="M718" s="115"/>
      <c r="N718" s="115"/>
      <c r="O718" s="115"/>
      <c r="P718" s="115"/>
      <c r="Q718" s="115">
        <v>46065</v>
      </c>
      <c r="R718" s="115"/>
      <c r="S718" s="115">
        <v>46105</v>
      </c>
      <c r="T718" s="7" t="s">
        <v>20</v>
      </c>
      <c r="U718" s="16" t="s">
        <v>4094</v>
      </c>
      <c r="V718" s="16" t="s">
        <v>4458</v>
      </c>
      <c r="W718" s="16">
        <v>46096</v>
      </c>
      <c r="X718" s="334" t="s">
        <v>4530</v>
      </c>
      <c r="Y718" s="100"/>
      <c r="Z718" s="30" t="s">
        <v>54</v>
      </c>
      <c r="AA718" s="8">
        <v>46122</v>
      </c>
      <c r="AB718" s="10"/>
      <c r="AC718" s="22">
        <v>30093.35</v>
      </c>
      <c r="AD718" s="21"/>
      <c r="AE718" s="21"/>
      <c r="AF718" s="21"/>
      <c r="AG718" s="45"/>
      <c r="AH718" s="116">
        <v>30093.35</v>
      </c>
    </row>
    <row r="719" spans="1:34" s="9" customFormat="1" ht="122.25" customHeight="1">
      <c r="A719" s="9">
        <v>61</v>
      </c>
      <c r="B719" s="31">
        <v>45938</v>
      </c>
      <c r="C719" s="11" t="s">
        <v>27</v>
      </c>
      <c r="D719" s="2" t="s">
        <v>3358</v>
      </c>
      <c r="E719" s="11" t="s">
        <v>3354</v>
      </c>
      <c r="F719" s="30" t="s">
        <v>1933</v>
      </c>
      <c r="G719" s="30" t="s">
        <v>4189</v>
      </c>
      <c r="H719" s="16">
        <v>46054</v>
      </c>
      <c r="I719" s="115"/>
      <c r="J719" s="115">
        <v>45945</v>
      </c>
      <c r="K719" s="115"/>
      <c r="L719" s="115"/>
      <c r="M719" s="115">
        <v>46030</v>
      </c>
      <c r="N719" s="115"/>
      <c r="O719" s="115"/>
      <c r="P719" s="115">
        <v>46076</v>
      </c>
      <c r="Q719" s="115" t="s">
        <v>1449</v>
      </c>
      <c r="R719" s="115"/>
      <c r="S719" s="115" t="s">
        <v>4823</v>
      </c>
      <c r="T719" s="7" t="s">
        <v>22</v>
      </c>
      <c r="U719" s="221" t="s">
        <v>4470</v>
      </c>
      <c r="V719" s="16">
        <v>46063</v>
      </c>
      <c r="W719" s="16">
        <v>46075</v>
      </c>
      <c r="X719" s="4"/>
      <c r="Y719" s="100"/>
      <c r="Z719" s="30" t="s">
        <v>3352</v>
      </c>
      <c r="AA719" s="8">
        <v>46124</v>
      </c>
      <c r="AB719" s="10"/>
      <c r="AC719" s="10"/>
      <c r="AD719" s="21"/>
      <c r="AE719" s="29">
        <v>4652108.666666667</v>
      </c>
      <c r="AF719" s="21"/>
      <c r="AG719" s="45"/>
      <c r="AH719" s="116">
        <v>4652108.666666667</v>
      </c>
    </row>
    <row r="720" spans="1:34" s="9" customFormat="1" ht="122.25" customHeight="1">
      <c r="A720" s="9" t="e">
        <v>#VALUE!</v>
      </c>
      <c r="B720" s="31">
        <v>45938</v>
      </c>
      <c r="C720" s="11" t="s">
        <v>27</v>
      </c>
      <c r="D720" s="2" t="s">
        <v>3358</v>
      </c>
      <c r="E720" s="11" t="s">
        <v>3354</v>
      </c>
      <c r="F720" s="30" t="s">
        <v>1933</v>
      </c>
      <c r="G720" s="30" t="s">
        <v>4188</v>
      </c>
      <c r="H720" s="16" t="s">
        <v>4190</v>
      </c>
      <c r="I720" s="115"/>
      <c r="J720" s="115">
        <v>45945</v>
      </c>
      <c r="K720" s="115"/>
      <c r="L720" s="115"/>
      <c r="M720" s="115">
        <v>46030</v>
      </c>
      <c r="N720" s="115"/>
      <c r="O720" s="115"/>
      <c r="P720" s="115">
        <v>46076</v>
      </c>
      <c r="Q720" s="115" t="s">
        <v>1449</v>
      </c>
      <c r="R720" s="115"/>
      <c r="S720" s="115" t="s">
        <v>4823</v>
      </c>
      <c r="T720" s="7" t="s">
        <v>22</v>
      </c>
      <c r="U720" s="221" t="s">
        <v>4470</v>
      </c>
      <c r="V720" s="16" t="s">
        <v>4278</v>
      </c>
      <c r="W720" s="16">
        <v>46075</v>
      </c>
      <c r="X720" s="4"/>
      <c r="Y720" s="100"/>
      <c r="Z720" s="30" t="s">
        <v>3352</v>
      </c>
      <c r="AA720" s="8">
        <v>46124</v>
      </c>
      <c r="AB720" s="10"/>
      <c r="AC720" s="10"/>
      <c r="AD720" s="21"/>
      <c r="AE720" s="29">
        <v>4652108.666666667</v>
      </c>
      <c r="AF720" s="21"/>
      <c r="AG720" s="45"/>
      <c r="AH720" s="116">
        <v>4652108.666666667</v>
      </c>
    </row>
    <row r="721" spans="1:34" s="9" customFormat="1" ht="122.25" customHeight="1">
      <c r="A721" s="9">
        <v>33</v>
      </c>
      <c r="B721" s="31">
        <v>45938</v>
      </c>
      <c r="C721" s="11" t="s">
        <v>27</v>
      </c>
      <c r="D721" s="2" t="s">
        <v>3358</v>
      </c>
      <c r="E721" s="11" t="s">
        <v>3354</v>
      </c>
      <c r="F721" s="30" t="s">
        <v>1933</v>
      </c>
      <c r="G721" s="30" t="s">
        <v>4624</v>
      </c>
      <c r="H721" s="16">
        <v>46082</v>
      </c>
      <c r="I721" s="115"/>
      <c r="J721" s="115"/>
      <c r="K721" s="115"/>
      <c r="L721" s="115"/>
      <c r="M721" s="115"/>
      <c r="N721" s="115"/>
      <c r="O721" s="115"/>
      <c r="P721" s="115"/>
      <c r="Q721" s="115" t="s">
        <v>1449</v>
      </c>
      <c r="R721" s="115"/>
      <c r="S721" s="115" t="s">
        <v>4823</v>
      </c>
      <c r="T721" s="7" t="s">
        <v>22</v>
      </c>
      <c r="U721" s="4" t="s">
        <v>4470</v>
      </c>
      <c r="V721" s="16" t="s">
        <v>4278</v>
      </c>
      <c r="W721" s="16">
        <v>46075</v>
      </c>
      <c r="X721" s="4"/>
      <c r="Y721" s="100"/>
      <c r="Z721" s="30" t="s">
        <v>3352</v>
      </c>
      <c r="AA721" s="8">
        <v>46124</v>
      </c>
      <c r="AB721" s="10"/>
      <c r="AC721" s="10"/>
      <c r="AD721" s="21"/>
      <c r="AE721" s="29">
        <v>4652108.666666667</v>
      </c>
      <c r="AF721" s="21"/>
      <c r="AG721" s="45"/>
      <c r="AH721" s="116">
        <v>4652108.666666667</v>
      </c>
    </row>
    <row r="722" spans="1:34" s="9" customFormat="1" ht="185.25" customHeight="1">
      <c r="A722" s="9">
        <f t="shared" ref="A722:A746" ca="1" si="26">TODAY()-H722+1</f>
        <v>477</v>
      </c>
      <c r="B722" s="31">
        <v>45988</v>
      </c>
      <c r="C722" s="11" t="s">
        <v>24</v>
      </c>
      <c r="D722" s="2" t="s">
        <v>3827</v>
      </c>
      <c r="E722" s="11" t="s">
        <v>3826</v>
      </c>
      <c r="F722" s="30" t="s">
        <v>36</v>
      </c>
      <c r="G722" s="30" t="s">
        <v>4780</v>
      </c>
      <c r="H722" s="16">
        <v>45717</v>
      </c>
      <c r="I722" s="115">
        <v>45988</v>
      </c>
      <c r="J722" s="115">
        <v>45989</v>
      </c>
      <c r="K722" s="115">
        <v>45988</v>
      </c>
      <c r="L722" s="115"/>
      <c r="M722" s="115"/>
      <c r="N722" s="115"/>
      <c r="O722" s="115"/>
      <c r="P722" s="115">
        <v>46079</v>
      </c>
      <c r="Q722" s="115">
        <v>46079</v>
      </c>
      <c r="R722" s="115"/>
      <c r="S722" s="115"/>
      <c r="T722" s="7" t="s">
        <v>30</v>
      </c>
      <c r="U722" s="11" t="s">
        <v>4327</v>
      </c>
      <c r="V722" s="16">
        <v>46077</v>
      </c>
      <c r="W722" s="16">
        <v>46084</v>
      </c>
      <c r="X722" s="4"/>
      <c r="Y722" s="100"/>
      <c r="Z722" s="30" t="s">
        <v>113</v>
      </c>
      <c r="AA722" s="8">
        <v>46115</v>
      </c>
      <c r="AB722" s="22">
        <v>106268.8</v>
      </c>
      <c r="AC722" s="10"/>
      <c r="AD722" s="21"/>
      <c r="AE722" s="21"/>
      <c r="AF722" s="21"/>
      <c r="AG722" s="45"/>
      <c r="AH722" s="16"/>
    </row>
    <row r="723" spans="1:34" s="9" customFormat="1" ht="122.25" customHeight="1">
      <c r="A723" s="9">
        <f t="shared" ca="1" si="26"/>
        <v>90</v>
      </c>
      <c r="B723" s="31">
        <v>46010</v>
      </c>
      <c r="C723" s="11" t="s">
        <v>27</v>
      </c>
      <c r="D723" s="2" t="s">
        <v>4058</v>
      </c>
      <c r="E723" s="11" t="s">
        <v>4059</v>
      </c>
      <c r="F723" s="30" t="s">
        <v>1441</v>
      </c>
      <c r="G723" s="30" t="s">
        <v>4060</v>
      </c>
      <c r="H723" s="16">
        <v>46104</v>
      </c>
      <c r="I723" s="115">
        <v>46013</v>
      </c>
      <c r="J723" s="115">
        <v>46014</v>
      </c>
      <c r="K723" s="115"/>
      <c r="L723" s="115"/>
      <c r="M723" s="115">
        <v>46037</v>
      </c>
      <c r="N723" s="115" t="s">
        <v>4496</v>
      </c>
      <c r="O723" s="115"/>
      <c r="P723" s="115">
        <v>46064</v>
      </c>
      <c r="Q723" s="115"/>
      <c r="R723" s="115">
        <v>46128</v>
      </c>
      <c r="S723" s="115">
        <v>46128</v>
      </c>
      <c r="T723" s="7" t="s">
        <v>20</v>
      </c>
      <c r="U723" s="16" t="s">
        <v>4497</v>
      </c>
      <c r="V723" s="16">
        <v>46086</v>
      </c>
      <c r="W723" s="16">
        <v>46119</v>
      </c>
      <c r="X723" s="84" t="s">
        <v>4639</v>
      </c>
      <c r="Y723" s="100"/>
      <c r="Z723" s="30" t="s">
        <v>54</v>
      </c>
      <c r="AA723" s="8">
        <v>46120</v>
      </c>
      <c r="AB723" s="10"/>
      <c r="AC723" s="22">
        <v>6300</v>
      </c>
      <c r="AD723" s="21"/>
      <c r="AE723" s="21"/>
      <c r="AF723" s="21"/>
      <c r="AG723" s="45"/>
      <c r="AH723" s="116">
        <v>6300</v>
      </c>
    </row>
    <row r="724" spans="1:34" s="9" customFormat="1" ht="122.25" customHeight="1">
      <c r="A724" s="9">
        <f t="shared" ca="1" si="26"/>
        <v>103</v>
      </c>
      <c r="B724" s="31">
        <v>46009</v>
      </c>
      <c r="C724" s="11" t="s">
        <v>24</v>
      </c>
      <c r="D724" s="2" t="s">
        <v>4002</v>
      </c>
      <c r="E724" s="11" t="s">
        <v>4003</v>
      </c>
      <c r="F724" s="30" t="s">
        <v>4004</v>
      </c>
      <c r="G724" s="30" t="s">
        <v>4521</v>
      </c>
      <c r="H724" s="16">
        <v>46091</v>
      </c>
      <c r="I724" s="115">
        <v>46010</v>
      </c>
      <c r="J724" s="115">
        <v>46010</v>
      </c>
      <c r="K724" s="115">
        <v>46010</v>
      </c>
      <c r="L724" s="115"/>
      <c r="M724" s="115"/>
      <c r="N724" s="115"/>
      <c r="O724" s="115"/>
      <c r="P724" s="115"/>
      <c r="Q724" s="115">
        <v>46064</v>
      </c>
      <c r="R724" s="115" t="s">
        <v>4713</v>
      </c>
      <c r="S724" s="115"/>
      <c r="T724" s="7" t="s">
        <v>22</v>
      </c>
      <c r="U724" s="11" t="s">
        <v>4097</v>
      </c>
      <c r="V724" s="16" t="s">
        <v>4383</v>
      </c>
      <c r="W724" s="16" t="s">
        <v>4708</v>
      </c>
      <c r="X724" s="4" t="s">
        <v>4522</v>
      </c>
      <c r="Y724" s="100"/>
      <c r="Z724" s="30" t="s">
        <v>4005</v>
      </c>
      <c r="AA724" s="68">
        <v>46121</v>
      </c>
      <c r="AB724" s="23"/>
      <c r="AC724" s="22">
        <v>26273.8</v>
      </c>
      <c r="AD724" s="65"/>
      <c r="AE724" s="65"/>
      <c r="AF724" s="65"/>
      <c r="AG724" s="279"/>
      <c r="AH724" s="118">
        <v>26273.8</v>
      </c>
    </row>
    <row r="725" spans="1:34" s="9" customFormat="1" ht="122.25" customHeight="1">
      <c r="A725" s="9">
        <f t="shared" ca="1" si="26"/>
        <v>139</v>
      </c>
      <c r="B725" s="31">
        <v>46051</v>
      </c>
      <c r="C725" s="11" t="s">
        <v>694</v>
      </c>
      <c r="D725" s="2" t="s">
        <v>4301</v>
      </c>
      <c r="E725" s="11" t="s">
        <v>4302</v>
      </c>
      <c r="F725" s="30" t="s">
        <v>105</v>
      </c>
      <c r="G725" s="30" t="s">
        <v>4303</v>
      </c>
      <c r="H725" s="16">
        <v>46055</v>
      </c>
      <c r="I725" s="115">
        <v>46051</v>
      </c>
      <c r="J725" s="115">
        <v>46051</v>
      </c>
      <c r="K725" s="115">
        <v>46052</v>
      </c>
      <c r="L725" s="115" t="s">
        <v>2385</v>
      </c>
      <c r="M725" s="115" t="s">
        <v>4950</v>
      </c>
      <c r="N725" s="16"/>
      <c r="O725" s="16"/>
      <c r="P725" s="16" t="s">
        <v>851</v>
      </c>
      <c r="Q725" s="16" t="s">
        <v>851</v>
      </c>
      <c r="R725" s="16" t="s">
        <v>851</v>
      </c>
      <c r="S725" s="16" t="s">
        <v>851</v>
      </c>
      <c r="T725" s="7" t="s">
        <v>20</v>
      </c>
      <c r="U725" s="202"/>
      <c r="V725" s="16"/>
      <c r="W725" s="16"/>
      <c r="X725" s="4"/>
      <c r="Y725" s="100"/>
      <c r="Z725" s="30" t="s">
        <v>4304</v>
      </c>
      <c r="AA725" s="8">
        <v>46056</v>
      </c>
      <c r="AB725" s="22">
        <v>86315.83</v>
      </c>
      <c r="AC725" s="10"/>
      <c r="AD725" s="10"/>
      <c r="AE725" s="10"/>
      <c r="AF725" s="10"/>
      <c r="AG725" s="10"/>
      <c r="AH725" s="10">
        <v>86315.83</v>
      </c>
    </row>
    <row r="726" spans="1:34" s="9" customFormat="1" ht="122.25" customHeight="1">
      <c r="A726" s="62">
        <f t="shared" ca="1" si="26"/>
        <v>46194</v>
      </c>
      <c r="B726" s="31">
        <v>46105</v>
      </c>
      <c r="C726" s="11" t="s">
        <v>694</v>
      </c>
      <c r="D726" s="2" t="s">
        <v>4760</v>
      </c>
      <c r="E726" s="11" t="s">
        <v>4761</v>
      </c>
      <c r="F726" s="30" t="s">
        <v>4080</v>
      </c>
      <c r="G726" s="30" t="s">
        <v>4762</v>
      </c>
      <c r="H726" s="16"/>
      <c r="I726" s="115"/>
      <c r="J726" s="115">
        <v>46105</v>
      </c>
      <c r="K726" s="115"/>
      <c r="L726" s="115"/>
      <c r="M726" s="115"/>
      <c r="N726" s="16"/>
      <c r="O726" s="16"/>
      <c r="P726" s="16"/>
      <c r="Q726" s="16"/>
      <c r="R726" s="16"/>
      <c r="S726" s="16"/>
      <c r="T726" s="7" t="s">
        <v>860</v>
      </c>
      <c r="U726" s="7" t="s">
        <v>860</v>
      </c>
      <c r="V726" s="7" t="s">
        <v>860</v>
      </c>
      <c r="W726" s="7" t="s">
        <v>860</v>
      </c>
      <c r="X726" s="4"/>
      <c r="Y726" s="100"/>
      <c r="Z726" s="30" t="s">
        <v>5066</v>
      </c>
      <c r="AA726" s="8">
        <v>46106</v>
      </c>
      <c r="AB726" s="22">
        <f>600+200</f>
        <v>800</v>
      </c>
      <c r="AC726" s="10"/>
      <c r="AD726" s="10"/>
      <c r="AE726" s="10"/>
      <c r="AF726" s="10"/>
      <c r="AG726" s="10"/>
      <c r="AH726" s="10">
        <v>800</v>
      </c>
    </row>
    <row r="727" spans="1:34" s="9" customFormat="1" ht="122.25" customHeight="1">
      <c r="A727" s="9">
        <f t="shared" ca="1" si="26"/>
        <v>167</v>
      </c>
      <c r="B727" s="31">
        <v>45988</v>
      </c>
      <c r="C727" s="11" t="s">
        <v>24</v>
      </c>
      <c r="D727" s="2" t="s">
        <v>3824</v>
      </c>
      <c r="E727" s="11" t="s">
        <v>3825</v>
      </c>
      <c r="F727" s="30" t="s">
        <v>2169</v>
      </c>
      <c r="G727" s="30" t="s">
        <v>4024</v>
      </c>
      <c r="H727" s="16">
        <v>46027</v>
      </c>
      <c r="I727" s="115">
        <v>45988</v>
      </c>
      <c r="J727" s="115">
        <v>45989</v>
      </c>
      <c r="K727" s="115">
        <v>45988</v>
      </c>
      <c r="L727" s="115"/>
      <c r="M727" s="115">
        <v>46036</v>
      </c>
      <c r="N727" s="115" t="s">
        <v>4203</v>
      </c>
      <c r="O727" s="115"/>
      <c r="P727" s="115">
        <v>46038</v>
      </c>
      <c r="Q727" s="115">
        <v>46038</v>
      </c>
      <c r="R727" s="115"/>
      <c r="S727" s="115"/>
      <c r="T727" s="7" t="s">
        <v>25</v>
      </c>
      <c r="U727" s="2" t="s">
        <v>4204</v>
      </c>
      <c r="V727" s="16">
        <v>46039</v>
      </c>
      <c r="W727" s="16">
        <v>46040</v>
      </c>
      <c r="X727" s="4"/>
      <c r="Y727" s="100"/>
      <c r="Z727" s="30" t="s">
        <v>103</v>
      </c>
      <c r="AA727" s="8">
        <v>46124</v>
      </c>
      <c r="AB727" s="10"/>
      <c r="AC727" s="22">
        <v>413.25</v>
      </c>
      <c r="AD727" s="21"/>
      <c r="AE727" s="21"/>
      <c r="AF727" s="21"/>
      <c r="AG727" s="45"/>
      <c r="AH727" s="116">
        <v>413.25</v>
      </c>
    </row>
    <row r="728" spans="1:34" s="9" customFormat="1" ht="122.25" customHeight="1">
      <c r="A728" s="9">
        <f t="shared" ca="1" si="26"/>
        <v>140</v>
      </c>
      <c r="B728" s="31">
        <v>45988</v>
      </c>
      <c r="C728" s="11" t="s">
        <v>24</v>
      </c>
      <c r="D728" s="2" t="s">
        <v>3822</v>
      </c>
      <c r="E728" s="11" t="s">
        <v>3823</v>
      </c>
      <c r="F728" s="30" t="s">
        <v>2169</v>
      </c>
      <c r="G728" s="30" t="s">
        <v>4025</v>
      </c>
      <c r="H728" s="16">
        <v>46054</v>
      </c>
      <c r="I728" s="115">
        <v>45988</v>
      </c>
      <c r="J728" s="115">
        <v>45989</v>
      </c>
      <c r="K728" s="115">
        <v>45988</v>
      </c>
      <c r="L728" s="115"/>
      <c r="M728" s="115">
        <v>46036</v>
      </c>
      <c r="N728" s="115" t="s">
        <v>4326</v>
      </c>
      <c r="O728" s="115"/>
      <c r="P728" s="115"/>
      <c r="Q728" s="115">
        <v>46064</v>
      </c>
      <c r="R728" s="115"/>
      <c r="S728" s="115"/>
      <c r="T728" s="7" t="s">
        <v>25</v>
      </c>
      <c r="U728" s="2" t="s">
        <v>70</v>
      </c>
      <c r="V728" s="16">
        <v>46063</v>
      </c>
      <c r="W728" s="16">
        <v>46065</v>
      </c>
      <c r="X728" s="4"/>
      <c r="Y728" s="100"/>
      <c r="Z728" s="30" t="s">
        <v>103</v>
      </c>
      <c r="AA728" s="8">
        <v>46128</v>
      </c>
      <c r="AB728" s="10"/>
      <c r="AC728" s="22">
        <v>3972.96</v>
      </c>
      <c r="AD728" s="21"/>
      <c r="AE728" s="21"/>
      <c r="AF728" s="21"/>
      <c r="AG728" s="45"/>
      <c r="AH728" s="116">
        <v>3972.96</v>
      </c>
    </row>
    <row r="729" spans="1:34" s="9" customFormat="1" ht="122.25" customHeight="1">
      <c r="A729" s="9">
        <f t="shared" ca="1" si="26"/>
        <v>140</v>
      </c>
      <c r="B729" s="31">
        <v>45939</v>
      </c>
      <c r="C729" s="11" t="s">
        <v>27</v>
      </c>
      <c r="D729" s="2" t="s">
        <v>3353</v>
      </c>
      <c r="E729" s="11" t="s">
        <v>3354</v>
      </c>
      <c r="F729" s="30" t="s">
        <v>1933</v>
      </c>
      <c r="G729" s="30" t="s">
        <v>3356</v>
      </c>
      <c r="H729" s="16">
        <v>46054</v>
      </c>
      <c r="I729" s="115"/>
      <c r="J729" s="115">
        <v>45945</v>
      </c>
      <c r="K729" s="115"/>
      <c r="L729" s="115" t="s">
        <v>4187</v>
      </c>
      <c r="M729" s="115"/>
      <c r="N729" s="115"/>
      <c r="O729" s="115"/>
      <c r="P729" s="115">
        <v>46076</v>
      </c>
      <c r="Q729" s="115"/>
      <c r="R729" s="115"/>
      <c r="S729" s="115"/>
      <c r="T729" s="7" t="s">
        <v>22</v>
      </c>
      <c r="U729" s="202" t="s">
        <v>4470</v>
      </c>
      <c r="V729" s="16">
        <v>46063</v>
      </c>
      <c r="W729" s="16">
        <v>46075</v>
      </c>
      <c r="X729" s="4"/>
      <c r="Y729" s="100"/>
      <c r="Z729" s="30" t="s">
        <v>3352</v>
      </c>
      <c r="AA729" s="8">
        <v>46124</v>
      </c>
      <c r="AB729" s="10"/>
      <c r="AC729" s="10"/>
      <c r="AD729" s="21"/>
      <c r="AE729" s="29">
        <v>1987930.84</v>
      </c>
      <c r="AF729" s="21"/>
      <c r="AG729" s="45"/>
      <c r="AH729" s="116">
        <v>1987930.84</v>
      </c>
    </row>
    <row r="730" spans="1:34" s="9" customFormat="1" ht="122.25" customHeight="1">
      <c r="A730" s="9">
        <f t="shared" ca="1" si="26"/>
        <v>103</v>
      </c>
      <c r="B730" s="31">
        <v>46009</v>
      </c>
      <c r="C730" s="11" t="s">
        <v>24</v>
      </c>
      <c r="D730" s="2" t="s">
        <v>4008</v>
      </c>
      <c r="E730" s="11" t="s">
        <v>4009</v>
      </c>
      <c r="F730" s="30" t="s">
        <v>295</v>
      </c>
      <c r="G730" s="30" t="s">
        <v>4082</v>
      </c>
      <c r="H730" s="16">
        <v>46091</v>
      </c>
      <c r="I730" s="115">
        <v>46010</v>
      </c>
      <c r="J730" s="115">
        <v>46010</v>
      </c>
      <c r="K730" s="115">
        <v>46014</v>
      </c>
      <c r="L730" s="115"/>
      <c r="M730" s="115"/>
      <c r="N730" s="115"/>
      <c r="O730" s="115"/>
      <c r="P730" s="115">
        <v>46071</v>
      </c>
      <c r="Q730" s="115">
        <v>46071</v>
      </c>
      <c r="R730" s="115">
        <v>46097</v>
      </c>
      <c r="S730" s="115"/>
      <c r="T730" s="7" t="s">
        <v>22</v>
      </c>
      <c r="U730" s="11" t="s">
        <v>4097</v>
      </c>
      <c r="V730" s="16" t="s">
        <v>4519</v>
      </c>
      <c r="W730" s="16" t="s">
        <v>4706</v>
      </c>
      <c r="X730" s="4" t="s">
        <v>4602</v>
      </c>
      <c r="Y730" s="100"/>
      <c r="Z730" s="30" t="s">
        <v>29</v>
      </c>
      <c r="AA730" s="68">
        <v>46126</v>
      </c>
      <c r="AB730" s="23"/>
      <c r="AC730" s="22">
        <v>28567.06</v>
      </c>
      <c r="AD730" s="65"/>
      <c r="AE730" s="65"/>
      <c r="AF730" s="65"/>
      <c r="AG730" s="279"/>
      <c r="AH730" s="118"/>
    </row>
    <row r="731" spans="1:34" s="9" customFormat="1" ht="122.25" customHeight="1">
      <c r="A731" s="9">
        <f t="shared" ca="1" si="26"/>
        <v>58</v>
      </c>
      <c r="B731" s="31">
        <v>46049</v>
      </c>
      <c r="C731" s="11" t="s">
        <v>27</v>
      </c>
      <c r="D731" s="2" t="s">
        <v>4291</v>
      </c>
      <c r="E731" s="11" t="s">
        <v>4292</v>
      </c>
      <c r="F731" s="30" t="s">
        <v>2663</v>
      </c>
      <c r="G731" s="30" t="s">
        <v>4293</v>
      </c>
      <c r="H731" s="16">
        <v>46136</v>
      </c>
      <c r="I731" s="115">
        <v>46049</v>
      </c>
      <c r="J731" s="115">
        <v>46051</v>
      </c>
      <c r="K731" s="115">
        <v>46051</v>
      </c>
      <c r="L731" s="115"/>
      <c r="M731" s="115"/>
      <c r="N731" s="115" t="s">
        <v>4511</v>
      </c>
      <c r="O731" s="115"/>
      <c r="P731" s="115">
        <v>46077</v>
      </c>
      <c r="Q731" s="115"/>
      <c r="R731" s="115"/>
      <c r="S731" s="115">
        <v>46128</v>
      </c>
      <c r="T731" s="7" t="s">
        <v>20</v>
      </c>
      <c r="U731" s="16" t="s">
        <v>4497</v>
      </c>
      <c r="V731" s="16">
        <v>46086</v>
      </c>
      <c r="W731" s="16">
        <v>46120</v>
      </c>
      <c r="X731" s="4" t="s">
        <v>4767</v>
      </c>
      <c r="Y731" s="100"/>
      <c r="Z731" s="30" t="s">
        <v>4294</v>
      </c>
      <c r="AA731" s="8">
        <v>46127</v>
      </c>
      <c r="AB731" s="10"/>
      <c r="AC731" s="22">
        <v>2192.4</v>
      </c>
      <c r="AD731" s="21"/>
      <c r="AE731" s="21"/>
      <c r="AF731" s="21"/>
      <c r="AG731" s="45"/>
      <c r="AH731" s="116">
        <v>2192.4</v>
      </c>
    </row>
    <row r="732" spans="1:34" s="9" customFormat="1" ht="122.25" customHeight="1">
      <c r="A732" s="150">
        <f t="shared" ca="1" si="26"/>
        <v>172</v>
      </c>
      <c r="B732" s="31">
        <v>45993</v>
      </c>
      <c r="C732" s="11" t="s">
        <v>24</v>
      </c>
      <c r="D732" s="2" t="s">
        <v>3861</v>
      </c>
      <c r="E732" s="11" t="s">
        <v>3862</v>
      </c>
      <c r="F732" s="30" t="s">
        <v>36</v>
      </c>
      <c r="G732" s="30" t="s">
        <v>3864</v>
      </c>
      <c r="H732" s="16">
        <v>46022</v>
      </c>
      <c r="I732" s="115">
        <v>45993</v>
      </c>
      <c r="J732" s="115">
        <v>45994</v>
      </c>
      <c r="K732" s="115">
        <v>45993</v>
      </c>
      <c r="L732" s="115"/>
      <c r="M732" s="115"/>
      <c r="N732" s="115"/>
      <c r="O732" s="115"/>
      <c r="P732" s="115"/>
      <c r="Q732" s="115"/>
      <c r="R732" s="115"/>
      <c r="S732" s="115"/>
      <c r="T732" s="7" t="s">
        <v>30</v>
      </c>
      <c r="U732" s="11" t="s">
        <v>3968</v>
      </c>
      <c r="V732" s="16">
        <v>46019</v>
      </c>
      <c r="W732" s="16">
        <v>46027</v>
      </c>
      <c r="X732" s="4" t="s">
        <v>4099</v>
      </c>
      <c r="Y732" s="100"/>
      <c r="Z732" s="30" t="s">
        <v>3863</v>
      </c>
      <c r="AA732" s="8">
        <v>46078</v>
      </c>
      <c r="AB732" s="22">
        <v>766582.53</v>
      </c>
      <c r="AC732" s="10"/>
      <c r="AD732" s="21"/>
      <c r="AE732" s="21"/>
      <c r="AF732" s="21"/>
      <c r="AG732" s="45"/>
      <c r="AH732" s="116">
        <v>766582.53</v>
      </c>
    </row>
    <row r="733" spans="1:34" s="9" customFormat="1" ht="122.25" customHeight="1">
      <c r="A733" s="9">
        <f t="shared" ca="1" si="26"/>
        <v>72</v>
      </c>
      <c r="B733" s="31">
        <v>46059</v>
      </c>
      <c r="C733" s="11" t="s">
        <v>24</v>
      </c>
      <c r="D733" s="2" t="s">
        <v>4394</v>
      </c>
      <c r="E733" s="11" t="s">
        <v>4395</v>
      </c>
      <c r="F733" s="30" t="s">
        <v>3998</v>
      </c>
      <c r="G733" s="30" t="s">
        <v>4396</v>
      </c>
      <c r="H733" s="16">
        <v>46122</v>
      </c>
      <c r="I733" s="115">
        <v>46063</v>
      </c>
      <c r="J733" s="115">
        <v>46063</v>
      </c>
      <c r="K733" s="115">
        <v>46063</v>
      </c>
      <c r="L733" s="115"/>
      <c r="M733" s="115"/>
      <c r="N733" s="115"/>
      <c r="O733" s="115"/>
      <c r="P733" s="115">
        <v>46107</v>
      </c>
      <c r="Q733" s="115">
        <v>46107</v>
      </c>
      <c r="R733" s="115"/>
      <c r="S733" s="115"/>
      <c r="T733" s="7" t="s">
        <v>22</v>
      </c>
      <c r="U733" s="2" t="s">
        <v>4709</v>
      </c>
      <c r="V733" s="16">
        <v>46098</v>
      </c>
      <c r="W733" s="16">
        <v>46127</v>
      </c>
      <c r="X733" s="4" t="s">
        <v>4775</v>
      </c>
      <c r="Y733" s="100"/>
      <c r="Z733" s="30" t="s">
        <v>1469</v>
      </c>
      <c r="AA733" s="8">
        <v>46127</v>
      </c>
      <c r="AB733" s="10"/>
      <c r="AC733" s="22">
        <v>28188</v>
      </c>
      <c r="AD733" s="10"/>
      <c r="AE733" s="10"/>
      <c r="AF733" s="10"/>
      <c r="AG733" s="10"/>
      <c r="AH733" s="10">
        <v>28188</v>
      </c>
    </row>
    <row r="734" spans="1:34" s="9" customFormat="1" ht="122.25" customHeight="1">
      <c r="A734" s="9">
        <f t="shared" ca="1" si="26"/>
        <v>67</v>
      </c>
      <c r="B734" s="31">
        <v>46041</v>
      </c>
      <c r="C734" s="11" t="s">
        <v>24</v>
      </c>
      <c r="D734" s="2" t="s">
        <v>4255</v>
      </c>
      <c r="E734" s="11" t="s">
        <v>4256</v>
      </c>
      <c r="F734" s="30" t="s">
        <v>4258</v>
      </c>
      <c r="G734" s="30" t="s">
        <v>4257</v>
      </c>
      <c r="H734" s="16">
        <v>46127</v>
      </c>
      <c r="I734" s="115">
        <v>46041</v>
      </c>
      <c r="J734" s="115">
        <v>46041</v>
      </c>
      <c r="K734" s="115">
        <v>46041</v>
      </c>
      <c r="L734" s="115"/>
      <c r="M734" s="115">
        <v>46088</v>
      </c>
      <c r="N734" s="115"/>
      <c r="O734" s="115" t="s">
        <v>4906</v>
      </c>
      <c r="P734" s="115">
        <v>46099</v>
      </c>
      <c r="Q734" s="115">
        <v>46099</v>
      </c>
      <c r="R734" s="115"/>
      <c r="S734" s="115"/>
      <c r="T734" s="7" t="s">
        <v>28</v>
      </c>
      <c r="U734" s="367" t="s">
        <v>4986</v>
      </c>
      <c r="V734" s="16" t="s">
        <v>4667</v>
      </c>
      <c r="W734" s="16" t="s">
        <v>4987</v>
      </c>
      <c r="X734" s="4" t="s">
        <v>4716</v>
      </c>
      <c r="Y734" s="100"/>
      <c r="Z734" s="30" t="s">
        <v>4543</v>
      </c>
      <c r="AA734" s="8">
        <v>46129</v>
      </c>
      <c r="AB734" s="22">
        <v>22127.74</v>
      </c>
      <c r="AC734" s="10"/>
      <c r="AD734" s="21"/>
      <c r="AE734" s="21"/>
      <c r="AF734" s="21"/>
      <c r="AG734" s="45"/>
      <c r="AH734" s="116">
        <v>22127.74</v>
      </c>
    </row>
    <row r="735" spans="1:34" s="9" customFormat="1" ht="122.25" customHeight="1">
      <c r="A735" s="9">
        <f t="shared" ca="1" si="26"/>
        <v>140</v>
      </c>
      <c r="B735" s="31">
        <v>45945</v>
      </c>
      <c r="C735" s="11" t="s">
        <v>24</v>
      </c>
      <c r="D735" s="2" t="s">
        <v>3381</v>
      </c>
      <c r="E735" s="11" t="s">
        <v>3382</v>
      </c>
      <c r="F735" s="30" t="s">
        <v>36</v>
      </c>
      <c r="G735" s="30" t="s">
        <v>4717</v>
      </c>
      <c r="H735" s="16">
        <v>46054</v>
      </c>
      <c r="I735" s="115">
        <v>45946</v>
      </c>
      <c r="J735" s="115">
        <v>45946</v>
      </c>
      <c r="K735" s="115">
        <v>45946</v>
      </c>
      <c r="L735" s="115"/>
      <c r="M735" s="115"/>
      <c r="N735" s="115"/>
      <c r="O735" s="115"/>
      <c r="P735" s="115" t="s">
        <v>4779</v>
      </c>
      <c r="Q735" s="115" t="s">
        <v>4776</v>
      </c>
      <c r="R735" s="115"/>
      <c r="S735" s="115"/>
      <c r="T735" s="7" t="s">
        <v>30</v>
      </c>
      <c r="U735" s="16" t="s">
        <v>4549</v>
      </c>
      <c r="V735" s="16" t="s">
        <v>4778</v>
      </c>
      <c r="W735" s="16">
        <v>46116</v>
      </c>
      <c r="X735" s="4" t="s">
        <v>5027</v>
      </c>
      <c r="Y735" s="100"/>
      <c r="Z735" s="30" t="s">
        <v>113</v>
      </c>
      <c r="AA735" s="8">
        <v>46145</v>
      </c>
      <c r="AB735" s="22">
        <f>AH735</f>
        <v>1312104.73</v>
      </c>
      <c r="AC735" s="10"/>
      <c r="AD735" s="21"/>
      <c r="AE735" s="21"/>
      <c r="AF735" s="21"/>
      <c r="AG735" s="45"/>
      <c r="AH735" s="116">
        <f>451822.53+860282.2</f>
        <v>1312104.73</v>
      </c>
    </row>
    <row r="736" spans="1:34" s="9" customFormat="1" ht="75">
      <c r="A736" s="9">
        <f t="shared" ca="1" si="26"/>
        <v>477</v>
      </c>
      <c r="B736" s="31">
        <v>45988</v>
      </c>
      <c r="C736" s="11" t="s">
        <v>24</v>
      </c>
      <c r="D736" s="2" t="s">
        <v>3827</v>
      </c>
      <c r="E736" s="11" t="s">
        <v>3826</v>
      </c>
      <c r="F736" s="30" t="s">
        <v>36</v>
      </c>
      <c r="G736" s="30" t="s">
        <v>4781</v>
      </c>
      <c r="H736" s="16">
        <v>45717</v>
      </c>
      <c r="I736" s="115">
        <v>45988</v>
      </c>
      <c r="J736" s="115">
        <v>45989</v>
      </c>
      <c r="K736" s="115">
        <v>45988</v>
      </c>
      <c r="L736" s="115"/>
      <c r="M736" s="115"/>
      <c r="N736" s="115"/>
      <c r="O736" s="115"/>
      <c r="P736" s="115" t="s">
        <v>4779</v>
      </c>
      <c r="Q736" s="115" t="s">
        <v>4776</v>
      </c>
      <c r="R736" s="115"/>
      <c r="S736" s="115"/>
      <c r="T736" s="7" t="s">
        <v>30</v>
      </c>
      <c r="U736" s="11" t="s">
        <v>4549</v>
      </c>
      <c r="V736" s="16" t="s">
        <v>4778</v>
      </c>
      <c r="W736" s="16">
        <v>46116</v>
      </c>
      <c r="X736" s="4" t="s">
        <v>5027</v>
      </c>
      <c r="Y736" s="100"/>
      <c r="Z736" s="30" t="s">
        <v>113</v>
      </c>
      <c r="AA736" s="8">
        <v>46145</v>
      </c>
      <c r="AB736" s="22">
        <v>633000</v>
      </c>
      <c r="AC736" s="10"/>
      <c r="AD736" s="21"/>
      <c r="AE736" s="21"/>
      <c r="AF736" s="21"/>
      <c r="AG736" s="45"/>
      <c r="AH736" s="116">
        <f>AB736</f>
        <v>633000</v>
      </c>
    </row>
    <row r="737" spans="1:34" s="9" customFormat="1" ht="122.25" customHeight="1">
      <c r="A737" s="9">
        <f t="shared" ca="1" si="26"/>
        <v>81</v>
      </c>
      <c r="B737" s="31">
        <v>46009</v>
      </c>
      <c r="C737" s="11" t="s">
        <v>24</v>
      </c>
      <c r="D737" s="2" t="s">
        <v>4017</v>
      </c>
      <c r="E737" s="11" t="s">
        <v>4016</v>
      </c>
      <c r="F737" s="30" t="s">
        <v>36</v>
      </c>
      <c r="G737" s="30" t="s">
        <v>4991</v>
      </c>
      <c r="H737" s="16">
        <v>46113</v>
      </c>
      <c r="I737" s="115">
        <v>46010</v>
      </c>
      <c r="J737" s="115">
        <v>46010</v>
      </c>
      <c r="K737" s="115">
        <v>46010</v>
      </c>
      <c r="L737" s="369"/>
      <c r="M737" s="115"/>
      <c r="N737" s="115"/>
      <c r="O737" s="115"/>
      <c r="P737" s="115" t="s">
        <v>4779</v>
      </c>
      <c r="Q737" s="115" t="s">
        <v>4776</v>
      </c>
      <c r="R737" s="115"/>
      <c r="S737" s="115"/>
      <c r="T737" s="7" t="s">
        <v>30</v>
      </c>
      <c r="U737" s="11" t="s">
        <v>4549</v>
      </c>
      <c r="V737" s="16" t="s">
        <v>4778</v>
      </c>
      <c r="W737" s="16">
        <v>46116</v>
      </c>
      <c r="X737" s="4" t="s">
        <v>5027</v>
      </c>
      <c r="Y737" s="100"/>
      <c r="Z737" s="30" t="s">
        <v>113</v>
      </c>
      <c r="AA737" s="8">
        <v>46145</v>
      </c>
      <c r="AB737" s="22">
        <v>623260</v>
      </c>
      <c r="AC737" s="23"/>
      <c r="AD737" s="21"/>
      <c r="AE737" s="21"/>
      <c r="AF737" s="21"/>
      <c r="AG737" s="45"/>
      <c r="AH737" s="116">
        <f>AB737</f>
        <v>623260</v>
      </c>
    </row>
    <row r="738" spans="1:34" s="9" customFormat="1" ht="122.25" customHeight="1">
      <c r="A738" s="9">
        <f t="shared" ca="1" si="26"/>
        <v>140</v>
      </c>
      <c r="B738" s="31">
        <v>45959</v>
      </c>
      <c r="C738" s="11" t="s">
        <v>24</v>
      </c>
      <c r="D738" s="2" t="s">
        <v>3657</v>
      </c>
      <c r="E738" s="11" t="s">
        <v>3658</v>
      </c>
      <c r="F738" s="30" t="s">
        <v>3659</v>
      </c>
      <c r="G738" s="30" t="s">
        <v>4250</v>
      </c>
      <c r="H738" s="16">
        <v>46054</v>
      </c>
      <c r="I738" s="115">
        <v>45959</v>
      </c>
      <c r="J738" s="115">
        <v>45964</v>
      </c>
      <c r="K738" s="115">
        <v>45965</v>
      </c>
      <c r="L738" s="115"/>
      <c r="M738" s="115">
        <v>46010</v>
      </c>
      <c r="N738" s="115"/>
      <c r="O738" s="115"/>
      <c r="P738" s="115">
        <v>46030</v>
      </c>
      <c r="Q738" s="115">
        <v>46013</v>
      </c>
      <c r="R738" s="115" t="s">
        <v>4288</v>
      </c>
      <c r="S738" s="115"/>
      <c r="T738" s="7" t="s">
        <v>30</v>
      </c>
      <c r="U738" s="2" t="s">
        <v>4135</v>
      </c>
      <c r="V738" s="16" t="s">
        <v>4136</v>
      </c>
      <c r="W738" s="16" t="s">
        <v>4432</v>
      </c>
      <c r="X738" s="4" t="s">
        <v>4285</v>
      </c>
      <c r="Y738" s="100"/>
      <c r="Z738" s="30" t="s">
        <v>103</v>
      </c>
      <c r="AA738" s="8">
        <v>46106</v>
      </c>
      <c r="AB738" s="10"/>
      <c r="AC738" s="22">
        <v>6770.78</v>
      </c>
      <c r="AD738" s="21"/>
      <c r="AE738" s="21"/>
      <c r="AF738" s="21"/>
      <c r="AG738" s="45"/>
      <c r="AH738" s="116">
        <v>6770.78</v>
      </c>
    </row>
    <row r="739" spans="1:34" s="9" customFormat="1" ht="262.5">
      <c r="A739" s="9">
        <f t="shared" ca="1" si="26"/>
        <v>97</v>
      </c>
      <c r="B739" s="31">
        <v>46056</v>
      </c>
      <c r="C739" s="11" t="s">
        <v>27</v>
      </c>
      <c r="D739" s="2" t="s">
        <v>4372</v>
      </c>
      <c r="E739" s="11" t="s">
        <v>4373</v>
      </c>
      <c r="F739" s="30" t="s">
        <v>4374</v>
      </c>
      <c r="G739" s="30" t="s">
        <v>4375</v>
      </c>
      <c r="H739" s="16">
        <v>46097</v>
      </c>
      <c r="I739" s="115"/>
      <c r="J739" s="115"/>
      <c r="K739" s="115"/>
      <c r="L739" s="115"/>
      <c r="M739" s="115" t="s">
        <v>4916</v>
      </c>
      <c r="N739" s="115" t="s">
        <v>4948</v>
      </c>
      <c r="O739" s="115"/>
      <c r="P739" s="115" t="s">
        <v>4269</v>
      </c>
      <c r="Q739" s="115"/>
      <c r="R739" s="115"/>
      <c r="S739" s="115">
        <v>46127</v>
      </c>
      <c r="T739" s="7" t="s">
        <v>20</v>
      </c>
      <c r="U739" s="16" t="s">
        <v>4959</v>
      </c>
      <c r="V739" s="16" t="s">
        <v>4960</v>
      </c>
      <c r="W739" s="16" t="s">
        <v>4958</v>
      </c>
      <c r="X739" s="4" t="s">
        <v>4917</v>
      </c>
      <c r="Y739" s="100"/>
      <c r="Z739" s="30" t="s">
        <v>4304</v>
      </c>
      <c r="AA739" s="8">
        <v>46114</v>
      </c>
      <c r="AB739" s="10"/>
      <c r="AC739" s="22">
        <v>1388</v>
      </c>
      <c r="AD739" s="10"/>
      <c r="AE739" s="10"/>
      <c r="AF739" s="10"/>
      <c r="AG739" s="10"/>
      <c r="AH739" s="10">
        <v>1388</v>
      </c>
    </row>
    <row r="740" spans="1:34" s="9" customFormat="1" ht="75">
      <c r="A740" s="62">
        <f t="shared" ca="1" si="26"/>
        <v>22</v>
      </c>
      <c r="B740" s="31">
        <v>46078</v>
      </c>
      <c r="C740" s="11" t="s">
        <v>27</v>
      </c>
      <c r="D740" s="2" t="s">
        <v>4729</v>
      </c>
      <c r="E740" s="11" t="s">
        <v>4730</v>
      </c>
      <c r="F740" s="30" t="s">
        <v>4731</v>
      </c>
      <c r="G740" s="30" t="s">
        <v>4732</v>
      </c>
      <c r="H740" s="16">
        <v>46172</v>
      </c>
      <c r="I740" s="115">
        <v>46099</v>
      </c>
      <c r="J740" s="115">
        <v>46101</v>
      </c>
      <c r="K740" s="115">
        <v>46104</v>
      </c>
      <c r="L740" s="115"/>
      <c r="M740" s="16"/>
      <c r="N740" s="16"/>
      <c r="O740" s="16"/>
      <c r="P740" s="16"/>
      <c r="Q740" s="16" t="s">
        <v>860</v>
      </c>
      <c r="R740" s="16"/>
      <c r="S740" s="16"/>
      <c r="T740" s="7" t="s">
        <v>22</v>
      </c>
      <c r="U740" s="202"/>
      <c r="V740" s="16"/>
      <c r="W740" s="16"/>
      <c r="X740" s="4" t="s">
        <v>5111</v>
      </c>
      <c r="Y740" s="100"/>
      <c r="Z740" s="30" t="s">
        <v>1469</v>
      </c>
      <c r="AA740" s="8">
        <v>46166</v>
      </c>
      <c r="AB740" s="10"/>
      <c r="AC740" s="10"/>
      <c r="AD740" s="10"/>
      <c r="AE740" s="10">
        <v>21665.5</v>
      </c>
      <c r="AF740" s="10"/>
      <c r="AG740" s="10"/>
      <c r="AH740" s="10"/>
    </row>
    <row r="741" spans="1:34" s="9" customFormat="1" ht="102.75" customHeight="1">
      <c r="A741" s="9">
        <f t="shared" ca="1" si="26"/>
        <v>57</v>
      </c>
      <c r="B741" s="31">
        <v>46049</v>
      </c>
      <c r="C741" s="11" t="s">
        <v>27</v>
      </c>
      <c r="D741" s="2" t="s">
        <v>4295</v>
      </c>
      <c r="E741" s="11" t="s">
        <v>4296</v>
      </c>
      <c r="F741" s="30" t="s">
        <v>4297</v>
      </c>
      <c r="G741" s="30" t="s">
        <v>4321</v>
      </c>
      <c r="H741" s="16">
        <v>46137</v>
      </c>
      <c r="I741" s="115">
        <v>46050</v>
      </c>
      <c r="J741" s="115">
        <v>46051</v>
      </c>
      <c r="K741" s="115">
        <v>46051</v>
      </c>
      <c r="L741" s="115"/>
      <c r="M741" s="115">
        <v>45705</v>
      </c>
      <c r="N741" s="115" t="s">
        <v>4638</v>
      </c>
      <c r="O741" s="115"/>
      <c r="P741" s="115">
        <v>46090</v>
      </c>
      <c r="Q741" s="115"/>
      <c r="R741" s="115"/>
      <c r="S741" s="115"/>
      <c r="T741" s="7" t="s">
        <v>20</v>
      </c>
      <c r="U741" s="16" t="s">
        <v>4711</v>
      </c>
      <c r="V741" s="16">
        <v>46095</v>
      </c>
      <c r="W741" s="16">
        <v>46126</v>
      </c>
      <c r="X741" s="4" t="s">
        <v>4768</v>
      </c>
      <c r="Y741" s="100"/>
      <c r="Z741" s="30" t="s">
        <v>55</v>
      </c>
      <c r="AA741" s="8">
        <v>46113</v>
      </c>
      <c r="AB741" s="10"/>
      <c r="AC741" s="22">
        <v>4076</v>
      </c>
      <c r="AD741" s="21"/>
      <c r="AE741" s="21"/>
      <c r="AF741" s="21"/>
      <c r="AG741" s="45"/>
      <c r="AH741" s="116">
        <v>4076</v>
      </c>
    </row>
    <row r="742" spans="1:34" s="9" customFormat="1" ht="122.25" customHeight="1">
      <c r="A742" s="9">
        <f t="shared" ca="1" si="26"/>
        <v>112</v>
      </c>
      <c r="B742" s="31">
        <v>46028</v>
      </c>
      <c r="C742" s="11" t="s">
        <v>694</v>
      </c>
      <c r="D742" s="2" t="s">
        <v>4120</v>
      </c>
      <c r="E742" s="11" t="s">
        <v>4121</v>
      </c>
      <c r="F742" s="30" t="s">
        <v>87</v>
      </c>
      <c r="G742" s="30" t="s">
        <v>4512</v>
      </c>
      <c r="H742" s="16">
        <v>46082</v>
      </c>
      <c r="I742" s="115">
        <v>46029</v>
      </c>
      <c r="J742" s="115">
        <v>46029</v>
      </c>
      <c r="K742" s="115">
        <v>46030</v>
      </c>
      <c r="L742" s="115"/>
      <c r="M742" s="115">
        <v>46062</v>
      </c>
      <c r="N742" s="115"/>
      <c r="O742" s="115"/>
      <c r="P742" s="115">
        <v>46071</v>
      </c>
      <c r="Q742" s="115">
        <v>46085</v>
      </c>
      <c r="R742" s="115"/>
      <c r="S742" s="115">
        <v>46134</v>
      </c>
      <c r="T742" s="7" t="s">
        <v>20</v>
      </c>
      <c r="U742" s="2" t="s">
        <v>4462</v>
      </c>
      <c r="V742" s="31" t="s">
        <v>4463</v>
      </c>
      <c r="W742" s="31">
        <v>46113</v>
      </c>
      <c r="X742" s="4" t="s">
        <v>4816</v>
      </c>
      <c r="Y742" s="100"/>
      <c r="Z742" s="30" t="s">
        <v>4122</v>
      </c>
      <c r="AA742" s="8">
        <v>46123</v>
      </c>
      <c r="AB742" s="10"/>
      <c r="AC742" s="22">
        <v>38882.699999999997</v>
      </c>
      <c r="AD742" s="21"/>
      <c r="AE742" s="21"/>
      <c r="AF742" s="21"/>
      <c r="AG742" s="45"/>
      <c r="AH742" s="116">
        <v>38882.699999999997</v>
      </c>
    </row>
    <row r="743" spans="1:34" s="9" customFormat="1" ht="122.25" customHeight="1">
      <c r="A743" s="9">
        <f t="shared" ca="1" si="26"/>
        <v>51</v>
      </c>
      <c r="B743" s="31">
        <v>46058</v>
      </c>
      <c r="C743" s="11" t="s">
        <v>694</v>
      </c>
      <c r="D743" s="2" t="s">
        <v>4351</v>
      </c>
      <c r="E743" s="11" t="s">
        <v>4352</v>
      </c>
      <c r="F743" s="30" t="s">
        <v>740</v>
      </c>
      <c r="G743" s="30" t="s">
        <v>3409</v>
      </c>
      <c r="H743" s="16">
        <v>46143</v>
      </c>
      <c r="I743" s="115">
        <v>46059</v>
      </c>
      <c r="J743" s="115">
        <v>46059</v>
      </c>
      <c r="K743" s="115">
        <v>46328</v>
      </c>
      <c r="L743" s="115"/>
      <c r="M743" s="115"/>
      <c r="N743" s="115"/>
      <c r="O743" s="115"/>
      <c r="P743" s="115"/>
      <c r="Q743" s="115">
        <v>46107</v>
      </c>
      <c r="R743" s="115" t="s">
        <v>5101</v>
      </c>
      <c r="S743" s="115">
        <v>46134</v>
      </c>
      <c r="T743" s="7" t="s">
        <v>22</v>
      </c>
      <c r="U743" s="16" t="s">
        <v>4763</v>
      </c>
      <c r="V743" s="16">
        <v>46104</v>
      </c>
      <c r="W743" s="16">
        <v>46126</v>
      </c>
      <c r="X743" s="4" t="s">
        <v>4813</v>
      </c>
      <c r="Y743" s="100"/>
      <c r="Z743" s="30" t="s">
        <v>742</v>
      </c>
      <c r="AA743" s="8">
        <v>46108</v>
      </c>
      <c r="AB743" s="22">
        <v>28177.88</v>
      </c>
      <c r="AC743" s="10"/>
      <c r="AD743" s="10"/>
      <c r="AE743" s="10"/>
      <c r="AF743" s="10"/>
      <c r="AG743" s="10"/>
      <c r="AH743" s="10">
        <v>28177.88</v>
      </c>
    </row>
    <row r="744" spans="1:34" s="9" customFormat="1" ht="122.25" customHeight="1">
      <c r="A744" s="9">
        <f t="shared" ca="1" si="26"/>
        <v>51</v>
      </c>
      <c r="B744" s="31">
        <v>46051</v>
      </c>
      <c r="C744" s="11" t="s">
        <v>694</v>
      </c>
      <c r="D744" s="2" t="s">
        <v>4298</v>
      </c>
      <c r="E744" s="11" t="s">
        <v>4299</v>
      </c>
      <c r="F744" s="30" t="s">
        <v>38</v>
      </c>
      <c r="G744" s="30" t="s">
        <v>4696</v>
      </c>
      <c r="H744" s="16">
        <v>46143</v>
      </c>
      <c r="I744" s="115">
        <v>46051</v>
      </c>
      <c r="J744" s="115">
        <v>46051</v>
      </c>
      <c r="K744" s="115">
        <v>46055</v>
      </c>
      <c r="L744" s="115"/>
      <c r="M744" s="115">
        <v>46084</v>
      </c>
      <c r="N744" s="115" t="s">
        <v>4628</v>
      </c>
      <c r="O744" s="115"/>
      <c r="P744" s="115">
        <v>46101</v>
      </c>
      <c r="Q744" s="115">
        <v>46104</v>
      </c>
      <c r="R744" s="115" t="s">
        <v>5073</v>
      </c>
      <c r="S744" s="115">
        <v>46140</v>
      </c>
      <c r="T744" s="7" t="s">
        <v>22</v>
      </c>
      <c r="U744" s="364" t="s">
        <v>4741</v>
      </c>
      <c r="V744" s="16">
        <v>46102</v>
      </c>
      <c r="W744" s="16">
        <v>46123</v>
      </c>
      <c r="X744" s="4" t="s">
        <v>4742</v>
      </c>
      <c r="Y744" s="100"/>
      <c r="Z744" s="30" t="s">
        <v>4913</v>
      </c>
      <c r="AA744" s="8"/>
      <c r="AB744" s="22">
        <v>30733.64</v>
      </c>
      <c r="AC744" s="10"/>
      <c r="AD744" s="10"/>
      <c r="AE744" s="10"/>
      <c r="AF744" s="10"/>
      <c r="AG744" s="10"/>
      <c r="AH744" s="10">
        <f>14817.32+15916.32</f>
        <v>30733.64</v>
      </c>
    </row>
    <row r="745" spans="1:34" s="9" customFormat="1" ht="150">
      <c r="A745" s="9">
        <f t="shared" ca="1" si="26"/>
        <v>103</v>
      </c>
      <c r="B745" s="31">
        <v>46009</v>
      </c>
      <c r="C745" s="11" t="s">
        <v>24</v>
      </c>
      <c r="D745" s="2" t="s">
        <v>4012</v>
      </c>
      <c r="E745" s="11" t="s">
        <v>4013</v>
      </c>
      <c r="F745" s="30" t="s">
        <v>98</v>
      </c>
      <c r="G745" s="30" t="s">
        <v>4077</v>
      </c>
      <c r="H745" s="16">
        <v>46091</v>
      </c>
      <c r="I745" s="115">
        <v>46010</v>
      </c>
      <c r="J745" s="115">
        <v>46010</v>
      </c>
      <c r="K745" s="115">
        <v>46013</v>
      </c>
      <c r="L745" s="115"/>
      <c r="M745" s="115"/>
      <c r="N745" s="115"/>
      <c r="O745" s="115"/>
      <c r="P745" s="115">
        <v>46094</v>
      </c>
      <c r="Q745" s="115">
        <v>46094</v>
      </c>
      <c r="R745" s="115"/>
      <c r="S745" s="115"/>
      <c r="T745" s="7" t="s">
        <v>22</v>
      </c>
      <c r="U745" s="2" t="s">
        <v>4771</v>
      </c>
      <c r="V745" s="16" t="s">
        <v>4518</v>
      </c>
      <c r="W745" s="16" t="s">
        <v>5104</v>
      </c>
      <c r="X745" s="4" t="s">
        <v>4631</v>
      </c>
      <c r="Y745" s="100"/>
      <c r="Z745" s="30" t="s">
        <v>54</v>
      </c>
      <c r="AA745" s="68">
        <v>46146</v>
      </c>
      <c r="AB745" s="22">
        <v>28317.599999999999</v>
      </c>
      <c r="AD745" s="65"/>
      <c r="AE745" s="65"/>
      <c r="AF745" s="65"/>
      <c r="AG745" s="279"/>
      <c r="AH745" s="118">
        <v>28317.599999999999</v>
      </c>
    </row>
    <row r="746" spans="1:34" s="9" customFormat="1" ht="122.25" customHeight="1">
      <c r="A746" s="62">
        <f t="shared" ca="1" si="26"/>
        <v>20</v>
      </c>
      <c r="B746" s="31">
        <v>46092</v>
      </c>
      <c r="C746" s="11" t="s">
        <v>27</v>
      </c>
      <c r="D746" s="2" t="s">
        <v>4670</v>
      </c>
      <c r="E746" s="11" t="s">
        <v>4671</v>
      </c>
      <c r="F746" s="30" t="s">
        <v>4672</v>
      </c>
      <c r="G746" s="30" t="s">
        <v>4673</v>
      </c>
      <c r="H746" s="16">
        <v>46174</v>
      </c>
      <c r="I746" s="115">
        <v>46097</v>
      </c>
      <c r="J746" s="115">
        <v>46097</v>
      </c>
      <c r="K746" s="115">
        <v>46097</v>
      </c>
      <c r="L746" s="368"/>
      <c r="M746" s="115"/>
      <c r="N746" s="115"/>
      <c r="O746" s="115"/>
      <c r="P746" s="115"/>
      <c r="Q746" s="115">
        <v>46147</v>
      </c>
      <c r="R746" s="115"/>
      <c r="S746" s="115">
        <v>46144</v>
      </c>
      <c r="T746" s="7" t="s">
        <v>20</v>
      </c>
      <c r="U746" s="16" t="s">
        <v>5192</v>
      </c>
      <c r="V746" s="16">
        <v>46136</v>
      </c>
      <c r="W746" s="16">
        <v>46138</v>
      </c>
      <c r="X746" s="4" t="s">
        <v>4918</v>
      </c>
      <c r="Y746" s="100"/>
      <c r="Z746" s="30" t="s">
        <v>4674</v>
      </c>
      <c r="AA746" s="8">
        <v>46099</v>
      </c>
      <c r="AB746" s="22">
        <v>750</v>
      </c>
      <c r="AC746" s="10"/>
      <c r="AD746" s="10"/>
      <c r="AE746" s="10"/>
      <c r="AF746" s="10"/>
      <c r="AG746" s="10"/>
      <c r="AH746" s="10">
        <v>750</v>
      </c>
    </row>
    <row r="747" spans="1:34" s="9" customFormat="1" ht="122.25" customHeight="1">
      <c r="A747" s="9">
        <f t="shared" ref="A747:A754" ca="1" si="27">TODAY()-H747+1</f>
        <v>140</v>
      </c>
      <c r="B747" s="31">
        <v>45947</v>
      </c>
      <c r="C747" s="11" t="s">
        <v>694</v>
      </c>
      <c r="D747" s="2" t="s">
        <v>3391</v>
      </c>
      <c r="E747" s="11" t="s">
        <v>3392</v>
      </c>
      <c r="F747" s="30" t="s">
        <v>105</v>
      </c>
      <c r="G747" s="30" t="s">
        <v>4598</v>
      </c>
      <c r="H747" s="16">
        <v>46054</v>
      </c>
      <c r="I747" s="115">
        <v>45951</v>
      </c>
      <c r="J747" s="115">
        <v>45951</v>
      </c>
      <c r="K747" s="115">
        <v>45952</v>
      </c>
      <c r="L747" s="115" t="s">
        <v>878</v>
      </c>
      <c r="M747" s="115"/>
      <c r="N747" s="115"/>
      <c r="O747" s="115"/>
      <c r="P747" s="115">
        <v>46085</v>
      </c>
      <c r="Q747" s="115">
        <v>46097</v>
      </c>
      <c r="R747" s="115">
        <v>46112</v>
      </c>
      <c r="S747" s="115">
        <v>46120</v>
      </c>
      <c r="T747" s="7" t="s">
        <v>22</v>
      </c>
      <c r="U747" s="16" t="s">
        <v>4595</v>
      </c>
      <c r="V747" s="16">
        <v>46083</v>
      </c>
      <c r="W747" s="16">
        <v>46109</v>
      </c>
      <c r="X747" s="4" t="s">
        <v>4688</v>
      </c>
      <c r="Y747" s="100"/>
      <c r="Z747" s="30" t="s">
        <v>89</v>
      </c>
      <c r="AA747" s="8">
        <v>46147</v>
      </c>
      <c r="AB747" s="22">
        <v>144663.70000000001</v>
      </c>
      <c r="AC747" s="10"/>
      <c r="AD747" s="21"/>
      <c r="AE747" s="21"/>
      <c r="AF747" s="21"/>
      <c r="AG747" s="45"/>
      <c r="AH747" s="116">
        <v>144663.70000000001</v>
      </c>
    </row>
    <row r="748" spans="1:34" s="9" customFormat="1" ht="122.25" customHeight="1">
      <c r="A748" s="9">
        <f t="shared" ca="1" si="27"/>
        <v>112</v>
      </c>
      <c r="B748" s="31">
        <v>45996</v>
      </c>
      <c r="C748" s="11" t="s">
        <v>694</v>
      </c>
      <c r="D748" s="2" t="s">
        <v>3925</v>
      </c>
      <c r="E748" s="11" t="s">
        <v>3926</v>
      </c>
      <c r="F748" s="30" t="s">
        <v>105</v>
      </c>
      <c r="G748" s="30" t="s">
        <v>4981</v>
      </c>
      <c r="H748" s="16">
        <v>46082</v>
      </c>
      <c r="I748" s="115">
        <v>46000</v>
      </c>
      <c r="J748" s="115">
        <v>46000</v>
      </c>
      <c r="K748" s="115">
        <v>46001</v>
      </c>
      <c r="L748" s="115" t="s">
        <v>925</v>
      </c>
      <c r="M748" s="115"/>
      <c r="N748" s="115"/>
      <c r="O748" s="115"/>
      <c r="P748" s="115">
        <v>46085</v>
      </c>
      <c r="Q748" s="115">
        <v>46097</v>
      </c>
      <c r="R748" s="115">
        <v>46112</v>
      </c>
      <c r="S748" s="115">
        <v>46238</v>
      </c>
      <c r="T748" s="7" t="s">
        <v>22</v>
      </c>
      <c r="U748" s="16" t="s">
        <v>4595</v>
      </c>
      <c r="V748" s="16">
        <v>46083</v>
      </c>
      <c r="W748" s="16">
        <v>46109</v>
      </c>
      <c r="X748" s="4" t="s">
        <v>4688</v>
      </c>
      <c r="Y748" s="100"/>
      <c r="Z748" s="30" t="s">
        <v>717</v>
      </c>
      <c r="AA748" s="8">
        <v>46147</v>
      </c>
      <c r="AB748" s="22">
        <v>54821.46</v>
      </c>
      <c r="AC748" s="10"/>
      <c r="AD748" s="21"/>
      <c r="AE748" s="21"/>
      <c r="AF748" s="21"/>
      <c r="AG748" s="45"/>
      <c r="AH748" s="116">
        <v>54821.46</v>
      </c>
    </row>
    <row r="749" spans="1:34" s="9" customFormat="1" ht="122.25" customHeight="1">
      <c r="A749" s="9">
        <f t="shared" ca="1" si="27"/>
        <v>81</v>
      </c>
      <c r="B749" s="31">
        <v>46059</v>
      </c>
      <c r="C749" s="11" t="s">
        <v>24</v>
      </c>
      <c r="D749" s="2" t="s">
        <v>4384</v>
      </c>
      <c r="E749" s="11" t="s">
        <v>4385</v>
      </c>
      <c r="F749" s="30" t="s">
        <v>97</v>
      </c>
      <c r="G749" s="30" t="s">
        <v>4386</v>
      </c>
      <c r="H749" s="16">
        <v>46113</v>
      </c>
      <c r="I749" s="115">
        <v>46062</v>
      </c>
      <c r="J749" s="115">
        <v>46062</v>
      </c>
      <c r="K749" s="115">
        <v>46062</v>
      </c>
      <c r="L749" s="115"/>
      <c r="M749" s="115">
        <v>46104</v>
      </c>
      <c r="N749" s="115" t="s">
        <v>4777</v>
      </c>
      <c r="O749" s="115"/>
      <c r="P749" s="115">
        <v>46121</v>
      </c>
      <c r="Q749" s="115">
        <v>46121</v>
      </c>
      <c r="R749" s="115"/>
      <c r="S749" s="115"/>
      <c r="T749" s="7" t="s">
        <v>25</v>
      </c>
      <c r="U749" s="16" t="s">
        <v>75</v>
      </c>
      <c r="V749" s="16">
        <v>46121</v>
      </c>
      <c r="W749" s="16">
        <v>46124</v>
      </c>
      <c r="X749" s="4"/>
      <c r="Y749" s="100"/>
      <c r="Z749" s="30" t="s">
        <v>4249</v>
      </c>
      <c r="AA749" s="8">
        <v>46143</v>
      </c>
      <c r="AB749" s="10"/>
      <c r="AC749" s="22">
        <v>4195</v>
      </c>
      <c r="AD749" s="10"/>
      <c r="AE749" s="10"/>
      <c r="AF749" s="10"/>
      <c r="AG749" s="10"/>
      <c r="AH749" s="10">
        <v>4195</v>
      </c>
    </row>
    <row r="750" spans="1:34" s="9" customFormat="1" ht="122.25" customHeight="1">
      <c r="A750" s="9">
        <f t="shared" ca="1" si="27"/>
        <v>167</v>
      </c>
      <c r="B750" s="31">
        <v>45932</v>
      </c>
      <c r="C750" s="2" t="s">
        <v>694</v>
      </c>
      <c r="D750" s="2" t="s">
        <v>3262</v>
      </c>
      <c r="E750" s="11" t="s">
        <v>3263</v>
      </c>
      <c r="F750" s="30" t="s">
        <v>105</v>
      </c>
      <c r="G750" s="30" t="s">
        <v>4597</v>
      </c>
      <c r="H750" s="16">
        <v>46027</v>
      </c>
      <c r="I750" s="115">
        <v>45933</v>
      </c>
      <c r="J750" s="115">
        <v>45936</v>
      </c>
      <c r="K750" s="115">
        <v>45934</v>
      </c>
      <c r="L750" s="115" t="s">
        <v>925</v>
      </c>
      <c r="M750" s="115"/>
      <c r="N750" s="115"/>
      <c r="O750" s="115"/>
      <c r="P750" s="115">
        <v>46085</v>
      </c>
      <c r="Q750" s="115">
        <v>46097</v>
      </c>
      <c r="R750" s="115">
        <v>46112</v>
      </c>
      <c r="S750" s="115">
        <v>46120</v>
      </c>
      <c r="T750" s="7" t="s">
        <v>22</v>
      </c>
      <c r="U750" s="16" t="s">
        <v>4595</v>
      </c>
      <c r="V750" s="16">
        <v>46083</v>
      </c>
      <c r="W750" s="16">
        <v>46109</v>
      </c>
      <c r="X750" s="4" t="s">
        <v>4688</v>
      </c>
      <c r="Y750" s="100"/>
      <c r="Z750" s="30" t="s">
        <v>89</v>
      </c>
      <c r="AA750" s="8">
        <v>46147</v>
      </c>
      <c r="AB750" s="22">
        <v>86820.32</v>
      </c>
      <c r="AC750" s="10"/>
      <c r="AD750" s="21"/>
      <c r="AE750" s="21"/>
      <c r="AF750" s="21"/>
      <c r="AG750" s="45"/>
      <c r="AH750" s="118">
        <v>86820.32</v>
      </c>
    </row>
    <row r="751" spans="1:34" s="9" customFormat="1" ht="122.25" customHeight="1">
      <c r="A751" s="9">
        <f t="shared" ca="1" si="27"/>
        <v>81</v>
      </c>
      <c r="B751" s="31">
        <v>46028</v>
      </c>
      <c r="C751" s="11" t="s">
        <v>694</v>
      </c>
      <c r="D751" s="2" t="s">
        <v>4118</v>
      </c>
      <c r="E751" s="11" t="s">
        <v>4119</v>
      </c>
      <c r="F751" s="30" t="s">
        <v>105</v>
      </c>
      <c r="G751" s="30" t="s">
        <v>4596</v>
      </c>
      <c r="H751" s="16">
        <v>46113</v>
      </c>
      <c r="I751" s="115">
        <v>46029</v>
      </c>
      <c r="J751" s="115">
        <v>46029</v>
      </c>
      <c r="K751" s="115">
        <v>46029</v>
      </c>
      <c r="L751" s="115" t="s">
        <v>2385</v>
      </c>
      <c r="M751" s="115"/>
      <c r="N751" s="115"/>
      <c r="O751" s="115"/>
      <c r="P751" s="115">
        <v>46085</v>
      </c>
      <c r="Q751" s="115">
        <v>46097</v>
      </c>
      <c r="R751" s="115">
        <v>46112</v>
      </c>
      <c r="S751" s="115">
        <v>46120</v>
      </c>
      <c r="T751" s="7" t="s">
        <v>22</v>
      </c>
      <c r="U751" s="16" t="s">
        <v>4595</v>
      </c>
      <c r="V751" s="16">
        <v>46083</v>
      </c>
      <c r="W751" s="16">
        <v>46109</v>
      </c>
      <c r="X751" s="4" t="s">
        <v>4688</v>
      </c>
      <c r="Y751" s="100"/>
      <c r="Z751" s="30" t="s">
        <v>717</v>
      </c>
      <c r="AA751" s="8">
        <v>46147</v>
      </c>
      <c r="AB751" s="22">
        <v>38941.550000000003</v>
      </c>
      <c r="AC751" s="10"/>
      <c r="AD751" s="21"/>
      <c r="AE751" s="21"/>
      <c r="AF751" s="21"/>
      <c r="AG751" s="45"/>
      <c r="AH751" s="116">
        <v>38941.550000000003</v>
      </c>
    </row>
    <row r="752" spans="1:34" s="9" customFormat="1" ht="122.25" customHeight="1">
      <c r="A752" s="9">
        <f t="shared" ca="1" si="27"/>
        <v>72</v>
      </c>
      <c r="B752" s="31">
        <v>46059</v>
      </c>
      <c r="C752" s="11" t="s">
        <v>24</v>
      </c>
      <c r="D752" s="2" t="s">
        <v>4392</v>
      </c>
      <c r="E752" s="11" t="s">
        <v>4393</v>
      </c>
      <c r="F752" s="30" t="s">
        <v>98</v>
      </c>
      <c r="G752" s="30" t="s">
        <v>4710</v>
      </c>
      <c r="H752" s="16">
        <v>46122</v>
      </c>
      <c r="I752" s="115">
        <v>46063</v>
      </c>
      <c r="J752" s="115">
        <v>46063</v>
      </c>
      <c r="K752" s="115">
        <v>46064</v>
      </c>
      <c r="L752" s="115"/>
      <c r="M752" s="115"/>
      <c r="N752" s="115"/>
      <c r="O752" s="115"/>
      <c r="P752" s="115">
        <v>46099</v>
      </c>
      <c r="Q752" s="115">
        <v>46099</v>
      </c>
      <c r="R752" s="115" t="s">
        <v>5259</v>
      </c>
      <c r="S752" s="115"/>
      <c r="T752" s="7" t="s">
        <v>22</v>
      </c>
      <c r="U752" s="2" t="s">
        <v>4773</v>
      </c>
      <c r="V752" s="16">
        <v>46106</v>
      </c>
      <c r="W752" s="16" t="s">
        <v>5092</v>
      </c>
      <c r="X752" s="4" t="s">
        <v>4772</v>
      </c>
      <c r="Y752" s="100"/>
      <c r="Z752" s="30" t="s">
        <v>1206</v>
      </c>
      <c r="AA752" s="8">
        <v>46152</v>
      </c>
      <c r="AB752" s="26">
        <v>66166.2</v>
      </c>
      <c r="AC752" s="10"/>
      <c r="AD752" s="10"/>
      <c r="AE752" s="10"/>
      <c r="AF752" s="10"/>
      <c r="AG752" s="10"/>
      <c r="AH752" s="10">
        <v>66166.2</v>
      </c>
    </row>
    <row r="753" spans="1:34" s="9" customFormat="1" ht="122.25" customHeight="1">
      <c r="A753" s="9">
        <f t="shared" ca="1" si="27"/>
        <v>81</v>
      </c>
      <c r="B753" s="31">
        <v>46059</v>
      </c>
      <c r="C753" s="11" t="s">
        <v>24</v>
      </c>
      <c r="D753" s="2" t="s">
        <v>4387</v>
      </c>
      <c r="E753" s="11" t="s">
        <v>4388</v>
      </c>
      <c r="F753" s="30" t="s">
        <v>3920</v>
      </c>
      <c r="G753" s="30" t="s">
        <v>3921</v>
      </c>
      <c r="H753" s="16">
        <v>46113</v>
      </c>
      <c r="I753" s="115">
        <v>46062</v>
      </c>
      <c r="J753" s="115">
        <v>46062</v>
      </c>
      <c r="K753" s="115">
        <v>46062</v>
      </c>
      <c r="L753" s="115"/>
      <c r="M753" s="115" t="s">
        <v>4533</v>
      </c>
      <c r="N753" s="115"/>
      <c r="O753" s="115"/>
      <c r="P753" s="115"/>
      <c r="Q753" s="115">
        <v>46091</v>
      </c>
      <c r="R753" s="115" t="s">
        <v>4705</v>
      </c>
      <c r="S753" s="115"/>
      <c r="T753" s="7" t="s">
        <v>25</v>
      </c>
      <c r="U753" s="2" t="s">
        <v>4668</v>
      </c>
      <c r="V753" s="16">
        <v>46091</v>
      </c>
      <c r="W753" s="16">
        <v>46094</v>
      </c>
      <c r="X753" s="4" t="s">
        <v>5323</v>
      </c>
      <c r="Y753" s="100"/>
      <c r="Z753" s="30" t="s">
        <v>3879</v>
      </c>
      <c r="AA753" s="8">
        <v>46069</v>
      </c>
      <c r="AB753" s="22">
        <v>120</v>
      </c>
      <c r="AC753" s="10"/>
      <c r="AD753" s="10"/>
      <c r="AE753" s="10"/>
      <c r="AF753" s="10"/>
      <c r="AG753" s="10"/>
      <c r="AH753" s="10">
        <v>120</v>
      </c>
    </row>
    <row r="754" spans="1:34" s="9" customFormat="1" ht="409.5">
      <c r="A754" s="9">
        <f t="shared" ca="1" si="27"/>
        <v>90</v>
      </c>
      <c r="B754" s="31">
        <v>46029</v>
      </c>
      <c r="C754" s="11" t="s">
        <v>27</v>
      </c>
      <c r="D754" s="2" t="s">
        <v>4128</v>
      </c>
      <c r="E754" s="11" t="s">
        <v>4129</v>
      </c>
      <c r="F754" s="30" t="s">
        <v>453</v>
      </c>
      <c r="G754" s="30" t="s">
        <v>4130</v>
      </c>
      <c r="H754" s="16">
        <v>46104</v>
      </c>
      <c r="I754" s="115">
        <v>46029</v>
      </c>
      <c r="J754" s="115">
        <v>46030</v>
      </c>
      <c r="K754" s="115">
        <v>46029</v>
      </c>
      <c r="L754" s="115"/>
      <c r="M754" s="115"/>
      <c r="N754" s="115" t="s">
        <v>4637</v>
      </c>
      <c r="O754" s="115"/>
      <c r="P754" s="115"/>
      <c r="Q754" s="16"/>
      <c r="R754" s="115"/>
      <c r="S754" s="115"/>
      <c r="T754" s="7" t="s">
        <v>25</v>
      </c>
      <c r="U754" s="16" t="s">
        <v>4739</v>
      </c>
      <c r="V754" s="16">
        <v>46104</v>
      </c>
      <c r="W754" s="16">
        <v>46136</v>
      </c>
      <c r="X754" s="4" t="s">
        <v>5030</v>
      </c>
      <c r="Y754" s="100"/>
      <c r="Z754" s="151" t="s">
        <v>4560</v>
      </c>
      <c r="AA754" s="8">
        <v>46042</v>
      </c>
      <c r="AB754" s="10"/>
      <c r="AC754" s="22">
        <f>15237.1+28535.21</f>
        <v>43772.31</v>
      </c>
      <c r="AD754" s="21"/>
      <c r="AE754" s="21"/>
      <c r="AF754" s="21"/>
      <c r="AG754" s="45"/>
      <c r="AH754" s="116">
        <f>15237.1+28535.21</f>
        <v>43772.31</v>
      </c>
    </row>
  </sheetData>
  <autoFilter ref="A1:XEU88" xr:uid="{3507FE08-07DA-47C1-B691-15D408225ECE}"/>
  <mergeCells count="3">
    <mergeCell ref="Z217:Z218"/>
    <mergeCell ref="AA217:AA218"/>
    <mergeCell ref="AB217:AB218"/>
  </mergeCells>
  <dataValidations count="6">
    <dataValidation allowBlank="1" showInputMessage="1" showErrorMessage="1" errorTitle="Invalid Date Format" error="Please click Retry Button_x000a_Correct Date format dd/mm/yyyy" sqref="Y1:Y13 H14:R20 T21 H21:J21 J22:S26 H22:H42 AD22:AD26 AF27:AF31 AE32 AF33:AF40 J27:U40 I41:T42 AE41:AE63 H43:T55 S56:T57 H56:Q57 AE67:AE82 AE84:AE85 AH103:AH111 H58:T88 H91:T102 AE87:AE88 AE91:AE102 AE118:AE119 H118:P118 R118:T118 X118:X119 Z119 V128:W128 H128:T128 H131:V131 H132:W132 H133:V133 AB135 H134:W145 V146:W146 H146:T146 H119:W127 H147:W148 V149:W152 H149:T151 U150:U151 H152:U152 H153:W153 AH155:AH168 H155:W157 V158:W162 H158:T160 Q161:U161 H161:K161 H162:T162 H163:W163 H164:V164 H165:W165 V166:W166 H166:T166 H167:W170 I172:L172 W172 T172 I171:W171 H171:H173 AH171 I173:W173 I174:X174 AI174:AI180 W175:X176 I175:U176 I177:X181 H129:W130 AH120:AH153 V182:W182 AH182:AH185 H182:T182 H183:W184 V185:W185 H185:T185 AH187:AH194 H198:Q198 S198:W198 H199:W204 H205 H206:W209 H210:T211 V210:W210 U211:W211 H212:W212 V213:W214 U215:W216 H213:T221 V217:W220 U221:W221 H222:W225 H226:T226 V226:W226 H227:W228 H229:T230 V229:W231 T231 H231 AH196:AH204 H186:W197 H117:W117 AH117 AH113:AH115 H103:W115 T233 Z233 H233:O233 H234:W234 AH234 T235:W235 H235 AH236:AH240 H236:W242 AH242 Q243 V244:W248 AH244:AH251 AH206:AH232 H232:W232 H244:T251 U248 U249:W249 V250:W251 U251 H252:W252 H253:T253 AH253 V253:W253 H254:W255 AH255:AH285 H256:T256 V256:W256 H257:W257 V258:W259 U260:W261 H258:T261 V262 N262:T262 H262:L262 V263:W271 U264 H263:T267 U267:U268 H268:K268 N268:T268 H269:T270 H271:U271 H272:W277 V278:W278 H278:T278 H279:V279 H280:W280 H281:T283 V281:W281 V283:W283 AH287:AH295 H284:W292 H293:T293 V293:W293 W294 H294:U294 V295:W302 H295:T300 AH297:AH303 U299 H301:U301 H302:T302 H303:W303 V304:W305 H304:T305 AH305 P310:W310 H306:W309 H310:M310 AH307:AH310 H311:T313 V311 V312:W313 AH314 H314:W315 H316:U316 W316:W318 H317:V318 AH316:AH320 V319:W321 H319:T321 H322:W325 AH322:AH332 H326:U326 H331:T333 H327:T328 H329:U330 V327:W333 H335:V335 H334:W334 H336:W337 P338:T338 H338:N338 V338:W346 H339:T339 H340:U340 AH334:AH340 AH342 U343 AH344 H341:T346 H347:W347 AH348:AH349 V348:W348 H348:T348 H349:W351 H352:T352 V352:W352 H355:T355 H353:W354 AH352:AH356 N356:T356 H356:L356 V355:W356 H357:W357 H358:T360 AH358:AH359 H361:K361 M361:T361 AH361 V358:W363 P364:W364 H362:T363 H364:M364 AH363:AH364 V365:W367 AH367 H370:U370 H365:T369 H371:T371 AH371 AE369:AE371 H372:O372 H373:T373 AH373:AH377 H374:K374 M374:U374 V373:W377 H375:T377 H378:W378 H379:T379 H386:W389 H380:W382 H383:M383 O383:W383 H384:T385 V384:W384 U385:W385 V390:W390 H390:T390 H391:W392 H393:T395 AH379:AH394 V393:W395 H397:T397 V397:W397 H398:W399 AH397:AH401 M400:T400 V400:W400 H400:K400 H401:W401 H402 T402:W402 R402 V403:W403 H403:T403 H405:W405 H404:K404 M404:W404 H436:W439 H407:T407 N408:W408 H408:K408 H409:W409 H410:T412 V411:W414 AH411:AH413 N413:U413 H413:L413 T414:U414 H414:Q414 T415:W415 H415:R415 H416:T416 V416:W416 H417:W417 V418:W418 H418:T418 M419:W419 Q420:W420 AH415:AH422 M421:W421 H419:K422 M422:T422 V422:W422 T423:W424 H423:R424 M425:M427 H425:K427 O425:W427 AH425:AH427 H428:T429 V428:W431 AH429:AH430 N430:T430 H430:L430 T431 H431:R431 M432:W433 H432:K433 AH432:AH433 T434:W434 H434:R434 M435:T435 V435:W435 AH435:AH438 H435:K435 M440:W440 AH440:AH448 H440:K441 L441:W441 H442:T442 M443:U443 H443:K443 H444:U444 V442:W445 H445:K445 M445:T445 H446:W446 N447:T447 H447:L447 M448:T448 H448:K448 V448:W450 H449:T450 H451:W451 AH451:AH457 M452:W452 H452:K452 H453:W454 H455:T455 V455:W455 H456:W456 H457:T457 V457:W457 H458:R458 T458:W458 AH459:AH463 H459:W460 H461:T461 V461:W464 M462:U462 H462:K463 L463:T463 H464:T464 O465:W465 H465:K465 AH465:AH466 H466:W466 H467:K467 N467:W467 H468:T468 AH468:AH473 Q469:T469 H469:K469 V468:W469 V407:W407 AH403:AH405 AH407:AH409 H470:W471 H472:U473 V473:W473 M474:W475 N476:W476 V477:W477 L477:L478 N477:T477 AH475:AH480 H474:K479 M478:W478 V479:W481 L479:T479 X480 H480:J480 M480:U480 H481:T481 M482:W483 H482:K483 AH482:AH494 H484:W485 V486:W487 H486:T487 H488:W489 N490:T491 V490:W491 H491:Q491 H490:L491 H492:W493 H494:L494 N494:W494 K496:W496 H496:I496 AH496:AH506 H497:T497 V497:W497 H498:W498 W499 U500:W500 V501:W502 H499:T502 H503:W505 H506:P506 R506:W506 U508 H507:T508 V507:W508 H509:W509 AH509:AH514 H510:T510 V510:W510 H511:K512 M511:W512 H514:K516 V514:W518 H513:W513 M514:T515 M516:U516 AH516:AH534 H517:U517 H518:T518 H519:W521 V522:W522 W523 U524:W524 V525:W528 H522:T528 M529:U529 W529 H529:K530 L530:W530 H531:T532 V531:W532 H533:L533 W533:W534 N533:T533 H534:T534 H535:K536 M535:W535 V536:W536 N536:T536 AH536:AH542 H537:W537 V538:W540 H538:T538 H539:U539 H540:T540 H541:W541 H542:T542 V542:W542 W543 M543:T543 H543:K543 AH544:AH547 H544:T547 V544:W553 H548:K551 M548:T551 L550:L551 H552:U552 AH552:AH563 H553:T553 H554:W555 N556:T556 H556:L556 K557:T557 H557:I557 H558:L558 Q558:T558 H559:T561 V556:W561 H562:W562 H563:T563 V563:W568 H564:K565 M564:T565 L565 H566:T566 H567:K567 M567:T567 AH566:AH570 H568:T568 H569:W571 V572:W572 H572:T572 AH572:AH573 H573:W573 M574:O574 Q574:T574 H574:K575 V574:W574 L575:W575 H576:W576 H577:I578 V577:W578 K577:T578 N579:T579 H579:L579 H581:W581 H582:T582 V582:W582 H583:V583 V584:W584 H584:T584 H585:W587 V588:W588 H588:L588 N588:T588 H589:W589 H590:T593 U592 V590:W593 H594:W594 K595:T595 H595:I595 V595:W595 H596:W596 V597:W597 H597:T599 V598:V599 U599 W599 H600:W600 W601 P605 U605 Q604:T605 L604 W604 M604:O605 H604:K605 H607:W607 V604:V605 V606:W606 H606:T606 H601:T603 V602:W603 H608:T609 AH609 V608:W610 AH575:AH607 V580 H580:T580 W579:W580 Q610:T614 H610:K613 M610:O613 U611:W611 W613 AH612 U612:V615 H614:O614 H615:T615 H616:U616 H617:K617 M617:T617 H619:K619 M619:T619 H620:T621 H622:V622 V617:W621 H618:T618 V623:W626 H623:T625 H626:L626 N626:U626 W627 H627:T629 V628:W632 U629 H630:I631 K630:U630 Q631:T631 H632:T632 H633:W633 V634:W639 H634:T639 H640:W640 V641 M641:T641 H641:K641 V642:W644 H642:T644 U644 H645:W647 H648:U648 U650 P654:W654 U665 H658:K658 M658:T658 H659:T660 V660 L661:W661 H661:I661 W662:W663 V649:W659 H649:T657 V664:W676 H662:T670 M673 H671:L673 N672 O671:T673 H674:U675 H676:T676 H677:K678 M677:W678 H679:W679 H680:T680 V680:W680 H681:N682 P681:W681 V682 P682:T682 H683:T683 H684:M684 O684:T684 H685:T690 V683:W690 AH614:AH690 H692:T692 V692:W692 AH692:AH696 H693:W693 V694:W695 H694:T694 H695:I695 K695:T695 H696:W696 V697:W702 H697:I697 K697:T697 H698:T698 AH698:AH725 H699:U699 H700:T702 X701 U702 H703:W703 K704:T704 H704:I704 V704:W706 P705:T706 H705:N706 H707:W707 H708:T710 V708:W712 O711:T711 H711:I711 H712:T712 H713:W714 V715:W716 H715:T716 H717:W721 V722:W725 U723 H722:T724 N725:U725 H725:L725 AH727:AH732 H726:W729 H730:T733 V730:W736 U731 H734:M734 O734:T734 N735:U735 H735:L735 H736:T736 N737:W737 H737:K737 V738:W739 AH738:AH742 U740:W740 V741:W744 H738:T742 I743:U743 H744:T744 AH744 H745:W745 AH746:AH748 O746:T746 H746:M746 V746:W746 H747:W749 H750:M750 AH750:AH751 O750:W750 V751:W751 H751:T751 H752:W754 AH754" xr:uid="{192DD7A9-07A8-45F6-BCB3-2719C54970D0}"/>
    <dataValidation type="date" allowBlank="1" showInputMessage="1" showErrorMessage="1" errorTitle="Invalid date format" error="Please click Retry Button_x000a_Correct Date format dd/mm/yyyy" sqref="B1:B13 B14:C34 B35:B39 C38:C39 B40:C41 B42:B43 B44:C59 B60:B63 C63 B64:C74 B75:B76 C76 B77:C88 B91:C104 C108:C112 C124 C131 C134:C136 B137:C141 B145:C145 B146:B150 C148 B151:C151 B152:B153 B155:C156 B157:B166 C160 C162:C163 C165 B167:C173 C174:C182 D181 C129 B123:B136 B182 B183:C183 B184:B187 B188:C195 B198:C203 B204 A205:C205 B206:C206 C217:C220 B207:B226 B227:C227 B196:B197 B117:C122 B105:B115 B237 B238:C238 B239:B242 B244:C244 B245:B251 B228:B229 B230:C236 C247:C248 C251 B252:C252 B253 B254:C254 C303 C259 C266 C311 B255:B311 B312:C314 B315 B316:C316 B317:B332 B333:C333 B334:B340 B341:C341 B342:B344 B345:C345 C347 B346:B353 B354:C354 B355:B358 B359:C360 B361:B366 B367:C372 B373:B387 B388:C388 B389 B390:C390 C392 B391:B395 B437:B469 B418:B435 B397:B405 B407:B416 B471:C471 B472:B494 B497:B561 C537 B562:C562 C620 D700 B701:B734 B563:B690 B692:B699 D735:D736 B737:B744 D745 B746:B754" xr:uid="{2742DBB4-EAFB-4294-8EC9-FB0F0EA1688A}">
      <formula1>41640</formula1>
      <formula2>767376</formula2>
    </dataValidation>
    <dataValidation type="date" showInputMessage="1" showErrorMessage="1" errorTitle="Invalid Date Format" error="Please click Retry Button_x000a_Correct Date format dd/mm/yyyy" sqref="K2:K7 L6:L7 N2:Q9 K8:L8 K9 N10:O10 Q10 O11:Q11 K10:L13 N12:Q12 O13:Q13 W14 Z14:AB15 V14:V20 Y16:AB20 P21 M21 R21:S21 Z22:AC22 W22:X22 Z23 AB23:AC23 W23:W24 X24 Z24:AC24 Z25:Z26 AB25:AC26 W25:X25 W26 AB27:AE31 Y27:Y31 AC32:AD32 AA32 X32 AB33:AE36 Y33:Y35 Y36:Z39 AB37 AD37:AE37 AB38:AE39 AD40:AE40 AB40 Y40 AA41:AD43 X41:X48 Y42:Y43 AA44:AA52 AC44:AD52 X49:Y49 X50:X65 Y60:Y62 AA53:AD63 AC64:AD68 AA64:AA68 X66:Y73 AA69:AD76 X74 X75:Y76 AA77:AA86 AC77:AD87 X77:X78 X79:Y80 AB80 X81:X86 X87:AA87 X93:Y95 X96:X102 Y98 Y101:Y102 AD103 AF103:AG103 AB104:AB108 AA88:AD88 AA91:AD102 X88 X91:X92 AD104:AG111 AF112:AG112 AD112 AB112:AB114 AA115:AB115 AA118:AD119 AA120 AA121:AC121 AA122:AA123 AD120:AG123 AB123 AF124:AG124 AA124:AD124 AA125:AB125 AD125:AG128 AB128 AB130:AB132 AA132:AA135 AB134 AA136:AB136 AA137:AA145 AB139 AB145 AA146:AB148 AA149:AA151 AD145:AG153 AA152:AB152 AA153 AA155:AA162 AD155:AG156 AE157:AG157 AB157:AB159 AD158:AG165 AB164 AA165:AA168 AB166 AE166:AG166 AF168:AG171 AD168:AD171 AA169:AB169 AA170:AA171 P172 S172 U172:V172 AD173 AF173:AG173 AA173 AE174:AH175 AB174:AB182 AD176:AH176 AC177 AE177:AH180 AE181 AG181:AH181 AA126:AA130 AD130:AG141 AA182 AD182:AG183 AA183:AB183 AC184:AG184 AA184:AA187 AB187 AD185:AG187 AD188:AD192 AF188:AG195 AA188:AB188 AA189:AA190 AA191:AB192 AA193:AD193 AD194:AD195 AA194:AA197 AE195 AH195 AB195 AA200:AA202 AA203:AB203 AA204 AA206:AB208 AA209:AA214 AB211 AD206:AG223 AA215:AB215 AA216:AA217 AA219:AA220 AA221:AB222 AB224:AB225 AD224 AF224:AG224 AA227:AB227 AA229:AB230 AA231 AA223:AA226 AA198:AB199 AD196:AG204 AA117 AD113:AG115 AD117:AG117 AA103:AA114 AA232:AB232 AD230:AD232 Y233 V233 S233 AA234:AA235 AD234 AF234:AG234 R235 AF236:AG238 AD236:AD238 AA236:AB238 AA239 AD239:AG242 AA240:AB242 AA244:AA249 AB245 AA228 AD225:AG229 AF230:AG232 AD244:AG250 AB249 AD251 AA251 AF251:AG252 AA252:AD252 AD253:AG253 AA253 AA254:AD254 AF254:AG255 AD255:AE255 AA255:AB255 AB256:AB257 AD256:AG260 AA258:AA260 AB260 AA261:AB262 AE261:AG261 AD262:AG262 AF263:AG265 AD263:AD265 AA263:AA271 AE264 AB265 AB268:AB271 AD266:AG269 AD270:AD271 AF270:AG271 AE271 AA272:AB272 AA273:AA281 AB278:AB281 AD272:AG282 AG283 AD283:AE283 AA282:AB294 AD284:AG294 AA295:AG295 AB297:AB299 AA299:AA301 AB301:AB302 AA303:AA304 AB305:AB309 AD296:AG310 AA313:AD313 AA312:AB312 AA306:AA311 AD311:AD312 AA314:AB318 AD314:AD316 AD317:AE318 AF311:AG318 AA319:AA321 AA322:AB326 AB327:AB328 AA328 AA329:AB332 AA333 AD320:AG335 AE336:AG336 AA334:AB336 AA337 AD337:AD338 AE338 AA346:AA347 AF337:AG338 AD339:AG340 AA338:AB345 AD341:AD349 AF341:AG349 AA348:AB348 AE349 AB353 AB351 AD350:AG353 AA349:AA353 AA355 AA354:AD354 AD355 AF354:AG355 AD357 AD356:AG356 AF357:AG357 AD358:AG358 AA356:AB358 AF359:AG362 AA359:AD359 AC363:AG363 AA360:AB361 AD360:AD362 AD364:AG364 AD365:AH365 AA362:AA365 AF366:AG367 AA366:AB367 AD366:AD367 AC368:AD371 AA370:AA371 AC375:AG375 AD373:AG374 AD376:AD377 AF376:AG377 AA373:AB378 AE378:AG378 AA379:AA382 AA383:AB383 AA384 AA386:AA387 AA385:AB385 AF388:AG388 AD379:AG387 AD388 AD389:AG389 AA391 AD390 AA387:AB390 AF390:AG391 AA392:AB392 AA393:AA394 AD392:AG394 AD395 AA395:AB395 AF395:AG395 AA397:AB397 AA398:AA402 AB398 AD397:AG401 AB401 AD439:AD440 AA407 AA408:AB409 AD409:AD410 AF409:AG412 AE410 AA410 AD411:AE412 AA411:AB413 AE413:AG413 AA414 AD414:AG414 AA415:AG415 AD416:AG416 AB418 AD418:AG418 AB420 AD419:AD424 AA416:AA422 AB422 AF419:AG424 AA423:AB434 AD425:AG426 AD427:AF427 AD428 AF428:AG428 AD429:AG430 AF431:AG431 AD431 AD432:AG433 AD434 AF434:AG434 AA435:AA437 AD435:AG435 AB437 AD437:AG438 AF439:AH439 AA438:AB440 AF440:AG440 AA441:AA442 AD442:AG444 AF445:AG445 AA443:AB445 AD445 AA446 AD446:AG448 AA448:AB451 AF449:AG454 AD449:AD456 AA452 AE452 AA453:AB455 AE455:AG456 AA456:AA457 AD457:AG457 AF458:AG458 AD458 AA458:AB460 AA461 AA462:AB462 AD459:AG462 AA463 AF464:AG464 AA464:AB464 AD464:AD467 AA465:AA466 AE465:AG466 AF467:AH467 AA467:AB467 AA468 AA469:AB469 AD469 AF469:AG469 AA403:AB405 AD403:AG405 AD407:AG408 AA470:AA471 AD471:AG473 AF474:AH474 AF475:AG476 AE477:AG477 AD474:AD477 AA472:AB477 AA478:AA488 AF480:AG480 AD480 AE481:AG481 AF482:AG483 AD482:AD483 AD485:AG485 AB485 AD489:AD491 AA489:AB489 AF489:AG491 AB491 AA490:AA491 AA492:AB494 AD492:AG492 AC493:AG493 AD494:AG494 AA496:AA506 AD497:AG497 AB497 AD504:AG506 AA507:AB508 AE507:AG508 AA509 AD509:AG510 AA510:AB510 AD511:AD512 AF511:AG512 AA511:AA514 AB514 AD513:AG514 AG515 AA515:AB519 AD516:AG516 AD517:AD518 AF517:AG518 AG519 AD519:AE519 AA520 AF521:AG521 AD521 AA521:AB521 AA522:AA527 AD523:AG524 AD529 AA529:AA534 AF529:AG529 AD532 AF532:AG532 AB533 AD533:AG533 AA535:AB536 AF535:AG536 AD537:AG537 AA537:AA540 AD541:AG542 AA541:AB543 AD543 AF543:AG543 AA544 AD545:AG546 AA545:AB545 AA546:AA553 AF548:AG549 AD548:AD549 AD552:AG553 AB553 AA554:AG554 AD555:AD556 AF555:AG556 AA555:AB556 AE556 AD558:AG558 AF559:AG559 AD559 AA558:AB561 AD560:AG562 AA562:AA565 AD564 AF564:AG564 AB566 AA567:AA573 AD566:AG567 AD571:AH571 AB571 AD574 AF574:AG574 AA574:AB574 AA575:AA578 AA579:AB579 AD579:AG579 AA580:AA581 AA582:AB583 AD582:AG582 AD583 AF583:AG583 AA584:AA587 AD588:AG588 AA588:AB588 AA589:AA590 AA592:AA595 AB600 AD600 AF600:AG600 AA597:AA609 AD610:AD614 AA610:AB614 AF610:AG614 AD620:AG620 AA615:AA621 AA623:AA626 AB627 AD627:AG628 AA628:AB628 AA631:AA638 AB639 AD639:AG639 AA640:AA642 AD643:AD644 AF643:AG644 AA643:AB644 AA645:AA676 AA680:AA685 AF692:AG693 AD692:AD693 AA692:AB693 AA695 AA697:AA710 AB699 AF699:AG699 AD699 AF713:AG713 AD713 AB713:AB714 AD714:AG714 AF721:AG721 AA687:AA690 AF724:AG724 AB725 AD725:AG725 AD742:AG742 AB742 AB744 AD744:AG744 AA712:AA754 AB747:AB748 AD747:AG748 AB750:AB751 AD750:AG751" xr:uid="{00000000-0002-0000-0200-000001000000}">
      <formula1>43466</formula1>
      <formula2>767376</formula2>
    </dataValidation>
    <dataValidation showInputMessage="1" showErrorMessage="1" errorTitle="Invalid Date Format" error="Please click Retry Button_x000a_Correct Date format dd/mm/yyyy" sqref="Y59 AB111 AA131 AB162 AA163 AD166 AC178 AB186 AB204 AB213 AE224 AB246 AB250 AB259 AD261 AB264 AE265 AB267 AE270 AB271 AB303:AB304 AH304 AC319:AG319 AC320 AB321 AH321 AD336 AB349:AB350 AH350 AC352 AA368:AA369 AD378 AH378 AB384 AB386 AD391:AE391 AB391 AB399:AB400 AC403 AD413 AB418:AB419 AG427 AB435 AB441:AG441 AB452 AB463:AG463 AB466 AB468:AG468 AB478:AG479 AB480:AB483 AD481 AH481 AB484:AG484 AB486:AG488 AE489 AB490:AB491 AB498:AG502 AB503:AD503 AF503:AG503 AB506 AH507:AH508 AD507:AD508 AB509 AB511:AB513 AE515 AH515 AE517:AE518 AF519 AB520:AG520 AF522:AG522 AB522:AD522 AC524 AB525:AG527 AA528:AG528 AB529 AB530:AG531 AB532 AB534:AG534 AE536 AB538:AG540 AB544:AG544 AB546 AB547:AG547 AB548:AB549 AB550:AH551 AB552 AE555 AA557:AG557 AB563:AG563 AB564 AB565:AH565 AA566 AB568:AD569 AF568:AH569 AB570:AG570 AB572:AG573 AB575:AG578 AB580:AG580 AB581:AD581 AF581:AH581 AE583 AB584:AG587 AA591 AA596 AB589:AG599 AH608 AB601:AG609 AB615:AG619 AB620 AB621:AG621 AA622:AG622 AC623:AG623 AB624:AG626 AA627 AA629:AG630 AB631:AG638 AA639 AB640:AG642 AB645:AG669 AB670:AD670 AF670:AG670 AB671:AG676 AA677:AG679 AB680:AG686 AA686:AA687 AF687:AG687 AC687:AD687 AB688:AG689 AB690:AD690 AF690:AG690 AA694:AG694 AB695:AG697 AA696 AB698 AD698:AG698 AE699 AA700:AB700 AD700:AG700 AB701:AG712 AA711 AB715:AG720 AB721:AE721 AB722:AG723 AB724:AE724 AB727:AG731 AF732:AG732 AB732:AD732 AB738:AG738 AD739:AG739 AB739 AB740:AG741 AB743:AE743 AB746:AG746 AB754:AG754" xr:uid="{21D3DAB8-7F20-415A-82CA-EE521A80EB7F}"/>
    <dataValidation allowBlank="1" showInputMessage="1" showErrorMessage="1" errorTitle="Invalid date format" error="Please click Retry Button_x000a_Correct Date format dd/mm/yyyy" sqref="C62 C106 C216 C226 C228 C258 C378 C420:C421 C432:C433 C439:C440 C445 C448 C457 C461 C467 C469 C474:C475 C478:C481 C484 C490:C491 C494 C498 C500:C503 C507:C508 C522 C525:C528 C530:C532 C538:C540 C544 C550:C551 C563 C565 C569:C570 C573 C575:C576 C581:C583 C585:C587 C589 C591 C593:C594 C596 C598:C599 C606 C608:C609 C614:C626 C632:C638 C640:C660 C663:C678 C680:C684 C698:C703 C705:C709 C712:C714 C686:C690 C692:C693 C716:C754" xr:uid="{BEC1AB0F-C184-4BD5-B0B3-DC20C5A2C82F}"/>
    <dataValidation type="whole" showInputMessage="1" showErrorMessage="1" errorTitle="Invalid Date Format" error="Please click Retry Button_x000a_Correct Date format dd/mm/yyyy" sqref="AA372" xr:uid="{67B08E7E-EFC6-48DF-96D0-53CCDAAD7EB6}">
      <formula1>43466</formula1>
      <formula2>767376</formula2>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608" id="{A52C153C-F037-4089-98AC-7F1151B4BEC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B174</xm:sqref>
        </x14:conditionalFormatting>
        <x14:conditionalFormatting xmlns:xm="http://schemas.microsoft.com/office/excel/2006/main">
          <x14:cfRule type="iconSet" priority="607" id="{66FE5A38-607D-454A-8706-B8B15AB26F1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B175</xm:sqref>
        </x14:conditionalFormatting>
        <x14:conditionalFormatting xmlns:xm="http://schemas.microsoft.com/office/excel/2006/main">
          <x14:cfRule type="iconSet" priority="606" id="{179E2A34-3AF6-4AD8-AC34-EE93D029F1B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B176</xm:sqref>
        </x14:conditionalFormatting>
        <x14:conditionalFormatting xmlns:xm="http://schemas.microsoft.com/office/excel/2006/main">
          <x14:cfRule type="iconSet" priority="605" id="{FDD09DA8-3CCA-4A81-9C00-D16289CB3F4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B177</xm:sqref>
        </x14:conditionalFormatting>
        <x14:conditionalFormatting xmlns:xm="http://schemas.microsoft.com/office/excel/2006/main">
          <x14:cfRule type="iconSet" priority="604" id="{1D79FC1A-2915-4452-B3FE-E1F885FE8AF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B178</xm:sqref>
        </x14:conditionalFormatting>
        <x14:conditionalFormatting xmlns:xm="http://schemas.microsoft.com/office/excel/2006/main">
          <x14:cfRule type="iconSet" priority="603" id="{0376D623-24CE-4046-A5A1-A3A99E51AE0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B179</xm:sqref>
        </x14:conditionalFormatting>
        <x14:conditionalFormatting xmlns:xm="http://schemas.microsoft.com/office/excel/2006/main">
          <x14:cfRule type="iconSet" priority="602" id="{5B8D31DD-F0E2-4504-9E69-A0505E11483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B180</xm:sqref>
        </x14:conditionalFormatting>
        <x14:conditionalFormatting xmlns:xm="http://schemas.microsoft.com/office/excel/2006/main">
          <x14:cfRule type="iconSet" priority="601" id="{5F56E1AE-0C93-48E9-BACF-79C78BFBA32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B181</xm:sqref>
        </x14:conditionalFormatting>
        <x14:conditionalFormatting xmlns:xm="http://schemas.microsoft.com/office/excel/2006/main">
          <x14:cfRule type="iconSet" priority="600" id="{FAB990FC-3F74-4733-825A-1D132586A52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A182</xm:sqref>
        </x14:conditionalFormatting>
        <x14:conditionalFormatting xmlns:xm="http://schemas.microsoft.com/office/excel/2006/main">
          <x14:cfRule type="iconSet" priority="599" id="{2D245536-056A-4C7C-BBA4-FEB4DB621C9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A183</xm:sqref>
        </x14:conditionalFormatting>
        <x14:conditionalFormatting xmlns:xm="http://schemas.microsoft.com/office/excel/2006/main">
          <x14:cfRule type="iconSet" priority="598" id="{3ECC4F97-7163-4B60-8BC5-20770241662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A184</xm:sqref>
        </x14:conditionalFormatting>
        <x14:conditionalFormatting xmlns:xm="http://schemas.microsoft.com/office/excel/2006/main">
          <x14:cfRule type="iconSet" priority="597" id="{251BAE06-61BB-4FE0-BABD-49AC4428BBD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A185</xm:sqref>
        </x14:conditionalFormatting>
        <x14:conditionalFormatting xmlns:xm="http://schemas.microsoft.com/office/excel/2006/main">
          <x14:cfRule type="iconSet" priority="596" id="{0AF7CEBD-A323-489C-8287-38E2EC8833B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A186</xm:sqref>
        </x14:conditionalFormatting>
        <x14:conditionalFormatting xmlns:xm="http://schemas.microsoft.com/office/excel/2006/main">
          <x14:cfRule type="iconSet" priority="595" id="{2FF5749D-2EBB-4912-A5AA-6A2068B7F75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A187</xm:sqref>
        </x14:conditionalFormatting>
        <x14:conditionalFormatting xmlns:xm="http://schemas.microsoft.com/office/excel/2006/main">
          <x14:cfRule type="iconSet" priority="594" id="{93035CE3-D43D-4003-A6F2-9016AFF4D10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A188</xm:sqref>
        </x14:conditionalFormatting>
        <x14:conditionalFormatting xmlns:xm="http://schemas.microsoft.com/office/excel/2006/main">
          <x14:cfRule type="iconSet" priority="593" id="{C8A64D10-D478-47C8-A295-D9D30F4C35A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A189</xm:sqref>
        </x14:conditionalFormatting>
        <x14:conditionalFormatting xmlns:xm="http://schemas.microsoft.com/office/excel/2006/main">
          <x14:cfRule type="iconSet" priority="592" id="{5A301B3F-E923-4D78-9513-B5984BDA3E5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A190</xm:sqref>
        </x14:conditionalFormatting>
        <x14:conditionalFormatting xmlns:xm="http://schemas.microsoft.com/office/excel/2006/main">
          <x14:cfRule type="iconSet" priority="591" id="{EBCBDAC5-D003-408B-9863-56C791AAFB8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A191</xm:sqref>
        </x14:conditionalFormatting>
        <x14:conditionalFormatting xmlns:xm="http://schemas.microsoft.com/office/excel/2006/main">
          <x14:cfRule type="iconSet" priority="590" id="{941D2E6F-36A0-42FA-BD79-886E6A5FD53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A192</xm:sqref>
        </x14:conditionalFormatting>
        <x14:conditionalFormatting xmlns:xm="http://schemas.microsoft.com/office/excel/2006/main">
          <x14:cfRule type="iconSet" priority="589" id="{34A901E0-063B-46D4-816A-F14FD7940AD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A193</xm:sqref>
        </x14:conditionalFormatting>
        <x14:conditionalFormatting xmlns:xm="http://schemas.microsoft.com/office/excel/2006/main">
          <x14:cfRule type="iconSet" priority="588" id="{3F7C7961-FC58-490E-B30C-462BA391A2D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A194</xm:sqref>
        </x14:conditionalFormatting>
        <x14:conditionalFormatting xmlns:xm="http://schemas.microsoft.com/office/excel/2006/main">
          <x14:cfRule type="iconSet" priority="587" id="{5DE70D1C-5A4A-4312-81A1-3479DFA1049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A195</xm:sqref>
        </x14:conditionalFormatting>
        <x14:conditionalFormatting xmlns:xm="http://schemas.microsoft.com/office/excel/2006/main">
          <x14:cfRule type="iconSet" priority="586" id="{3AB8B221-7F6F-413F-973D-EA27CAFA25E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A196</xm:sqref>
        </x14:conditionalFormatting>
        <x14:conditionalFormatting xmlns:xm="http://schemas.microsoft.com/office/excel/2006/main">
          <x14:cfRule type="iconSet" priority="585" id="{41C1942F-95D0-4AB6-A559-4AC21DE0DFC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A197</xm:sqref>
        </x14:conditionalFormatting>
        <x14:conditionalFormatting xmlns:xm="http://schemas.microsoft.com/office/excel/2006/main">
          <x14:cfRule type="iconSet" priority="582" id="{C68181DC-7335-4BBA-9F20-2B69DBCCF60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A198</xm:sqref>
        </x14:conditionalFormatting>
        <x14:conditionalFormatting xmlns:xm="http://schemas.microsoft.com/office/excel/2006/main">
          <x14:cfRule type="iconSet" priority="581" id="{F711A07C-4EFD-4154-A9EA-A518146DE6F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A199:A200</xm:sqref>
        </x14:conditionalFormatting>
        <x14:conditionalFormatting xmlns:xm="http://schemas.microsoft.com/office/excel/2006/main">
          <x14:cfRule type="iconSet" priority="579" id="{000B8C39-E08D-4591-A48A-7E8A1E24E74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A201</xm:sqref>
        </x14:conditionalFormatting>
        <x14:conditionalFormatting xmlns:xm="http://schemas.microsoft.com/office/excel/2006/main">
          <x14:cfRule type="iconSet" priority="578" id="{2510413D-FBD5-47BC-B2C7-073ADCD2028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A202</xm:sqref>
        </x14:conditionalFormatting>
        <x14:conditionalFormatting xmlns:xm="http://schemas.microsoft.com/office/excel/2006/main">
          <x14:cfRule type="iconSet" priority="577" id="{14FE2AD3-685E-450E-8EED-CBBAEDCBE1C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A203</xm:sqref>
        </x14:conditionalFormatting>
        <x14:conditionalFormatting xmlns:xm="http://schemas.microsoft.com/office/excel/2006/main">
          <x14:cfRule type="iconSet" priority="576" id="{AE56398C-6AD0-4EE4-AF02-510F5B8CB1A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A204</xm:sqref>
        </x14:conditionalFormatting>
        <x14:conditionalFormatting xmlns:xm="http://schemas.microsoft.com/office/excel/2006/main">
          <x14:cfRule type="iconSet" priority="575" id="{D7FFED80-A13A-4E11-9D2D-D61B1C459A8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A206:A207</xm:sqref>
        </x14:conditionalFormatting>
        <x14:conditionalFormatting xmlns:xm="http://schemas.microsoft.com/office/excel/2006/main">
          <x14:cfRule type="iconSet" priority="573" id="{7DAD60C2-8F2A-4F0C-BAF4-B0A3B462ED9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A208</xm:sqref>
        </x14:conditionalFormatting>
        <x14:conditionalFormatting xmlns:xm="http://schemas.microsoft.com/office/excel/2006/main">
          <x14:cfRule type="iconSet" priority="571" id="{3D4A6BDE-32B4-43D7-A1B4-62226105758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A209</xm:sqref>
        </x14:conditionalFormatting>
        <x14:conditionalFormatting xmlns:xm="http://schemas.microsoft.com/office/excel/2006/main">
          <x14:cfRule type="iconSet" priority="570" id="{698A35B1-28C5-4CB5-9E98-2D7C701CAB8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A210</xm:sqref>
        </x14:conditionalFormatting>
        <x14:conditionalFormatting xmlns:xm="http://schemas.microsoft.com/office/excel/2006/main">
          <x14:cfRule type="iconSet" priority="569" id="{EFE2BF94-0B81-430E-8A07-FA52FF734AB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A211</xm:sqref>
        </x14:conditionalFormatting>
        <x14:conditionalFormatting xmlns:xm="http://schemas.microsoft.com/office/excel/2006/main">
          <x14:cfRule type="iconSet" priority="568" id="{1026666E-982F-4C3B-A04E-9CEE09CA9C7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A212</xm:sqref>
        </x14:conditionalFormatting>
        <x14:conditionalFormatting xmlns:xm="http://schemas.microsoft.com/office/excel/2006/main">
          <x14:cfRule type="iconSet" priority="567" id="{600E2205-535F-48D4-85C7-2E483980150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A213</xm:sqref>
        </x14:conditionalFormatting>
        <x14:conditionalFormatting xmlns:xm="http://schemas.microsoft.com/office/excel/2006/main">
          <x14:cfRule type="iconSet" priority="566" id="{E60FC4A0-925B-46A1-910E-328B4FF9DC4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A214</xm:sqref>
        </x14:conditionalFormatting>
        <x14:conditionalFormatting xmlns:xm="http://schemas.microsoft.com/office/excel/2006/main">
          <x14:cfRule type="iconSet" priority="565" id="{4F4CDB74-C4EC-4BF1-AAEB-8332B03A3D5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A215</xm:sqref>
        </x14:conditionalFormatting>
        <x14:conditionalFormatting xmlns:xm="http://schemas.microsoft.com/office/excel/2006/main">
          <x14:cfRule type="iconSet" priority="564" id="{FB4F71D6-20DA-45F7-BA94-106BCAEDF54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A216</xm:sqref>
        </x14:conditionalFormatting>
        <x14:conditionalFormatting xmlns:xm="http://schemas.microsoft.com/office/excel/2006/main">
          <x14:cfRule type="iconSet" priority="563" id="{4F73A65D-63DA-4C12-A0DE-57599E1A036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A217:A218</xm:sqref>
        </x14:conditionalFormatting>
        <x14:conditionalFormatting xmlns:xm="http://schemas.microsoft.com/office/excel/2006/main">
          <x14:cfRule type="iconSet" priority="562" id="{BB5E250B-D6D1-44A0-B819-BFB18AD1E2B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A219</xm:sqref>
        </x14:conditionalFormatting>
        <x14:conditionalFormatting xmlns:xm="http://schemas.microsoft.com/office/excel/2006/main">
          <x14:cfRule type="iconSet" priority="561" id="{61D0630C-9B72-4CC7-82CB-7C32EA61F87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A220</xm:sqref>
        </x14:conditionalFormatting>
        <x14:conditionalFormatting xmlns:xm="http://schemas.microsoft.com/office/excel/2006/main">
          <x14:cfRule type="iconSet" priority="560" id="{5C8FEED5-2925-474F-99F9-E0BC511B70F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A221</xm:sqref>
        </x14:conditionalFormatting>
        <x14:conditionalFormatting xmlns:xm="http://schemas.microsoft.com/office/excel/2006/main">
          <x14:cfRule type="iconSet" priority="559" id="{395A4586-DCFA-4C1E-9C8C-63767A349F6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A222</xm:sqref>
        </x14:conditionalFormatting>
        <x14:conditionalFormatting xmlns:xm="http://schemas.microsoft.com/office/excel/2006/main">
          <x14:cfRule type="iconSet" priority="558" id="{06B5BF17-449C-4C5E-87F6-E7F7F5CF7B7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A223</xm:sqref>
        </x14:conditionalFormatting>
        <x14:conditionalFormatting xmlns:xm="http://schemas.microsoft.com/office/excel/2006/main">
          <x14:cfRule type="iconSet" priority="555" id="{383CF4CC-DD3F-4666-B39F-DF9E48B8C30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A224</xm:sqref>
        </x14:conditionalFormatting>
        <x14:conditionalFormatting xmlns:xm="http://schemas.microsoft.com/office/excel/2006/main">
          <x14:cfRule type="iconSet" priority="554" id="{49B53AE4-E19E-47A7-B0AC-9C7E6CEB8F2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A225</xm:sqref>
        </x14:conditionalFormatting>
        <x14:conditionalFormatting xmlns:xm="http://schemas.microsoft.com/office/excel/2006/main">
          <x14:cfRule type="iconSet" priority="553" id="{017A85EE-2FD0-4FB1-9F78-2605126E123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A226</xm:sqref>
        </x14:conditionalFormatting>
        <x14:conditionalFormatting xmlns:xm="http://schemas.microsoft.com/office/excel/2006/main">
          <x14:cfRule type="iconSet" priority="552" id="{94D5AFA4-4D11-4112-B937-2418BC8BBAA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A227</xm:sqref>
        </x14:conditionalFormatting>
        <x14:conditionalFormatting xmlns:xm="http://schemas.microsoft.com/office/excel/2006/main">
          <x14:cfRule type="iconSet" priority="550" id="{BCDCC969-2043-43AF-BA90-4E8939189CC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A228</xm:sqref>
        </x14:conditionalFormatting>
        <x14:conditionalFormatting xmlns:xm="http://schemas.microsoft.com/office/excel/2006/main">
          <x14:cfRule type="iconSet" priority="549" id="{E2A0D024-4325-4E03-B04F-714E20271FE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A229</xm:sqref>
        </x14:conditionalFormatting>
        <x14:conditionalFormatting xmlns:xm="http://schemas.microsoft.com/office/excel/2006/main">
          <x14:cfRule type="iconSet" priority="548" id="{F0CAD13F-4646-4847-829A-6954EA5E98C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A230</xm:sqref>
        </x14:conditionalFormatting>
        <x14:conditionalFormatting xmlns:xm="http://schemas.microsoft.com/office/excel/2006/main">
          <x14:cfRule type="iconSet" priority="547" id="{C2E791CD-71CC-4C07-B275-7C8071A5487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A231</xm:sqref>
        </x14:conditionalFormatting>
        <x14:conditionalFormatting xmlns:xm="http://schemas.microsoft.com/office/excel/2006/main">
          <x14:cfRule type="iconSet" priority="545" id="{322C94F0-ADAA-413E-87D2-39650B8C74D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A232</xm:sqref>
        </x14:conditionalFormatting>
        <x14:conditionalFormatting xmlns:xm="http://schemas.microsoft.com/office/excel/2006/main">
          <x14:cfRule type="iconSet" priority="544" id="{74F3C46D-6590-42BE-BAF8-E07DD173E89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A233</xm:sqref>
        </x14:conditionalFormatting>
        <x14:conditionalFormatting xmlns:xm="http://schemas.microsoft.com/office/excel/2006/main">
          <x14:cfRule type="iconSet" priority="543" id="{6B4DE774-C1E9-4F90-83A9-7D7768DB4EE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A234</xm:sqref>
        </x14:conditionalFormatting>
        <x14:conditionalFormatting xmlns:xm="http://schemas.microsoft.com/office/excel/2006/main">
          <x14:cfRule type="iconSet" priority="542" id="{AFB67BAC-D1AB-4AB7-8D97-A797D7D92BA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A235</xm:sqref>
        </x14:conditionalFormatting>
        <x14:conditionalFormatting xmlns:xm="http://schemas.microsoft.com/office/excel/2006/main">
          <x14:cfRule type="iconSet" priority="541" id="{B1FA67DC-AE5A-4ACF-B619-764CD10B8D2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A236</xm:sqref>
        </x14:conditionalFormatting>
        <x14:conditionalFormatting xmlns:xm="http://schemas.microsoft.com/office/excel/2006/main">
          <x14:cfRule type="iconSet" priority="540" id="{2B3061F3-9EC4-4CEB-81BD-27EF7A990A5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A237</xm:sqref>
        </x14:conditionalFormatting>
        <x14:conditionalFormatting xmlns:xm="http://schemas.microsoft.com/office/excel/2006/main">
          <x14:cfRule type="iconSet" priority="539" id="{DFD9865A-ED77-48CA-9143-729F366C759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A238</xm:sqref>
        </x14:conditionalFormatting>
        <x14:conditionalFormatting xmlns:xm="http://schemas.microsoft.com/office/excel/2006/main">
          <x14:cfRule type="iconSet" priority="538" id="{FDED967E-DE11-4E89-B964-27E9A9DA8C2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A239</xm:sqref>
        </x14:conditionalFormatting>
        <x14:conditionalFormatting xmlns:xm="http://schemas.microsoft.com/office/excel/2006/main">
          <x14:cfRule type="iconSet" priority="537" id="{BD82FFDF-2017-4B95-B3A1-DB9DF0B0C04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A240</xm:sqref>
        </x14:conditionalFormatting>
        <x14:conditionalFormatting xmlns:xm="http://schemas.microsoft.com/office/excel/2006/main">
          <x14:cfRule type="iconSet" priority="536" id="{6C0AF0FE-918F-4A38-B032-00BF6A75174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A241</xm:sqref>
        </x14:conditionalFormatting>
        <x14:conditionalFormatting xmlns:xm="http://schemas.microsoft.com/office/excel/2006/main">
          <x14:cfRule type="iconSet" priority="535" id="{01D51DD6-5740-4B7F-9540-988FC93FC41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A242</xm:sqref>
        </x14:conditionalFormatting>
        <x14:conditionalFormatting xmlns:xm="http://schemas.microsoft.com/office/excel/2006/main">
          <x14:cfRule type="iconSet" priority="534" id="{2344E5D3-D4CE-4E54-AAD5-BF123B5C0EF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A243</xm:sqref>
        </x14:conditionalFormatting>
        <x14:conditionalFormatting xmlns:xm="http://schemas.microsoft.com/office/excel/2006/main">
          <x14:cfRule type="iconSet" priority="533" id="{193513A6-3ACB-448F-B44B-5B9647663DD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A244</xm:sqref>
        </x14:conditionalFormatting>
        <x14:conditionalFormatting xmlns:xm="http://schemas.microsoft.com/office/excel/2006/main">
          <x14:cfRule type="iconSet" priority="531" id="{043A5992-DAB8-4584-84CB-AD81C1A3CBB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A245</xm:sqref>
        </x14:conditionalFormatting>
        <x14:conditionalFormatting xmlns:xm="http://schemas.microsoft.com/office/excel/2006/main">
          <x14:cfRule type="iconSet" priority="530" id="{6CB4278F-5174-4452-A54B-BC843C32D76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A246</xm:sqref>
        </x14:conditionalFormatting>
        <x14:conditionalFormatting xmlns:xm="http://schemas.microsoft.com/office/excel/2006/main">
          <x14:cfRule type="iconSet" priority="529" id="{80DE3B6B-AB7C-417C-AA88-230E2AB9387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A247</xm:sqref>
        </x14:conditionalFormatting>
        <x14:conditionalFormatting xmlns:xm="http://schemas.microsoft.com/office/excel/2006/main">
          <x14:cfRule type="iconSet" priority="528" id="{A374D805-85D5-41ED-AA0C-58457CCBBC8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A248</xm:sqref>
        </x14:conditionalFormatting>
        <x14:conditionalFormatting xmlns:xm="http://schemas.microsoft.com/office/excel/2006/main">
          <x14:cfRule type="iconSet" priority="527" id="{68F09992-1CCB-47A1-9057-ECC8F82C31B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A249</xm:sqref>
        </x14:conditionalFormatting>
        <x14:conditionalFormatting xmlns:xm="http://schemas.microsoft.com/office/excel/2006/main">
          <x14:cfRule type="iconSet" priority="526" id="{B09BAB4D-5C00-48BE-9F6C-729F904B9ED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A250</xm:sqref>
        </x14:conditionalFormatting>
        <x14:conditionalFormatting xmlns:xm="http://schemas.microsoft.com/office/excel/2006/main">
          <x14:cfRule type="iconSet" priority="525" id="{B2CE5B07-1A36-42C0-8FA8-6B57FA6F273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A252</xm:sqref>
        </x14:conditionalFormatting>
        <x14:conditionalFormatting xmlns:xm="http://schemas.microsoft.com/office/excel/2006/main">
          <x14:cfRule type="iconSet" priority="523" id="{A21C6665-1AFD-45C3-916D-AA857C04391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A253</xm:sqref>
        </x14:conditionalFormatting>
        <x14:conditionalFormatting xmlns:xm="http://schemas.microsoft.com/office/excel/2006/main">
          <x14:cfRule type="iconSet" priority="519" id="{847925E1-80A7-43B6-AD7E-CC84C504C76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A254</xm:sqref>
        </x14:conditionalFormatting>
        <x14:conditionalFormatting xmlns:xm="http://schemas.microsoft.com/office/excel/2006/main">
          <x14:cfRule type="iconSet" priority="518" id="{3C0DAA93-E721-4F41-94F0-1DA9E6EBBE7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A255</xm:sqref>
        </x14:conditionalFormatting>
        <x14:conditionalFormatting xmlns:xm="http://schemas.microsoft.com/office/excel/2006/main">
          <x14:cfRule type="iconSet" priority="517" id="{578FE876-5452-475B-8AB5-8724CCDEA79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A256</xm:sqref>
        </x14:conditionalFormatting>
        <x14:conditionalFormatting xmlns:xm="http://schemas.microsoft.com/office/excel/2006/main">
          <x14:cfRule type="iconSet" priority="516" id="{0EEF9ED5-D811-4A8A-A9F8-7418A6D4C93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A257</xm:sqref>
        </x14:conditionalFormatting>
        <x14:conditionalFormatting xmlns:xm="http://schemas.microsoft.com/office/excel/2006/main">
          <x14:cfRule type="iconSet" priority="515" id="{64321C23-6A7D-4C87-805A-49AE028659A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A258</xm:sqref>
        </x14:conditionalFormatting>
        <x14:conditionalFormatting xmlns:xm="http://schemas.microsoft.com/office/excel/2006/main">
          <x14:cfRule type="iconSet" priority="514" id="{89D80393-F499-4E06-9281-7FA22F26077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A259</xm:sqref>
        </x14:conditionalFormatting>
        <x14:conditionalFormatting xmlns:xm="http://schemas.microsoft.com/office/excel/2006/main">
          <x14:cfRule type="iconSet" priority="513" id="{B3A57D7C-2F46-49F5-986A-D75E06FF680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A260</xm:sqref>
        </x14:conditionalFormatting>
        <x14:conditionalFormatting xmlns:xm="http://schemas.microsoft.com/office/excel/2006/main">
          <x14:cfRule type="iconSet" priority="512" id="{3812ED98-9AA9-4A80-841F-F0431570AD8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A261</xm:sqref>
        </x14:conditionalFormatting>
        <x14:conditionalFormatting xmlns:xm="http://schemas.microsoft.com/office/excel/2006/main">
          <x14:cfRule type="iconSet" priority="511" id="{DB88EBE9-6855-4C2E-9717-85894E3C003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A262</xm:sqref>
        </x14:conditionalFormatting>
        <x14:conditionalFormatting xmlns:xm="http://schemas.microsoft.com/office/excel/2006/main">
          <x14:cfRule type="iconSet" priority="510" id="{51B2D0E1-CD1C-4189-BD9E-0204F5D261A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A263</xm:sqref>
        </x14:conditionalFormatting>
        <x14:conditionalFormatting xmlns:xm="http://schemas.microsoft.com/office/excel/2006/main">
          <x14:cfRule type="iconSet" priority="509" id="{F69A2E72-F03A-4B13-9EBA-A806ABBBDFF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A264</xm:sqref>
        </x14:conditionalFormatting>
        <x14:conditionalFormatting xmlns:xm="http://schemas.microsoft.com/office/excel/2006/main">
          <x14:cfRule type="iconSet" priority="508" id="{C924A327-790A-4B7B-9BDF-CD693D968C2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A265</xm:sqref>
        </x14:conditionalFormatting>
        <x14:conditionalFormatting xmlns:xm="http://schemas.microsoft.com/office/excel/2006/main">
          <x14:cfRule type="iconSet" priority="507" id="{331ED3B3-AB4F-49F2-A4A3-584B4489730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A266</xm:sqref>
        </x14:conditionalFormatting>
        <x14:conditionalFormatting xmlns:xm="http://schemas.microsoft.com/office/excel/2006/main">
          <x14:cfRule type="iconSet" priority="506" id="{3254B465-5E61-4FAE-970F-A83C7894E9C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A267</xm:sqref>
        </x14:conditionalFormatting>
        <x14:conditionalFormatting xmlns:xm="http://schemas.microsoft.com/office/excel/2006/main">
          <x14:cfRule type="iconSet" priority="505" id="{B90A88E7-62D1-4901-B209-AEA4966FDE0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A268</xm:sqref>
        </x14:conditionalFormatting>
        <x14:conditionalFormatting xmlns:xm="http://schemas.microsoft.com/office/excel/2006/main">
          <x14:cfRule type="iconSet" priority="504" id="{79EF64BD-9B5A-4DC7-B4C1-3DD8088E2DB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A269</xm:sqref>
        </x14:conditionalFormatting>
        <x14:conditionalFormatting xmlns:xm="http://schemas.microsoft.com/office/excel/2006/main">
          <x14:cfRule type="iconSet" priority="503" id="{249373A3-AE67-431D-8025-219A1E35668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A270</xm:sqref>
        </x14:conditionalFormatting>
        <x14:conditionalFormatting xmlns:xm="http://schemas.microsoft.com/office/excel/2006/main">
          <x14:cfRule type="iconSet" priority="502" id="{26D4BB41-C3D6-4097-8E61-09ACC5A5EF6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A271</xm:sqref>
        </x14:conditionalFormatting>
        <x14:conditionalFormatting xmlns:xm="http://schemas.microsoft.com/office/excel/2006/main">
          <x14:cfRule type="iconSet" priority="501" id="{37ACE336-B267-4D5D-9D2C-A23F4BB77C8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A272</xm:sqref>
        </x14:conditionalFormatting>
        <x14:conditionalFormatting xmlns:xm="http://schemas.microsoft.com/office/excel/2006/main">
          <x14:cfRule type="iconSet" priority="500" id="{B543EFE6-18E4-42AB-8094-22E3B9EE920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A273</xm:sqref>
        </x14:conditionalFormatting>
        <x14:conditionalFormatting xmlns:xm="http://schemas.microsoft.com/office/excel/2006/main">
          <x14:cfRule type="iconSet" priority="499" id="{ED62354C-0AD4-4342-8379-5E733D98BC2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A274</xm:sqref>
        </x14:conditionalFormatting>
        <x14:conditionalFormatting xmlns:xm="http://schemas.microsoft.com/office/excel/2006/main">
          <x14:cfRule type="iconSet" priority="498" id="{EF3F6877-52E9-489F-BEA2-E169D8C7F9D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A275</xm:sqref>
        </x14:conditionalFormatting>
        <x14:conditionalFormatting xmlns:xm="http://schemas.microsoft.com/office/excel/2006/main">
          <x14:cfRule type="iconSet" priority="497" id="{668F7D23-D333-4BB7-8DE1-763453BD776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A276</xm:sqref>
        </x14:conditionalFormatting>
        <x14:conditionalFormatting xmlns:xm="http://schemas.microsoft.com/office/excel/2006/main">
          <x14:cfRule type="iconSet" priority="496" id="{C3020E99-B9E0-4397-A224-B1FA7CF809B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A277</xm:sqref>
        </x14:conditionalFormatting>
        <x14:conditionalFormatting xmlns:xm="http://schemas.microsoft.com/office/excel/2006/main">
          <x14:cfRule type="iconSet" priority="495" id="{6D232BF8-889F-479D-B5DE-1B0BD19AFEC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A278</xm:sqref>
        </x14:conditionalFormatting>
        <x14:conditionalFormatting xmlns:xm="http://schemas.microsoft.com/office/excel/2006/main">
          <x14:cfRule type="iconSet" priority="494" id="{2CB9C025-53A0-42AA-8F4C-7B541CD78F4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A279</xm:sqref>
        </x14:conditionalFormatting>
        <x14:conditionalFormatting xmlns:xm="http://schemas.microsoft.com/office/excel/2006/main">
          <x14:cfRule type="iconSet" priority="493" id="{2621EE52-F205-401B-B9B2-E051162E7A3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A280</xm:sqref>
        </x14:conditionalFormatting>
        <x14:conditionalFormatting xmlns:xm="http://schemas.microsoft.com/office/excel/2006/main">
          <x14:cfRule type="iconSet" priority="491" id="{8BCFB3AA-A3B5-4DB3-8DDC-A84D946E786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A281</xm:sqref>
        </x14:conditionalFormatting>
        <x14:conditionalFormatting xmlns:xm="http://schemas.microsoft.com/office/excel/2006/main">
          <x14:cfRule type="iconSet" priority="490" id="{F4559466-396E-474B-BF13-D56D49D5AB0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A282</xm:sqref>
        </x14:conditionalFormatting>
        <x14:conditionalFormatting xmlns:xm="http://schemas.microsoft.com/office/excel/2006/main">
          <x14:cfRule type="iconSet" priority="489" id="{945B7375-C3DD-4C69-96BA-BC6121AF79E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A283</xm:sqref>
        </x14:conditionalFormatting>
        <x14:conditionalFormatting xmlns:xm="http://schemas.microsoft.com/office/excel/2006/main">
          <x14:cfRule type="iconSet" priority="488" id="{C1C5ACBA-3C5D-4BEE-A410-EDF7391A677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A284:A290</xm:sqref>
        </x14:conditionalFormatting>
        <x14:conditionalFormatting xmlns:xm="http://schemas.microsoft.com/office/excel/2006/main">
          <x14:cfRule type="iconSet" priority="487" id="{1948408F-5602-4E20-821D-28BE8E40494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A291</xm:sqref>
        </x14:conditionalFormatting>
        <x14:conditionalFormatting xmlns:xm="http://schemas.microsoft.com/office/excel/2006/main">
          <x14:cfRule type="iconSet" priority="486" id="{EBDD887C-8B3C-4DB3-87F6-23C541AD64B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A292:A293</xm:sqref>
        </x14:conditionalFormatting>
        <x14:conditionalFormatting xmlns:xm="http://schemas.microsoft.com/office/excel/2006/main">
          <x14:cfRule type="iconSet" priority="484" id="{136749A8-50EE-4291-BBB4-8540E111B32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A294</xm:sqref>
        </x14:conditionalFormatting>
        <x14:conditionalFormatting xmlns:xm="http://schemas.microsoft.com/office/excel/2006/main">
          <x14:cfRule type="iconSet" priority="483" id="{851F9168-7B95-4BD1-B21A-14D879318DF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A295</xm:sqref>
        </x14:conditionalFormatting>
        <x14:conditionalFormatting xmlns:xm="http://schemas.microsoft.com/office/excel/2006/main">
          <x14:cfRule type="iconSet" priority="482" id="{ECD6480E-25E1-47B4-937C-A27BB909F51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A296</xm:sqref>
        </x14:conditionalFormatting>
        <x14:conditionalFormatting xmlns:xm="http://schemas.microsoft.com/office/excel/2006/main">
          <x14:cfRule type="iconSet" priority="481" id="{9FD8CFC1-FF47-4418-93FE-7E051E05C08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A297</xm:sqref>
        </x14:conditionalFormatting>
        <x14:conditionalFormatting xmlns:xm="http://schemas.microsoft.com/office/excel/2006/main">
          <x14:cfRule type="iconSet" priority="480" id="{3453EEB9-59E5-46FB-9479-EBE41EA56F9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A298</xm:sqref>
        </x14:conditionalFormatting>
        <x14:conditionalFormatting xmlns:xm="http://schemas.microsoft.com/office/excel/2006/main">
          <x14:cfRule type="iconSet" priority="479" id="{DDFB7D80-C700-4A49-BF7C-90AEA0E2412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A299</xm:sqref>
        </x14:conditionalFormatting>
        <x14:conditionalFormatting xmlns:xm="http://schemas.microsoft.com/office/excel/2006/main">
          <x14:cfRule type="iconSet" priority="478" id="{0C485F61-1611-4F79-88EC-9B657A17A73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A300</xm:sqref>
        </x14:conditionalFormatting>
        <x14:conditionalFormatting xmlns:xm="http://schemas.microsoft.com/office/excel/2006/main">
          <x14:cfRule type="iconSet" priority="477" id="{3F8A3259-5C95-4B2F-BC2B-BCB89237F16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A301</xm:sqref>
        </x14:conditionalFormatting>
        <x14:conditionalFormatting xmlns:xm="http://schemas.microsoft.com/office/excel/2006/main">
          <x14:cfRule type="iconSet" priority="476" id="{EA5CFDF9-F135-439F-8CB5-C0E76E2B973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A302</xm:sqref>
        </x14:conditionalFormatting>
        <x14:conditionalFormatting xmlns:xm="http://schemas.microsoft.com/office/excel/2006/main">
          <x14:cfRule type="iconSet" priority="475" id="{797627D7-4027-4421-A0E0-3C77800D3F5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A303</xm:sqref>
        </x14:conditionalFormatting>
        <x14:conditionalFormatting xmlns:xm="http://schemas.microsoft.com/office/excel/2006/main">
          <x14:cfRule type="iconSet" priority="474" id="{F4DDE9E3-CACD-4DB8-8EB2-C6142823943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A304</xm:sqref>
        </x14:conditionalFormatting>
        <x14:conditionalFormatting xmlns:xm="http://schemas.microsoft.com/office/excel/2006/main">
          <x14:cfRule type="iconSet" priority="473" id="{F94E24B6-2E83-4A0A-BE78-B5ED7D009EF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A305:A309</xm:sqref>
        </x14:conditionalFormatting>
        <x14:conditionalFormatting xmlns:xm="http://schemas.microsoft.com/office/excel/2006/main">
          <x14:cfRule type="iconSet" priority="472" id="{9D5F0CDE-FFE0-4008-88B0-984783579B1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A310</xm:sqref>
        </x14:conditionalFormatting>
        <x14:conditionalFormatting xmlns:xm="http://schemas.microsoft.com/office/excel/2006/main">
          <x14:cfRule type="iconSet" priority="471" id="{37AEFF94-6324-4767-909F-146C9A781B1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A311</xm:sqref>
        </x14:conditionalFormatting>
        <x14:conditionalFormatting xmlns:xm="http://schemas.microsoft.com/office/excel/2006/main">
          <x14:cfRule type="iconSet" priority="470" id="{6F61AD63-0DC8-48ED-8BC1-692F18D5251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A312</xm:sqref>
        </x14:conditionalFormatting>
        <x14:conditionalFormatting xmlns:xm="http://schemas.microsoft.com/office/excel/2006/main">
          <x14:cfRule type="iconSet" priority="469" id="{8BD9A7CC-63B5-4971-87AE-967920F7948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A313</xm:sqref>
        </x14:conditionalFormatting>
        <x14:conditionalFormatting xmlns:xm="http://schemas.microsoft.com/office/excel/2006/main">
          <x14:cfRule type="iconSet" priority="468" id="{A29784C8-9D6C-469F-A894-B24C5A7185E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A314</xm:sqref>
        </x14:conditionalFormatting>
        <x14:conditionalFormatting xmlns:xm="http://schemas.microsoft.com/office/excel/2006/main">
          <x14:cfRule type="iconSet" priority="467" id="{9C91E94C-9D6D-41B6-8F17-55780EE3FD7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A315</xm:sqref>
        </x14:conditionalFormatting>
        <x14:conditionalFormatting xmlns:xm="http://schemas.microsoft.com/office/excel/2006/main">
          <x14:cfRule type="iconSet" priority="466" id="{B49345B2-B7CB-4179-AB0A-603A0CEDA3F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A316</xm:sqref>
        </x14:conditionalFormatting>
        <x14:conditionalFormatting xmlns:xm="http://schemas.microsoft.com/office/excel/2006/main">
          <x14:cfRule type="iconSet" priority="465" id="{489C3356-E803-43CF-A60A-6DDB7CBC29F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A317</xm:sqref>
        </x14:conditionalFormatting>
        <x14:conditionalFormatting xmlns:xm="http://schemas.microsoft.com/office/excel/2006/main">
          <x14:cfRule type="iconSet" priority="464" id="{A489142F-3438-4D61-B368-CCFADE23CEF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A318</xm:sqref>
        </x14:conditionalFormatting>
        <x14:conditionalFormatting xmlns:xm="http://schemas.microsoft.com/office/excel/2006/main">
          <x14:cfRule type="iconSet" priority="463" id="{496EB9C5-178C-45BC-8468-3A7C4FA3EA4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A319</xm:sqref>
        </x14:conditionalFormatting>
        <x14:conditionalFormatting xmlns:xm="http://schemas.microsoft.com/office/excel/2006/main">
          <x14:cfRule type="iconSet" priority="462" id="{42B3203D-5B38-4101-82BC-FAD187FB61B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A320</xm:sqref>
        </x14:conditionalFormatting>
        <x14:conditionalFormatting xmlns:xm="http://schemas.microsoft.com/office/excel/2006/main">
          <x14:cfRule type="iconSet" priority="461" id="{38C82D53-013A-456D-9111-EE45E40DD62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A321</xm:sqref>
        </x14:conditionalFormatting>
        <x14:conditionalFormatting xmlns:xm="http://schemas.microsoft.com/office/excel/2006/main">
          <x14:cfRule type="iconSet" priority="460" id="{3BA7C4F3-EDD2-44E3-9C11-52FB5E86DBE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A322</xm:sqref>
        </x14:conditionalFormatting>
        <x14:conditionalFormatting xmlns:xm="http://schemas.microsoft.com/office/excel/2006/main">
          <x14:cfRule type="iconSet" priority="459" id="{0B92B39F-2B7F-4207-8EAE-B146D26FD0B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A323</xm:sqref>
        </x14:conditionalFormatting>
        <x14:conditionalFormatting xmlns:xm="http://schemas.microsoft.com/office/excel/2006/main">
          <x14:cfRule type="iconSet" priority="458" id="{79B94FD5-567C-4741-8BD8-8DB4EFD6EB0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A324</xm:sqref>
        </x14:conditionalFormatting>
        <x14:conditionalFormatting xmlns:xm="http://schemas.microsoft.com/office/excel/2006/main">
          <x14:cfRule type="iconSet" priority="457" id="{95B37A3C-FA52-4451-AAAF-D23A558F798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A325</xm:sqref>
        </x14:conditionalFormatting>
        <x14:conditionalFormatting xmlns:xm="http://schemas.microsoft.com/office/excel/2006/main">
          <x14:cfRule type="iconSet" priority="456" id="{41055697-221B-4921-AA9A-07B5E1DE7D6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A326</xm:sqref>
        </x14:conditionalFormatting>
        <x14:conditionalFormatting xmlns:xm="http://schemas.microsoft.com/office/excel/2006/main">
          <x14:cfRule type="iconSet" priority="455" id="{82212D86-0D47-4801-9DDD-9537E73E59B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A327</xm:sqref>
        </x14:conditionalFormatting>
        <x14:conditionalFormatting xmlns:xm="http://schemas.microsoft.com/office/excel/2006/main">
          <x14:cfRule type="iconSet" priority="454" id="{AAD17D7F-00A9-4AF1-A0B7-7C238587AFA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A328</xm:sqref>
        </x14:conditionalFormatting>
        <x14:conditionalFormatting xmlns:xm="http://schemas.microsoft.com/office/excel/2006/main">
          <x14:cfRule type="iconSet" priority="453" id="{17E9E495-7EF1-4AFD-B559-FE79AD112A7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A329</xm:sqref>
        </x14:conditionalFormatting>
        <x14:conditionalFormatting xmlns:xm="http://schemas.microsoft.com/office/excel/2006/main">
          <x14:cfRule type="iconSet" priority="452" id="{98C2EBF0-6E41-4764-8F65-A7290A52A53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A330</xm:sqref>
        </x14:conditionalFormatting>
        <x14:conditionalFormatting xmlns:xm="http://schemas.microsoft.com/office/excel/2006/main">
          <x14:cfRule type="iconSet" priority="451" id="{CA49BF4D-E03E-4E90-9986-11A15A1B042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A331</xm:sqref>
        </x14:conditionalFormatting>
        <x14:conditionalFormatting xmlns:xm="http://schemas.microsoft.com/office/excel/2006/main">
          <x14:cfRule type="iconSet" priority="450" id="{CA5D2ACB-87DE-42A3-8CDD-373183E0202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A332</xm:sqref>
        </x14:conditionalFormatting>
        <x14:conditionalFormatting xmlns:xm="http://schemas.microsoft.com/office/excel/2006/main">
          <x14:cfRule type="iconSet" priority="449" id="{E59B3E80-866F-41E8-8C28-69710CD806B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A334</xm:sqref>
        </x14:conditionalFormatting>
        <x14:conditionalFormatting xmlns:xm="http://schemas.microsoft.com/office/excel/2006/main">
          <x14:cfRule type="iconSet" priority="448" id="{E2CAAE14-AE38-4638-83F2-C0C9D9D75DE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A335</xm:sqref>
        </x14:conditionalFormatting>
        <x14:conditionalFormatting xmlns:xm="http://schemas.microsoft.com/office/excel/2006/main">
          <x14:cfRule type="iconSet" priority="447" id="{EF2FDD33-1819-43ED-9332-8BBB30A34B8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A336</xm:sqref>
        </x14:conditionalFormatting>
        <x14:conditionalFormatting xmlns:xm="http://schemas.microsoft.com/office/excel/2006/main">
          <x14:cfRule type="iconSet" priority="446" id="{DBBF0A8A-E553-491F-AA0A-EFBA4161054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A337</xm:sqref>
        </x14:conditionalFormatting>
        <x14:conditionalFormatting xmlns:xm="http://schemas.microsoft.com/office/excel/2006/main">
          <x14:cfRule type="iconSet" priority="445" id="{2EADD50E-5F60-4B1F-86EB-CCDF4CE302E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A338</xm:sqref>
        </x14:conditionalFormatting>
        <x14:conditionalFormatting xmlns:xm="http://schemas.microsoft.com/office/excel/2006/main">
          <x14:cfRule type="iconSet" priority="444" id="{90D42E2B-A3A6-45A9-89C8-908FD0D44A4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A339</xm:sqref>
        </x14:conditionalFormatting>
        <x14:conditionalFormatting xmlns:xm="http://schemas.microsoft.com/office/excel/2006/main">
          <x14:cfRule type="iconSet" priority="443" id="{9CE886D9-B10E-406B-8698-E43CC3E3A26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A340</xm:sqref>
        </x14:conditionalFormatting>
        <x14:conditionalFormatting xmlns:xm="http://schemas.microsoft.com/office/excel/2006/main">
          <x14:cfRule type="iconSet" priority="442" id="{780E5632-935D-4E15-BEE5-6A7D15A7A0B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A341</xm:sqref>
        </x14:conditionalFormatting>
        <x14:conditionalFormatting xmlns:xm="http://schemas.microsoft.com/office/excel/2006/main">
          <x14:cfRule type="iconSet" priority="441" id="{57A39C89-36DE-4D0B-B486-DD47CFFF467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A342</xm:sqref>
        </x14:conditionalFormatting>
        <x14:conditionalFormatting xmlns:xm="http://schemas.microsoft.com/office/excel/2006/main">
          <x14:cfRule type="iconSet" priority="440" id="{D0508B21-AE5D-4B4C-A2EC-C116075CBDC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A343</xm:sqref>
        </x14:conditionalFormatting>
        <x14:conditionalFormatting xmlns:xm="http://schemas.microsoft.com/office/excel/2006/main">
          <x14:cfRule type="iconSet" priority="439" id="{28AC5CA6-8582-4F3B-9787-CA08F2DD9E5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A344</xm:sqref>
        </x14:conditionalFormatting>
        <x14:conditionalFormatting xmlns:xm="http://schemas.microsoft.com/office/excel/2006/main">
          <x14:cfRule type="iconSet" priority="438" id="{E2953EB0-52C9-48A1-9693-6044C4FE9F2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A345</xm:sqref>
        </x14:conditionalFormatting>
        <x14:conditionalFormatting xmlns:xm="http://schemas.microsoft.com/office/excel/2006/main">
          <x14:cfRule type="iconSet" priority="437" id="{776DA4BE-926D-41F2-9A04-E51FBC18348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A346</xm:sqref>
        </x14:conditionalFormatting>
        <x14:conditionalFormatting xmlns:xm="http://schemas.microsoft.com/office/excel/2006/main">
          <x14:cfRule type="iconSet" priority="436" id="{668EE80F-5A0C-437E-A1AB-E1F7C6CFD9E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A347</xm:sqref>
        </x14:conditionalFormatting>
        <x14:conditionalFormatting xmlns:xm="http://schemas.microsoft.com/office/excel/2006/main">
          <x14:cfRule type="iconSet" priority="435" id="{FFC28F27-3F1A-42EA-AD4E-B51A5E6E9B4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A348</xm:sqref>
        </x14:conditionalFormatting>
        <x14:conditionalFormatting xmlns:xm="http://schemas.microsoft.com/office/excel/2006/main">
          <x14:cfRule type="iconSet" priority="434" id="{7A6290C6-929A-46E2-8B8A-B79B1F7BB14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A349</xm:sqref>
        </x14:conditionalFormatting>
        <x14:conditionalFormatting xmlns:xm="http://schemas.microsoft.com/office/excel/2006/main">
          <x14:cfRule type="iconSet" priority="433" id="{2E9F24C3-8DCA-4B3A-997D-FD23593F7D6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A350</xm:sqref>
        </x14:conditionalFormatting>
        <x14:conditionalFormatting xmlns:xm="http://schemas.microsoft.com/office/excel/2006/main">
          <x14:cfRule type="iconSet" priority="432" id="{DC15784D-0838-4164-88D6-F378B596C94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A351</xm:sqref>
        </x14:conditionalFormatting>
        <x14:conditionalFormatting xmlns:xm="http://schemas.microsoft.com/office/excel/2006/main">
          <x14:cfRule type="iconSet" priority="431" id="{17BE1A4A-ED58-48A9-AEF4-730F20B652C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A352</xm:sqref>
        </x14:conditionalFormatting>
        <x14:conditionalFormatting xmlns:xm="http://schemas.microsoft.com/office/excel/2006/main">
          <x14:cfRule type="iconSet" priority="430" id="{7919F97E-3EC7-4D87-8227-951D1ED26D6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A353</xm:sqref>
        </x14:conditionalFormatting>
        <x14:conditionalFormatting xmlns:xm="http://schemas.microsoft.com/office/excel/2006/main">
          <x14:cfRule type="iconSet" priority="429" id="{34FDC748-31A5-48BB-9C16-7D42142C06C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A354</xm:sqref>
        </x14:conditionalFormatting>
        <x14:conditionalFormatting xmlns:xm="http://schemas.microsoft.com/office/excel/2006/main">
          <x14:cfRule type="iconSet" priority="428" id="{F095B296-72FC-4E01-AEFA-70A5D18CFF2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A355</xm:sqref>
        </x14:conditionalFormatting>
        <x14:conditionalFormatting xmlns:xm="http://schemas.microsoft.com/office/excel/2006/main">
          <x14:cfRule type="iconSet" priority="427" id="{04D13AC5-3263-4252-BB51-D83AC7836D4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A356</xm:sqref>
        </x14:conditionalFormatting>
        <x14:conditionalFormatting xmlns:xm="http://schemas.microsoft.com/office/excel/2006/main">
          <x14:cfRule type="iconSet" priority="426" id="{1D7ADE3B-7122-4671-908F-7994ACA88E6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A357</xm:sqref>
        </x14:conditionalFormatting>
        <x14:conditionalFormatting xmlns:xm="http://schemas.microsoft.com/office/excel/2006/main">
          <x14:cfRule type="iconSet" priority="425" id="{7CDD3A24-6CA0-4EAD-ABE1-F62EEFE8213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A358</xm:sqref>
        </x14:conditionalFormatting>
        <x14:conditionalFormatting xmlns:xm="http://schemas.microsoft.com/office/excel/2006/main">
          <x14:cfRule type="iconSet" priority="424" id="{0CAF36AB-FA3A-4DA3-A989-F8B3F6503B4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A359</xm:sqref>
        </x14:conditionalFormatting>
        <x14:conditionalFormatting xmlns:xm="http://schemas.microsoft.com/office/excel/2006/main">
          <x14:cfRule type="iconSet" priority="423" id="{F3D50B02-60F0-4F5C-B53E-6D92EF2B0A5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A360</xm:sqref>
        </x14:conditionalFormatting>
        <x14:conditionalFormatting xmlns:xm="http://schemas.microsoft.com/office/excel/2006/main">
          <x14:cfRule type="iconSet" priority="422" id="{7FE6EA3D-3E44-48E2-AC6D-5EC80463F0E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A361</xm:sqref>
        </x14:conditionalFormatting>
        <x14:conditionalFormatting xmlns:xm="http://schemas.microsoft.com/office/excel/2006/main">
          <x14:cfRule type="iconSet" priority="421" id="{479C22B8-624F-40A7-BA79-B85AD05F8C7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A362</xm:sqref>
        </x14:conditionalFormatting>
        <x14:conditionalFormatting xmlns:xm="http://schemas.microsoft.com/office/excel/2006/main">
          <x14:cfRule type="iconSet" priority="420" id="{876CAB94-4E58-40D4-9DD7-216A456B013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A363</xm:sqref>
        </x14:conditionalFormatting>
        <x14:conditionalFormatting xmlns:xm="http://schemas.microsoft.com/office/excel/2006/main">
          <x14:cfRule type="iconSet" priority="419" id="{B5497454-4F23-41AD-93AB-41B1CAF28BD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A364</xm:sqref>
        </x14:conditionalFormatting>
        <x14:conditionalFormatting xmlns:xm="http://schemas.microsoft.com/office/excel/2006/main">
          <x14:cfRule type="iconSet" priority="418" id="{837259AB-FE4C-46CA-8FD7-63E922FBFF0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A365</xm:sqref>
        </x14:conditionalFormatting>
        <x14:conditionalFormatting xmlns:xm="http://schemas.microsoft.com/office/excel/2006/main">
          <x14:cfRule type="iconSet" priority="417" id="{E6D0BC9D-002F-4E60-AE48-BA51F4EECE5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A366</xm:sqref>
        </x14:conditionalFormatting>
        <x14:conditionalFormatting xmlns:xm="http://schemas.microsoft.com/office/excel/2006/main">
          <x14:cfRule type="iconSet" priority="416" id="{96DA101E-24C7-4470-8915-C315716347A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A367</xm:sqref>
        </x14:conditionalFormatting>
        <x14:conditionalFormatting xmlns:xm="http://schemas.microsoft.com/office/excel/2006/main">
          <x14:cfRule type="iconSet" priority="415" id="{F428FF1F-DD0A-4B9A-8395-C5296CE15C6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A368</xm:sqref>
        </x14:conditionalFormatting>
        <x14:conditionalFormatting xmlns:xm="http://schemas.microsoft.com/office/excel/2006/main">
          <x14:cfRule type="iconSet" priority="414" id="{AED06292-E9AF-4CE8-8E5E-42C1EB07856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A369</xm:sqref>
        </x14:conditionalFormatting>
        <x14:conditionalFormatting xmlns:xm="http://schemas.microsoft.com/office/excel/2006/main">
          <x14:cfRule type="iconSet" priority="413" id="{DFFA7FDE-15E8-4721-9BFD-8279723F3C5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A370</xm:sqref>
        </x14:conditionalFormatting>
        <x14:conditionalFormatting xmlns:xm="http://schemas.microsoft.com/office/excel/2006/main">
          <x14:cfRule type="iconSet" priority="412" id="{A6C72603-9254-4A57-9361-BBB98CEADD8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A371</xm:sqref>
        </x14:conditionalFormatting>
        <x14:conditionalFormatting xmlns:xm="http://schemas.microsoft.com/office/excel/2006/main">
          <x14:cfRule type="iconSet" priority="411" id="{755F3528-9692-48C5-9912-7DFC8B53D6A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A372</xm:sqref>
        </x14:conditionalFormatting>
        <x14:conditionalFormatting xmlns:xm="http://schemas.microsoft.com/office/excel/2006/main">
          <x14:cfRule type="iconSet" priority="410" id="{B18ACF4B-7211-438E-A865-7F784CE000B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A373</xm:sqref>
        </x14:conditionalFormatting>
        <x14:conditionalFormatting xmlns:xm="http://schemas.microsoft.com/office/excel/2006/main">
          <x14:cfRule type="iconSet" priority="409" id="{9E3ADB54-1887-494C-8B9A-6E71CE7BFCA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A374</xm:sqref>
        </x14:conditionalFormatting>
        <x14:conditionalFormatting xmlns:xm="http://schemas.microsoft.com/office/excel/2006/main">
          <x14:cfRule type="iconSet" priority="408" id="{89214E81-E734-432A-81A4-37874815B4E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A375</xm:sqref>
        </x14:conditionalFormatting>
        <x14:conditionalFormatting xmlns:xm="http://schemas.microsoft.com/office/excel/2006/main">
          <x14:cfRule type="iconSet" priority="407" id="{108409FD-A6E5-4EE5-BE34-64030E3BC75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A376</xm:sqref>
        </x14:conditionalFormatting>
        <x14:conditionalFormatting xmlns:xm="http://schemas.microsoft.com/office/excel/2006/main">
          <x14:cfRule type="iconSet" priority="406" id="{86C79F1B-D4E2-433F-9EC2-CBB652334AF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A377</xm:sqref>
        </x14:conditionalFormatting>
        <x14:conditionalFormatting xmlns:xm="http://schemas.microsoft.com/office/excel/2006/main">
          <x14:cfRule type="iconSet" priority="405" id="{5F2547FA-AC45-4552-938E-1F034D5CDB4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A378</xm:sqref>
        </x14:conditionalFormatting>
        <x14:conditionalFormatting xmlns:xm="http://schemas.microsoft.com/office/excel/2006/main">
          <x14:cfRule type="iconSet" priority="404" id="{5424B2BA-CA0B-4859-8ECA-39F8E06F394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A379</xm:sqref>
        </x14:conditionalFormatting>
        <x14:conditionalFormatting xmlns:xm="http://schemas.microsoft.com/office/excel/2006/main">
          <x14:cfRule type="iconSet" priority="403" id="{272F95B6-59E7-4C08-B528-BBCB7DE4980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A380</xm:sqref>
        </x14:conditionalFormatting>
        <x14:conditionalFormatting xmlns:xm="http://schemas.microsoft.com/office/excel/2006/main">
          <x14:cfRule type="iconSet" priority="402" id="{6BCA1F10-54E1-418D-9DA0-0E907C65D78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A381</xm:sqref>
        </x14:conditionalFormatting>
        <x14:conditionalFormatting xmlns:xm="http://schemas.microsoft.com/office/excel/2006/main">
          <x14:cfRule type="iconSet" priority="401" id="{EEF15BAB-CFE0-41C6-A869-BD6FE424826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A382</xm:sqref>
        </x14:conditionalFormatting>
        <x14:conditionalFormatting xmlns:xm="http://schemas.microsoft.com/office/excel/2006/main">
          <x14:cfRule type="iconSet" priority="400" id="{F3533008-B55C-4FA3-9BE0-E4C36B834E7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A383</xm:sqref>
        </x14:conditionalFormatting>
        <x14:conditionalFormatting xmlns:xm="http://schemas.microsoft.com/office/excel/2006/main">
          <x14:cfRule type="iconSet" priority="399" id="{FABE66D3-0280-403F-BDC3-45AE9825A13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A384</xm:sqref>
        </x14:conditionalFormatting>
        <x14:conditionalFormatting xmlns:xm="http://schemas.microsoft.com/office/excel/2006/main">
          <x14:cfRule type="iconSet" priority="398" id="{5327C274-0FDF-4247-97A0-BA67E35B363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A385</xm:sqref>
        </x14:conditionalFormatting>
        <x14:conditionalFormatting xmlns:xm="http://schemas.microsoft.com/office/excel/2006/main">
          <x14:cfRule type="iconSet" priority="397" id="{3A4F79A2-79B1-4992-9CC6-E6F3DDDF37B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A386</xm:sqref>
        </x14:conditionalFormatting>
        <x14:conditionalFormatting xmlns:xm="http://schemas.microsoft.com/office/excel/2006/main">
          <x14:cfRule type="iconSet" priority="396" id="{616BF91F-21C2-4492-8C70-8E2DC20FCDA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A387</xm:sqref>
        </x14:conditionalFormatting>
        <x14:conditionalFormatting xmlns:xm="http://schemas.microsoft.com/office/excel/2006/main">
          <x14:cfRule type="iconSet" priority="395" id="{718A4181-18A2-4F93-BC1E-7AFBB3F272C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A388</xm:sqref>
        </x14:conditionalFormatting>
        <x14:conditionalFormatting xmlns:xm="http://schemas.microsoft.com/office/excel/2006/main">
          <x14:cfRule type="iconSet" priority="394" id="{70ED4EA1-DC45-4DC7-B773-B316A42F610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A389</xm:sqref>
        </x14:conditionalFormatting>
        <x14:conditionalFormatting xmlns:xm="http://schemas.microsoft.com/office/excel/2006/main">
          <x14:cfRule type="iconSet" priority="393" id="{EDCA4643-9CE6-4E77-8B00-1493F628DE6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A390</xm:sqref>
        </x14:conditionalFormatting>
        <x14:conditionalFormatting xmlns:xm="http://schemas.microsoft.com/office/excel/2006/main">
          <x14:cfRule type="iconSet" priority="392" id="{9CBB79F1-A328-44CE-B219-80A2EB85240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A391</xm:sqref>
        </x14:conditionalFormatting>
        <x14:conditionalFormatting xmlns:xm="http://schemas.microsoft.com/office/excel/2006/main">
          <x14:cfRule type="iconSet" priority="390" id="{F1880FD3-D6B5-4589-B77B-CAC2BFF9809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A392</xm:sqref>
        </x14:conditionalFormatting>
        <x14:conditionalFormatting xmlns:xm="http://schemas.microsoft.com/office/excel/2006/main">
          <x14:cfRule type="iconSet" priority="388" id="{CADF0ABD-F505-4C3E-B011-61E09253D34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A393</xm:sqref>
        </x14:conditionalFormatting>
        <x14:conditionalFormatting xmlns:xm="http://schemas.microsoft.com/office/excel/2006/main">
          <x14:cfRule type="iconSet" priority="386" id="{EDFD5221-6543-44B9-9AEF-C4C16B79D20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A394</xm:sqref>
        </x14:conditionalFormatting>
        <x14:conditionalFormatting xmlns:xm="http://schemas.microsoft.com/office/excel/2006/main">
          <x14:cfRule type="iconSet" priority="385" id="{FB229ADF-CEF1-43F7-8F5C-26F73F6C2EC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A395</xm:sqref>
        </x14:conditionalFormatting>
        <x14:conditionalFormatting xmlns:xm="http://schemas.microsoft.com/office/excel/2006/main">
          <x14:cfRule type="iconSet" priority="384" id="{DD914DEA-19A3-46D4-9DDA-0BADFCFBA18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A397</xm:sqref>
        </x14:conditionalFormatting>
        <x14:conditionalFormatting xmlns:xm="http://schemas.microsoft.com/office/excel/2006/main">
          <x14:cfRule type="iconSet" priority="383" id="{AB649260-3382-4F80-A45A-0A6A61A47FF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A399</xm:sqref>
        </x14:conditionalFormatting>
        <x14:conditionalFormatting xmlns:xm="http://schemas.microsoft.com/office/excel/2006/main">
          <x14:cfRule type="iconSet" priority="382" id="{F5CB0529-A0C4-41FE-920D-BCEAA2601C0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A398</xm:sqref>
        </x14:conditionalFormatting>
        <x14:conditionalFormatting xmlns:xm="http://schemas.microsoft.com/office/excel/2006/main">
          <x14:cfRule type="iconSet" priority="381" id="{640724ED-F58F-4F35-9A37-917297542EA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A400</xm:sqref>
        </x14:conditionalFormatting>
        <x14:conditionalFormatting xmlns:xm="http://schemas.microsoft.com/office/excel/2006/main">
          <x14:cfRule type="iconSet" priority="380" id="{4DA3A625-0A0F-4B9E-8913-0146B0DD141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A401</xm:sqref>
        </x14:conditionalFormatting>
        <x14:conditionalFormatting xmlns:xm="http://schemas.microsoft.com/office/excel/2006/main">
          <x14:cfRule type="iconSet" priority="379" id="{F80DD886-169E-4E19-A5CA-7AB61CCF802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A402</xm:sqref>
        </x14:conditionalFormatting>
        <x14:conditionalFormatting xmlns:xm="http://schemas.microsoft.com/office/excel/2006/main">
          <x14:cfRule type="iconSet" priority="378" id="{E208C933-1CEB-43FE-B3B5-6EB96F8A42D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A403</xm:sqref>
        </x14:conditionalFormatting>
        <x14:conditionalFormatting xmlns:xm="http://schemas.microsoft.com/office/excel/2006/main">
          <x14:cfRule type="iconSet" priority="377" id="{5A234022-4714-4EAC-A8BD-D1858587FB9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A404</xm:sqref>
        </x14:conditionalFormatting>
        <x14:conditionalFormatting xmlns:xm="http://schemas.microsoft.com/office/excel/2006/main">
          <x14:cfRule type="iconSet" priority="376" id="{2BE8C672-E57C-4394-BC09-789D8579058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A405</xm:sqref>
        </x14:conditionalFormatting>
        <x14:conditionalFormatting xmlns:xm="http://schemas.microsoft.com/office/excel/2006/main">
          <x14:cfRule type="iconSet" priority="375" id="{58BD0197-0402-463E-8D56-FD175EBE862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A407</xm:sqref>
        </x14:conditionalFormatting>
        <x14:conditionalFormatting xmlns:xm="http://schemas.microsoft.com/office/excel/2006/main">
          <x14:cfRule type="iconSet" priority="374" id="{BDD935CE-8068-4E4C-810D-09E80591775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A408</xm:sqref>
        </x14:conditionalFormatting>
        <x14:conditionalFormatting xmlns:xm="http://schemas.microsoft.com/office/excel/2006/main">
          <x14:cfRule type="iconSet" priority="373" id="{A416CF46-5356-491C-9C96-E82CF439528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A409</xm:sqref>
        </x14:conditionalFormatting>
        <x14:conditionalFormatting xmlns:xm="http://schemas.microsoft.com/office/excel/2006/main">
          <x14:cfRule type="iconSet" priority="372" id="{92354B22-BE10-452E-9115-725225EF66E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A410</xm:sqref>
        </x14:conditionalFormatting>
        <x14:conditionalFormatting xmlns:xm="http://schemas.microsoft.com/office/excel/2006/main">
          <x14:cfRule type="iconSet" priority="371" id="{CEADFCA4-3183-4867-9CD1-B13E49636F3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A411</xm:sqref>
        </x14:conditionalFormatting>
        <x14:conditionalFormatting xmlns:xm="http://schemas.microsoft.com/office/excel/2006/main">
          <x14:cfRule type="iconSet" priority="370" id="{5A758D2D-D786-4FBD-8E8F-8EE44288BF4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A412</xm:sqref>
        </x14:conditionalFormatting>
        <x14:conditionalFormatting xmlns:xm="http://schemas.microsoft.com/office/excel/2006/main">
          <x14:cfRule type="iconSet" priority="369" id="{F26B4CD6-6B0D-4B94-90DB-C60428B4DFD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A413</xm:sqref>
        </x14:conditionalFormatting>
        <x14:conditionalFormatting xmlns:xm="http://schemas.microsoft.com/office/excel/2006/main">
          <x14:cfRule type="iconSet" priority="368" id="{F6C53F66-BDD3-45B5-A7E2-F9C9511E013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A414</xm:sqref>
        </x14:conditionalFormatting>
        <x14:conditionalFormatting xmlns:xm="http://schemas.microsoft.com/office/excel/2006/main">
          <x14:cfRule type="iconSet" priority="367" id="{E720329F-83E4-44BE-92A8-14EF423FCDD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A415</xm:sqref>
        </x14:conditionalFormatting>
        <x14:conditionalFormatting xmlns:xm="http://schemas.microsoft.com/office/excel/2006/main">
          <x14:cfRule type="iconSet" priority="366" id="{3FCBD53D-2011-4F93-BA08-92DE7D782B3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A416</xm:sqref>
        </x14:conditionalFormatting>
        <x14:conditionalFormatting xmlns:xm="http://schemas.microsoft.com/office/excel/2006/main">
          <x14:cfRule type="iconSet" priority="365" id="{9DD66D8C-83B2-4594-8828-690829924F8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A417</xm:sqref>
        </x14:conditionalFormatting>
        <x14:conditionalFormatting xmlns:xm="http://schemas.microsoft.com/office/excel/2006/main">
          <x14:cfRule type="iconSet" priority="364" id="{AE5E6D75-BE80-4C76-81CE-B7BF90E0CA4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A418</xm:sqref>
        </x14:conditionalFormatting>
        <x14:conditionalFormatting xmlns:xm="http://schemas.microsoft.com/office/excel/2006/main">
          <x14:cfRule type="iconSet" priority="363" id="{BF5BB9D3-43E7-4E12-A7FA-EB6C826CC6C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A419</xm:sqref>
        </x14:conditionalFormatting>
        <x14:conditionalFormatting xmlns:xm="http://schemas.microsoft.com/office/excel/2006/main">
          <x14:cfRule type="iconSet" priority="362" id="{727CAFA2-8B50-43F9-8B56-4D0EC8BD3B2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A420</xm:sqref>
        </x14:conditionalFormatting>
        <x14:conditionalFormatting xmlns:xm="http://schemas.microsoft.com/office/excel/2006/main">
          <x14:cfRule type="iconSet" priority="360" id="{C64CBF63-F41A-4057-B0A5-81D7377FA93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A421</xm:sqref>
        </x14:conditionalFormatting>
        <x14:conditionalFormatting xmlns:xm="http://schemas.microsoft.com/office/excel/2006/main">
          <x14:cfRule type="iconSet" priority="359" id="{0289741E-F703-4931-9020-E5C3D68941E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A422</xm:sqref>
        </x14:conditionalFormatting>
        <x14:conditionalFormatting xmlns:xm="http://schemas.microsoft.com/office/excel/2006/main">
          <x14:cfRule type="iconSet" priority="358" id="{40269951-5962-4899-B65C-95F128D44D3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A423</xm:sqref>
        </x14:conditionalFormatting>
        <x14:conditionalFormatting xmlns:xm="http://schemas.microsoft.com/office/excel/2006/main">
          <x14:cfRule type="iconSet" priority="357" id="{97F3554C-E028-4A1F-9A44-64ACB2D9FC5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A424</xm:sqref>
        </x14:conditionalFormatting>
        <x14:conditionalFormatting xmlns:xm="http://schemas.microsoft.com/office/excel/2006/main">
          <x14:cfRule type="iconSet" priority="356" id="{21644418-113D-49D8-A480-13696EF4741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A425</xm:sqref>
        </x14:conditionalFormatting>
        <x14:conditionalFormatting xmlns:xm="http://schemas.microsoft.com/office/excel/2006/main">
          <x14:cfRule type="iconSet" priority="355" id="{8AE12ACD-5CBA-453C-B2E1-764DEA7C3BF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A426</xm:sqref>
        </x14:conditionalFormatting>
        <x14:conditionalFormatting xmlns:xm="http://schemas.microsoft.com/office/excel/2006/main">
          <x14:cfRule type="iconSet" priority="354" id="{7DB77605-EFB8-432C-99FE-5E1967CA714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A427</xm:sqref>
        </x14:conditionalFormatting>
        <x14:conditionalFormatting xmlns:xm="http://schemas.microsoft.com/office/excel/2006/main">
          <x14:cfRule type="iconSet" priority="353" id="{D0C87723-C65A-4AEB-8847-2D1C67D0509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A428</xm:sqref>
        </x14:conditionalFormatting>
        <x14:conditionalFormatting xmlns:xm="http://schemas.microsoft.com/office/excel/2006/main">
          <x14:cfRule type="iconSet" priority="352" id="{F945171C-A540-441C-9131-B1CEC7444E4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A429</xm:sqref>
        </x14:conditionalFormatting>
        <x14:conditionalFormatting xmlns:xm="http://schemas.microsoft.com/office/excel/2006/main">
          <x14:cfRule type="iconSet" priority="351" id="{3826A5EA-6323-4237-B49A-13968D9A717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A430</xm:sqref>
        </x14:conditionalFormatting>
        <x14:conditionalFormatting xmlns:xm="http://schemas.microsoft.com/office/excel/2006/main">
          <x14:cfRule type="iconSet" priority="350" id="{B10F1394-C6E7-4401-8D5D-F9681C1E258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A431</xm:sqref>
        </x14:conditionalFormatting>
        <x14:conditionalFormatting xmlns:xm="http://schemas.microsoft.com/office/excel/2006/main">
          <x14:cfRule type="iconSet" priority="349" id="{03DD16DC-1DC8-4F75-A80A-489C17A766A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A432:A433</xm:sqref>
        </x14:conditionalFormatting>
        <x14:conditionalFormatting xmlns:xm="http://schemas.microsoft.com/office/excel/2006/main">
          <x14:cfRule type="iconSet" priority="348" id="{25E6DC9C-1E0A-4C2E-8962-3B0C586BC8F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A434</xm:sqref>
        </x14:conditionalFormatting>
        <x14:conditionalFormatting xmlns:xm="http://schemas.microsoft.com/office/excel/2006/main">
          <x14:cfRule type="iconSet" priority="347" id="{D033B09B-AA5C-409B-AAA8-70A1CACB8BA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A435</xm:sqref>
        </x14:conditionalFormatting>
        <x14:conditionalFormatting xmlns:xm="http://schemas.microsoft.com/office/excel/2006/main">
          <x14:cfRule type="iconSet" priority="346" id="{19BB2333-FC52-46A6-9CA2-DED44367E28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A436</xm:sqref>
        </x14:conditionalFormatting>
        <x14:conditionalFormatting xmlns:xm="http://schemas.microsoft.com/office/excel/2006/main">
          <x14:cfRule type="iconSet" priority="345" id="{583C2462-6F5C-4EBF-8CC1-D46B524FAA2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A437</xm:sqref>
        </x14:conditionalFormatting>
        <x14:conditionalFormatting xmlns:xm="http://schemas.microsoft.com/office/excel/2006/main">
          <x14:cfRule type="iconSet" priority="344" id="{276DF844-A36A-4142-82F0-29B30377D56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A438</xm:sqref>
        </x14:conditionalFormatting>
        <x14:conditionalFormatting xmlns:xm="http://schemas.microsoft.com/office/excel/2006/main">
          <x14:cfRule type="iconSet" priority="343" id="{1937C1DB-0F8E-4EB5-BE3A-283AE2CAFD4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A439</xm:sqref>
        </x14:conditionalFormatting>
        <x14:conditionalFormatting xmlns:xm="http://schemas.microsoft.com/office/excel/2006/main">
          <x14:cfRule type="iconSet" priority="341" id="{5F5AFC0E-516A-484B-BA4C-73864410A14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A440</xm:sqref>
        </x14:conditionalFormatting>
        <x14:conditionalFormatting xmlns:xm="http://schemas.microsoft.com/office/excel/2006/main">
          <x14:cfRule type="iconSet" priority="340" id="{78EE2E2F-9E61-447D-9E6C-6B965E3E1CD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A441</xm:sqref>
        </x14:conditionalFormatting>
        <x14:conditionalFormatting xmlns:xm="http://schemas.microsoft.com/office/excel/2006/main">
          <x14:cfRule type="iconSet" priority="339" id="{AAFBAE6E-3492-4DBA-B0DB-4EDFEB64928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A442</xm:sqref>
        </x14:conditionalFormatting>
        <x14:conditionalFormatting xmlns:xm="http://schemas.microsoft.com/office/excel/2006/main">
          <x14:cfRule type="iconSet" priority="338" id="{3D5CD6AB-015C-4890-AF2C-9AA5BF017B1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A443</xm:sqref>
        </x14:conditionalFormatting>
        <x14:conditionalFormatting xmlns:xm="http://schemas.microsoft.com/office/excel/2006/main">
          <x14:cfRule type="iconSet" priority="337" id="{8FF8CF60-AEA6-4BAB-8213-6D318868F28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A444</xm:sqref>
        </x14:conditionalFormatting>
        <x14:conditionalFormatting xmlns:xm="http://schemas.microsoft.com/office/excel/2006/main">
          <x14:cfRule type="iconSet" priority="336" id="{48BEACF1-5D6C-4B00-945E-101F55920FE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A445</xm:sqref>
        </x14:conditionalFormatting>
        <x14:conditionalFormatting xmlns:xm="http://schemas.microsoft.com/office/excel/2006/main">
          <x14:cfRule type="iconSet" priority="335" id="{4C1F7745-6C9E-4CAE-8FAD-2994E4D05B9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A446</xm:sqref>
        </x14:conditionalFormatting>
        <x14:conditionalFormatting xmlns:xm="http://schemas.microsoft.com/office/excel/2006/main">
          <x14:cfRule type="iconSet" priority="334" id="{CA555AF5-6238-4590-B301-99C15F2437C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A447</xm:sqref>
        </x14:conditionalFormatting>
        <x14:conditionalFormatting xmlns:xm="http://schemas.microsoft.com/office/excel/2006/main">
          <x14:cfRule type="iconSet" priority="333" id="{8EEBCD42-B0F2-4895-93C0-DE00D51FC37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A448</xm:sqref>
        </x14:conditionalFormatting>
        <x14:conditionalFormatting xmlns:xm="http://schemas.microsoft.com/office/excel/2006/main">
          <x14:cfRule type="iconSet" priority="332" id="{12863CBF-F1D6-411B-9412-A32550F1CED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A449</xm:sqref>
        </x14:conditionalFormatting>
        <x14:conditionalFormatting xmlns:xm="http://schemas.microsoft.com/office/excel/2006/main">
          <x14:cfRule type="iconSet" priority="331" id="{5C743F12-1AB6-40DA-88CB-6013C08CEF6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A450</xm:sqref>
        </x14:conditionalFormatting>
        <x14:conditionalFormatting xmlns:xm="http://schemas.microsoft.com/office/excel/2006/main">
          <x14:cfRule type="iconSet" priority="330" id="{A4BE7CF2-1D30-4035-B833-ED181F27845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A451</xm:sqref>
        </x14:conditionalFormatting>
        <x14:conditionalFormatting xmlns:xm="http://schemas.microsoft.com/office/excel/2006/main">
          <x14:cfRule type="iconSet" priority="329" id="{C88BD2CB-056A-4C7B-BA79-3D411C2016D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A452</xm:sqref>
        </x14:conditionalFormatting>
        <x14:conditionalFormatting xmlns:xm="http://schemas.microsoft.com/office/excel/2006/main">
          <x14:cfRule type="iconSet" priority="328" id="{631D2125-5E89-4665-BE26-CEB44AA8D7B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A454</xm:sqref>
        </x14:conditionalFormatting>
        <x14:conditionalFormatting xmlns:xm="http://schemas.microsoft.com/office/excel/2006/main">
          <x14:cfRule type="iconSet" priority="327" id="{841D6AD6-6664-40B7-94DD-91342E9DEFE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A453</xm:sqref>
        </x14:conditionalFormatting>
        <x14:conditionalFormatting xmlns:xm="http://schemas.microsoft.com/office/excel/2006/main">
          <x14:cfRule type="iconSet" priority="326" id="{FF6502A0-4903-41CE-91AD-2F652092B73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A455</xm:sqref>
        </x14:conditionalFormatting>
        <x14:conditionalFormatting xmlns:xm="http://schemas.microsoft.com/office/excel/2006/main">
          <x14:cfRule type="iconSet" priority="325" id="{24436C0C-07D9-4FFD-BE5F-A2C05B4CC9B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A456</xm:sqref>
        </x14:conditionalFormatting>
        <x14:conditionalFormatting xmlns:xm="http://schemas.microsoft.com/office/excel/2006/main">
          <x14:cfRule type="iconSet" priority="324" id="{465D8E55-F470-48C7-9BB6-78D8466F9C7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A457</xm:sqref>
        </x14:conditionalFormatting>
        <x14:conditionalFormatting xmlns:xm="http://schemas.microsoft.com/office/excel/2006/main">
          <x14:cfRule type="iconSet" priority="323" id="{A695E842-43B5-489F-A04C-4F78ADB3CE7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A458</xm:sqref>
        </x14:conditionalFormatting>
        <x14:conditionalFormatting xmlns:xm="http://schemas.microsoft.com/office/excel/2006/main">
          <x14:cfRule type="iconSet" priority="322" id="{3F8DC557-B20B-4BFF-A3FD-6AD6C8D3BED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A459</xm:sqref>
        </x14:conditionalFormatting>
        <x14:conditionalFormatting xmlns:xm="http://schemas.microsoft.com/office/excel/2006/main">
          <x14:cfRule type="iconSet" priority="321" id="{6DBD435C-8722-4C80-8DC8-34F4F0AC822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A460</xm:sqref>
        </x14:conditionalFormatting>
        <x14:conditionalFormatting xmlns:xm="http://schemas.microsoft.com/office/excel/2006/main">
          <x14:cfRule type="iconSet" priority="320" id="{EEAC8ECC-4576-4E9C-8A5D-86002DE5F7C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A461</xm:sqref>
        </x14:conditionalFormatting>
        <x14:conditionalFormatting xmlns:xm="http://schemas.microsoft.com/office/excel/2006/main">
          <x14:cfRule type="iconSet" priority="319" id="{94732FD7-7653-476F-B5F6-4FAE306A73E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A462</xm:sqref>
        </x14:conditionalFormatting>
        <x14:conditionalFormatting xmlns:xm="http://schemas.microsoft.com/office/excel/2006/main">
          <x14:cfRule type="iconSet" priority="318" id="{3645D8E8-333E-4325-B464-4AA07665782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A463</xm:sqref>
        </x14:conditionalFormatting>
        <x14:conditionalFormatting xmlns:xm="http://schemas.microsoft.com/office/excel/2006/main">
          <x14:cfRule type="iconSet" priority="317" id="{94F4B0F9-EF05-4309-863F-AB09A7479B9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A464</xm:sqref>
        </x14:conditionalFormatting>
        <x14:conditionalFormatting xmlns:xm="http://schemas.microsoft.com/office/excel/2006/main">
          <x14:cfRule type="iconSet" priority="316" id="{F6F3988B-8BFE-459A-960D-F227DBD45C9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A465</xm:sqref>
        </x14:conditionalFormatting>
        <x14:conditionalFormatting xmlns:xm="http://schemas.microsoft.com/office/excel/2006/main">
          <x14:cfRule type="iconSet" priority="315" id="{7418BB01-9A7A-4051-A2CC-7DB4FFD39B1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A466</xm:sqref>
        </x14:conditionalFormatting>
        <x14:conditionalFormatting xmlns:xm="http://schemas.microsoft.com/office/excel/2006/main">
          <x14:cfRule type="iconSet" priority="314" id="{FF754AA0-8C2F-4F9D-9EEB-E224FE69846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A467</xm:sqref>
        </x14:conditionalFormatting>
        <x14:conditionalFormatting xmlns:xm="http://schemas.microsoft.com/office/excel/2006/main">
          <x14:cfRule type="iconSet" priority="313" id="{EC8CF98A-FE06-45AF-AA0E-3608855FD8D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A468</xm:sqref>
        </x14:conditionalFormatting>
        <x14:conditionalFormatting xmlns:xm="http://schemas.microsoft.com/office/excel/2006/main">
          <x14:cfRule type="iconSet" priority="312" id="{6DF4C2E6-C0AE-4916-A8D7-27DB664C4FA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A469</xm:sqref>
        </x14:conditionalFormatting>
        <x14:conditionalFormatting xmlns:xm="http://schemas.microsoft.com/office/excel/2006/main">
          <x14:cfRule type="iconSet" priority="310" id="{F0A61140-5D56-408C-AE38-407BA23EC70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A470</xm:sqref>
        </x14:conditionalFormatting>
        <x14:conditionalFormatting xmlns:xm="http://schemas.microsoft.com/office/excel/2006/main">
          <x14:cfRule type="iconSet" priority="309" id="{0860B7AF-3681-4F5C-A761-31296B91F48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A472</xm:sqref>
        </x14:conditionalFormatting>
        <x14:conditionalFormatting xmlns:xm="http://schemas.microsoft.com/office/excel/2006/main">
          <x14:cfRule type="iconSet" priority="308" id="{9F75FA56-DBA1-4190-9B3D-4C061A01FE3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A473</xm:sqref>
        </x14:conditionalFormatting>
        <x14:conditionalFormatting xmlns:xm="http://schemas.microsoft.com/office/excel/2006/main">
          <x14:cfRule type="iconSet" priority="307" id="{F5BA8CAB-AB04-4F4C-A480-5D0FBC2E448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A474</xm:sqref>
        </x14:conditionalFormatting>
        <x14:conditionalFormatting xmlns:xm="http://schemas.microsoft.com/office/excel/2006/main">
          <x14:cfRule type="iconSet" priority="306" id="{82D3ED6D-0A45-490C-BA1E-62957824C5A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A475</xm:sqref>
        </x14:conditionalFormatting>
        <x14:conditionalFormatting xmlns:xm="http://schemas.microsoft.com/office/excel/2006/main">
          <x14:cfRule type="iconSet" priority="305" id="{598A6CB3-62D2-48B1-8E36-3E79C1384C3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A476</xm:sqref>
        </x14:conditionalFormatting>
        <x14:conditionalFormatting xmlns:xm="http://schemas.microsoft.com/office/excel/2006/main">
          <x14:cfRule type="iconSet" priority="304" id="{7DD13957-AD4A-4AE1-B123-DD560CD4676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A477</xm:sqref>
        </x14:conditionalFormatting>
        <x14:conditionalFormatting xmlns:xm="http://schemas.microsoft.com/office/excel/2006/main">
          <x14:cfRule type="iconSet" priority="302" id="{B9DB41BF-35EA-4769-B6CC-21A5E4F45F1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A478</xm:sqref>
        </x14:conditionalFormatting>
        <x14:conditionalFormatting xmlns:xm="http://schemas.microsoft.com/office/excel/2006/main">
          <x14:cfRule type="iconSet" priority="301" id="{EC3A7BAF-F80E-4361-A824-03772DFAAB1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A479</xm:sqref>
        </x14:conditionalFormatting>
        <x14:conditionalFormatting xmlns:xm="http://schemas.microsoft.com/office/excel/2006/main">
          <x14:cfRule type="iconSet" priority="300" id="{692A8CC0-CE54-4BFA-B87D-C3DE4C0925C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A480</xm:sqref>
        </x14:conditionalFormatting>
        <x14:conditionalFormatting xmlns:xm="http://schemas.microsoft.com/office/excel/2006/main">
          <x14:cfRule type="iconSet" priority="299" id="{8A361A5E-2CE2-43F3-B608-F34AA6D40B7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A481</xm:sqref>
        </x14:conditionalFormatting>
        <x14:conditionalFormatting xmlns:xm="http://schemas.microsoft.com/office/excel/2006/main">
          <x14:cfRule type="iconSet" priority="298" id="{90A33206-4D47-41C5-AEFB-DDEFBD7812D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A482</xm:sqref>
        </x14:conditionalFormatting>
        <x14:conditionalFormatting xmlns:xm="http://schemas.microsoft.com/office/excel/2006/main">
          <x14:cfRule type="iconSet" priority="297" id="{CEFB5FB8-DFE6-4962-B115-CE84A438473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A483</xm:sqref>
        </x14:conditionalFormatting>
        <x14:conditionalFormatting xmlns:xm="http://schemas.microsoft.com/office/excel/2006/main">
          <x14:cfRule type="iconSet" priority="296" id="{229ABDF7-C64E-4823-A6A9-6FCB8FF80C6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A484</xm:sqref>
        </x14:conditionalFormatting>
        <x14:conditionalFormatting xmlns:xm="http://schemas.microsoft.com/office/excel/2006/main">
          <x14:cfRule type="iconSet" priority="295" id="{47BD7AF0-FA85-4AF6-A3C0-B76902A9F1B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A485</xm:sqref>
        </x14:conditionalFormatting>
        <x14:conditionalFormatting xmlns:xm="http://schemas.microsoft.com/office/excel/2006/main">
          <x14:cfRule type="iconSet" priority="294" id="{F0DDBFEC-07F1-40E0-AC13-CADB684335C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A486</xm:sqref>
        </x14:conditionalFormatting>
        <x14:conditionalFormatting xmlns:xm="http://schemas.microsoft.com/office/excel/2006/main">
          <x14:cfRule type="iconSet" priority="293" id="{59B0F781-516E-496C-8512-D3BE03F597D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A487</xm:sqref>
        </x14:conditionalFormatting>
        <x14:conditionalFormatting xmlns:xm="http://schemas.microsoft.com/office/excel/2006/main">
          <x14:cfRule type="iconSet" priority="292" id="{56A898AF-4F11-4322-9A60-831BDFEE2C2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A488</xm:sqref>
        </x14:conditionalFormatting>
        <x14:conditionalFormatting xmlns:xm="http://schemas.microsoft.com/office/excel/2006/main">
          <x14:cfRule type="iconSet" priority="291" id="{A998D942-31E0-410D-A972-AF99739F517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A489</xm:sqref>
        </x14:conditionalFormatting>
        <x14:conditionalFormatting xmlns:xm="http://schemas.microsoft.com/office/excel/2006/main">
          <x14:cfRule type="iconSet" priority="290" id="{D60FB8E3-13CE-4198-9210-C2D967F3871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A490</xm:sqref>
        </x14:conditionalFormatting>
        <x14:conditionalFormatting xmlns:xm="http://schemas.microsoft.com/office/excel/2006/main">
          <x14:cfRule type="iconSet" priority="289" id="{DFBE167D-F857-4452-954A-94C3E85E3E1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A491</xm:sqref>
        </x14:conditionalFormatting>
        <x14:conditionalFormatting xmlns:xm="http://schemas.microsoft.com/office/excel/2006/main">
          <x14:cfRule type="iconSet" priority="288" id="{594F316A-D92A-4805-AD6A-11623DF3FB9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A492</xm:sqref>
        </x14:conditionalFormatting>
        <x14:conditionalFormatting xmlns:xm="http://schemas.microsoft.com/office/excel/2006/main">
          <x14:cfRule type="iconSet" priority="287" id="{2D7A0CA1-1A86-42D5-9D6B-6C0BF10F299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A493</xm:sqref>
        </x14:conditionalFormatting>
        <x14:conditionalFormatting xmlns:xm="http://schemas.microsoft.com/office/excel/2006/main">
          <x14:cfRule type="iconSet" priority="286" id="{75667C57-A386-46FE-B289-F74A7B285F0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A494</xm:sqref>
        </x14:conditionalFormatting>
        <x14:conditionalFormatting xmlns:xm="http://schemas.microsoft.com/office/excel/2006/main">
          <x14:cfRule type="iconSet" priority="285" id="{204CE76D-4F9E-48F9-91C3-CB95CAAD00E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A496</xm:sqref>
        </x14:conditionalFormatting>
        <x14:conditionalFormatting xmlns:xm="http://schemas.microsoft.com/office/excel/2006/main">
          <x14:cfRule type="iconSet" priority="284" id="{4259DC91-424E-4653-BA3C-810C2C3E4E0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A497</xm:sqref>
        </x14:conditionalFormatting>
        <x14:conditionalFormatting xmlns:xm="http://schemas.microsoft.com/office/excel/2006/main">
          <x14:cfRule type="iconSet" priority="283" id="{0276DE05-0147-4206-B55A-1750500C22D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A498</xm:sqref>
        </x14:conditionalFormatting>
        <x14:conditionalFormatting xmlns:xm="http://schemas.microsoft.com/office/excel/2006/main">
          <x14:cfRule type="iconSet" priority="282" id="{0C05A8EA-0B51-404C-921B-C783199A171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A499</xm:sqref>
        </x14:conditionalFormatting>
        <x14:conditionalFormatting xmlns:xm="http://schemas.microsoft.com/office/excel/2006/main">
          <x14:cfRule type="iconSet" priority="281" id="{32AA1384-7227-49FE-8BA1-93C6AAC1983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A500</xm:sqref>
        </x14:conditionalFormatting>
        <x14:conditionalFormatting xmlns:xm="http://schemas.microsoft.com/office/excel/2006/main">
          <x14:cfRule type="iconSet" priority="280" id="{2C3A7C5A-6428-44B4-B8F7-41D74602234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A501</xm:sqref>
        </x14:conditionalFormatting>
        <x14:conditionalFormatting xmlns:xm="http://schemas.microsoft.com/office/excel/2006/main">
          <x14:cfRule type="iconSet" priority="279" id="{2117FDF1-FEB8-4F90-A9ED-4F3221BFD0F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A502</xm:sqref>
        </x14:conditionalFormatting>
        <x14:conditionalFormatting xmlns:xm="http://schemas.microsoft.com/office/excel/2006/main">
          <x14:cfRule type="iconSet" priority="278" id="{5DA90E54-C528-419A-813C-8A5647A7049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A503</xm:sqref>
        </x14:conditionalFormatting>
        <x14:conditionalFormatting xmlns:xm="http://schemas.microsoft.com/office/excel/2006/main">
          <x14:cfRule type="iconSet" priority="277" id="{C9FD5E8D-B237-4191-9337-FBA3075E151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A504</xm:sqref>
        </x14:conditionalFormatting>
        <x14:conditionalFormatting xmlns:xm="http://schemas.microsoft.com/office/excel/2006/main">
          <x14:cfRule type="iconSet" priority="276" id="{0AA71D5A-FFAB-4342-A807-59E7B429942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A505</xm:sqref>
        </x14:conditionalFormatting>
        <x14:conditionalFormatting xmlns:xm="http://schemas.microsoft.com/office/excel/2006/main">
          <x14:cfRule type="iconSet" priority="275" id="{36160759-CB6E-4DB1-8785-61C63805DEF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A506</xm:sqref>
        </x14:conditionalFormatting>
        <x14:conditionalFormatting xmlns:xm="http://schemas.microsoft.com/office/excel/2006/main">
          <x14:cfRule type="iconSet" priority="274" id="{A36B1E97-1172-4238-A295-5D47A8668F6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A507:A508</xm:sqref>
        </x14:conditionalFormatting>
        <x14:conditionalFormatting xmlns:xm="http://schemas.microsoft.com/office/excel/2006/main">
          <x14:cfRule type="iconSet" priority="273" id="{5D2E56ED-D6DA-4071-9A4B-E5B2A658A4C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A509</xm:sqref>
        </x14:conditionalFormatting>
        <x14:conditionalFormatting xmlns:xm="http://schemas.microsoft.com/office/excel/2006/main">
          <x14:cfRule type="iconSet" priority="272" id="{CA22D1F8-AB45-41C7-BC9E-1289FF2C151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A510</xm:sqref>
        </x14:conditionalFormatting>
        <x14:conditionalFormatting xmlns:xm="http://schemas.microsoft.com/office/excel/2006/main">
          <x14:cfRule type="iconSet" priority="271" id="{64DA0BDD-E349-4D5D-BC27-8D16C223E55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A511</xm:sqref>
        </x14:conditionalFormatting>
        <x14:conditionalFormatting xmlns:xm="http://schemas.microsoft.com/office/excel/2006/main">
          <x14:cfRule type="iconSet" priority="270" id="{03A2C519-BC8C-414E-9688-1F45CBCB50C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A512</xm:sqref>
        </x14:conditionalFormatting>
        <x14:conditionalFormatting xmlns:xm="http://schemas.microsoft.com/office/excel/2006/main">
          <x14:cfRule type="iconSet" priority="269" id="{032DBF5B-83A2-4189-AE04-BF7C94F9711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A513</xm:sqref>
        </x14:conditionalFormatting>
        <x14:conditionalFormatting xmlns:xm="http://schemas.microsoft.com/office/excel/2006/main">
          <x14:cfRule type="iconSet" priority="268" id="{D01A9327-387D-4E6C-8374-D675F01EB97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A514</xm:sqref>
        </x14:conditionalFormatting>
        <x14:conditionalFormatting xmlns:xm="http://schemas.microsoft.com/office/excel/2006/main">
          <x14:cfRule type="iconSet" priority="267" id="{DA3A0366-3391-4B37-BADF-6E6C6BE3EF7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A515</xm:sqref>
        </x14:conditionalFormatting>
        <x14:conditionalFormatting xmlns:xm="http://schemas.microsoft.com/office/excel/2006/main">
          <x14:cfRule type="iconSet" priority="266" id="{2B28FFD3-522D-4909-B629-DBF8993AF76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A516</xm:sqref>
        </x14:conditionalFormatting>
        <x14:conditionalFormatting xmlns:xm="http://schemas.microsoft.com/office/excel/2006/main">
          <x14:cfRule type="iconSet" priority="265" id="{C2BDD5A7-DEC0-4E54-8C18-744240A6634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A517</xm:sqref>
        </x14:conditionalFormatting>
        <x14:conditionalFormatting xmlns:xm="http://schemas.microsoft.com/office/excel/2006/main">
          <x14:cfRule type="iconSet" priority="264" id="{600054CF-3968-4DE1-AD18-3399891233C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A518</xm:sqref>
        </x14:conditionalFormatting>
        <x14:conditionalFormatting xmlns:xm="http://schemas.microsoft.com/office/excel/2006/main">
          <x14:cfRule type="iconSet" priority="263" id="{6A3C8CA6-52BF-410D-9CDD-2272C7FD633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A519</xm:sqref>
        </x14:conditionalFormatting>
        <x14:conditionalFormatting xmlns:xm="http://schemas.microsoft.com/office/excel/2006/main">
          <x14:cfRule type="iconSet" priority="262" id="{5CC5C25D-7F0F-4FFD-B89B-49A6CC337BA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A520</xm:sqref>
        </x14:conditionalFormatting>
        <x14:conditionalFormatting xmlns:xm="http://schemas.microsoft.com/office/excel/2006/main">
          <x14:cfRule type="iconSet" priority="261" id="{34635075-BE53-4C89-B56B-CA8FE5A5B6C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A521</xm:sqref>
        </x14:conditionalFormatting>
        <x14:conditionalFormatting xmlns:xm="http://schemas.microsoft.com/office/excel/2006/main">
          <x14:cfRule type="iconSet" priority="260" id="{029CD88E-8C44-40A1-BD8D-F285B8B1F2F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A522</xm:sqref>
        </x14:conditionalFormatting>
        <x14:conditionalFormatting xmlns:xm="http://schemas.microsoft.com/office/excel/2006/main">
          <x14:cfRule type="iconSet" priority="259" id="{A1003629-B1D1-45D7-9F1E-392148E6017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A523</xm:sqref>
        </x14:conditionalFormatting>
        <x14:conditionalFormatting xmlns:xm="http://schemas.microsoft.com/office/excel/2006/main">
          <x14:cfRule type="iconSet" priority="258" id="{E8EF651F-8853-4D35-AE3A-64036E7CA40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A524</xm:sqref>
        </x14:conditionalFormatting>
        <x14:conditionalFormatting xmlns:xm="http://schemas.microsoft.com/office/excel/2006/main">
          <x14:cfRule type="iconSet" priority="257" id="{BE7AB920-A766-4AE9-8233-673B884481C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A525</xm:sqref>
        </x14:conditionalFormatting>
        <x14:conditionalFormatting xmlns:xm="http://schemas.microsoft.com/office/excel/2006/main">
          <x14:cfRule type="iconSet" priority="256" id="{4A3D607E-115D-4735-9CF3-44267CF5F2A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A526</xm:sqref>
        </x14:conditionalFormatting>
        <x14:conditionalFormatting xmlns:xm="http://schemas.microsoft.com/office/excel/2006/main">
          <x14:cfRule type="iconSet" priority="255" id="{49A06ECC-41F1-41E9-8603-B498608A6FD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A527</xm:sqref>
        </x14:conditionalFormatting>
        <x14:conditionalFormatting xmlns:xm="http://schemas.microsoft.com/office/excel/2006/main">
          <x14:cfRule type="iconSet" priority="254" id="{545DDC29-B347-429B-A7F8-37CD76DA49B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A528</xm:sqref>
        </x14:conditionalFormatting>
        <x14:conditionalFormatting xmlns:xm="http://schemas.microsoft.com/office/excel/2006/main">
          <x14:cfRule type="iconSet" priority="253" id="{8B04A9B8-CA42-4E79-9138-908E737CF0C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A529</xm:sqref>
        </x14:conditionalFormatting>
        <x14:conditionalFormatting xmlns:xm="http://schemas.microsoft.com/office/excel/2006/main">
          <x14:cfRule type="iconSet" priority="252" id="{0B99222C-BF86-47BE-91CA-63929514DD8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A530</xm:sqref>
        </x14:conditionalFormatting>
        <x14:conditionalFormatting xmlns:xm="http://schemas.microsoft.com/office/excel/2006/main">
          <x14:cfRule type="iconSet" priority="251" id="{E1BD6E55-80FD-4E3A-A4ED-7A46E0636BB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A531</xm:sqref>
        </x14:conditionalFormatting>
        <x14:conditionalFormatting xmlns:xm="http://schemas.microsoft.com/office/excel/2006/main">
          <x14:cfRule type="iconSet" priority="250" id="{DEDE12FD-2AC9-4B43-B2D5-5A646166281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A532</xm:sqref>
        </x14:conditionalFormatting>
        <x14:conditionalFormatting xmlns:xm="http://schemas.microsoft.com/office/excel/2006/main">
          <x14:cfRule type="iconSet" priority="249" id="{74FD6544-19F1-414E-97D0-3442450E44E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A533</xm:sqref>
        </x14:conditionalFormatting>
        <x14:conditionalFormatting xmlns:xm="http://schemas.microsoft.com/office/excel/2006/main">
          <x14:cfRule type="iconSet" priority="248" id="{59CA7E3A-B599-4498-B4A2-0E1D434941D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A534</xm:sqref>
        </x14:conditionalFormatting>
        <x14:conditionalFormatting xmlns:xm="http://schemas.microsoft.com/office/excel/2006/main">
          <x14:cfRule type="iconSet" priority="247" id="{461CA549-5E1E-456F-AF59-7183EEE62DF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A535</xm:sqref>
        </x14:conditionalFormatting>
        <x14:conditionalFormatting xmlns:xm="http://schemas.microsoft.com/office/excel/2006/main">
          <x14:cfRule type="iconSet" priority="246" id="{E4C94994-9F50-41ED-8870-A3D8F357E2D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A536</xm:sqref>
        </x14:conditionalFormatting>
        <x14:conditionalFormatting xmlns:xm="http://schemas.microsoft.com/office/excel/2006/main">
          <x14:cfRule type="iconSet" priority="245" id="{A40E6438-711A-4B77-8FED-A3EBB984D20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A537</xm:sqref>
        </x14:conditionalFormatting>
        <x14:conditionalFormatting xmlns:xm="http://schemas.microsoft.com/office/excel/2006/main">
          <x14:cfRule type="iconSet" priority="244" id="{63BD1F2D-2104-46A8-ADCE-071495AF2ED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A538</xm:sqref>
        </x14:conditionalFormatting>
        <x14:conditionalFormatting xmlns:xm="http://schemas.microsoft.com/office/excel/2006/main">
          <x14:cfRule type="iconSet" priority="243" id="{00D54C5E-EABF-4F96-B2AC-1FB0A372FA0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A539</xm:sqref>
        </x14:conditionalFormatting>
        <x14:conditionalFormatting xmlns:xm="http://schemas.microsoft.com/office/excel/2006/main">
          <x14:cfRule type="iconSet" priority="242" id="{80D98540-A41A-4AF5-82AC-562AB79BC87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A540</xm:sqref>
        </x14:conditionalFormatting>
        <x14:conditionalFormatting xmlns:xm="http://schemas.microsoft.com/office/excel/2006/main">
          <x14:cfRule type="iconSet" priority="241" id="{1F378141-3DCF-4773-9BCA-9951EFB9E91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A541</xm:sqref>
        </x14:conditionalFormatting>
        <x14:conditionalFormatting xmlns:xm="http://schemas.microsoft.com/office/excel/2006/main">
          <x14:cfRule type="iconSet" priority="240" id="{931E881C-0393-4DF4-8A2F-1785B316A81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A542</xm:sqref>
        </x14:conditionalFormatting>
        <x14:conditionalFormatting xmlns:xm="http://schemas.microsoft.com/office/excel/2006/main">
          <x14:cfRule type="iconSet" priority="239" id="{27DE17BA-6AC5-4FB4-894D-0B0E7797437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A543</xm:sqref>
        </x14:conditionalFormatting>
        <x14:conditionalFormatting xmlns:xm="http://schemas.microsoft.com/office/excel/2006/main">
          <x14:cfRule type="iconSet" priority="238" id="{FD8A4141-2CEB-4D1D-BFAB-550863D4E56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A544</xm:sqref>
        </x14:conditionalFormatting>
        <x14:conditionalFormatting xmlns:xm="http://schemas.microsoft.com/office/excel/2006/main">
          <x14:cfRule type="iconSet" priority="237" id="{4871A36E-D2F7-4982-8AF9-40074ECE6C3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A545</xm:sqref>
        </x14:conditionalFormatting>
        <x14:conditionalFormatting xmlns:xm="http://schemas.microsoft.com/office/excel/2006/main">
          <x14:cfRule type="iconSet" priority="236" id="{FE986F79-0A0B-4357-ACB1-890FC67ED27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A546</xm:sqref>
        </x14:conditionalFormatting>
        <x14:conditionalFormatting xmlns:xm="http://schemas.microsoft.com/office/excel/2006/main">
          <x14:cfRule type="iconSet" priority="235" id="{2989FFCB-9D67-44B5-98F9-FE992929141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A547</xm:sqref>
        </x14:conditionalFormatting>
        <x14:conditionalFormatting xmlns:xm="http://schemas.microsoft.com/office/excel/2006/main">
          <x14:cfRule type="iconSet" priority="234" id="{436CF66A-C058-4B68-8E0B-68F6722B1D1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A548:A549</xm:sqref>
        </x14:conditionalFormatting>
        <x14:conditionalFormatting xmlns:xm="http://schemas.microsoft.com/office/excel/2006/main">
          <x14:cfRule type="iconSet" priority="233" id="{CCDF950C-35D1-4357-99E6-814B8084EA9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A550:A551</xm:sqref>
        </x14:conditionalFormatting>
        <x14:conditionalFormatting xmlns:xm="http://schemas.microsoft.com/office/excel/2006/main">
          <x14:cfRule type="iconSet" priority="232" id="{626D813C-3BC8-4481-BCB5-F6DF7EC4659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A552</xm:sqref>
        </x14:conditionalFormatting>
        <x14:conditionalFormatting xmlns:xm="http://schemas.microsoft.com/office/excel/2006/main">
          <x14:cfRule type="iconSet" priority="231" id="{548DE1E9-A9DB-44DB-BD17-A637E504932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A553</xm:sqref>
        </x14:conditionalFormatting>
        <x14:conditionalFormatting xmlns:xm="http://schemas.microsoft.com/office/excel/2006/main">
          <x14:cfRule type="iconSet" priority="230" id="{699E9BDE-8DB2-4A24-9417-704655D208D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A554</xm:sqref>
        </x14:conditionalFormatting>
        <x14:conditionalFormatting xmlns:xm="http://schemas.microsoft.com/office/excel/2006/main">
          <x14:cfRule type="iconSet" priority="229" id="{1D605BBA-7137-4173-982B-65B1A2CA249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A555</xm:sqref>
        </x14:conditionalFormatting>
        <x14:conditionalFormatting xmlns:xm="http://schemas.microsoft.com/office/excel/2006/main">
          <x14:cfRule type="iconSet" priority="228" id="{37F12F62-E89E-40FA-BBCE-631ECA8C2D8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A556</xm:sqref>
        </x14:conditionalFormatting>
        <x14:conditionalFormatting xmlns:xm="http://schemas.microsoft.com/office/excel/2006/main">
          <x14:cfRule type="iconSet" priority="227" id="{90050FED-8EDB-416E-9D6D-C0ED58D500A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A557</xm:sqref>
        </x14:conditionalFormatting>
        <x14:conditionalFormatting xmlns:xm="http://schemas.microsoft.com/office/excel/2006/main">
          <x14:cfRule type="iconSet" priority="226" id="{C71BE45B-7B37-4E8D-8BBA-1FFD27E1345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A558</xm:sqref>
        </x14:conditionalFormatting>
        <x14:conditionalFormatting xmlns:xm="http://schemas.microsoft.com/office/excel/2006/main">
          <x14:cfRule type="iconSet" priority="225" id="{D6B351C7-F783-473B-929F-85A735551C2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A559</xm:sqref>
        </x14:conditionalFormatting>
        <x14:conditionalFormatting xmlns:xm="http://schemas.microsoft.com/office/excel/2006/main">
          <x14:cfRule type="iconSet" priority="224" id="{1048203A-FDE8-496A-9A03-C1F67BF30E1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A560</xm:sqref>
        </x14:conditionalFormatting>
        <x14:conditionalFormatting xmlns:xm="http://schemas.microsoft.com/office/excel/2006/main">
          <x14:cfRule type="iconSet" priority="223" id="{C3F1813F-09B3-4F6E-8108-4ECCEDBBEB6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A561</xm:sqref>
        </x14:conditionalFormatting>
        <x14:conditionalFormatting xmlns:xm="http://schemas.microsoft.com/office/excel/2006/main">
          <x14:cfRule type="iconSet" priority="222" id="{31C077F1-710B-49DE-B213-E6100B8881B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A562</xm:sqref>
        </x14:conditionalFormatting>
        <x14:conditionalFormatting xmlns:xm="http://schemas.microsoft.com/office/excel/2006/main">
          <x14:cfRule type="iconSet" priority="221" id="{E95D0A3D-61A3-4909-B761-E338F2D5EF9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A563</xm:sqref>
        </x14:conditionalFormatting>
        <x14:conditionalFormatting xmlns:xm="http://schemas.microsoft.com/office/excel/2006/main">
          <x14:cfRule type="iconSet" priority="220" id="{9D28F740-0C08-48E4-8BDF-5A4191BB8B5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A564</xm:sqref>
        </x14:conditionalFormatting>
        <x14:conditionalFormatting xmlns:xm="http://schemas.microsoft.com/office/excel/2006/main">
          <x14:cfRule type="iconSet" priority="219" id="{A43926F3-0BAB-4DC0-AA5F-56ABE3CC87A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A565</xm:sqref>
        </x14:conditionalFormatting>
        <x14:conditionalFormatting xmlns:xm="http://schemas.microsoft.com/office/excel/2006/main">
          <x14:cfRule type="iconSet" priority="218" id="{1A4E3550-5602-4116-9294-29BEAEE19A7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A566</xm:sqref>
        </x14:conditionalFormatting>
        <x14:conditionalFormatting xmlns:xm="http://schemas.microsoft.com/office/excel/2006/main">
          <x14:cfRule type="iconSet" priority="217" id="{F5B930A0-5660-4BF5-A5A4-7922E2643FC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A567</xm:sqref>
        </x14:conditionalFormatting>
        <x14:conditionalFormatting xmlns:xm="http://schemas.microsoft.com/office/excel/2006/main">
          <x14:cfRule type="iconSet" priority="216" id="{274DAAAB-D0E4-4877-B80E-E3B9E1C118D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A568</xm:sqref>
        </x14:conditionalFormatting>
        <x14:conditionalFormatting xmlns:xm="http://schemas.microsoft.com/office/excel/2006/main">
          <x14:cfRule type="iconSet" priority="215" id="{5FDB1DCE-4A17-46B0-BFA4-3EFA1209033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A569</xm:sqref>
        </x14:conditionalFormatting>
        <x14:conditionalFormatting xmlns:xm="http://schemas.microsoft.com/office/excel/2006/main">
          <x14:cfRule type="iconSet" priority="214" id="{AAE6EA1C-B33B-4CAD-8FDD-F69D82076EB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A570</xm:sqref>
        </x14:conditionalFormatting>
        <x14:conditionalFormatting xmlns:xm="http://schemas.microsoft.com/office/excel/2006/main">
          <x14:cfRule type="iconSet" priority="213" id="{EF49B574-902D-4591-BE9B-F89F3AF735D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A571:A573</xm:sqref>
        </x14:conditionalFormatting>
        <x14:conditionalFormatting xmlns:xm="http://schemas.microsoft.com/office/excel/2006/main">
          <x14:cfRule type="iconSet" priority="210" id="{EC11281C-618E-4285-A0F3-CC9E094B528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A574</xm:sqref>
        </x14:conditionalFormatting>
        <x14:conditionalFormatting xmlns:xm="http://schemas.microsoft.com/office/excel/2006/main">
          <x14:cfRule type="iconSet" priority="209" id="{D16BA170-3770-48DE-A286-8BAEC9BDAE2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A575:A576</xm:sqref>
        </x14:conditionalFormatting>
        <x14:conditionalFormatting xmlns:xm="http://schemas.microsoft.com/office/excel/2006/main">
          <x14:cfRule type="iconSet" priority="207" id="{DAF950F1-B056-4C8D-9C96-49ED4757C1D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A577</xm:sqref>
        </x14:conditionalFormatting>
        <x14:conditionalFormatting xmlns:xm="http://schemas.microsoft.com/office/excel/2006/main">
          <x14:cfRule type="iconSet" priority="206" id="{B6964D0C-5A98-4594-95FF-3F97334E3AE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A578</xm:sqref>
        </x14:conditionalFormatting>
        <x14:conditionalFormatting xmlns:xm="http://schemas.microsoft.com/office/excel/2006/main">
          <x14:cfRule type="iconSet" priority="205" id="{7762975A-8A93-4A08-92C1-8CCC9C46705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A579</xm:sqref>
        </x14:conditionalFormatting>
        <x14:conditionalFormatting xmlns:xm="http://schemas.microsoft.com/office/excel/2006/main">
          <x14:cfRule type="iconSet" priority="204" id="{48FB918C-859A-41B0-A6DC-3719ECD3A38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A580</xm:sqref>
        </x14:conditionalFormatting>
        <x14:conditionalFormatting xmlns:xm="http://schemas.microsoft.com/office/excel/2006/main">
          <x14:cfRule type="iconSet" priority="202" id="{31AF3874-9A67-49D3-87C1-3E3F1E1A553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A581</xm:sqref>
        </x14:conditionalFormatting>
        <x14:conditionalFormatting xmlns:xm="http://schemas.microsoft.com/office/excel/2006/main">
          <x14:cfRule type="iconSet" priority="201" id="{F3D74626-5F99-4BE6-8480-70A1EA4ECF7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A582</xm:sqref>
        </x14:conditionalFormatting>
        <x14:conditionalFormatting xmlns:xm="http://schemas.microsoft.com/office/excel/2006/main">
          <x14:cfRule type="iconSet" priority="200" id="{27E262F3-6350-4A19-8B55-972DDAE5DCE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A583</xm:sqref>
        </x14:conditionalFormatting>
        <x14:conditionalFormatting xmlns:xm="http://schemas.microsoft.com/office/excel/2006/main">
          <x14:cfRule type="iconSet" priority="199" id="{FD3E7C85-80C3-4EEC-A4C7-F726EC34D2C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A584</xm:sqref>
        </x14:conditionalFormatting>
        <x14:conditionalFormatting xmlns:xm="http://schemas.microsoft.com/office/excel/2006/main">
          <x14:cfRule type="iconSet" priority="198" id="{8BBA4FC0-E136-4548-BFE9-F189366C52E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A585</xm:sqref>
        </x14:conditionalFormatting>
        <x14:conditionalFormatting xmlns:xm="http://schemas.microsoft.com/office/excel/2006/main">
          <x14:cfRule type="iconSet" priority="197" id="{54834A5F-24D2-4F58-8947-80C480E6455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A586</xm:sqref>
        </x14:conditionalFormatting>
        <x14:conditionalFormatting xmlns:xm="http://schemas.microsoft.com/office/excel/2006/main">
          <x14:cfRule type="iconSet" priority="196" id="{DAD284AB-5B94-4CC2-8A2A-4E8E6BB1C6F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A587</xm:sqref>
        </x14:conditionalFormatting>
        <x14:conditionalFormatting xmlns:xm="http://schemas.microsoft.com/office/excel/2006/main">
          <x14:cfRule type="iconSet" priority="195" id="{8BD0F702-537B-41C5-9A74-12225FE741B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A588</xm:sqref>
        </x14:conditionalFormatting>
        <x14:conditionalFormatting xmlns:xm="http://schemas.microsoft.com/office/excel/2006/main">
          <x14:cfRule type="iconSet" priority="194" id="{49D0EA57-6B84-42C9-B316-54F3F1BCC41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A589</xm:sqref>
        </x14:conditionalFormatting>
        <x14:conditionalFormatting xmlns:xm="http://schemas.microsoft.com/office/excel/2006/main">
          <x14:cfRule type="iconSet" priority="193" id="{810208DB-9FE7-48EC-9288-630EFF046EF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A590</xm:sqref>
        </x14:conditionalFormatting>
        <x14:conditionalFormatting xmlns:xm="http://schemas.microsoft.com/office/excel/2006/main">
          <x14:cfRule type="iconSet" priority="192" id="{501E9ABD-256F-4C3F-868D-741E9E65FA7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A591</xm:sqref>
        </x14:conditionalFormatting>
        <x14:conditionalFormatting xmlns:xm="http://schemas.microsoft.com/office/excel/2006/main">
          <x14:cfRule type="iconSet" priority="190" id="{E6A7C4B4-442E-4DE0-BB39-CAC0C663193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A592</xm:sqref>
        </x14:conditionalFormatting>
        <x14:conditionalFormatting xmlns:xm="http://schemas.microsoft.com/office/excel/2006/main">
          <x14:cfRule type="iconSet" priority="189" id="{0BDC8711-18F7-42E9-8782-542BF1475F1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A593</xm:sqref>
        </x14:conditionalFormatting>
        <x14:conditionalFormatting xmlns:xm="http://schemas.microsoft.com/office/excel/2006/main">
          <x14:cfRule type="iconSet" priority="188" id="{F02E3253-5B18-42E0-88B0-F8C92BC12C2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A594</xm:sqref>
        </x14:conditionalFormatting>
        <x14:conditionalFormatting xmlns:xm="http://schemas.microsoft.com/office/excel/2006/main">
          <x14:cfRule type="iconSet" priority="187" id="{72CB1349-566D-4317-B165-E9FBA60C40A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A595</xm:sqref>
        </x14:conditionalFormatting>
        <x14:conditionalFormatting xmlns:xm="http://schemas.microsoft.com/office/excel/2006/main">
          <x14:cfRule type="iconSet" priority="186" id="{27D0EA85-ED60-47F0-BCF1-E64F20AD99B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A596</xm:sqref>
        </x14:conditionalFormatting>
        <x14:conditionalFormatting xmlns:xm="http://schemas.microsoft.com/office/excel/2006/main">
          <x14:cfRule type="iconSet" priority="185" id="{D251D77B-5373-4B1C-B654-1BD3016EC49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A597</xm:sqref>
        </x14:conditionalFormatting>
        <x14:conditionalFormatting xmlns:xm="http://schemas.microsoft.com/office/excel/2006/main">
          <x14:cfRule type="iconSet" priority="184" id="{36BA7C7F-50B0-4572-9EC7-F8023D0B5E7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A598</xm:sqref>
        </x14:conditionalFormatting>
        <x14:conditionalFormatting xmlns:xm="http://schemas.microsoft.com/office/excel/2006/main">
          <x14:cfRule type="iconSet" priority="183" id="{77AC081F-5F08-4B91-9BEA-735465386CA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A599</xm:sqref>
        </x14:conditionalFormatting>
        <x14:conditionalFormatting xmlns:xm="http://schemas.microsoft.com/office/excel/2006/main">
          <x14:cfRule type="iconSet" priority="182" id="{41BE5AD3-C4AA-4094-BCE1-E98B0D15BEB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A600</xm:sqref>
        </x14:conditionalFormatting>
        <x14:conditionalFormatting xmlns:xm="http://schemas.microsoft.com/office/excel/2006/main">
          <x14:cfRule type="iconSet" priority="181" id="{C94A228F-7FD4-4C23-8225-DF97FA1D40E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A601</xm:sqref>
        </x14:conditionalFormatting>
        <x14:conditionalFormatting xmlns:xm="http://schemas.microsoft.com/office/excel/2006/main">
          <x14:cfRule type="iconSet" priority="180" id="{0C8AD4C4-22CD-43A6-81CB-01B344F5689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A602</xm:sqref>
        </x14:conditionalFormatting>
        <x14:conditionalFormatting xmlns:xm="http://schemas.microsoft.com/office/excel/2006/main">
          <x14:cfRule type="iconSet" priority="177" id="{8D0808C2-2E07-4269-9F78-A66B846CFBA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A606:A609</xm:sqref>
        </x14:conditionalFormatting>
        <x14:conditionalFormatting xmlns:xm="http://schemas.microsoft.com/office/excel/2006/main">
          <x14:cfRule type="iconSet" priority="176" id="{579B68EB-6CB6-4438-8AFE-FAFE3D822AF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A603:A604</xm:sqref>
        </x14:conditionalFormatting>
        <x14:conditionalFormatting xmlns:xm="http://schemas.microsoft.com/office/excel/2006/main">
          <x14:cfRule type="iconSet" priority="178" id="{0CC55B31-B3FC-478A-A49B-2714A477EC1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A605</xm:sqref>
        </x14:conditionalFormatting>
        <x14:conditionalFormatting xmlns:xm="http://schemas.microsoft.com/office/excel/2006/main">
          <x14:cfRule type="iconSet" priority="151" id="{0D0C6640-D6FC-4544-8EF8-E158C825AAD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A610</xm:sqref>
        </x14:conditionalFormatting>
        <x14:conditionalFormatting xmlns:xm="http://schemas.microsoft.com/office/excel/2006/main">
          <x14:cfRule type="iconSet" priority="150" id="{F65D95D9-8BD2-4B12-9716-9F5EDF29BC1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A611</xm:sqref>
        </x14:conditionalFormatting>
        <x14:conditionalFormatting xmlns:xm="http://schemas.microsoft.com/office/excel/2006/main">
          <x14:cfRule type="iconSet" priority="149" id="{4A854F11-1E31-407F-AF46-35AA5747F8C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A613</xm:sqref>
        </x14:conditionalFormatting>
        <x14:conditionalFormatting xmlns:xm="http://schemas.microsoft.com/office/excel/2006/main">
          <x14:cfRule type="iconSet" priority="148" id="{AF0336F6-6448-47C9-8115-A5CE3756DFA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A612</xm:sqref>
        </x14:conditionalFormatting>
        <x14:conditionalFormatting xmlns:xm="http://schemas.microsoft.com/office/excel/2006/main">
          <x14:cfRule type="iconSet" priority="147" id="{83B64A8C-C3CB-4F8C-ABD1-F2FF5271B45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A614</xm:sqref>
        </x14:conditionalFormatting>
        <x14:conditionalFormatting xmlns:xm="http://schemas.microsoft.com/office/excel/2006/main">
          <x14:cfRule type="iconSet" priority="146" id="{B2A36E95-DB1D-442B-888D-1E829562BE9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A615</xm:sqref>
        </x14:conditionalFormatting>
        <x14:conditionalFormatting xmlns:xm="http://schemas.microsoft.com/office/excel/2006/main">
          <x14:cfRule type="iconSet" priority="145" id="{8F1B82E0-4074-4AD8-87C8-C610B1192CC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A616</xm:sqref>
        </x14:conditionalFormatting>
        <x14:conditionalFormatting xmlns:xm="http://schemas.microsoft.com/office/excel/2006/main">
          <x14:cfRule type="iconSet" priority="144" id="{B03CB274-D8AF-40A5-AA74-3AC6DE5755E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A617</xm:sqref>
        </x14:conditionalFormatting>
        <x14:conditionalFormatting xmlns:xm="http://schemas.microsoft.com/office/excel/2006/main">
          <x14:cfRule type="iconSet" priority="140" id="{E129B83A-53FD-4FA9-98E6-0249FAF8A2E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A618</xm:sqref>
        </x14:conditionalFormatting>
        <x14:conditionalFormatting xmlns:xm="http://schemas.microsoft.com/office/excel/2006/main">
          <x14:cfRule type="iconSet" priority="139" id="{87996D18-C9C3-4458-9F1E-903BEF4C2BE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A619</xm:sqref>
        </x14:conditionalFormatting>
        <x14:conditionalFormatting xmlns:xm="http://schemas.microsoft.com/office/excel/2006/main">
          <x14:cfRule type="iconSet" priority="137" id="{CDAC8826-4BB6-4E6E-87F8-C6AD3D64643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A620</xm:sqref>
        </x14:conditionalFormatting>
        <x14:conditionalFormatting xmlns:xm="http://schemas.microsoft.com/office/excel/2006/main">
          <x14:cfRule type="iconSet" priority="136" id="{DEB5F6B9-D788-4A25-9005-6F056F60FE3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A621:A622</xm:sqref>
        </x14:conditionalFormatting>
        <x14:conditionalFormatting xmlns:xm="http://schemas.microsoft.com/office/excel/2006/main">
          <x14:cfRule type="iconSet" priority="134" id="{2527F117-62A1-46CC-9AC8-638DD90551F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A623</xm:sqref>
        </x14:conditionalFormatting>
        <x14:conditionalFormatting xmlns:xm="http://schemas.microsoft.com/office/excel/2006/main">
          <x14:cfRule type="iconSet" priority="131" id="{2A0A3008-7B5B-4F96-BA92-662378B6148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A624</xm:sqref>
        </x14:conditionalFormatting>
        <x14:conditionalFormatting xmlns:xm="http://schemas.microsoft.com/office/excel/2006/main">
          <x14:cfRule type="iconSet" priority="130" id="{A76016AF-6EEA-44C9-B9BD-425B33BBDC3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A625</xm:sqref>
        </x14:conditionalFormatting>
        <x14:conditionalFormatting xmlns:xm="http://schemas.microsoft.com/office/excel/2006/main">
          <x14:cfRule type="iconSet" priority="129" id="{AC0A33EE-953E-4E5C-A94E-69143708A7C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A626</xm:sqref>
        </x14:conditionalFormatting>
        <x14:conditionalFormatting xmlns:xm="http://schemas.microsoft.com/office/excel/2006/main">
          <x14:cfRule type="iconSet" priority="128" id="{EE2B7605-B6D3-4CAC-A6A7-82A9B581502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A627</xm:sqref>
        </x14:conditionalFormatting>
        <x14:conditionalFormatting xmlns:xm="http://schemas.microsoft.com/office/excel/2006/main">
          <x14:cfRule type="iconSet" priority="127" id="{40363B11-3220-49C1-95A0-D68FBBEE667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A628</xm:sqref>
        </x14:conditionalFormatting>
        <x14:conditionalFormatting xmlns:xm="http://schemas.microsoft.com/office/excel/2006/main">
          <x14:cfRule type="iconSet" priority="126" id="{2E787339-E336-4FF2-8471-F42900974BC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A629</xm:sqref>
        </x14:conditionalFormatting>
        <x14:conditionalFormatting xmlns:xm="http://schemas.microsoft.com/office/excel/2006/main">
          <x14:cfRule type="iconSet" priority="125" id="{03FB9C44-16B0-44F5-B180-0120F3E649E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A630</xm:sqref>
        </x14:conditionalFormatting>
        <x14:conditionalFormatting xmlns:xm="http://schemas.microsoft.com/office/excel/2006/main">
          <x14:cfRule type="iconSet" priority="124" id="{EF16C680-C627-4BB7-8BC3-4A4A3E95D2B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A631</xm:sqref>
        </x14:conditionalFormatting>
        <x14:conditionalFormatting xmlns:xm="http://schemas.microsoft.com/office/excel/2006/main">
          <x14:cfRule type="iconSet" priority="123" id="{549877BF-894C-4051-9BF7-4C6367AAAB3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A632</xm:sqref>
        </x14:conditionalFormatting>
        <x14:conditionalFormatting xmlns:xm="http://schemas.microsoft.com/office/excel/2006/main">
          <x14:cfRule type="iconSet" priority="122" id="{7F5DA97E-C0CF-4F9C-ADED-6D0B931D7C0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A633</xm:sqref>
        </x14:conditionalFormatting>
        <x14:conditionalFormatting xmlns:xm="http://schemas.microsoft.com/office/excel/2006/main">
          <x14:cfRule type="iconSet" priority="121" id="{7459A838-6658-4A3E-957A-2BFCCCCA196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A634</xm:sqref>
        </x14:conditionalFormatting>
        <x14:conditionalFormatting xmlns:xm="http://schemas.microsoft.com/office/excel/2006/main">
          <x14:cfRule type="iconSet" priority="120" id="{1E753BDC-7DA0-48E2-A91F-A716BE7F00F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A635:A637</xm:sqref>
        </x14:conditionalFormatting>
        <x14:conditionalFormatting xmlns:xm="http://schemas.microsoft.com/office/excel/2006/main">
          <x14:cfRule type="iconSet" priority="119" id="{AA2162BC-F762-4427-9DCE-543AFB8A718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A638</xm:sqref>
        </x14:conditionalFormatting>
        <x14:conditionalFormatting xmlns:xm="http://schemas.microsoft.com/office/excel/2006/main">
          <x14:cfRule type="iconSet" priority="118" id="{ADCB9134-FED0-4C06-93B5-02D0C6CC770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A639</xm:sqref>
        </x14:conditionalFormatting>
        <x14:conditionalFormatting xmlns:xm="http://schemas.microsoft.com/office/excel/2006/main">
          <x14:cfRule type="iconSet" priority="117" id="{D6C4BD3A-013C-4EED-99A4-97C71F1954E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A640</xm:sqref>
        </x14:conditionalFormatting>
        <x14:conditionalFormatting xmlns:xm="http://schemas.microsoft.com/office/excel/2006/main">
          <x14:cfRule type="iconSet" priority="116" id="{A27C3F1E-04E1-41D4-82FA-C4DE5235F85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A641</xm:sqref>
        </x14:conditionalFormatting>
        <x14:conditionalFormatting xmlns:xm="http://schemas.microsoft.com/office/excel/2006/main">
          <x14:cfRule type="iconSet" priority="115" id="{B71FB35E-955F-4C27-955F-8AE2DCD2DEC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A642</xm:sqref>
        </x14:conditionalFormatting>
        <x14:conditionalFormatting xmlns:xm="http://schemas.microsoft.com/office/excel/2006/main">
          <x14:cfRule type="iconSet" priority="114" id="{E9329610-E2E2-4ECC-A377-D94EC067A69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A643</xm:sqref>
        </x14:conditionalFormatting>
        <x14:conditionalFormatting xmlns:xm="http://schemas.microsoft.com/office/excel/2006/main">
          <x14:cfRule type="iconSet" priority="113" id="{0EF25AB6-105E-4AD1-A2C6-9B3B1133023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A644</xm:sqref>
        </x14:conditionalFormatting>
        <x14:conditionalFormatting xmlns:xm="http://schemas.microsoft.com/office/excel/2006/main">
          <x14:cfRule type="iconSet" priority="112" id="{E34E12AA-939C-4976-A592-0344DCBB686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A645</xm:sqref>
        </x14:conditionalFormatting>
        <x14:conditionalFormatting xmlns:xm="http://schemas.microsoft.com/office/excel/2006/main">
          <x14:cfRule type="iconSet" priority="111" id="{5CACED6E-0434-42F4-901A-60F9A912392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A646</xm:sqref>
        </x14:conditionalFormatting>
        <x14:conditionalFormatting xmlns:xm="http://schemas.microsoft.com/office/excel/2006/main">
          <x14:cfRule type="iconSet" priority="110" id="{77E8B85E-D26D-4C02-A09C-98DAA410B78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A647</xm:sqref>
        </x14:conditionalFormatting>
        <x14:conditionalFormatting xmlns:xm="http://schemas.microsoft.com/office/excel/2006/main">
          <x14:cfRule type="iconSet" priority="109" id="{EFDAF4EA-DBE6-4B88-B7AD-1EAB6F77169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A648</xm:sqref>
        </x14:conditionalFormatting>
        <x14:conditionalFormatting xmlns:xm="http://schemas.microsoft.com/office/excel/2006/main">
          <x14:cfRule type="iconSet" priority="108" id="{6645E48F-5217-43CC-9B16-1B872DD7282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A649</xm:sqref>
        </x14:conditionalFormatting>
        <x14:conditionalFormatting xmlns:xm="http://schemas.microsoft.com/office/excel/2006/main">
          <x14:cfRule type="iconSet" priority="107" id="{C3459705-5B0E-4A68-A9BC-D729A4CDA0B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A650</xm:sqref>
        </x14:conditionalFormatting>
        <x14:conditionalFormatting xmlns:xm="http://schemas.microsoft.com/office/excel/2006/main">
          <x14:cfRule type="iconSet" priority="106" id="{198F9836-E7AD-4444-B410-762F6C9F8E6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A651</xm:sqref>
        </x14:conditionalFormatting>
        <x14:conditionalFormatting xmlns:xm="http://schemas.microsoft.com/office/excel/2006/main">
          <x14:cfRule type="iconSet" priority="105" id="{DC28ADD7-25BF-44AB-BC89-D5D16D9D923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A652</xm:sqref>
        </x14:conditionalFormatting>
        <x14:conditionalFormatting xmlns:xm="http://schemas.microsoft.com/office/excel/2006/main">
          <x14:cfRule type="iconSet" priority="104" id="{66A5B71B-C43C-488A-B2B2-94F6F9039EA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A654</xm:sqref>
        </x14:conditionalFormatting>
        <x14:conditionalFormatting xmlns:xm="http://schemas.microsoft.com/office/excel/2006/main">
          <x14:cfRule type="iconSet" priority="102" id="{A5EED883-0294-4EF9-A722-A568DA218A5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A655</xm:sqref>
        </x14:conditionalFormatting>
        <x14:conditionalFormatting xmlns:xm="http://schemas.microsoft.com/office/excel/2006/main">
          <x14:cfRule type="iconSet" priority="101" id="{AEA072B1-8B69-4CD6-98BB-DC043645EAD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A656</xm:sqref>
        </x14:conditionalFormatting>
        <x14:conditionalFormatting xmlns:xm="http://schemas.microsoft.com/office/excel/2006/main">
          <x14:cfRule type="iconSet" priority="100" id="{445A7CBE-4DFA-4208-B1FF-64363462713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A657</xm:sqref>
        </x14:conditionalFormatting>
        <x14:conditionalFormatting xmlns:xm="http://schemas.microsoft.com/office/excel/2006/main">
          <x14:cfRule type="iconSet" priority="99" id="{2F24486C-DC95-4756-85C4-C2F95B0BF96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A658</xm:sqref>
        </x14:conditionalFormatting>
        <x14:conditionalFormatting xmlns:xm="http://schemas.microsoft.com/office/excel/2006/main">
          <x14:cfRule type="iconSet" priority="98" id="{D4DF383D-2C82-45A1-BAB6-6AE43D0C19B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A659</xm:sqref>
        </x14:conditionalFormatting>
        <x14:conditionalFormatting xmlns:xm="http://schemas.microsoft.com/office/excel/2006/main">
          <x14:cfRule type="iconSet" priority="97" id="{715985E0-7C3D-42C7-B70C-7DD43DD31CE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A660</xm:sqref>
        </x14:conditionalFormatting>
        <x14:conditionalFormatting xmlns:xm="http://schemas.microsoft.com/office/excel/2006/main">
          <x14:cfRule type="iconSet" priority="96" id="{0304C3AF-9952-4004-96C8-6E381755B72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A661</xm:sqref>
        </x14:conditionalFormatting>
        <x14:conditionalFormatting xmlns:xm="http://schemas.microsoft.com/office/excel/2006/main">
          <x14:cfRule type="iconSet" priority="95" id="{8B12796E-9A28-43B8-924F-46391A6D27E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A662</xm:sqref>
        </x14:conditionalFormatting>
        <x14:conditionalFormatting xmlns:xm="http://schemas.microsoft.com/office/excel/2006/main">
          <x14:cfRule type="iconSet" priority="94" id="{91F705B6-C9B8-4105-BAA2-EF90447E5BD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A663</xm:sqref>
        </x14:conditionalFormatting>
        <x14:conditionalFormatting xmlns:xm="http://schemas.microsoft.com/office/excel/2006/main">
          <x14:cfRule type="iconSet" priority="93" id="{44BE762A-3C6D-4845-B89E-291A70C9E84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A664</xm:sqref>
        </x14:conditionalFormatting>
        <x14:conditionalFormatting xmlns:xm="http://schemas.microsoft.com/office/excel/2006/main">
          <x14:cfRule type="iconSet" priority="92" id="{6A029C21-1635-4599-98CE-3E9251238CA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A665</xm:sqref>
        </x14:conditionalFormatting>
        <x14:conditionalFormatting xmlns:xm="http://schemas.microsoft.com/office/excel/2006/main">
          <x14:cfRule type="iconSet" priority="91" id="{BF64EC8D-4F01-48DD-A7DB-6CED4D0AE88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A666</xm:sqref>
        </x14:conditionalFormatting>
        <x14:conditionalFormatting xmlns:xm="http://schemas.microsoft.com/office/excel/2006/main">
          <x14:cfRule type="iconSet" priority="90" id="{5342E761-D451-431D-8B5D-2F9E77885B1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A653</xm:sqref>
        </x14:conditionalFormatting>
        <x14:conditionalFormatting xmlns:xm="http://schemas.microsoft.com/office/excel/2006/main">
          <x14:cfRule type="iconSet" priority="88" id="{DD956439-96B4-4AB1-AE69-6710E51272F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A667</xm:sqref>
        </x14:conditionalFormatting>
        <x14:conditionalFormatting xmlns:xm="http://schemas.microsoft.com/office/excel/2006/main">
          <x14:cfRule type="iconSet" priority="87" id="{BDBA801B-7EB1-485C-B481-96ACB101373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A668</xm:sqref>
        </x14:conditionalFormatting>
        <x14:conditionalFormatting xmlns:xm="http://schemas.microsoft.com/office/excel/2006/main">
          <x14:cfRule type="iconSet" priority="86" id="{4AEF46B4-D3CC-42FD-AA6B-EBF98B46CB4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A669</xm:sqref>
        </x14:conditionalFormatting>
        <x14:conditionalFormatting xmlns:xm="http://schemas.microsoft.com/office/excel/2006/main">
          <x14:cfRule type="iconSet" priority="85" id="{49B81752-948A-4E8D-B187-69C76FCE666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A670</xm:sqref>
        </x14:conditionalFormatting>
        <x14:conditionalFormatting xmlns:xm="http://schemas.microsoft.com/office/excel/2006/main">
          <x14:cfRule type="iconSet" priority="84" id="{99285DB3-F01C-4126-B0C2-DFAD77D63F6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A671</xm:sqref>
        </x14:conditionalFormatting>
        <x14:conditionalFormatting xmlns:xm="http://schemas.microsoft.com/office/excel/2006/main">
          <x14:cfRule type="iconSet" priority="83" id="{A6D9161D-1C1B-47EF-A1D7-8F55040A2E0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A672</xm:sqref>
        </x14:conditionalFormatting>
        <x14:conditionalFormatting xmlns:xm="http://schemas.microsoft.com/office/excel/2006/main">
          <x14:cfRule type="iconSet" priority="82" id="{A9B248C0-99D9-4EBA-9403-18AD340C23E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A673</xm:sqref>
        </x14:conditionalFormatting>
        <x14:conditionalFormatting xmlns:xm="http://schemas.microsoft.com/office/excel/2006/main">
          <x14:cfRule type="iconSet" priority="81" id="{E95C2EAE-E2DE-44A4-93D3-65F9C7225B1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A674</xm:sqref>
        </x14:conditionalFormatting>
        <x14:conditionalFormatting xmlns:xm="http://schemas.microsoft.com/office/excel/2006/main">
          <x14:cfRule type="iconSet" priority="80" id="{9B634501-93D9-4529-911E-42B03870176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A675</xm:sqref>
        </x14:conditionalFormatting>
        <x14:conditionalFormatting xmlns:xm="http://schemas.microsoft.com/office/excel/2006/main">
          <x14:cfRule type="iconSet" priority="79" id="{B10C68B2-F7A8-4D63-958A-AA830959E4D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A676</xm:sqref>
        </x14:conditionalFormatting>
        <x14:conditionalFormatting xmlns:xm="http://schemas.microsoft.com/office/excel/2006/main">
          <x14:cfRule type="iconSet" priority="78" id="{FB885C27-FFC7-4F58-BE59-BE14914D714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A677:A678</xm:sqref>
        </x14:conditionalFormatting>
        <x14:conditionalFormatting xmlns:xm="http://schemas.microsoft.com/office/excel/2006/main">
          <x14:cfRule type="iconSet" priority="77" id="{A53EED05-56B2-4C78-928A-2D761D27818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A679</xm:sqref>
        </x14:conditionalFormatting>
        <x14:conditionalFormatting xmlns:xm="http://schemas.microsoft.com/office/excel/2006/main">
          <x14:cfRule type="iconSet" priority="76" id="{30AF8A8F-F29A-43BD-A8F0-9758E3E3934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A680</xm:sqref>
        </x14:conditionalFormatting>
        <x14:conditionalFormatting xmlns:xm="http://schemas.microsoft.com/office/excel/2006/main">
          <x14:cfRule type="iconSet" priority="75" id="{F8A949B5-E6C2-43E9-BF07-3B1E159739D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A681</xm:sqref>
        </x14:conditionalFormatting>
        <x14:conditionalFormatting xmlns:xm="http://schemas.microsoft.com/office/excel/2006/main">
          <x14:cfRule type="iconSet" priority="74" id="{F8A80948-9F55-4E8F-9D27-F5712EF1F7C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A682</xm:sqref>
        </x14:conditionalFormatting>
        <x14:conditionalFormatting xmlns:xm="http://schemas.microsoft.com/office/excel/2006/main">
          <x14:cfRule type="iconSet" priority="73" id="{B88ADC7D-528A-43E6-9885-8FF40D360C3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A683</xm:sqref>
        </x14:conditionalFormatting>
        <x14:conditionalFormatting xmlns:xm="http://schemas.microsoft.com/office/excel/2006/main">
          <x14:cfRule type="iconSet" priority="72" id="{FDF24F22-107F-4C48-9977-EE0D8432002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A684</xm:sqref>
        </x14:conditionalFormatting>
        <x14:conditionalFormatting xmlns:xm="http://schemas.microsoft.com/office/excel/2006/main">
          <x14:cfRule type="iconSet" priority="71" id="{3F458F43-5EAF-4FDA-99F7-9C4FAE55F47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A685</xm:sqref>
        </x14:conditionalFormatting>
        <x14:conditionalFormatting xmlns:xm="http://schemas.microsoft.com/office/excel/2006/main">
          <x14:cfRule type="iconSet" priority="70" id="{3D0BFCE6-308B-4D9B-8EAC-C7FCAC41F04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A686</xm:sqref>
        </x14:conditionalFormatting>
        <x14:conditionalFormatting xmlns:xm="http://schemas.microsoft.com/office/excel/2006/main">
          <x14:cfRule type="iconSet" priority="69" id="{1A7DF923-55A0-4802-B207-29385C6EC89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A687</xm:sqref>
        </x14:conditionalFormatting>
        <x14:conditionalFormatting xmlns:xm="http://schemas.microsoft.com/office/excel/2006/main">
          <x14:cfRule type="iconSet" priority="68" id="{C58590D9-4557-4DB8-B08B-B5803E9912B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A688</xm:sqref>
        </x14:conditionalFormatting>
        <x14:conditionalFormatting xmlns:xm="http://schemas.microsoft.com/office/excel/2006/main">
          <x14:cfRule type="iconSet" priority="67" id="{5CED46C3-8798-42E0-B8E7-456CA5033F6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A689</xm:sqref>
        </x14:conditionalFormatting>
        <x14:conditionalFormatting xmlns:xm="http://schemas.microsoft.com/office/excel/2006/main">
          <x14:cfRule type="iconSet" priority="66" id="{4D282610-7C52-4773-92C2-B48A3F3EAAB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A690</xm:sqref>
        </x14:conditionalFormatting>
        <x14:conditionalFormatting xmlns:xm="http://schemas.microsoft.com/office/excel/2006/main">
          <x14:cfRule type="iconSet" priority="63" id="{1B82C610-3B89-4410-B7B8-77B9D92B0FE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A692</xm:sqref>
        </x14:conditionalFormatting>
        <x14:conditionalFormatting xmlns:xm="http://schemas.microsoft.com/office/excel/2006/main">
          <x14:cfRule type="iconSet" priority="62" id="{F3A83FB7-81DB-4B09-AA22-B090B34F954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A693</xm:sqref>
        </x14:conditionalFormatting>
        <x14:conditionalFormatting xmlns:xm="http://schemas.microsoft.com/office/excel/2006/main">
          <x14:cfRule type="iconSet" priority="61" id="{5FA3F3D3-8F17-4F03-985B-F8A6E2BE7A0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A694</xm:sqref>
        </x14:conditionalFormatting>
        <x14:conditionalFormatting xmlns:xm="http://schemas.microsoft.com/office/excel/2006/main">
          <x14:cfRule type="iconSet" priority="60" id="{BCD48EF9-6EBC-4475-9379-91831940F01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A695</xm:sqref>
        </x14:conditionalFormatting>
        <x14:conditionalFormatting xmlns:xm="http://schemas.microsoft.com/office/excel/2006/main">
          <x14:cfRule type="iconSet" priority="59" id="{296AEA7E-BA63-4188-A052-CF5F13891E0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A696</xm:sqref>
        </x14:conditionalFormatting>
        <x14:conditionalFormatting xmlns:xm="http://schemas.microsoft.com/office/excel/2006/main">
          <x14:cfRule type="iconSet" priority="58" id="{D45F48EC-E5FF-4CEE-811C-CEE3C95183F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A697</xm:sqref>
        </x14:conditionalFormatting>
        <x14:conditionalFormatting xmlns:xm="http://schemas.microsoft.com/office/excel/2006/main">
          <x14:cfRule type="iconSet" priority="57" id="{2D5110E1-6B43-43A3-9A79-790EBC32C01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A698</xm:sqref>
        </x14:conditionalFormatting>
        <x14:conditionalFormatting xmlns:xm="http://schemas.microsoft.com/office/excel/2006/main">
          <x14:cfRule type="iconSet" priority="56" id="{8033390B-1B30-4604-AE90-FD1CF55F95A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A699</xm:sqref>
        </x14:conditionalFormatting>
        <x14:conditionalFormatting xmlns:xm="http://schemas.microsoft.com/office/excel/2006/main">
          <x14:cfRule type="iconSet" priority="55" id="{42D90785-994C-4BF3-A2F0-12BA7F13278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A700</xm:sqref>
        </x14:conditionalFormatting>
        <x14:conditionalFormatting xmlns:xm="http://schemas.microsoft.com/office/excel/2006/main">
          <x14:cfRule type="iconSet" priority="54" id="{3B99E291-5171-4639-AEA9-38BB42D94A4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A701</xm:sqref>
        </x14:conditionalFormatting>
        <x14:conditionalFormatting xmlns:xm="http://schemas.microsoft.com/office/excel/2006/main">
          <x14:cfRule type="iconSet" priority="53" id="{447D2B2B-1CEF-4BA1-A1C3-74C801017B3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A702</xm:sqref>
        </x14:conditionalFormatting>
        <x14:conditionalFormatting xmlns:xm="http://schemas.microsoft.com/office/excel/2006/main">
          <x14:cfRule type="iconSet" priority="52" id="{2B7AD111-3337-4ABB-8E02-2048935CFC0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A703</xm:sqref>
        </x14:conditionalFormatting>
        <x14:conditionalFormatting xmlns:xm="http://schemas.microsoft.com/office/excel/2006/main">
          <x14:cfRule type="iconSet" priority="51" id="{DF83C680-B6F6-4603-8BD8-D68E1DF54F4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A704</xm:sqref>
        </x14:conditionalFormatting>
        <x14:conditionalFormatting xmlns:xm="http://schemas.microsoft.com/office/excel/2006/main">
          <x14:cfRule type="iconSet" priority="50" id="{68E4030D-0889-4375-82BC-4C7063EEB25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A705</xm:sqref>
        </x14:conditionalFormatting>
        <x14:conditionalFormatting xmlns:xm="http://schemas.microsoft.com/office/excel/2006/main">
          <x14:cfRule type="iconSet" priority="49" id="{843A9AAD-7B87-4C6F-8FD6-3A5B400DEEA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A706</xm:sqref>
        </x14:conditionalFormatting>
        <x14:conditionalFormatting xmlns:xm="http://schemas.microsoft.com/office/excel/2006/main">
          <x14:cfRule type="iconSet" priority="48" id="{D91454F0-CD25-4F89-ADB1-CFE100F665D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A707</xm:sqref>
        </x14:conditionalFormatting>
        <x14:conditionalFormatting xmlns:xm="http://schemas.microsoft.com/office/excel/2006/main">
          <x14:cfRule type="iconSet" priority="47" id="{ED3D6252-3BC1-4A3A-B46F-065C78CA867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A708</xm:sqref>
        </x14:conditionalFormatting>
        <x14:conditionalFormatting xmlns:xm="http://schemas.microsoft.com/office/excel/2006/main">
          <x14:cfRule type="iconSet" priority="46" id="{582F4236-A6DE-44A0-A45B-46FD14AA726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A709</xm:sqref>
        </x14:conditionalFormatting>
        <x14:conditionalFormatting xmlns:xm="http://schemas.microsoft.com/office/excel/2006/main">
          <x14:cfRule type="iconSet" priority="45" id="{76A56CEE-6646-4EF3-8AE0-2994A7C4C38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A710</xm:sqref>
        </x14:conditionalFormatting>
        <x14:conditionalFormatting xmlns:xm="http://schemas.microsoft.com/office/excel/2006/main">
          <x14:cfRule type="iconSet" priority="44" id="{75B297C1-2848-4600-8BF7-D1DD36DAE49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A711</xm:sqref>
        </x14:conditionalFormatting>
        <x14:conditionalFormatting xmlns:xm="http://schemas.microsoft.com/office/excel/2006/main">
          <x14:cfRule type="iconSet" priority="43" id="{333CF7D4-27C6-4CC4-8059-C54DA4B194A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A712</xm:sqref>
        </x14:conditionalFormatting>
        <x14:conditionalFormatting xmlns:xm="http://schemas.microsoft.com/office/excel/2006/main">
          <x14:cfRule type="iconSet" priority="42" id="{312F33D5-CB6A-4D67-A4A7-1306F50FF86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A713</xm:sqref>
        </x14:conditionalFormatting>
        <x14:conditionalFormatting xmlns:xm="http://schemas.microsoft.com/office/excel/2006/main">
          <x14:cfRule type="iconSet" priority="41" id="{C893A005-01F6-4772-8318-957901E0D11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A714</xm:sqref>
        </x14:conditionalFormatting>
        <x14:conditionalFormatting xmlns:xm="http://schemas.microsoft.com/office/excel/2006/main">
          <x14:cfRule type="iconSet" priority="40" id="{D503EDBF-11A3-491B-8651-27258B79C72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A715</xm:sqref>
        </x14:conditionalFormatting>
        <x14:conditionalFormatting xmlns:xm="http://schemas.microsoft.com/office/excel/2006/main">
          <x14:cfRule type="iconSet" priority="39" id="{42F84A96-7427-4DAB-87C8-D8262C8D1A2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A716</xm:sqref>
        </x14:conditionalFormatting>
        <x14:conditionalFormatting xmlns:xm="http://schemas.microsoft.com/office/excel/2006/main">
          <x14:cfRule type="iconSet" priority="38" id="{60431669-EC4C-4EBA-AE19-A2410E11A24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A717</xm:sqref>
        </x14:conditionalFormatting>
        <x14:conditionalFormatting xmlns:xm="http://schemas.microsoft.com/office/excel/2006/main">
          <x14:cfRule type="iconSet" priority="37" id="{800538C6-5F38-4B85-9F41-928DEF83DF4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A718</xm:sqref>
        </x14:conditionalFormatting>
        <x14:conditionalFormatting xmlns:xm="http://schemas.microsoft.com/office/excel/2006/main">
          <x14:cfRule type="iconSet" priority="36" id="{7C13BB55-75B4-4F37-AA04-08D7E2FFEDD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A719:A720</xm:sqref>
        </x14:conditionalFormatting>
        <x14:conditionalFormatting xmlns:xm="http://schemas.microsoft.com/office/excel/2006/main">
          <x14:cfRule type="iconSet" priority="35" id="{85DD836D-53C7-4EDF-A5C4-699EDB6ABE2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A721</xm:sqref>
        </x14:conditionalFormatting>
        <x14:conditionalFormatting xmlns:xm="http://schemas.microsoft.com/office/excel/2006/main">
          <x14:cfRule type="iconSet" priority="34" id="{E7C0C6D1-CB13-4896-A376-C23C24FCFAB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A722</xm:sqref>
        </x14:conditionalFormatting>
        <x14:conditionalFormatting xmlns:xm="http://schemas.microsoft.com/office/excel/2006/main">
          <x14:cfRule type="iconSet" priority="33" id="{5FE5E9A7-10D1-4808-A708-1B58A452D7D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A723</xm:sqref>
        </x14:conditionalFormatting>
        <x14:conditionalFormatting xmlns:xm="http://schemas.microsoft.com/office/excel/2006/main">
          <x14:cfRule type="iconSet" priority="32" id="{2C1542D2-0705-4CBC-92D3-BEBEC523A9C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A724</xm:sqref>
        </x14:conditionalFormatting>
        <x14:conditionalFormatting xmlns:xm="http://schemas.microsoft.com/office/excel/2006/main">
          <x14:cfRule type="iconSet" priority="31" id="{2BC080C5-7E73-4765-8AC7-7959A6F46D2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A725</xm:sqref>
        </x14:conditionalFormatting>
        <x14:conditionalFormatting xmlns:xm="http://schemas.microsoft.com/office/excel/2006/main">
          <x14:cfRule type="iconSet" priority="30" id="{22F6B804-3DF7-4088-900C-FA4595F3176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A726</xm:sqref>
        </x14:conditionalFormatting>
        <x14:conditionalFormatting xmlns:xm="http://schemas.microsoft.com/office/excel/2006/main">
          <x14:cfRule type="iconSet" priority="29" id="{D4BB86C9-84FD-43C6-9D7A-13A381D1577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A727</xm:sqref>
        </x14:conditionalFormatting>
        <x14:conditionalFormatting xmlns:xm="http://schemas.microsoft.com/office/excel/2006/main">
          <x14:cfRule type="iconSet" priority="28" id="{F23E8D55-E528-4266-85E8-E250780E220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A728</xm:sqref>
        </x14:conditionalFormatting>
        <x14:conditionalFormatting xmlns:xm="http://schemas.microsoft.com/office/excel/2006/main">
          <x14:cfRule type="iconSet" priority="27" id="{9DC5BBE6-DEB9-434D-B19E-7C1FEA6BA3D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A729</xm:sqref>
        </x14:conditionalFormatting>
        <x14:conditionalFormatting xmlns:xm="http://schemas.microsoft.com/office/excel/2006/main">
          <x14:cfRule type="iconSet" priority="26" id="{EB8A5081-CBFD-420A-8A3F-108BADC7596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A730</xm:sqref>
        </x14:conditionalFormatting>
        <x14:conditionalFormatting xmlns:xm="http://schemas.microsoft.com/office/excel/2006/main">
          <x14:cfRule type="iconSet" priority="25" id="{BCC87752-5430-446D-8699-F4A68C60614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A731</xm:sqref>
        </x14:conditionalFormatting>
        <x14:conditionalFormatting xmlns:xm="http://schemas.microsoft.com/office/excel/2006/main">
          <x14:cfRule type="iconSet" priority="24" id="{4E9B6A79-972C-4824-9AA5-7AAEA45747E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A732</xm:sqref>
        </x14:conditionalFormatting>
        <x14:conditionalFormatting xmlns:xm="http://schemas.microsoft.com/office/excel/2006/main">
          <x14:cfRule type="iconSet" priority="23" id="{D0972551-553E-46C8-9FC3-2292CA9C714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A733</xm:sqref>
        </x14:conditionalFormatting>
        <x14:conditionalFormatting xmlns:xm="http://schemas.microsoft.com/office/excel/2006/main">
          <x14:cfRule type="iconSet" priority="22" id="{49E35110-F59E-41FF-9222-1172FC05C43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A734</xm:sqref>
        </x14:conditionalFormatting>
        <x14:conditionalFormatting xmlns:xm="http://schemas.microsoft.com/office/excel/2006/main">
          <x14:cfRule type="iconSet" priority="21" id="{397E1EF7-EE72-4F89-800C-382C6AC4706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A735</xm:sqref>
        </x14:conditionalFormatting>
        <x14:conditionalFormatting xmlns:xm="http://schemas.microsoft.com/office/excel/2006/main">
          <x14:cfRule type="iconSet" priority="20" id="{9E725DD2-9E7F-4B20-8365-C466CB3E307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A736</xm:sqref>
        </x14:conditionalFormatting>
        <x14:conditionalFormatting xmlns:xm="http://schemas.microsoft.com/office/excel/2006/main">
          <x14:cfRule type="iconSet" priority="19" id="{D3F72C6C-B5AE-44CB-B103-4B87814E9A5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A737</xm:sqref>
        </x14:conditionalFormatting>
        <x14:conditionalFormatting xmlns:xm="http://schemas.microsoft.com/office/excel/2006/main">
          <x14:cfRule type="iconSet" priority="18" id="{16AEF4E5-0C72-438A-8D09-2FA94FD520C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A738</xm:sqref>
        </x14:conditionalFormatting>
        <x14:conditionalFormatting xmlns:xm="http://schemas.microsoft.com/office/excel/2006/main">
          <x14:cfRule type="iconSet" priority="17" id="{3C553EE3-FE99-4D9B-BB98-304CADD2B3C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A739</xm:sqref>
        </x14:conditionalFormatting>
        <x14:conditionalFormatting xmlns:xm="http://schemas.microsoft.com/office/excel/2006/main">
          <x14:cfRule type="iconSet" priority="16" id="{0C155820-8322-4892-8AAE-C7D36D225D04}">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A740</xm:sqref>
        </x14:conditionalFormatting>
        <x14:conditionalFormatting xmlns:xm="http://schemas.microsoft.com/office/excel/2006/main">
          <x14:cfRule type="iconSet" priority="15" id="{0D307873-69E7-44D3-95AA-1B0149FD22F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A741</xm:sqref>
        </x14:conditionalFormatting>
        <x14:conditionalFormatting xmlns:xm="http://schemas.microsoft.com/office/excel/2006/main">
          <x14:cfRule type="iconSet" priority="14" id="{8F7DC9B9-86E5-4ADB-BD5F-5158E0F5F13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A742</xm:sqref>
        </x14:conditionalFormatting>
        <x14:conditionalFormatting xmlns:xm="http://schemas.microsoft.com/office/excel/2006/main">
          <x14:cfRule type="iconSet" priority="13" id="{2CFB83FF-613F-4C7E-9366-B4662E552B5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A743</xm:sqref>
        </x14:conditionalFormatting>
        <x14:conditionalFormatting xmlns:xm="http://schemas.microsoft.com/office/excel/2006/main">
          <x14:cfRule type="iconSet" priority="12" id="{95F041E6-7406-4B41-ACFC-411F2CC3E38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A744</xm:sqref>
        </x14:conditionalFormatting>
        <x14:conditionalFormatting xmlns:xm="http://schemas.microsoft.com/office/excel/2006/main">
          <x14:cfRule type="iconSet" priority="11" id="{F686E76A-3A24-4739-90B8-827B25C5497D}">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A745</xm:sqref>
        </x14:conditionalFormatting>
        <x14:conditionalFormatting xmlns:xm="http://schemas.microsoft.com/office/excel/2006/main">
          <x14:cfRule type="iconSet" priority="10" id="{D2D75C49-0518-43F0-B08D-B8DEAC423BB9}">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A746</xm:sqref>
        </x14:conditionalFormatting>
        <x14:conditionalFormatting xmlns:xm="http://schemas.microsoft.com/office/excel/2006/main">
          <x14:cfRule type="iconSet" priority="8" id="{5028D23D-7339-439F-BC70-08DC81181F8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A747</xm:sqref>
        </x14:conditionalFormatting>
        <x14:conditionalFormatting xmlns:xm="http://schemas.microsoft.com/office/excel/2006/main">
          <x14:cfRule type="iconSet" priority="7" id="{0DEE05D1-BE33-4EFF-B900-483A4F36BB9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A748</xm:sqref>
        </x14:conditionalFormatting>
        <x14:conditionalFormatting xmlns:xm="http://schemas.microsoft.com/office/excel/2006/main">
          <x14:cfRule type="iconSet" priority="6" id="{9143F7A9-F455-46D8-B343-D5C549F84C8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A749</xm:sqref>
        </x14:conditionalFormatting>
        <x14:conditionalFormatting xmlns:xm="http://schemas.microsoft.com/office/excel/2006/main">
          <x14:cfRule type="iconSet" priority="5" id="{E7CDFB74-39C4-430A-8558-75796C95470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A750</xm:sqref>
        </x14:conditionalFormatting>
        <x14:conditionalFormatting xmlns:xm="http://schemas.microsoft.com/office/excel/2006/main">
          <x14:cfRule type="iconSet" priority="4" id="{04231A07-76AA-4589-97B9-AB9FCFB1760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A751</xm:sqref>
        </x14:conditionalFormatting>
        <x14:conditionalFormatting xmlns:xm="http://schemas.microsoft.com/office/excel/2006/main">
          <x14:cfRule type="iconSet" priority="3" id="{A59081F0-F26E-4963-9B96-9D925980AD02}">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A752</xm:sqref>
        </x14:conditionalFormatting>
        <x14:conditionalFormatting xmlns:xm="http://schemas.microsoft.com/office/excel/2006/main">
          <x14:cfRule type="iconSet" priority="2" id="{2CD46E21-460C-45EA-8672-09718787787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A753</xm:sqref>
        </x14:conditionalFormatting>
        <x14:conditionalFormatting xmlns:xm="http://schemas.microsoft.com/office/excel/2006/main">
          <x14:cfRule type="iconSet" priority="1" id="{9DAA9641-E222-4DEB-A501-CBD2C05A37D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A754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9A341-2077-4371-90E9-75BCC1FBC0F8}">
  <sheetPr codeName="Sheet2">
    <pageSetUpPr fitToPage="1"/>
  </sheetPr>
  <dimension ref="A1:AH15"/>
  <sheetViews>
    <sheetView zoomScale="50" zoomScaleNormal="50" zoomScaleSheetLayoutView="50" workbookViewId="0">
      <pane ySplit="1" topLeftCell="A16" activePane="bottomLeft" state="frozen"/>
      <selection pane="bottomLeft" activeCell="A15" sqref="A15"/>
    </sheetView>
  </sheetViews>
  <sheetFormatPr defaultColWidth="9.140625" defaultRowHeight="122.25" customHeight="1"/>
  <cols>
    <col min="1" max="1" width="17.7109375" style="9" bestFit="1" customWidth="1"/>
    <col min="2" max="2" width="24.140625" style="2" bestFit="1" customWidth="1"/>
    <col min="3" max="3" width="29.42578125" style="11" bestFit="1" customWidth="1"/>
    <col min="4" max="4" width="22.28515625" style="2" bestFit="1" customWidth="1"/>
    <col min="5" max="5" width="16.28515625" style="11" bestFit="1" customWidth="1"/>
    <col min="6" max="6" width="61" style="30" bestFit="1" customWidth="1"/>
    <col min="7" max="7" width="84.85546875" style="30" customWidth="1"/>
    <col min="8" max="14" width="38.85546875" style="16" customWidth="1"/>
    <col min="15" max="15" width="39.85546875" style="16" customWidth="1"/>
    <col min="16" max="19" width="38.85546875" style="16" customWidth="1"/>
    <col min="20" max="20" width="33.140625" style="7" customWidth="1"/>
    <col min="21" max="21" width="40.7109375" style="202" customWidth="1"/>
    <col min="22" max="22" width="30" style="16" customWidth="1"/>
    <col min="23" max="23" width="42.28515625" style="16" customWidth="1"/>
    <col min="24" max="24" width="150.85546875" style="4" customWidth="1"/>
    <col min="25" max="25" width="26.5703125" style="100" customWidth="1"/>
    <col min="26" max="26" width="52.5703125" style="30" bestFit="1" customWidth="1"/>
    <col min="27" max="27" width="32.140625" style="8" customWidth="1"/>
    <col min="28" max="28" width="20.42578125" style="10" bestFit="1" customWidth="1"/>
    <col min="29" max="29" width="18.5703125" style="10" customWidth="1"/>
    <col min="30" max="30" width="17.85546875" style="21" bestFit="1" customWidth="1"/>
    <col min="31" max="31" width="22.7109375" style="21" bestFit="1" customWidth="1"/>
    <col min="32" max="32" width="17.5703125" style="21" bestFit="1" customWidth="1"/>
    <col min="33" max="33" width="16.5703125" style="45" bestFit="1" customWidth="1"/>
    <col min="34" max="34" width="43.28515625" style="16" bestFit="1" customWidth="1"/>
    <col min="35" max="35" width="42.42578125" style="9" customWidth="1"/>
    <col min="36" max="36" width="16" style="9" bestFit="1" customWidth="1"/>
    <col min="37" max="16384" width="9.140625" style="9"/>
  </cols>
  <sheetData>
    <row r="1" spans="1:34" s="108" customFormat="1" ht="122.25" customHeight="1">
      <c r="B1" s="108" t="s">
        <v>0</v>
      </c>
      <c r="C1" s="108" t="s">
        <v>17</v>
      </c>
      <c r="D1" s="108" t="s">
        <v>793</v>
      </c>
      <c r="E1" s="108" t="s">
        <v>794</v>
      </c>
      <c r="F1" s="108" t="s">
        <v>3</v>
      </c>
      <c r="G1" s="108" t="s">
        <v>82</v>
      </c>
      <c r="H1" s="109" t="s">
        <v>16</v>
      </c>
      <c r="I1" s="109" t="s">
        <v>789</v>
      </c>
      <c r="J1" s="109" t="s">
        <v>788</v>
      </c>
      <c r="K1" s="109" t="s">
        <v>790</v>
      </c>
      <c r="L1" s="109" t="s">
        <v>791</v>
      </c>
      <c r="M1" s="109" t="s">
        <v>792</v>
      </c>
      <c r="N1" s="109" t="s">
        <v>835</v>
      </c>
      <c r="O1" s="109" t="s">
        <v>834</v>
      </c>
      <c r="P1" s="109" t="s">
        <v>1184</v>
      </c>
      <c r="Q1" s="109" t="s">
        <v>836</v>
      </c>
      <c r="R1" s="109" t="s">
        <v>1185</v>
      </c>
      <c r="S1" s="109" t="s">
        <v>1186</v>
      </c>
      <c r="T1" s="108" t="s">
        <v>12</v>
      </c>
      <c r="U1" s="109" t="s">
        <v>787</v>
      </c>
      <c r="V1" s="109" t="s">
        <v>13</v>
      </c>
      <c r="W1" s="109" t="s">
        <v>14</v>
      </c>
      <c r="X1" s="109" t="s">
        <v>81</v>
      </c>
      <c r="Y1" s="108" t="s">
        <v>795</v>
      </c>
      <c r="Z1" s="108" t="s">
        <v>241</v>
      </c>
      <c r="AA1" s="109" t="s">
        <v>6</v>
      </c>
      <c r="AB1" s="110" t="s">
        <v>7</v>
      </c>
      <c r="AC1" s="110" t="s">
        <v>8</v>
      </c>
      <c r="AD1" s="110" t="s">
        <v>9</v>
      </c>
      <c r="AE1" s="110" t="s">
        <v>10</v>
      </c>
      <c r="AF1" s="110" t="s">
        <v>53</v>
      </c>
      <c r="AG1" s="111" t="s">
        <v>48</v>
      </c>
      <c r="AH1" s="109" t="s">
        <v>798</v>
      </c>
    </row>
    <row r="2" spans="1:34" ht="122.25" customHeight="1">
      <c r="A2" s="9">
        <f t="shared" ref="A2:A12" ca="1" si="0">TODAY()-H2+1</f>
        <v>72</v>
      </c>
      <c r="B2" s="31">
        <v>46059</v>
      </c>
      <c r="C2" s="11" t="s">
        <v>24</v>
      </c>
      <c r="D2" s="2" t="s">
        <v>4389</v>
      </c>
      <c r="E2" s="11" t="s">
        <v>4390</v>
      </c>
      <c r="F2" s="30" t="s">
        <v>295</v>
      </c>
      <c r="G2" s="30" t="s">
        <v>4391</v>
      </c>
      <c r="H2" s="16">
        <v>46122</v>
      </c>
      <c r="I2" s="115">
        <v>46063</v>
      </c>
      <c r="J2" s="115">
        <v>46063</v>
      </c>
      <c r="K2" s="115">
        <v>46063</v>
      </c>
      <c r="L2" s="115"/>
      <c r="M2" s="115"/>
      <c r="N2" s="115"/>
      <c r="O2" s="115"/>
      <c r="P2" s="115">
        <v>46099</v>
      </c>
      <c r="Q2" s="115">
        <v>46098</v>
      </c>
      <c r="R2" s="115" t="s">
        <v>5024</v>
      </c>
      <c r="S2" s="115"/>
      <c r="T2" s="7" t="s">
        <v>22</v>
      </c>
      <c r="U2" s="11" t="s">
        <v>4709</v>
      </c>
      <c r="V2" s="16" t="s">
        <v>4707</v>
      </c>
      <c r="W2" s="16" t="s">
        <v>4983</v>
      </c>
      <c r="X2" s="4" t="s">
        <v>4774</v>
      </c>
      <c r="Z2" s="30" t="s">
        <v>29</v>
      </c>
      <c r="AA2" s="8">
        <v>46157</v>
      </c>
      <c r="AC2" s="26">
        <v>85698</v>
      </c>
      <c r="AD2" s="10"/>
      <c r="AE2" s="10"/>
      <c r="AF2" s="10"/>
      <c r="AG2" s="10"/>
      <c r="AH2" s="10">
        <v>85698</v>
      </c>
    </row>
    <row r="3" spans="1:34" ht="122.25" customHeight="1">
      <c r="A3" s="9">
        <f t="shared" ca="1" si="0"/>
        <v>72</v>
      </c>
      <c r="B3" s="31">
        <v>46065</v>
      </c>
      <c r="C3" s="11" t="s">
        <v>24</v>
      </c>
      <c r="D3" s="2" t="s">
        <v>4472</v>
      </c>
      <c r="E3" s="11" t="s">
        <v>4473</v>
      </c>
      <c r="F3" s="30" t="s">
        <v>95</v>
      </c>
      <c r="G3" s="30" t="s">
        <v>4666</v>
      </c>
      <c r="H3" s="16">
        <v>46122</v>
      </c>
      <c r="I3" s="115">
        <v>46066</v>
      </c>
      <c r="J3" s="115">
        <v>46069</v>
      </c>
      <c r="K3" s="115">
        <v>46066</v>
      </c>
      <c r="L3" s="115"/>
      <c r="M3" s="115"/>
      <c r="N3" s="115"/>
      <c r="O3" s="115"/>
      <c r="P3" s="115">
        <v>46099</v>
      </c>
      <c r="Q3" s="115">
        <v>46099</v>
      </c>
      <c r="R3" s="115" t="s">
        <v>5093</v>
      </c>
      <c r="S3" s="115"/>
      <c r="T3" s="7" t="s">
        <v>22</v>
      </c>
      <c r="U3" s="11" t="s">
        <v>4632</v>
      </c>
      <c r="V3" s="16">
        <v>46093</v>
      </c>
      <c r="W3" s="16" t="s">
        <v>5105</v>
      </c>
      <c r="X3" s="4" t="s">
        <v>4633</v>
      </c>
      <c r="Z3" s="30" t="s">
        <v>54</v>
      </c>
      <c r="AA3" s="8">
        <v>46152</v>
      </c>
      <c r="AC3" s="26">
        <v>104389.6</v>
      </c>
      <c r="AD3" s="10"/>
      <c r="AE3" s="10"/>
      <c r="AF3" s="10"/>
      <c r="AG3" s="10"/>
      <c r="AH3" s="10">
        <v>104389.6</v>
      </c>
    </row>
    <row r="4" spans="1:34" ht="122.25" customHeight="1">
      <c r="A4" s="9">
        <f t="shared" ca="1" si="0"/>
        <v>81</v>
      </c>
      <c r="B4" s="31">
        <v>46056</v>
      </c>
      <c r="C4" s="11" t="s">
        <v>24</v>
      </c>
      <c r="D4" s="2" t="s">
        <v>4376</v>
      </c>
      <c r="E4" s="11" t="s">
        <v>4377</v>
      </c>
      <c r="F4" s="30" t="s">
        <v>2169</v>
      </c>
      <c r="G4" s="30" t="s">
        <v>4718</v>
      </c>
      <c r="H4" s="16">
        <v>46113</v>
      </c>
      <c r="I4" s="115">
        <v>46059</v>
      </c>
      <c r="J4" s="115">
        <v>46059</v>
      </c>
      <c r="K4" s="115">
        <v>46368</v>
      </c>
      <c r="L4" s="115"/>
      <c r="M4" s="115">
        <v>46093</v>
      </c>
      <c r="N4" s="115"/>
      <c r="O4" s="115"/>
      <c r="P4" s="115">
        <v>46113</v>
      </c>
      <c r="Q4" s="115">
        <v>46113</v>
      </c>
      <c r="R4" s="115"/>
      <c r="S4" s="115"/>
      <c r="T4" s="7" t="s">
        <v>20</v>
      </c>
      <c r="U4" s="16" t="s">
        <v>75</v>
      </c>
      <c r="V4" s="16">
        <v>46121</v>
      </c>
      <c r="W4" s="16">
        <v>46122</v>
      </c>
      <c r="X4" s="4" t="s">
        <v>5098</v>
      </c>
      <c r="Z4" s="30" t="s">
        <v>103</v>
      </c>
      <c r="AA4" s="8">
        <v>46195</v>
      </c>
      <c r="AC4" s="26">
        <v>4526.53</v>
      </c>
      <c r="AD4" s="10"/>
      <c r="AE4" s="10"/>
      <c r="AF4" s="10"/>
      <c r="AG4" s="10"/>
      <c r="AH4" s="10"/>
    </row>
    <row r="5" spans="1:34" ht="122.25" customHeight="1">
      <c r="A5" s="9">
        <f t="shared" ca="1" si="0"/>
        <v>74</v>
      </c>
      <c r="B5" s="31">
        <v>46062</v>
      </c>
      <c r="C5" s="11" t="s">
        <v>24</v>
      </c>
      <c r="D5" s="2" t="s">
        <v>4452</v>
      </c>
      <c r="E5" s="11" t="s">
        <v>4453</v>
      </c>
      <c r="F5" s="30" t="s">
        <v>4454</v>
      </c>
      <c r="G5" s="30" t="s">
        <v>4455</v>
      </c>
      <c r="H5" s="16">
        <v>46120</v>
      </c>
      <c r="I5" s="115">
        <v>46062</v>
      </c>
      <c r="J5" s="115">
        <v>46062</v>
      </c>
      <c r="K5" s="115"/>
      <c r="L5" s="115"/>
      <c r="M5" s="115">
        <v>46090</v>
      </c>
      <c r="N5" s="115"/>
      <c r="O5" s="115"/>
      <c r="P5" s="115">
        <v>46098</v>
      </c>
      <c r="Q5" s="115">
        <v>46098</v>
      </c>
      <c r="R5" s="115" t="s">
        <v>4994</v>
      </c>
      <c r="S5" s="115"/>
      <c r="T5" s="7" t="s">
        <v>22</v>
      </c>
      <c r="U5" s="2" t="s">
        <v>4711</v>
      </c>
      <c r="V5" s="16">
        <v>46098</v>
      </c>
      <c r="W5" s="16">
        <v>46127</v>
      </c>
      <c r="X5" s="4" t="s">
        <v>4907</v>
      </c>
      <c r="Z5" s="30" t="s">
        <v>265</v>
      </c>
      <c r="AA5" s="8">
        <v>46168</v>
      </c>
      <c r="AC5" s="26">
        <v>23040</v>
      </c>
      <c r="AD5" s="10"/>
      <c r="AE5" s="10"/>
      <c r="AF5" s="10"/>
      <c r="AG5" s="10"/>
      <c r="AH5" s="10">
        <v>23040</v>
      </c>
    </row>
    <row r="6" spans="1:34" ht="102.75" customHeight="1" thickBot="1">
      <c r="A6" s="9">
        <f t="shared" ca="1" si="0"/>
        <v>52</v>
      </c>
      <c r="B6" s="31">
        <v>46055</v>
      </c>
      <c r="C6" s="11" t="s">
        <v>27</v>
      </c>
      <c r="D6" s="2" t="s">
        <v>4334</v>
      </c>
      <c r="E6" s="11" t="s">
        <v>4335</v>
      </c>
      <c r="F6" s="30" t="s">
        <v>79</v>
      </c>
      <c r="G6" s="30" t="s">
        <v>4336</v>
      </c>
      <c r="H6" s="16">
        <v>46142</v>
      </c>
      <c r="I6" s="115">
        <v>46056</v>
      </c>
      <c r="J6" s="115">
        <v>46056</v>
      </c>
      <c r="K6" s="115">
        <v>46056</v>
      </c>
      <c r="L6" s="115"/>
      <c r="M6" s="115"/>
      <c r="N6" s="115"/>
      <c r="O6" s="115"/>
      <c r="P6" s="115">
        <v>46086</v>
      </c>
      <c r="Q6" s="115"/>
      <c r="R6" s="115" t="s">
        <v>4957</v>
      </c>
      <c r="S6" s="115"/>
      <c r="T6" s="7" t="s">
        <v>20</v>
      </c>
      <c r="U6" s="16" t="s">
        <v>4497</v>
      </c>
      <c r="V6" s="16">
        <v>46086</v>
      </c>
      <c r="W6" s="16">
        <v>46120</v>
      </c>
      <c r="X6" s="4" t="s">
        <v>4621</v>
      </c>
      <c r="Z6" s="30" t="s">
        <v>4337</v>
      </c>
      <c r="AA6" s="8">
        <v>46161</v>
      </c>
      <c r="AC6" s="26">
        <v>34385.72</v>
      </c>
      <c r="AD6" s="10"/>
      <c r="AE6" s="10"/>
      <c r="AF6" s="10"/>
      <c r="AG6" s="10"/>
      <c r="AH6" s="10">
        <v>34385.72</v>
      </c>
    </row>
    <row r="7" spans="1:34" ht="122.25" customHeight="1" thickBot="1">
      <c r="A7" s="9">
        <f t="shared" ca="1" si="0"/>
        <v>22</v>
      </c>
      <c r="B7" s="31">
        <v>46080</v>
      </c>
      <c r="C7" s="11" t="s">
        <v>27</v>
      </c>
      <c r="D7" s="2" t="s">
        <v>4604</v>
      </c>
      <c r="E7" s="11" t="s">
        <v>4605</v>
      </c>
      <c r="F7" s="30" t="s">
        <v>79</v>
      </c>
      <c r="G7" s="30" t="s">
        <v>4336</v>
      </c>
      <c r="H7" s="16">
        <v>46172</v>
      </c>
      <c r="I7" s="115">
        <v>46080</v>
      </c>
      <c r="J7" s="115">
        <v>46085</v>
      </c>
      <c r="K7" s="115">
        <v>46080</v>
      </c>
      <c r="L7" s="115"/>
      <c r="M7" s="115"/>
      <c r="N7" s="115" t="s">
        <v>878</v>
      </c>
      <c r="O7" s="115"/>
      <c r="P7" s="115">
        <v>46106</v>
      </c>
      <c r="Q7" s="115" t="s">
        <v>860</v>
      </c>
      <c r="R7" s="115"/>
      <c r="S7" s="115"/>
      <c r="T7" s="7" t="s">
        <v>20</v>
      </c>
      <c r="U7" s="372" t="s">
        <v>4711</v>
      </c>
      <c r="V7" s="16" t="s">
        <v>4694</v>
      </c>
      <c r="W7" s="16">
        <v>46127</v>
      </c>
      <c r="X7" s="84" t="s">
        <v>4769</v>
      </c>
      <c r="Z7" s="30" t="s">
        <v>4337</v>
      </c>
      <c r="AA7" s="8">
        <v>46180</v>
      </c>
      <c r="AC7" s="26">
        <v>32523.200000000001</v>
      </c>
      <c r="AD7" s="10"/>
      <c r="AE7" s="10"/>
      <c r="AF7" s="10"/>
      <c r="AG7" s="10"/>
      <c r="AH7" s="10">
        <v>32523.200000000001</v>
      </c>
    </row>
    <row r="8" spans="1:34" ht="104.25" customHeight="1">
      <c r="A8" s="9">
        <f t="shared" ca="1" si="0"/>
        <v>81</v>
      </c>
      <c r="B8" s="31">
        <v>46010</v>
      </c>
      <c r="C8" s="11" t="s">
        <v>27</v>
      </c>
      <c r="D8" s="2" t="s">
        <v>4029</v>
      </c>
      <c r="E8" s="11" t="s">
        <v>4030</v>
      </c>
      <c r="F8" s="30" t="s">
        <v>1933</v>
      </c>
      <c r="G8" s="30" t="s">
        <v>4054</v>
      </c>
      <c r="H8" s="16">
        <v>46113</v>
      </c>
      <c r="I8" s="115">
        <v>46013</v>
      </c>
      <c r="J8" s="115">
        <v>46014</v>
      </c>
      <c r="K8" s="115"/>
      <c r="L8" s="370" t="s">
        <v>4623</v>
      </c>
      <c r="M8" s="115"/>
      <c r="N8" s="115"/>
      <c r="O8" s="115"/>
      <c r="P8" s="115">
        <v>46119</v>
      </c>
      <c r="Q8" s="115"/>
      <c r="R8" s="115"/>
      <c r="S8" s="115"/>
      <c r="T8" s="7" t="s">
        <v>22</v>
      </c>
      <c r="U8" s="379" t="s">
        <v>4549</v>
      </c>
      <c r="V8" s="16">
        <v>46104</v>
      </c>
      <c r="W8" s="16">
        <v>46114</v>
      </c>
      <c r="X8" s="4" t="s">
        <v>4821</v>
      </c>
      <c r="Z8" s="30" t="s">
        <v>54</v>
      </c>
      <c r="AA8" s="8">
        <v>46158</v>
      </c>
      <c r="AE8" s="178">
        <v>1505776.6</v>
      </c>
      <c r="AH8" s="116">
        <v>1505776.6</v>
      </c>
    </row>
    <row r="9" spans="1:34" ht="56.25">
      <c r="A9" s="9">
        <f t="shared" ca="1" si="0"/>
        <v>112</v>
      </c>
      <c r="B9" s="31">
        <v>46010</v>
      </c>
      <c r="C9" s="11" t="s">
        <v>27</v>
      </c>
      <c r="D9" s="2" t="s">
        <v>4027</v>
      </c>
      <c r="E9" s="11" t="s">
        <v>4028</v>
      </c>
      <c r="F9" s="30" t="s">
        <v>1933</v>
      </c>
      <c r="G9" s="338" t="s">
        <v>4626</v>
      </c>
      <c r="H9" s="16">
        <v>46082</v>
      </c>
      <c r="I9" s="115">
        <v>46013</v>
      </c>
      <c r="J9" s="115">
        <v>46014</v>
      </c>
      <c r="K9" s="115"/>
      <c r="L9" s="115"/>
      <c r="M9" s="115"/>
      <c r="N9" s="115" t="s">
        <v>878</v>
      </c>
      <c r="O9" s="115"/>
      <c r="P9" s="115">
        <v>46099</v>
      </c>
      <c r="Q9" s="115" t="s">
        <v>1449</v>
      </c>
      <c r="R9" s="115" t="s">
        <v>4919</v>
      </c>
      <c r="S9" s="115"/>
      <c r="T9" s="7" t="s">
        <v>22</v>
      </c>
      <c r="U9" s="16" t="s">
        <v>4622</v>
      </c>
      <c r="V9" s="16">
        <v>46090</v>
      </c>
      <c r="W9" s="16">
        <v>46101</v>
      </c>
      <c r="X9" s="4" t="s">
        <v>4946</v>
      </c>
      <c r="Z9" s="30" t="s">
        <v>54</v>
      </c>
      <c r="AA9" s="8">
        <v>46153</v>
      </c>
      <c r="AE9" s="178">
        <v>920571.17</v>
      </c>
      <c r="AH9" s="116">
        <v>920571.17</v>
      </c>
    </row>
    <row r="10" spans="1:34" ht="37.5">
      <c r="A10" s="9">
        <f t="shared" ca="1" si="0"/>
        <v>112</v>
      </c>
      <c r="B10" s="31">
        <v>46010</v>
      </c>
      <c r="C10" s="11" t="s">
        <v>27</v>
      </c>
      <c r="D10" s="2" t="s">
        <v>4027</v>
      </c>
      <c r="E10" s="11" t="s">
        <v>4028</v>
      </c>
      <c r="F10" s="30" t="s">
        <v>1933</v>
      </c>
      <c r="G10" s="338" t="s">
        <v>5031</v>
      </c>
      <c r="H10" s="16">
        <v>46082</v>
      </c>
      <c r="I10" s="115">
        <v>46013</v>
      </c>
      <c r="J10" s="115">
        <v>46014</v>
      </c>
      <c r="K10" s="115"/>
      <c r="L10" s="115"/>
      <c r="M10" s="115"/>
      <c r="N10" s="115" t="s">
        <v>878</v>
      </c>
      <c r="O10" s="380"/>
      <c r="P10" s="115">
        <v>46132</v>
      </c>
      <c r="Q10" s="115" t="s">
        <v>1840</v>
      </c>
      <c r="R10" s="115"/>
      <c r="S10" s="115"/>
      <c r="T10" s="7" t="s">
        <v>22</v>
      </c>
      <c r="U10" s="16" t="s">
        <v>4822</v>
      </c>
      <c r="V10" s="16">
        <v>46120</v>
      </c>
      <c r="W10" s="16">
        <v>46129</v>
      </c>
      <c r="Z10" s="30" t="s">
        <v>54</v>
      </c>
      <c r="AA10" s="8">
        <v>46178</v>
      </c>
      <c r="AE10" s="178">
        <f>4895729.18/3</f>
        <v>1631909.7266666666</v>
      </c>
      <c r="AH10" s="116">
        <f>4895729.18/3</f>
        <v>1631909.7266666666</v>
      </c>
    </row>
    <row r="11" spans="1:34" ht="112.5" customHeight="1">
      <c r="A11" s="9">
        <f t="shared" ca="1" si="0"/>
        <v>81</v>
      </c>
      <c r="B11" s="31">
        <v>46010</v>
      </c>
      <c r="C11" s="11" t="s">
        <v>27</v>
      </c>
      <c r="D11" s="2" t="s">
        <v>4027</v>
      </c>
      <c r="E11" s="11" t="s">
        <v>4028</v>
      </c>
      <c r="F11" s="30" t="s">
        <v>1933</v>
      </c>
      <c r="G11" s="360" t="s">
        <v>5241</v>
      </c>
      <c r="H11" s="16">
        <v>46113</v>
      </c>
      <c r="I11" s="115">
        <v>46013</v>
      </c>
      <c r="J11" s="115">
        <v>46014</v>
      </c>
      <c r="K11" s="115"/>
      <c r="L11" s="115"/>
      <c r="M11" s="115"/>
      <c r="N11" s="115" t="s">
        <v>878</v>
      </c>
      <c r="O11" s="115"/>
      <c r="P11" s="115">
        <v>46132</v>
      </c>
      <c r="Q11" s="115" t="s">
        <v>1840</v>
      </c>
      <c r="R11" s="115"/>
      <c r="S11" s="115"/>
      <c r="T11" s="7" t="s">
        <v>22</v>
      </c>
      <c r="U11" s="373" t="s">
        <v>4822</v>
      </c>
      <c r="V11" s="16">
        <v>46120</v>
      </c>
      <c r="W11" s="16">
        <v>46129</v>
      </c>
      <c r="Z11" s="30" t="s">
        <v>54</v>
      </c>
      <c r="AA11" s="8">
        <v>46178</v>
      </c>
      <c r="AE11" s="178">
        <f t="shared" ref="AE11:AE12" si="1">4895729.18/3</f>
        <v>1631909.7266666666</v>
      </c>
      <c r="AH11" s="116">
        <f>4895729.18/3</f>
        <v>1631909.7266666666</v>
      </c>
    </row>
    <row r="12" spans="1:34" ht="56.25">
      <c r="A12" s="9">
        <f t="shared" ca="1" si="0"/>
        <v>51</v>
      </c>
      <c r="B12" s="31">
        <v>46010</v>
      </c>
      <c r="C12" s="11" t="s">
        <v>27</v>
      </c>
      <c r="D12" s="2" t="s">
        <v>4027</v>
      </c>
      <c r="E12" s="11" t="s">
        <v>4028</v>
      </c>
      <c r="F12" s="30" t="s">
        <v>1933</v>
      </c>
      <c r="G12" s="338" t="s">
        <v>5033</v>
      </c>
      <c r="H12" s="16">
        <v>46143</v>
      </c>
      <c r="I12" s="115">
        <v>46013</v>
      </c>
      <c r="J12" s="115">
        <v>46014</v>
      </c>
      <c r="K12" s="115"/>
      <c r="L12" s="115"/>
      <c r="M12" s="115"/>
      <c r="N12" s="115" t="s">
        <v>878</v>
      </c>
      <c r="O12" s="115"/>
      <c r="P12" s="115">
        <v>46132</v>
      </c>
      <c r="Q12" s="115" t="s">
        <v>1840</v>
      </c>
      <c r="R12" s="115"/>
      <c r="S12" s="115"/>
      <c r="T12" s="7" t="s">
        <v>22</v>
      </c>
      <c r="U12" s="373" t="s">
        <v>4822</v>
      </c>
      <c r="V12" s="16">
        <v>46120</v>
      </c>
      <c r="W12" s="16">
        <v>46129</v>
      </c>
      <c r="Z12" s="30" t="s">
        <v>54</v>
      </c>
      <c r="AA12" s="8">
        <v>46178</v>
      </c>
      <c r="AE12" s="178">
        <f t="shared" si="1"/>
        <v>1631909.7266666666</v>
      </c>
      <c r="AH12" s="116">
        <f>4895729.18/3</f>
        <v>1631909.7266666666</v>
      </c>
    </row>
    <row r="13" spans="1:34" ht="93.75">
      <c r="A13" s="9">
        <f ca="1">TODAY()-H13+1</f>
        <v>112</v>
      </c>
      <c r="B13" s="31">
        <v>45995</v>
      </c>
      <c r="C13" s="11" t="s">
        <v>24</v>
      </c>
      <c r="D13" s="2" t="s">
        <v>3889</v>
      </c>
      <c r="E13" s="11" t="s">
        <v>3890</v>
      </c>
      <c r="F13" s="30" t="s">
        <v>97</v>
      </c>
      <c r="G13" s="30" t="s">
        <v>3891</v>
      </c>
      <c r="H13" s="16">
        <v>46082</v>
      </c>
      <c r="I13" s="115">
        <v>45996</v>
      </c>
      <c r="J13" s="115">
        <v>45996</v>
      </c>
      <c r="K13" s="115">
        <v>45996</v>
      </c>
      <c r="L13" s="115"/>
      <c r="M13" s="115">
        <v>46071</v>
      </c>
      <c r="N13" s="115" t="s">
        <v>4994</v>
      </c>
      <c r="O13" s="115"/>
      <c r="P13" s="115">
        <v>46146</v>
      </c>
      <c r="Q13" s="115">
        <v>46146</v>
      </c>
      <c r="R13" s="115" t="s">
        <v>5260</v>
      </c>
      <c r="S13" s="115"/>
      <c r="T13" s="7" t="s">
        <v>25</v>
      </c>
      <c r="U13" s="16" t="s">
        <v>75</v>
      </c>
      <c r="V13" s="16">
        <v>46142</v>
      </c>
      <c r="W13" s="16">
        <v>46148</v>
      </c>
      <c r="X13" s="4" t="s">
        <v>5025</v>
      </c>
      <c r="Z13" s="30" t="s">
        <v>55</v>
      </c>
      <c r="AA13" s="8">
        <v>46161</v>
      </c>
      <c r="AC13" s="26">
        <v>3600</v>
      </c>
    </row>
    <row r="14" spans="1:34" ht="122.25" customHeight="1">
      <c r="A14" s="62">
        <f t="shared" ref="A14:A15" ca="1" si="2">TODAY()-H14+1</f>
        <v>22</v>
      </c>
      <c r="B14" s="31">
        <v>46092</v>
      </c>
      <c r="C14" s="11" t="s">
        <v>27</v>
      </c>
      <c r="D14" s="2" t="s">
        <v>4679</v>
      </c>
      <c r="E14" s="11" t="s">
        <v>4680</v>
      </c>
      <c r="F14" s="30" t="s">
        <v>147</v>
      </c>
      <c r="G14" s="30" t="s">
        <v>4681</v>
      </c>
      <c r="H14" s="16">
        <v>46172</v>
      </c>
      <c r="I14" s="115">
        <v>46097</v>
      </c>
      <c r="J14" s="115">
        <v>46097</v>
      </c>
      <c r="K14" s="115">
        <v>46098</v>
      </c>
      <c r="L14" s="115"/>
      <c r="M14" s="371"/>
      <c r="N14" s="115" t="s">
        <v>5051</v>
      </c>
      <c r="O14" s="115"/>
      <c r="P14" s="115"/>
      <c r="Q14" s="16" t="s">
        <v>860</v>
      </c>
      <c r="R14" s="115"/>
      <c r="S14" s="115">
        <v>46169</v>
      </c>
      <c r="T14" s="7" t="s">
        <v>20</v>
      </c>
      <c r="U14" s="16" t="s">
        <v>4943</v>
      </c>
      <c r="V14" s="16">
        <v>46132</v>
      </c>
      <c r="W14" s="16">
        <v>46158</v>
      </c>
      <c r="X14" s="4" t="s">
        <v>5110</v>
      </c>
      <c r="Z14" s="30" t="s">
        <v>54</v>
      </c>
      <c r="AA14" s="8">
        <v>46179</v>
      </c>
      <c r="AC14" s="366">
        <v>2490</v>
      </c>
      <c r="AD14" s="10"/>
      <c r="AE14" s="10"/>
      <c r="AF14" s="10"/>
      <c r="AG14" s="10"/>
      <c r="AH14" s="10"/>
    </row>
    <row r="15" spans="1:34" ht="122.25" customHeight="1">
      <c r="A15" s="62">
        <f t="shared" ca="1" si="2"/>
        <v>22</v>
      </c>
      <c r="B15" s="31">
        <v>46092</v>
      </c>
      <c r="C15" s="11" t="s">
        <v>27</v>
      </c>
      <c r="D15" s="2" t="s">
        <v>4682</v>
      </c>
      <c r="E15" s="11" t="s">
        <v>4683</v>
      </c>
      <c r="F15" s="30" t="s">
        <v>4684</v>
      </c>
      <c r="G15" s="30" t="s">
        <v>4685</v>
      </c>
      <c r="H15" s="16">
        <v>46172</v>
      </c>
      <c r="I15" s="115">
        <v>46097</v>
      </c>
      <c r="J15" s="115">
        <v>46097</v>
      </c>
      <c r="K15" s="115" t="s">
        <v>4693</v>
      </c>
      <c r="L15" s="115"/>
      <c r="M15" s="115"/>
      <c r="N15" s="115"/>
      <c r="O15" s="115"/>
      <c r="P15" s="115"/>
      <c r="Q15" s="115" t="s">
        <v>860</v>
      </c>
      <c r="R15" s="115"/>
      <c r="S15" s="115">
        <v>46165</v>
      </c>
      <c r="T15" s="7" t="s">
        <v>20</v>
      </c>
      <c r="U15" s="16" t="s">
        <v>4943</v>
      </c>
      <c r="V15" s="16">
        <v>46129</v>
      </c>
      <c r="W15" s="16">
        <v>46159</v>
      </c>
      <c r="Z15" s="30" t="s">
        <v>4249</v>
      </c>
      <c r="AA15" s="8">
        <v>46179</v>
      </c>
      <c r="AC15" s="26">
        <v>2490</v>
      </c>
      <c r="AD15" s="10"/>
      <c r="AE15" s="10"/>
      <c r="AF15" s="10"/>
      <c r="AG15" s="10"/>
      <c r="AH15" s="10">
        <v>2490</v>
      </c>
    </row>
  </sheetData>
  <autoFilter ref="A1:AK9" xr:uid="{06A9A341-2077-4371-90E9-75BCC1FBC0F8}"/>
  <dataConsolidate/>
  <dataValidations count="5">
    <dataValidation allowBlank="1" showInputMessage="1" showErrorMessage="1" errorTitle="Invalid Date Format" error="Please click Retry Button_x000a_Correct Date format dd/mm/yyyy" sqref="V3:W3 H3:T3 H5:W5 H6:T7 U7 W9 H9:T9 V6:W7 H8:W8 AH6:AH12 AH1 H1:W2 H11:I11 V10:W11 H10:N10 P10:T10 K11:T11 H12:W13 V14:W15 AH14:AH15 H14:T14 H15:U15" xr:uid="{6C55ED63-DC64-423A-8EEE-F5F865937BB6}"/>
    <dataValidation type="date" allowBlank="1" showInputMessage="1" showErrorMessage="1" errorTitle="Invalid date format" error="Please click Retry Button_x000a_Correct Date format dd/mm/yyyy" sqref="B1:C1 B5:B12 B2:B3 D13 B14:B15" xr:uid="{122253B5-75FC-4377-ADFF-9B829388581E}">
      <formula1>41640</formula1>
      <formula2>767376</formula2>
    </dataValidation>
    <dataValidation type="date" showInputMessage="1" showErrorMessage="1" errorTitle="Invalid Date Format" error="Please click Retry Button_x000a_Correct Date format dd/mm/yyyy" sqref="AD9:AG9 AA5:AA8 AA2:AA3 AD10 AF10:AG10 AA13:AA15" xr:uid="{00000000-0002-0000-0200-000001000000}">
      <formula1>43466</formula1>
      <formula2>767376</formula2>
    </dataValidation>
    <dataValidation allowBlank="1" showInputMessage="1" showErrorMessage="1" errorTitle="Invalid date format" error="Please click Retry Button_x000a_Correct Date format dd/mm/yyyy" sqref="C5:C8 C2:C3 C12:C15" xr:uid="{EB44FEE7-AEAB-4DD1-A3B9-0C2BCB44533C}"/>
    <dataValidation showInputMessage="1" showErrorMessage="1" errorTitle="Invalid Date Format" error="Please click Retry Button_x000a_Correct Date format dd/mm/yyyy" sqref="AA9:AA10 AB6:AG8 AF12:AG12 AA11:AG11 AE10 AA12:AD12 AB14:AG15" xr:uid="{134267E0-D455-4897-A046-65FA468BC755}"/>
  </dataValidations>
  <pageMargins left="0.25" right="0.25" top="0.75" bottom="0.75" header="0.3" footer="0.3"/>
  <pageSetup scale="13"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iconSet" priority="15" id="{4C94A1D1-A04C-4DE8-A8B4-7EA1372A026E}">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xm:sqref>
        </x14:conditionalFormatting>
        <x14:conditionalFormatting xmlns:xm="http://schemas.microsoft.com/office/excel/2006/main">
          <x14:cfRule type="iconSet" priority="13" id="{727704AE-1970-4522-B19D-E85E9E33EDEC}">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A3:A4</xm:sqref>
        </x14:conditionalFormatting>
        <x14:conditionalFormatting xmlns:xm="http://schemas.microsoft.com/office/excel/2006/main">
          <x14:cfRule type="iconSet" priority="12" id="{3C3A3BE5-A320-4302-A0B3-238652F9B390}">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A5</xm:sqref>
        </x14:conditionalFormatting>
        <x14:conditionalFormatting xmlns:xm="http://schemas.microsoft.com/office/excel/2006/main">
          <x14:cfRule type="iconSet" priority="11" id="{52D7DF91-62F6-4BEA-9073-591BC6DCEDDB}">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A6</xm:sqref>
        </x14:conditionalFormatting>
        <x14:conditionalFormatting xmlns:xm="http://schemas.microsoft.com/office/excel/2006/main">
          <x14:cfRule type="iconSet" priority="10" id="{E0DE3F60-0A05-4583-A538-615B40729181}">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A7</xm:sqref>
        </x14:conditionalFormatting>
        <x14:conditionalFormatting xmlns:xm="http://schemas.microsoft.com/office/excel/2006/main">
          <x14:cfRule type="iconSet" priority="8" id="{B7AF0BDD-EDD0-4E09-80F9-A4B0D2733377}">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A8</xm:sqref>
        </x14:conditionalFormatting>
        <x14:conditionalFormatting xmlns:xm="http://schemas.microsoft.com/office/excel/2006/main">
          <x14:cfRule type="iconSet" priority="7" id="{3C385E72-9931-4C62-9193-8D43323D1B6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A9</xm:sqref>
        </x14:conditionalFormatting>
        <x14:conditionalFormatting xmlns:xm="http://schemas.microsoft.com/office/excel/2006/main">
          <x14:cfRule type="iconSet" priority="6" id="{000F446E-29EA-43EE-A943-F5A74CF3C66F}">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A11</xm:sqref>
        </x14:conditionalFormatting>
        <x14:conditionalFormatting xmlns:xm="http://schemas.microsoft.com/office/excel/2006/main">
          <x14:cfRule type="iconSet" priority="5" id="{22EB14F4-9F03-4D96-A590-0D144CEF890A}">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A12</xm:sqref>
        </x14:conditionalFormatting>
        <x14:conditionalFormatting xmlns:xm="http://schemas.microsoft.com/office/excel/2006/main">
          <x14:cfRule type="iconSet" priority="4" id="{5E95508B-6A60-44F2-B321-8BB0E83F6805}">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A10</xm:sqref>
        </x14:conditionalFormatting>
        <x14:conditionalFormatting xmlns:xm="http://schemas.microsoft.com/office/excel/2006/main">
          <x14:cfRule type="iconSet" priority="3" id="{B0F103D2-7453-4028-895E-30FD6B6646E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A13</xm:sqref>
        </x14:conditionalFormatting>
        <x14:conditionalFormatting xmlns:xm="http://schemas.microsoft.com/office/excel/2006/main">
          <x14:cfRule type="iconSet" priority="2" id="{C74AE7A8-CB44-4B32-B2FA-CACF4877BFA3}">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A14</xm:sqref>
        </x14:conditionalFormatting>
        <x14:conditionalFormatting xmlns:xm="http://schemas.microsoft.com/office/excel/2006/main">
          <x14:cfRule type="iconSet" priority="1" id="{F74211D0-F3F9-48FF-B924-E076097A594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A15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330E3-ECCB-4B02-AB28-C1970BAEB162}">
  <dimension ref="A1:N201"/>
  <sheetViews>
    <sheetView zoomScale="80" zoomScaleNormal="80" workbookViewId="0">
      <pane ySplit="1" topLeftCell="A37" activePane="bottomLeft" state="frozen"/>
      <selection activeCell="F153" sqref="F153"/>
      <selection pane="bottomLeft" activeCell="E20" sqref="E20:K20"/>
    </sheetView>
  </sheetViews>
  <sheetFormatPr defaultRowHeight="15"/>
  <cols>
    <col min="1" max="1" width="17.28515625" customWidth="1"/>
    <col min="2" max="2" width="19.7109375" customWidth="1"/>
    <col min="3" max="3" width="16.85546875" customWidth="1"/>
    <col min="4" max="4" width="13.5703125" customWidth="1"/>
    <col min="5" max="5" width="38.85546875" bestFit="1" customWidth="1"/>
    <col min="6" max="6" width="73.7109375" customWidth="1"/>
    <col min="7" max="7" width="15.42578125" style="248" bestFit="1" customWidth="1"/>
    <col min="8" max="8" width="15" style="162" bestFit="1" customWidth="1"/>
    <col min="9" max="9" width="14.28515625" style="162" customWidth="1"/>
    <col min="10" max="10" width="16.28515625" bestFit="1" customWidth="1"/>
    <col min="11" max="11" width="82" bestFit="1" customWidth="1"/>
    <col min="12" max="12" width="28" customWidth="1"/>
    <col min="13" max="13" width="28.5703125" bestFit="1" customWidth="1"/>
    <col min="14" max="14" width="17.140625" customWidth="1"/>
  </cols>
  <sheetData>
    <row r="1" spans="1:14" s="131" customFormat="1" ht="76.5" customHeight="1">
      <c r="A1" s="131" t="s">
        <v>0</v>
      </c>
      <c r="B1" s="131" t="s">
        <v>696</v>
      </c>
      <c r="C1" s="131" t="s">
        <v>1</v>
      </c>
      <c r="D1" s="131" t="s">
        <v>2</v>
      </c>
      <c r="E1" s="131" t="s">
        <v>3</v>
      </c>
      <c r="F1" s="131" t="s">
        <v>82</v>
      </c>
      <c r="G1" s="240" t="s">
        <v>4</v>
      </c>
      <c r="H1" s="132" t="s">
        <v>695</v>
      </c>
      <c r="I1" s="132" t="s">
        <v>7</v>
      </c>
      <c r="J1" s="133" t="s">
        <v>16</v>
      </c>
      <c r="K1" s="133" t="s">
        <v>81</v>
      </c>
      <c r="L1" s="133" t="s">
        <v>930</v>
      </c>
      <c r="M1" s="131" t="s">
        <v>241</v>
      </c>
      <c r="N1" s="131" t="s">
        <v>17</v>
      </c>
    </row>
    <row r="2" spans="1:14">
      <c r="A2" s="128">
        <v>45673</v>
      </c>
      <c r="B2" s="100" t="s">
        <v>940</v>
      </c>
      <c r="C2" s="100" t="s">
        <v>888</v>
      </c>
      <c r="D2" s="100" t="s">
        <v>941</v>
      </c>
      <c r="E2" s="100" t="s">
        <v>942</v>
      </c>
      <c r="F2" s="100" t="s">
        <v>943</v>
      </c>
      <c r="G2" s="257" t="s">
        <v>944</v>
      </c>
      <c r="H2" s="258">
        <v>1280500</v>
      </c>
      <c r="I2" s="258"/>
      <c r="J2" s="128">
        <v>45698</v>
      </c>
      <c r="K2" s="100"/>
      <c r="L2" s="100"/>
      <c r="M2" s="100" t="s">
        <v>939</v>
      </c>
      <c r="N2" s="100" t="s">
        <v>694</v>
      </c>
    </row>
    <row r="3" spans="1:14" ht="20.45" customHeight="1">
      <c r="A3" s="128">
        <v>45709</v>
      </c>
      <c r="B3" s="100" t="s">
        <v>1531</v>
      </c>
      <c r="C3" s="100" t="s">
        <v>888</v>
      </c>
      <c r="D3" s="100" t="s">
        <v>1532</v>
      </c>
      <c r="E3" s="100" t="s">
        <v>942</v>
      </c>
      <c r="F3" s="130" t="s">
        <v>1650</v>
      </c>
      <c r="G3" s="259">
        <v>30000</v>
      </c>
      <c r="H3" s="258">
        <v>3390000</v>
      </c>
      <c r="I3" s="258"/>
      <c r="J3" s="128">
        <v>45709</v>
      </c>
      <c r="K3" s="100"/>
      <c r="L3" s="100"/>
      <c r="M3" s="100" t="s">
        <v>939</v>
      </c>
      <c r="N3" s="100" t="s">
        <v>694</v>
      </c>
    </row>
    <row r="4" spans="1:14" s="165" customFormat="1" ht="165">
      <c r="A4" s="141">
        <v>45712</v>
      </c>
      <c r="B4" s="142" t="s">
        <v>1508</v>
      </c>
      <c r="C4" s="142" t="s">
        <v>888</v>
      </c>
      <c r="D4" s="142" t="s">
        <v>1509</v>
      </c>
      <c r="E4" s="142" t="s">
        <v>1510</v>
      </c>
      <c r="F4" s="163" t="s">
        <v>1511</v>
      </c>
      <c r="G4" s="260"/>
      <c r="H4" s="261">
        <v>2056700</v>
      </c>
      <c r="I4" s="261"/>
      <c r="J4" s="141">
        <v>45748</v>
      </c>
      <c r="K4" s="142"/>
      <c r="L4" s="142"/>
      <c r="M4" s="142" t="s">
        <v>939</v>
      </c>
      <c r="N4" s="142" t="s">
        <v>694</v>
      </c>
    </row>
    <row r="5" spans="1:14" s="165" customFormat="1" ht="135">
      <c r="A5" s="141">
        <v>45719</v>
      </c>
      <c r="B5" s="142" t="s">
        <v>1677</v>
      </c>
      <c r="C5" s="142" t="s">
        <v>888</v>
      </c>
      <c r="D5" s="142" t="s">
        <v>1678</v>
      </c>
      <c r="E5" s="142" t="s">
        <v>992</v>
      </c>
      <c r="F5" s="163" t="s">
        <v>1679</v>
      </c>
      <c r="G5" s="260"/>
      <c r="H5" s="261">
        <v>3450000</v>
      </c>
      <c r="I5" s="261"/>
      <c r="J5" s="141">
        <v>45748</v>
      </c>
      <c r="K5" s="142"/>
      <c r="L5" s="142"/>
      <c r="M5" s="142" t="s">
        <v>939</v>
      </c>
      <c r="N5" s="142" t="s">
        <v>694</v>
      </c>
    </row>
    <row r="6" spans="1:14" ht="30">
      <c r="A6" s="128">
        <v>45749</v>
      </c>
      <c r="B6" s="100" t="s">
        <v>1693</v>
      </c>
      <c r="C6" s="100" t="s">
        <v>888</v>
      </c>
      <c r="D6" s="100" t="s">
        <v>1694</v>
      </c>
      <c r="E6" s="100" t="s">
        <v>979</v>
      </c>
      <c r="F6" s="130" t="s">
        <v>1695</v>
      </c>
      <c r="G6" s="259" t="s">
        <v>1696</v>
      </c>
      <c r="H6" s="263">
        <v>92550</v>
      </c>
      <c r="I6" s="258"/>
      <c r="J6" s="128">
        <v>45778</v>
      </c>
      <c r="K6" s="100" t="s">
        <v>1633</v>
      </c>
      <c r="L6" s="100"/>
      <c r="M6" s="100" t="s">
        <v>939</v>
      </c>
      <c r="N6" s="100" t="s">
        <v>694</v>
      </c>
    </row>
    <row r="7" spans="1:14">
      <c r="A7" s="128">
        <v>45751</v>
      </c>
      <c r="B7" s="100" t="s">
        <v>1433</v>
      </c>
      <c r="C7" s="100" t="s">
        <v>888</v>
      </c>
      <c r="D7" s="100" t="s">
        <v>1434</v>
      </c>
      <c r="E7" s="100" t="s">
        <v>934</v>
      </c>
      <c r="F7" s="100" t="s">
        <v>935</v>
      </c>
      <c r="G7" s="257" t="s">
        <v>1435</v>
      </c>
      <c r="H7" s="263">
        <v>220770</v>
      </c>
      <c r="I7" s="258"/>
      <c r="J7" s="128">
        <v>45778</v>
      </c>
      <c r="K7" s="183" t="s">
        <v>1319</v>
      </c>
      <c r="L7" s="100"/>
      <c r="M7" s="100" t="s">
        <v>939</v>
      </c>
      <c r="N7" s="100" t="s">
        <v>27</v>
      </c>
    </row>
    <row r="8" spans="1:14">
      <c r="A8" s="128">
        <v>45749</v>
      </c>
      <c r="B8" s="100" t="s">
        <v>1697</v>
      </c>
      <c r="C8" s="100" t="s">
        <v>1698</v>
      </c>
      <c r="D8" s="100" t="s">
        <v>1699</v>
      </c>
      <c r="E8" s="100" t="s">
        <v>992</v>
      </c>
      <c r="F8" s="130" t="s">
        <v>1700</v>
      </c>
      <c r="G8" s="259">
        <v>300000</v>
      </c>
      <c r="H8" s="258">
        <v>207000</v>
      </c>
      <c r="I8" s="258"/>
      <c r="J8" s="128">
        <v>45809</v>
      </c>
      <c r="K8" s="100" t="s">
        <v>1633</v>
      </c>
      <c r="L8" s="100"/>
      <c r="M8" s="100" t="s">
        <v>939</v>
      </c>
      <c r="N8" s="100" t="s">
        <v>694</v>
      </c>
    </row>
    <row r="9" spans="1:14" ht="30">
      <c r="A9" s="128">
        <v>45751</v>
      </c>
      <c r="B9" s="100" t="s">
        <v>1504</v>
      </c>
      <c r="C9" s="100" t="s">
        <v>888</v>
      </c>
      <c r="D9" s="100" t="s">
        <v>1505</v>
      </c>
      <c r="E9" s="100" t="s">
        <v>979</v>
      </c>
      <c r="F9" s="130" t="s">
        <v>1506</v>
      </c>
      <c r="G9" s="259" t="s">
        <v>1507</v>
      </c>
      <c r="H9" s="258">
        <v>258950</v>
      </c>
      <c r="I9" s="258"/>
      <c r="J9" s="128">
        <v>45778</v>
      </c>
      <c r="K9" s="100" t="s">
        <v>1633</v>
      </c>
      <c r="L9" s="100"/>
      <c r="M9" s="100" t="s">
        <v>939</v>
      </c>
      <c r="N9" s="100" t="s">
        <v>694</v>
      </c>
    </row>
    <row r="10" spans="1:14" s="165" customFormat="1" ht="45">
      <c r="A10" s="141">
        <v>45755</v>
      </c>
      <c r="B10" s="142" t="s">
        <v>1646</v>
      </c>
      <c r="C10" s="142" t="s">
        <v>888</v>
      </c>
      <c r="D10" s="142" t="s">
        <v>1647</v>
      </c>
      <c r="E10" s="142" t="s">
        <v>992</v>
      </c>
      <c r="F10" s="163" t="s">
        <v>1648</v>
      </c>
      <c r="G10" s="262" t="s">
        <v>1649</v>
      </c>
      <c r="H10" s="261">
        <v>840000</v>
      </c>
      <c r="I10" s="261"/>
      <c r="J10" s="141">
        <v>45778</v>
      </c>
      <c r="K10" s="142" t="s">
        <v>1633</v>
      </c>
      <c r="L10" s="142"/>
      <c r="M10" s="142" t="s">
        <v>939</v>
      </c>
      <c r="N10" s="142" t="s">
        <v>694</v>
      </c>
    </row>
    <row r="11" spans="1:14" s="165" customFormat="1" ht="45">
      <c r="A11" s="141">
        <v>45854</v>
      </c>
      <c r="B11" s="142" t="s">
        <v>2366</v>
      </c>
      <c r="C11" s="142" t="s">
        <v>888</v>
      </c>
      <c r="D11" s="142" t="s">
        <v>2367</v>
      </c>
      <c r="E11" s="142" t="s">
        <v>942</v>
      </c>
      <c r="F11" s="163" t="s">
        <v>1522</v>
      </c>
      <c r="G11" s="262" t="s">
        <v>2325</v>
      </c>
      <c r="H11" s="261">
        <v>816000</v>
      </c>
      <c r="I11" s="261"/>
      <c r="J11" s="141">
        <v>45809</v>
      </c>
      <c r="K11" s="142" t="s">
        <v>1633</v>
      </c>
      <c r="L11" s="142"/>
      <c r="M11" s="142" t="s">
        <v>939</v>
      </c>
      <c r="N11" s="142" t="s">
        <v>694</v>
      </c>
    </row>
    <row r="12" spans="1:14" ht="225">
      <c r="A12" s="141">
        <v>45854</v>
      </c>
      <c r="B12" s="142" t="s">
        <v>2359</v>
      </c>
      <c r="C12" s="142" t="s">
        <v>888</v>
      </c>
      <c r="D12" s="142" t="s">
        <v>2360</v>
      </c>
      <c r="E12" s="142" t="s">
        <v>2361</v>
      </c>
      <c r="F12" s="163" t="s">
        <v>2362</v>
      </c>
      <c r="G12" s="262" t="s">
        <v>2363</v>
      </c>
      <c r="H12" s="261">
        <v>1015000</v>
      </c>
      <c r="I12" s="261"/>
      <c r="J12" s="141">
        <v>45839</v>
      </c>
      <c r="K12" s="142" t="s">
        <v>1633</v>
      </c>
      <c r="L12" s="142"/>
      <c r="M12" s="142" t="s">
        <v>939</v>
      </c>
      <c r="N12" s="142" t="s">
        <v>694</v>
      </c>
    </row>
    <row r="13" spans="1:14" ht="345">
      <c r="A13" s="141">
        <v>45797</v>
      </c>
      <c r="B13" s="142" t="s">
        <v>2355</v>
      </c>
      <c r="C13" s="142" t="s">
        <v>888</v>
      </c>
      <c r="D13" s="142" t="s">
        <v>2356</v>
      </c>
      <c r="E13" s="142" t="s">
        <v>2941</v>
      </c>
      <c r="F13" s="163" t="s">
        <v>2357</v>
      </c>
      <c r="G13" s="262" t="s">
        <v>2358</v>
      </c>
      <c r="H13" s="261">
        <v>1204633.05</v>
      </c>
      <c r="I13" s="261"/>
      <c r="J13" s="141">
        <v>45839</v>
      </c>
      <c r="K13" s="142"/>
      <c r="L13" s="142"/>
      <c r="M13" s="142" t="s">
        <v>939</v>
      </c>
      <c r="N13" s="142" t="s">
        <v>694</v>
      </c>
    </row>
    <row r="14" spans="1:14" s="165" customFormat="1" ht="45">
      <c r="A14" s="141">
        <v>45813</v>
      </c>
      <c r="B14" s="142" t="s">
        <v>2337</v>
      </c>
      <c r="C14" s="142" t="s">
        <v>888</v>
      </c>
      <c r="D14" s="142" t="s">
        <v>2338</v>
      </c>
      <c r="E14" s="142" t="s">
        <v>979</v>
      </c>
      <c r="F14" s="163" t="s">
        <v>2339</v>
      </c>
      <c r="G14" s="262" t="s">
        <v>2340</v>
      </c>
      <c r="H14" s="261">
        <v>387480</v>
      </c>
      <c r="I14" s="261"/>
      <c r="J14" s="141">
        <v>45818</v>
      </c>
      <c r="K14" s="142" t="s">
        <v>1633</v>
      </c>
      <c r="L14" s="142"/>
      <c r="M14" s="142" t="s">
        <v>939</v>
      </c>
      <c r="N14" s="142" t="s">
        <v>694</v>
      </c>
    </row>
    <row r="15" spans="1:14" s="165" customFormat="1">
      <c r="A15" s="128">
        <v>45800</v>
      </c>
      <c r="B15" s="100" t="s">
        <v>2331</v>
      </c>
      <c r="C15" s="142" t="s">
        <v>888</v>
      </c>
      <c r="D15" s="100" t="s">
        <v>2332</v>
      </c>
      <c r="E15" s="100" t="s">
        <v>942</v>
      </c>
      <c r="F15" s="100" t="s">
        <v>2333</v>
      </c>
      <c r="G15" s="262">
        <v>30000</v>
      </c>
      <c r="H15" s="258">
        <v>3390000</v>
      </c>
      <c r="I15" s="258"/>
      <c r="J15" s="128">
        <v>45809</v>
      </c>
      <c r="K15" s="142" t="s">
        <v>1633</v>
      </c>
      <c r="L15" s="100"/>
      <c r="M15" s="142" t="s">
        <v>939</v>
      </c>
      <c r="N15" s="100" t="s">
        <v>694</v>
      </c>
    </row>
    <row r="16" spans="1:14">
      <c r="A16" s="128">
        <v>45839</v>
      </c>
      <c r="B16" s="100" t="s">
        <v>2303</v>
      </c>
      <c r="C16" s="100" t="s">
        <v>888</v>
      </c>
      <c r="D16" s="100" t="s">
        <v>2304</v>
      </c>
      <c r="E16" s="100" t="s">
        <v>2301</v>
      </c>
      <c r="F16" s="100" t="s">
        <v>2983</v>
      </c>
      <c r="G16" s="257">
        <v>50000</v>
      </c>
      <c r="H16" s="258">
        <v>14835000</v>
      </c>
      <c r="I16" s="258"/>
      <c r="J16" s="128">
        <v>45870</v>
      </c>
      <c r="K16" s="100"/>
      <c r="L16" s="100"/>
      <c r="M16" s="142" t="s">
        <v>939</v>
      </c>
      <c r="N16" s="100" t="s">
        <v>694</v>
      </c>
    </row>
    <row r="17" spans="1:14" s="165" customFormat="1" ht="30">
      <c r="A17" s="141">
        <v>45839</v>
      </c>
      <c r="B17" s="142" t="s">
        <v>2292</v>
      </c>
      <c r="C17" s="142" t="s">
        <v>888</v>
      </c>
      <c r="D17" s="142" t="s">
        <v>2293</v>
      </c>
      <c r="E17" s="142" t="s">
        <v>942</v>
      </c>
      <c r="F17" s="163" t="s">
        <v>2294</v>
      </c>
      <c r="G17" s="262" t="s">
        <v>2295</v>
      </c>
      <c r="H17" s="238">
        <v>1845000</v>
      </c>
      <c r="I17" s="261"/>
      <c r="J17" s="141">
        <v>45870</v>
      </c>
      <c r="K17" s="142" t="s">
        <v>1633</v>
      </c>
      <c r="L17" s="142"/>
      <c r="M17" s="142" t="s">
        <v>939</v>
      </c>
      <c r="N17" s="142" t="s">
        <v>694</v>
      </c>
    </row>
    <row r="18" spans="1:14">
      <c r="A18" s="128">
        <v>45839</v>
      </c>
      <c r="B18" s="100" t="s">
        <v>2195</v>
      </c>
      <c r="C18" s="100" t="s">
        <v>888</v>
      </c>
      <c r="D18" s="100" t="s">
        <v>2196</v>
      </c>
      <c r="E18" s="100" t="s">
        <v>2939</v>
      </c>
      <c r="F18" s="100" t="s">
        <v>2940</v>
      </c>
      <c r="G18" s="257">
        <v>1000</v>
      </c>
      <c r="H18" s="258">
        <v>282095</v>
      </c>
      <c r="I18" s="258"/>
      <c r="J18" s="128">
        <v>45845</v>
      </c>
      <c r="K18" s="100"/>
      <c r="L18" s="100"/>
      <c r="M18" s="142" t="s">
        <v>939</v>
      </c>
      <c r="N18" s="100" t="s">
        <v>694</v>
      </c>
    </row>
    <row r="19" spans="1:14" s="165" customFormat="1" ht="60">
      <c r="A19" s="141">
        <v>45848</v>
      </c>
      <c r="B19" s="142" t="s">
        <v>2289</v>
      </c>
      <c r="C19" s="142" t="s">
        <v>888</v>
      </c>
      <c r="D19" s="142" t="s">
        <v>2281</v>
      </c>
      <c r="E19" s="142" t="s">
        <v>2282</v>
      </c>
      <c r="F19" s="163" t="s">
        <v>2283</v>
      </c>
      <c r="G19" s="262" t="s">
        <v>2285</v>
      </c>
      <c r="H19" s="261">
        <v>728000</v>
      </c>
      <c r="I19" s="261"/>
      <c r="J19" s="141">
        <v>45870</v>
      </c>
      <c r="K19" s="142" t="s">
        <v>1633</v>
      </c>
      <c r="L19" s="142"/>
      <c r="M19" s="100" t="s">
        <v>939</v>
      </c>
      <c r="N19" s="100" t="s">
        <v>694</v>
      </c>
    </row>
    <row r="20" spans="1:14" s="165" customFormat="1" ht="150">
      <c r="A20" s="141">
        <v>45857</v>
      </c>
      <c r="B20" s="142" t="s">
        <v>2496</v>
      </c>
      <c r="C20" s="142" t="s">
        <v>888</v>
      </c>
      <c r="D20" s="142" t="s">
        <v>2497</v>
      </c>
      <c r="E20" s="142" t="s">
        <v>2498</v>
      </c>
      <c r="F20" s="163" t="s">
        <v>2499</v>
      </c>
      <c r="G20" s="262" t="s">
        <v>2500</v>
      </c>
      <c r="H20" s="261">
        <v>3784000</v>
      </c>
      <c r="I20" s="261"/>
      <c r="J20" s="141">
        <v>45931</v>
      </c>
      <c r="K20" s="142"/>
      <c r="L20" s="142"/>
      <c r="M20" s="142" t="s">
        <v>939</v>
      </c>
      <c r="N20" s="142" t="s">
        <v>694</v>
      </c>
    </row>
    <row r="21" spans="1:14" s="165" customFormat="1" ht="30">
      <c r="A21" s="141">
        <v>45867</v>
      </c>
      <c r="B21" s="142" t="s">
        <v>2505</v>
      </c>
      <c r="C21" s="142" t="s">
        <v>888</v>
      </c>
      <c r="D21" s="142" t="s">
        <v>2506</v>
      </c>
      <c r="E21" s="142" t="s">
        <v>942</v>
      </c>
      <c r="F21" s="163" t="s">
        <v>2507</v>
      </c>
      <c r="G21" s="262" t="s">
        <v>2508</v>
      </c>
      <c r="H21" s="261">
        <v>1476000</v>
      </c>
      <c r="I21" s="261"/>
      <c r="J21" s="141">
        <v>45901</v>
      </c>
      <c r="K21" s="142"/>
      <c r="L21" s="142"/>
      <c r="M21" s="142" t="s">
        <v>939</v>
      </c>
      <c r="N21" s="142" t="s">
        <v>694</v>
      </c>
    </row>
    <row r="22" spans="1:14">
      <c r="A22" s="128">
        <v>45867</v>
      </c>
      <c r="B22" s="100" t="s">
        <v>2509</v>
      </c>
      <c r="C22" s="100" t="s">
        <v>888</v>
      </c>
      <c r="D22" s="100" t="s">
        <v>2510</v>
      </c>
      <c r="E22" s="100" t="s">
        <v>934</v>
      </c>
      <c r="F22" s="100" t="s">
        <v>2511</v>
      </c>
      <c r="G22" s="257">
        <v>2500</v>
      </c>
      <c r="H22" s="258">
        <v>613250</v>
      </c>
      <c r="I22" s="258"/>
      <c r="J22" s="128">
        <v>45873</v>
      </c>
      <c r="K22" s="100"/>
      <c r="L22" s="100"/>
      <c r="M22" s="100" t="s">
        <v>939</v>
      </c>
      <c r="N22" s="100" t="s">
        <v>27</v>
      </c>
    </row>
    <row r="23" spans="1:14" s="165" customFormat="1">
      <c r="A23" s="141">
        <v>45866</v>
      </c>
      <c r="B23" s="100" t="s">
        <v>2737</v>
      </c>
      <c r="C23" s="142" t="s">
        <v>888</v>
      </c>
      <c r="D23" s="142" t="s">
        <v>2738</v>
      </c>
      <c r="E23" s="142" t="s">
        <v>2739</v>
      </c>
      <c r="F23" s="163" t="s">
        <v>2740</v>
      </c>
      <c r="G23" s="262">
        <v>242250</v>
      </c>
      <c r="H23" s="261">
        <v>1671525</v>
      </c>
      <c r="I23" s="261"/>
      <c r="J23" s="141">
        <v>45931</v>
      </c>
      <c r="K23" s="142" t="s">
        <v>1633</v>
      </c>
      <c r="L23" s="142"/>
      <c r="M23" s="100" t="s">
        <v>939</v>
      </c>
      <c r="N23" s="100" t="s">
        <v>24</v>
      </c>
    </row>
    <row r="24" spans="1:14" ht="255">
      <c r="A24" s="141">
        <v>45903</v>
      </c>
      <c r="B24" s="142" t="s">
        <v>2910</v>
      </c>
      <c r="C24" s="142" t="s">
        <v>888</v>
      </c>
      <c r="D24" s="142" t="s">
        <v>2911</v>
      </c>
      <c r="E24" s="142" t="s">
        <v>2282</v>
      </c>
      <c r="F24" s="163" t="s">
        <v>2913</v>
      </c>
      <c r="G24" s="262" t="s">
        <v>2914</v>
      </c>
      <c r="H24" s="261">
        <v>1032500</v>
      </c>
      <c r="I24" s="261"/>
      <c r="J24" s="141">
        <v>45926</v>
      </c>
      <c r="K24" s="142" t="s">
        <v>1633</v>
      </c>
      <c r="L24" s="142"/>
      <c r="M24" s="142" t="s">
        <v>939</v>
      </c>
      <c r="N24" s="142" t="s">
        <v>694</v>
      </c>
    </row>
    <row r="25" spans="1:14" s="165" customFormat="1" ht="75">
      <c r="A25" s="141">
        <v>45959</v>
      </c>
      <c r="B25" s="142" t="s">
        <v>3677</v>
      </c>
      <c r="C25" s="142" t="s">
        <v>888</v>
      </c>
      <c r="D25" s="142" t="s">
        <v>3678</v>
      </c>
      <c r="E25" s="142" t="s">
        <v>3679</v>
      </c>
      <c r="F25" s="163" t="s">
        <v>3680</v>
      </c>
      <c r="G25" s="262" t="s">
        <v>3681</v>
      </c>
      <c r="H25" s="261">
        <v>399650</v>
      </c>
      <c r="I25" s="261"/>
      <c r="J25" s="141">
        <v>46027</v>
      </c>
      <c r="K25" s="142" t="s">
        <v>1633</v>
      </c>
      <c r="L25" s="142"/>
      <c r="M25" s="142" t="s">
        <v>939</v>
      </c>
      <c r="N25" s="142" t="s">
        <v>24</v>
      </c>
    </row>
    <row r="26" spans="1:14" s="165" customFormat="1" ht="90">
      <c r="A26" s="141">
        <v>45919</v>
      </c>
      <c r="B26" s="142" t="s">
        <v>3058</v>
      </c>
      <c r="C26" s="142" t="s">
        <v>888</v>
      </c>
      <c r="D26" s="142" t="s">
        <v>3062</v>
      </c>
      <c r="E26" s="142" t="s">
        <v>2981</v>
      </c>
      <c r="F26" s="163" t="s">
        <v>3059</v>
      </c>
      <c r="G26" s="262" t="s">
        <v>3060</v>
      </c>
      <c r="H26" s="261">
        <v>741750</v>
      </c>
      <c r="I26" s="261"/>
      <c r="J26" s="141">
        <v>45931</v>
      </c>
      <c r="K26" s="142" t="s">
        <v>2717</v>
      </c>
      <c r="L26" s="142"/>
      <c r="M26" s="142" t="s">
        <v>939</v>
      </c>
      <c r="N26" s="142" t="s">
        <v>24</v>
      </c>
    </row>
    <row r="27" spans="1:14" s="165" customFormat="1">
      <c r="A27" s="128">
        <v>45936</v>
      </c>
      <c r="B27" s="100" t="s">
        <v>3279</v>
      </c>
      <c r="C27" s="100" t="s">
        <v>888</v>
      </c>
      <c r="D27" s="100" t="s">
        <v>3280</v>
      </c>
      <c r="E27" s="100" t="s">
        <v>3281</v>
      </c>
      <c r="F27" s="100" t="s">
        <v>3282</v>
      </c>
      <c r="G27" s="257">
        <v>1000</v>
      </c>
      <c r="H27" s="258">
        <v>5739130</v>
      </c>
      <c r="I27" s="258"/>
      <c r="J27" s="128">
        <v>45943</v>
      </c>
      <c r="K27" s="142" t="s">
        <v>2717</v>
      </c>
      <c r="L27" s="100"/>
      <c r="M27" s="142" t="s">
        <v>939</v>
      </c>
      <c r="N27" s="142" t="s">
        <v>694</v>
      </c>
    </row>
    <row r="28" spans="1:14" s="165" customFormat="1" ht="165">
      <c r="A28" s="141">
        <v>45931</v>
      </c>
      <c r="B28" s="142" t="s">
        <v>3214</v>
      </c>
      <c r="C28" s="142" t="s">
        <v>888</v>
      </c>
      <c r="D28" s="142" t="s">
        <v>3215</v>
      </c>
      <c r="E28" s="142" t="s">
        <v>3216</v>
      </c>
      <c r="F28" s="163" t="s">
        <v>3217</v>
      </c>
      <c r="G28" s="262" t="s">
        <v>3218</v>
      </c>
      <c r="H28" s="261">
        <v>829650</v>
      </c>
      <c r="I28" s="261"/>
      <c r="J28" s="141">
        <v>45931</v>
      </c>
      <c r="K28" s="142" t="s">
        <v>2717</v>
      </c>
      <c r="L28" s="142"/>
      <c r="M28" s="142" t="s">
        <v>939</v>
      </c>
      <c r="N28" s="142" t="s">
        <v>694</v>
      </c>
    </row>
    <row r="29" spans="1:14" ht="180">
      <c r="A29" s="141">
        <v>45931</v>
      </c>
      <c r="B29" s="142" t="s">
        <v>3228</v>
      </c>
      <c r="C29" s="142" t="s">
        <v>888</v>
      </c>
      <c r="D29" s="142" t="s">
        <v>3229</v>
      </c>
      <c r="E29" s="142" t="s">
        <v>2282</v>
      </c>
      <c r="F29" s="163" t="s">
        <v>3230</v>
      </c>
      <c r="G29" s="262" t="s">
        <v>3231</v>
      </c>
      <c r="H29" s="261">
        <v>716500</v>
      </c>
      <c r="I29" s="261"/>
      <c r="J29" s="141">
        <v>45931</v>
      </c>
      <c r="K29" s="142" t="s">
        <v>2717</v>
      </c>
      <c r="L29" s="142"/>
      <c r="M29" s="142" t="s">
        <v>939</v>
      </c>
      <c r="N29" s="142" t="s">
        <v>694</v>
      </c>
    </row>
    <row r="30" spans="1:14">
      <c r="A30" s="128">
        <v>45936</v>
      </c>
      <c r="B30" s="100" t="s">
        <v>3286</v>
      </c>
      <c r="C30" s="100" t="s">
        <v>888</v>
      </c>
      <c r="D30" s="100" t="s">
        <v>3287</v>
      </c>
      <c r="E30" s="100" t="s">
        <v>3236</v>
      </c>
      <c r="F30" s="100" t="s">
        <v>3288</v>
      </c>
      <c r="G30" s="257">
        <v>5000</v>
      </c>
      <c r="H30" s="258">
        <v>30850</v>
      </c>
      <c r="I30" s="258"/>
      <c r="J30" s="128">
        <v>45962</v>
      </c>
      <c r="K30" s="142" t="s">
        <v>2717</v>
      </c>
      <c r="L30" s="100"/>
      <c r="M30" s="142" t="s">
        <v>939</v>
      </c>
      <c r="N30" s="142" t="s">
        <v>694</v>
      </c>
    </row>
    <row r="31" spans="1:14" s="165" customFormat="1" ht="30">
      <c r="A31" s="141">
        <v>45944</v>
      </c>
      <c r="B31" s="142" t="s">
        <v>3346</v>
      </c>
      <c r="C31" s="142" t="s">
        <v>888</v>
      </c>
      <c r="D31" s="142" t="s">
        <v>3347</v>
      </c>
      <c r="E31" s="142" t="s">
        <v>2980</v>
      </c>
      <c r="F31" s="163" t="s">
        <v>3348</v>
      </c>
      <c r="G31" s="262" t="s">
        <v>2350</v>
      </c>
      <c r="H31" s="261">
        <v>2260000</v>
      </c>
      <c r="I31" s="261"/>
      <c r="J31" s="141">
        <v>45950</v>
      </c>
      <c r="K31" s="142" t="s">
        <v>2717</v>
      </c>
      <c r="L31" s="142"/>
      <c r="M31" s="142" t="s">
        <v>939</v>
      </c>
      <c r="N31" s="142" t="s">
        <v>694</v>
      </c>
    </row>
    <row r="32" spans="1:14" ht="165">
      <c r="A32" s="141">
        <v>45947</v>
      </c>
      <c r="B32" s="142" t="s">
        <v>3417</v>
      </c>
      <c r="C32" s="142" t="s">
        <v>888</v>
      </c>
      <c r="D32" s="142" t="s">
        <v>3418</v>
      </c>
      <c r="E32" s="142" t="s">
        <v>2282</v>
      </c>
      <c r="F32" s="163" t="s">
        <v>3419</v>
      </c>
      <c r="G32" s="262" t="s">
        <v>3420</v>
      </c>
      <c r="H32" s="261">
        <v>3622000</v>
      </c>
      <c r="I32" s="261"/>
      <c r="J32" s="141">
        <v>46027</v>
      </c>
      <c r="K32" s="142" t="s">
        <v>2717</v>
      </c>
      <c r="L32" s="142"/>
      <c r="M32" s="142" t="s">
        <v>939</v>
      </c>
      <c r="N32" s="142" t="s">
        <v>694</v>
      </c>
    </row>
    <row r="33" spans="1:14" ht="45">
      <c r="A33" s="141">
        <v>45947</v>
      </c>
      <c r="B33" s="142" t="s">
        <v>3425</v>
      </c>
      <c r="C33" s="142" t="s">
        <v>888</v>
      </c>
      <c r="D33" s="142" t="s">
        <v>3426</v>
      </c>
      <c r="E33" s="142" t="s">
        <v>2980</v>
      </c>
      <c r="F33" s="163" t="s">
        <v>1522</v>
      </c>
      <c r="G33" s="262" t="s">
        <v>3427</v>
      </c>
      <c r="H33" s="261">
        <v>646500</v>
      </c>
      <c r="I33" s="261"/>
      <c r="J33" s="141">
        <v>45962</v>
      </c>
      <c r="K33" s="142" t="s">
        <v>2717</v>
      </c>
      <c r="L33" s="142"/>
      <c r="M33" s="142" t="s">
        <v>939</v>
      </c>
      <c r="N33" s="142" t="s">
        <v>694</v>
      </c>
    </row>
    <row r="34" spans="1:14">
      <c r="A34" s="128">
        <v>45947</v>
      </c>
      <c r="B34" s="100" t="s">
        <v>3423</v>
      </c>
      <c r="C34" s="100" t="s">
        <v>888</v>
      </c>
      <c r="D34" s="100" t="s">
        <v>3424</v>
      </c>
      <c r="E34" s="100" t="s">
        <v>2980</v>
      </c>
      <c r="F34" s="100" t="s">
        <v>1650</v>
      </c>
      <c r="G34" s="257">
        <v>30000</v>
      </c>
      <c r="H34" s="258">
        <v>3390000</v>
      </c>
      <c r="I34" s="258"/>
      <c r="J34" s="128">
        <v>45992</v>
      </c>
      <c r="K34" s="142" t="s">
        <v>2717</v>
      </c>
      <c r="L34" s="100"/>
      <c r="M34" s="142" t="s">
        <v>939</v>
      </c>
      <c r="N34" s="142" t="s">
        <v>694</v>
      </c>
    </row>
    <row r="35" spans="1:14">
      <c r="A35" s="128">
        <v>45947</v>
      </c>
      <c r="B35" s="100" t="s">
        <v>3421</v>
      </c>
      <c r="C35" s="100" t="s">
        <v>888</v>
      </c>
      <c r="D35" s="100" t="s">
        <v>3422</v>
      </c>
      <c r="E35" s="100" t="s">
        <v>2980</v>
      </c>
      <c r="F35" s="100" t="s">
        <v>2298</v>
      </c>
      <c r="G35" s="257">
        <v>2000</v>
      </c>
      <c r="H35" s="258">
        <v>276000</v>
      </c>
      <c r="I35" s="258"/>
      <c r="J35" s="128">
        <v>45962</v>
      </c>
      <c r="K35" s="142" t="s">
        <v>2717</v>
      </c>
      <c r="L35" s="100"/>
      <c r="M35" s="142" t="s">
        <v>939</v>
      </c>
      <c r="N35" s="142" t="s">
        <v>694</v>
      </c>
    </row>
    <row r="36" spans="1:14" s="165" customFormat="1" ht="45">
      <c r="A36" s="141">
        <v>45954</v>
      </c>
      <c r="B36" s="142" t="s">
        <v>3560</v>
      </c>
      <c r="C36" s="142" t="s">
        <v>888</v>
      </c>
      <c r="D36" s="142" t="s">
        <v>3561</v>
      </c>
      <c r="E36" s="142" t="s">
        <v>2980</v>
      </c>
      <c r="F36" s="163" t="s">
        <v>3562</v>
      </c>
      <c r="G36" s="262" t="s">
        <v>3563</v>
      </c>
      <c r="H36" s="261">
        <v>2034000</v>
      </c>
      <c r="I36" s="261"/>
      <c r="J36" s="141">
        <v>45957</v>
      </c>
      <c r="K36" s="142" t="s">
        <v>2717</v>
      </c>
      <c r="L36" s="142"/>
      <c r="M36" s="142" t="s">
        <v>939</v>
      </c>
      <c r="N36" s="142" t="s">
        <v>694</v>
      </c>
    </row>
    <row r="37" spans="1:14" s="165" customFormat="1" ht="195">
      <c r="A37" s="141">
        <v>45957</v>
      </c>
      <c r="B37" s="142" t="s">
        <v>3589</v>
      </c>
      <c r="C37" s="142" t="s">
        <v>888</v>
      </c>
      <c r="D37" s="142" t="s">
        <v>3590</v>
      </c>
      <c r="E37" s="142" t="s">
        <v>3591</v>
      </c>
      <c r="F37" s="163" t="s">
        <v>3592</v>
      </c>
      <c r="G37" s="262" t="s">
        <v>3593</v>
      </c>
      <c r="H37" s="261">
        <v>4644980</v>
      </c>
      <c r="I37" s="261"/>
      <c r="J37" s="141">
        <v>46027</v>
      </c>
      <c r="K37" s="142" t="s">
        <v>2717</v>
      </c>
      <c r="L37" s="142"/>
      <c r="M37" s="142" t="s">
        <v>939</v>
      </c>
      <c r="N37" s="142" t="s">
        <v>694</v>
      </c>
    </row>
    <row r="38" spans="1:14" s="165" customFormat="1" ht="300">
      <c r="A38" s="141">
        <v>45957</v>
      </c>
      <c r="B38" s="142" t="s">
        <v>3594</v>
      </c>
      <c r="C38" s="142" t="s">
        <v>888</v>
      </c>
      <c r="D38" s="142" t="s">
        <v>3595</v>
      </c>
      <c r="E38" s="142" t="s">
        <v>2941</v>
      </c>
      <c r="F38" s="163" t="s">
        <v>3596</v>
      </c>
      <c r="G38" s="337" t="s">
        <v>3597</v>
      </c>
      <c r="H38" s="261">
        <v>912217</v>
      </c>
      <c r="I38" s="261"/>
      <c r="J38" s="141">
        <v>46027</v>
      </c>
      <c r="K38" s="142" t="s">
        <v>2717</v>
      </c>
      <c r="L38" s="142"/>
      <c r="M38" s="142" t="s">
        <v>939</v>
      </c>
      <c r="N38" s="142" t="s">
        <v>694</v>
      </c>
    </row>
    <row r="39" spans="1:14">
      <c r="A39" s="128">
        <v>45959</v>
      </c>
      <c r="B39" s="100" t="s">
        <v>3636</v>
      </c>
      <c r="C39" s="100" t="s">
        <v>888</v>
      </c>
      <c r="D39" s="100" t="s">
        <v>3637</v>
      </c>
      <c r="E39" s="100" t="s">
        <v>3638</v>
      </c>
      <c r="F39" s="100" t="s">
        <v>2839</v>
      </c>
      <c r="G39" s="257">
        <v>500</v>
      </c>
      <c r="H39" s="258">
        <v>181087.5</v>
      </c>
      <c r="I39" s="258"/>
      <c r="J39" s="128">
        <v>45962</v>
      </c>
      <c r="K39" s="142" t="s">
        <v>2717</v>
      </c>
      <c r="L39" s="100"/>
      <c r="M39" s="142" t="s">
        <v>939</v>
      </c>
      <c r="N39" s="100" t="s">
        <v>27</v>
      </c>
    </row>
    <row r="40" spans="1:14" ht="90">
      <c r="A40" s="141">
        <v>45992</v>
      </c>
      <c r="B40" s="142" t="s">
        <v>3847</v>
      </c>
      <c r="C40" s="142" t="s">
        <v>3843</v>
      </c>
      <c r="D40" s="142" t="s">
        <v>3848</v>
      </c>
      <c r="E40" s="142" t="s">
        <v>2282</v>
      </c>
      <c r="F40" s="163" t="s">
        <v>3849</v>
      </c>
      <c r="G40" s="262" t="s">
        <v>3850</v>
      </c>
      <c r="H40" s="261">
        <v>230500</v>
      </c>
      <c r="I40" s="261"/>
      <c r="J40" s="141">
        <v>46027</v>
      </c>
      <c r="K40" s="142" t="s">
        <v>1633</v>
      </c>
      <c r="L40" s="142"/>
      <c r="M40" s="142" t="s">
        <v>939</v>
      </c>
      <c r="N40" s="142" t="s">
        <v>694</v>
      </c>
    </row>
    <row r="41" spans="1:14" ht="90">
      <c r="A41" s="141">
        <v>46051</v>
      </c>
      <c r="B41" s="142" t="s">
        <v>4315</v>
      </c>
      <c r="C41" s="142" t="s">
        <v>888</v>
      </c>
      <c r="D41" s="142" t="s">
        <v>4316</v>
      </c>
      <c r="E41" s="142" t="s">
        <v>3216</v>
      </c>
      <c r="F41" s="163" t="s">
        <v>4317</v>
      </c>
      <c r="G41" s="262" t="s">
        <v>4318</v>
      </c>
      <c r="H41" s="261">
        <v>2048300</v>
      </c>
      <c r="I41" s="261"/>
      <c r="J41" s="141">
        <v>46059</v>
      </c>
      <c r="K41" s="142" t="s">
        <v>1633</v>
      </c>
      <c r="L41" s="142"/>
      <c r="M41" s="142" t="s">
        <v>939</v>
      </c>
      <c r="N41" s="142" t="s">
        <v>694</v>
      </c>
    </row>
    <row r="42" spans="1:14" ht="30">
      <c r="A42" s="128">
        <v>45996</v>
      </c>
      <c r="B42" s="100" t="s">
        <v>3939</v>
      </c>
      <c r="C42" s="100" t="s">
        <v>888</v>
      </c>
      <c r="D42" s="100" t="s">
        <v>3940</v>
      </c>
      <c r="E42" s="100" t="s">
        <v>3236</v>
      </c>
      <c r="F42" s="130" t="s">
        <v>2349</v>
      </c>
      <c r="G42" s="259" t="s">
        <v>3941</v>
      </c>
      <c r="H42" s="258">
        <v>59690</v>
      </c>
      <c r="I42" s="258"/>
      <c r="J42" s="128">
        <v>45996</v>
      </c>
      <c r="K42" s="142" t="s">
        <v>1633</v>
      </c>
      <c r="L42" s="100"/>
      <c r="M42" s="100" t="s">
        <v>939</v>
      </c>
      <c r="N42" s="100" t="s">
        <v>694</v>
      </c>
    </row>
    <row r="43" spans="1:14">
      <c r="A43" s="128">
        <v>45996</v>
      </c>
      <c r="B43" s="100" t="s">
        <v>3895</v>
      </c>
      <c r="C43" s="100" t="s">
        <v>888</v>
      </c>
      <c r="D43" s="100" t="s">
        <v>3896</v>
      </c>
      <c r="E43" s="100" t="s">
        <v>2980</v>
      </c>
      <c r="F43" s="100" t="s">
        <v>3897</v>
      </c>
      <c r="G43" s="257">
        <v>20000</v>
      </c>
      <c r="H43" s="258">
        <v>2260000</v>
      </c>
      <c r="I43" s="258"/>
      <c r="J43" s="128">
        <v>46006</v>
      </c>
      <c r="K43" s="142" t="s">
        <v>1633</v>
      </c>
      <c r="L43" s="100"/>
      <c r="M43" s="100" t="s">
        <v>939</v>
      </c>
      <c r="N43" s="142" t="s">
        <v>694</v>
      </c>
    </row>
    <row r="44" spans="1:14">
      <c r="A44" s="128">
        <v>45996</v>
      </c>
      <c r="B44" s="100" t="s">
        <v>3903</v>
      </c>
      <c r="C44" s="100" t="s">
        <v>888</v>
      </c>
      <c r="D44" s="100" t="s">
        <v>3904</v>
      </c>
      <c r="E44" s="100" t="s">
        <v>2939</v>
      </c>
      <c r="F44" s="100" t="s">
        <v>2940</v>
      </c>
      <c r="G44" s="257">
        <v>6000</v>
      </c>
      <c r="H44" s="258">
        <v>1471800</v>
      </c>
      <c r="I44" s="258"/>
      <c r="J44" s="128">
        <v>46006</v>
      </c>
      <c r="K44" s="142" t="s">
        <v>1633</v>
      </c>
      <c r="L44" s="100"/>
      <c r="M44" s="100" t="s">
        <v>939</v>
      </c>
      <c r="N44" s="100" t="s">
        <v>24</v>
      </c>
    </row>
    <row r="45" spans="1:14">
      <c r="A45" s="123">
        <v>45996</v>
      </c>
      <c r="B45" s="100" t="s">
        <v>3901</v>
      </c>
      <c r="C45" s="100" t="s">
        <v>888</v>
      </c>
      <c r="D45" s="100" t="s">
        <v>3902</v>
      </c>
      <c r="E45" s="100" t="s">
        <v>3638</v>
      </c>
      <c r="F45" s="100" t="s">
        <v>2839</v>
      </c>
      <c r="G45" s="257">
        <v>600</v>
      </c>
      <c r="H45" s="258">
        <v>217305</v>
      </c>
      <c r="I45" s="258"/>
      <c r="J45" s="128">
        <v>46027</v>
      </c>
      <c r="K45" s="142" t="s">
        <v>1633</v>
      </c>
      <c r="L45" s="100"/>
      <c r="M45" s="100" t="s">
        <v>939</v>
      </c>
      <c r="N45" s="100" t="s">
        <v>24</v>
      </c>
    </row>
    <row r="46" spans="1:14">
      <c r="A46" s="128">
        <v>46030</v>
      </c>
      <c r="B46" s="100" t="s">
        <v>4141</v>
      </c>
      <c r="C46" s="100" t="s">
        <v>888</v>
      </c>
      <c r="D46" s="100" t="s">
        <v>4142</v>
      </c>
      <c r="E46" s="100" t="s">
        <v>3316</v>
      </c>
      <c r="F46" s="100" t="s">
        <v>4143</v>
      </c>
      <c r="G46" s="257">
        <v>4095000</v>
      </c>
      <c r="H46" s="258">
        <v>25429.95</v>
      </c>
      <c r="I46" s="258"/>
      <c r="J46" s="128">
        <v>46054</v>
      </c>
      <c r="K46" s="142" t="s">
        <v>1633</v>
      </c>
      <c r="L46" s="100"/>
      <c r="M46" s="100" t="s">
        <v>939</v>
      </c>
      <c r="N46" s="100" t="s">
        <v>694</v>
      </c>
    </row>
    <row r="47" spans="1:14" s="165" customFormat="1" ht="45">
      <c r="A47" s="141">
        <v>46041</v>
      </c>
      <c r="B47" s="142" t="s">
        <v>4235</v>
      </c>
      <c r="C47" s="142" t="s">
        <v>888</v>
      </c>
      <c r="D47" s="142" t="s">
        <v>4236</v>
      </c>
      <c r="E47" s="142" t="s">
        <v>2980</v>
      </c>
      <c r="F47" s="163" t="s">
        <v>1522</v>
      </c>
      <c r="G47" s="262" t="s">
        <v>4237</v>
      </c>
      <c r="H47" s="261">
        <v>3703000</v>
      </c>
      <c r="I47" s="261"/>
      <c r="J47" s="141">
        <v>46054</v>
      </c>
      <c r="K47" s="142" t="s">
        <v>1633</v>
      </c>
      <c r="L47" s="142"/>
      <c r="M47" s="142" t="s">
        <v>939</v>
      </c>
      <c r="N47" s="142" t="s">
        <v>694</v>
      </c>
    </row>
    <row r="48" spans="1:14" s="165" customFormat="1" ht="120">
      <c r="A48" s="141">
        <v>46050</v>
      </c>
      <c r="B48" s="142" t="s">
        <v>4308</v>
      </c>
      <c r="C48" s="142" t="s">
        <v>888</v>
      </c>
      <c r="D48" s="142" t="s">
        <v>4309</v>
      </c>
      <c r="E48" s="142" t="s">
        <v>2941</v>
      </c>
      <c r="F48" s="163" t="s">
        <v>4310</v>
      </c>
      <c r="G48" s="262" t="s">
        <v>4311</v>
      </c>
      <c r="H48" s="261">
        <v>290046</v>
      </c>
      <c r="I48" s="261"/>
      <c r="J48" s="141">
        <v>46082</v>
      </c>
      <c r="K48" s="142" t="s">
        <v>1633</v>
      </c>
      <c r="L48" s="142"/>
      <c r="M48" s="142" t="s">
        <v>939</v>
      </c>
      <c r="N48" s="142" t="s">
        <v>694</v>
      </c>
    </row>
    <row r="49" spans="1:14" s="165" customFormat="1">
      <c r="A49" s="141">
        <v>46058</v>
      </c>
      <c r="B49" s="142" t="s">
        <v>4364</v>
      </c>
      <c r="C49" s="142" t="s">
        <v>888</v>
      </c>
      <c r="D49" s="142" t="s">
        <v>4365</v>
      </c>
      <c r="E49" s="142" t="s">
        <v>3236</v>
      </c>
      <c r="F49" s="142" t="s">
        <v>3929</v>
      </c>
      <c r="G49" s="260">
        <v>10000</v>
      </c>
      <c r="H49" s="261">
        <v>151100</v>
      </c>
      <c r="I49" s="261"/>
      <c r="J49" s="141">
        <v>46113</v>
      </c>
      <c r="K49" s="142" t="s">
        <v>1633</v>
      </c>
      <c r="L49" s="142"/>
      <c r="M49" s="142" t="s">
        <v>939</v>
      </c>
      <c r="N49" s="142" t="s">
        <v>694</v>
      </c>
    </row>
    <row r="50" spans="1:14" s="165" customFormat="1">
      <c r="A50" s="141">
        <v>46058</v>
      </c>
      <c r="B50" s="142" t="s">
        <v>4366</v>
      </c>
      <c r="C50" s="142" t="s">
        <v>888</v>
      </c>
      <c r="D50" s="142" t="s">
        <v>4367</v>
      </c>
      <c r="E50" s="142" t="s">
        <v>2980</v>
      </c>
      <c r="F50" s="142" t="s">
        <v>1650</v>
      </c>
      <c r="G50" s="260">
        <v>30000</v>
      </c>
      <c r="H50" s="261">
        <v>3300000</v>
      </c>
      <c r="I50" s="261"/>
      <c r="J50" s="141">
        <v>46082</v>
      </c>
      <c r="K50" s="142" t="s">
        <v>1633</v>
      </c>
      <c r="L50" s="142"/>
      <c r="M50" s="142" t="s">
        <v>939</v>
      </c>
      <c r="N50" s="142" t="s">
        <v>694</v>
      </c>
    </row>
    <row r="51" spans="1:14" s="165" customFormat="1">
      <c r="A51" s="128">
        <v>46065</v>
      </c>
      <c r="B51" s="100" t="s">
        <v>4481</v>
      </c>
      <c r="C51" s="100" t="s">
        <v>888</v>
      </c>
      <c r="D51" s="100" t="s">
        <v>4482</v>
      </c>
      <c r="E51" s="100" t="s">
        <v>2980</v>
      </c>
      <c r="F51" s="100" t="s">
        <v>2298</v>
      </c>
      <c r="G51" s="257">
        <v>2000</v>
      </c>
      <c r="H51" s="258">
        <v>270000</v>
      </c>
      <c r="I51" s="258"/>
      <c r="J51" s="128">
        <v>46082</v>
      </c>
      <c r="K51" s="142" t="s">
        <v>1633</v>
      </c>
      <c r="L51" s="100"/>
      <c r="M51" s="142" t="s">
        <v>939</v>
      </c>
      <c r="N51" s="100" t="s">
        <v>27</v>
      </c>
    </row>
    <row r="52" spans="1:14" s="165" customFormat="1" ht="30">
      <c r="A52" s="141">
        <v>46078</v>
      </c>
      <c r="B52" s="142" t="s">
        <v>4556</v>
      </c>
      <c r="C52" s="142" t="s">
        <v>888</v>
      </c>
      <c r="D52" s="142" t="s">
        <v>4557</v>
      </c>
      <c r="E52" s="142" t="s">
        <v>2981</v>
      </c>
      <c r="F52" s="163" t="s">
        <v>4558</v>
      </c>
      <c r="G52" s="262" t="s">
        <v>4559</v>
      </c>
      <c r="H52" s="261">
        <v>320000</v>
      </c>
      <c r="I52" s="261"/>
      <c r="J52" s="141">
        <v>46087</v>
      </c>
      <c r="K52" s="142" t="s">
        <v>1633</v>
      </c>
      <c r="L52" s="142"/>
      <c r="M52" s="142" t="s">
        <v>939</v>
      </c>
      <c r="N52" s="142" t="s">
        <v>27</v>
      </c>
    </row>
    <row r="53" spans="1:14" s="165" customFormat="1" ht="105">
      <c r="A53" s="141">
        <v>46073</v>
      </c>
      <c r="B53" s="142" t="s">
        <v>4507</v>
      </c>
      <c r="C53" s="142" t="s">
        <v>888</v>
      </c>
      <c r="D53" s="142" t="s">
        <v>4508</v>
      </c>
      <c r="E53" s="142" t="s">
        <v>2981</v>
      </c>
      <c r="F53" s="163" t="s">
        <v>4509</v>
      </c>
      <c r="G53" s="262" t="s">
        <v>4510</v>
      </c>
      <c r="H53" s="261">
        <v>565250</v>
      </c>
      <c r="I53" s="261"/>
      <c r="J53" s="141">
        <v>46113</v>
      </c>
      <c r="K53" s="142" t="s">
        <v>1633</v>
      </c>
      <c r="L53" s="142"/>
      <c r="M53" s="142" t="s">
        <v>939</v>
      </c>
      <c r="N53" s="142" t="s">
        <v>24</v>
      </c>
    </row>
    <row r="54" spans="1:14" s="165" customFormat="1" ht="195">
      <c r="A54" s="141">
        <v>46073</v>
      </c>
      <c r="B54" s="142" t="s">
        <v>4503</v>
      </c>
      <c r="C54" s="142" t="s">
        <v>888</v>
      </c>
      <c r="D54" s="142" t="s">
        <v>4504</v>
      </c>
      <c r="E54" s="142" t="s">
        <v>3591</v>
      </c>
      <c r="F54" s="163" t="s">
        <v>4505</v>
      </c>
      <c r="G54" s="262" t="s">
        <v>4506</v>
      </c>
      <c r="H54" s="261">
        <v>2136480</v>
      </c>
      <c r="I54" s="261"/>
      <c r="J54" s="141">
        <v>46113</v>
      </c>
      <c r="K54" s="142" t="s">
        <v>1633</v>
      </c>
      <c r="L54" s="142"/>
      <c r="M54" s="142" t="s">
        <v>939</v>
      </c>
      <c r="N54" s="142" t="s">
        <v>694</v>
      </c>
    </row>
    <row r="55" spans="1:14" s="165" customFormat="1" ht="75">
      <c r="A55" s="141">
        <v>46069</v>
      </c>
      <c r="B55" s="142" t="s">
        <v>4487</v>
      </c>
      <c r="C55" s="142" t="s">
        <v>888</v>
      </c>
      <c r="D55" s="142" t="s">
        <v>4488</v>
      </c>
      <c r="E55" s="142" t="s">
        <v>2941</v>
      </c>
      <c r="F55" s="163" t="s">
        <v>4489</v>
      </c>
      <c r="G55" s="262" t="s">
        <v>4490</v>
      </c>
      <c r="H55" s="261">
        <v>116270</v>
      </c>
      <c r="I55" s="261"/>
      <c r="J55" s="141">
        <v>46113</v>
      </c>
      <c r="K55" s="142" t="s">
        <v>1633</v>
      </c>
      <c r="L55" s="142"/>
      <c r="M55" s="142" t="s">
        <v>939</v>
      </c>
      <c r="N55" s="142" t="s">
        <v>694</v>
      </c>
    </row>
    <row r="56" spans="1:14" s="165" customFormat="1" ht="90">
      <c r="A56" s="141">
        <v>46143</v>
      </c>
      <c r="B56" s="142" t="s">
        <v>4491</v>
      </c>
      <c r="C56" s="142" t="s">
        <v>888</v>
      </c>
      <c r="D56" s="142" t="s">
        <v>4492</v>
      </c>
      <c r="E56" s="142" t="s">
        <v>2941</v>
      </c>
      <c r="F56" s="163" t="s">
        <v>4493</v>
      </c>
      <c r="G56" s="262" t="s">
        <v>4494</v>
      </c>
      <c r="H56" s="261">
        <v>328558</v>
      </c>
      <c r="I56" s="261"/>
      <c r="J56" s="141">
        <v>46143</v>
      </c>
      <c r="K56" s="142" t="s">
        <v>1633</v>
      </c>
      <c r="L56" s="142"/>
      <c r="M56" s="142" t="s">
        <v>939</v>
      </c>
      <c r="N56" s="142" t="s">
        <v>694</v>
      </c>
    </row>
    <row r="57" spans="1:14" s="165" customFormat="1">
      <c r="A57" s="141">
        <v>46059</v>
      </c>
      <c r="B57" s="142" t="s">
        <v>4425</v>
      </c>
      <c r="C57" s="142" t="s">
        <v>888</v>
      </c>
      <c r="D57" s="142" t="s">
        <v>4426</v>
      </c>
      <c r="E57" s="142" t="s">
        <v>2939</v>
      </c>
      <c r="F57" s="142" t="s">
        <v>2940</v>
      </c>
      <c r="G57" s="260">
        <v>3000</v>
      </c>
      <c r="H57" s="261">
        <v>735900</v>
      </c>
      <c r="I57" s="261"/>
      <c r="J57" s="141">
        <v>46113</v>
      </c>
      <c r="K57" s="142" t="s">
        <v>1633</v>
      </c>
      <c r="L57" s="142"/>
      <c r="M57" s="142" t="s">
        <v>939</v>
      </c>
      <c r="N57" s="142" t="s">
        <v>27</v>
      </c>
    </row>
    <row r="58" spans="1:14" s="165" customFormat="1">
      <c r="A58" s="141">
        <v>46059</v>
      </c>
      <c r="B58" s="142" t="s">
        <v>4427</v>
      </c>
      <c r="C58" s="142" t="s">
        <v>888</v>
      </c>
      <c r="D58" s="142" t="s">
        <v>4428</v>
      </c>
      <c r="E58" s="142" t="s">
        <v>3638</v>
      </c>
      <c r="F58" s="142" t="s">
        <v>2839</v>
      </c>
      <c r="G58" s="260">
        <v>1000</v>
      </c>
      <c r="H58" s="261">
        <v>362175</v>
      </c>
      <c r="I58" s="261"/>
      <c r="J58" s="141">
        <v>46113</v>
      </c>
      <c r="K58" s="142" t="s">
        <v>1633</v>
      </c>
      <c r="L58" s="142"/>
      <c r="M58" s="142" t="s">
        <v>939</v>
      </c>
      <c r="N58" s="142" t="s">
        <v>27</v>
      </c>
    </row>
    <row r="59" spans="1:14" s="165" customFormat="1" ht="120">
      <c r="A59" s="141">
        <v>46076</v>
      </c>
      <c r="B59" s="142" t="s">
        <v>4514</v>
      </c>
      <c r="C59" s="142" t="s">
        <v>888</v>
      </c>
      <c r="D59" s="142" t="s">
        <v>4515</v>
      </c>
      <c r="E59" s="142" t="s">
        <v>2282</v>
      </c>
      <c r="F59" s="163" t="s">
        <v>4516</v>
      </c>
      <c r="G59" s="262" t="s">
        <v>4517</v>
      </c>
      <c r="H59" s="261">
        <v>1625400</v>
      </c>
      <c r="I59" s="261"/>
      <c r="J59" s="141">
        <v>46113</v>
      </c>
      <c r="K59" s="142" t="s">
        <v>1633</v>
      </c>
      <c r="L59" s="142"/>
      <c r="M59" s="142" t="s">
        <v>939</v>
      </c>
      <c r="N59" s="142" t="s">
        <v>694</v>
      </c>
    </row>
    <row r="60" spans="1:14" s="165" customFormat="1" ht="75">
      <c r="A60" s="141">
        <v>46077</v>
      </c>
      <c r="B60" s="142" t="s">
        <v>4590</v>
      </c>
      <c r="C60" s="142" t="s">
        <v>888</v>
      </c>
      <c r="D60" s="142" t="s">
        <v>4591</v>
      </c>
      <c r="E60" s="142" t="s">
        <v>2981</v>
      </c>
      <c r="F60" s="163" t="s">
        <v>4592</v>
      </c>
      <c r="G60" s="262" t="s">
        <v>4593</v>
      </c>
      <c r="H60" s="261">
        <v>192050</v>
      </c>
      <c r="I60" s="261"/>
      <c r="J60" s="141">
        <v>46113</v>
      </c>
      <c r="K60" s="142" t="s">
        <v>1633</v>
      </c>
      <c r="L60" s="142"/>
      <c r="M60" s="142" t="s">
        <v>939</v>
      </c>
      <c r="N60" s="142" t="s">
        <v>24</v>
      </c>
    </row>
    <row r="61" spans="1:14" s="165" customFormat="1">
      <c r="A61" s="128">
        <v>46098</v>
      </c>
      <c r="B61" s="100" t="s">
        <v>4701</v>
      </c>
      <c r="C61" s="100" t="s">
        <v>888</v>
      </c>
      <c r="D61" s="100" t="s">
        <v>4702</v>
      </c>
      <c r="E61" s="100" t="s">
        <v>4703</v>
      </c>
      <c r="F61" s="100" t="s">
        <v>4704</v>
      </c>
      <c r="G61" s="257">
        <v>600</v>
      </c>
      <c r="H61" s="258">
        <v>261000</v>
      </c>
      <c r="I61" s="258"/>
      <c r="J61" s="128">
        <v>46204</v>
      </c>
      <c r="K61" s="142" t="s">
        <v>1633</v>
      </c>
      <c r="L61" s="100"/>
      <c r="M61" s="142" t="s">
        <v>939</v>
      </c>
      <c r="N61" s="100" t="s">
        <v>24</v>
      </c>
    </row>
    <row r="62" spans="1:14" s="165" customFormat="1" ht="105">
      <c r="A62" s="141">
        <v>46084</v>
      </c>
      <c r="B62" s="142" t="s">
        <v>4606</v>
      </c>
      <c r="C62" s="142" t="s">
        <v>888</v>
      </c>
      <c r="D62" s="142" t="s">
        <v>4607</v>
      </c>
      <c r="E62" s="142" t="s">
        <v>3216</v>
      </c>
      <c r="F62" s="163" t="s">
        <v>4608</v>
      </c>
      <c r="G62" s="262" t="s">
        <v>4609</v>
      </c>
      <c r="H62" s="261">
        <v>536400</v>
      </c>
      <c r="I62" s="261"/>
      <c r="J62" s="141">
        <v>46113</v>
      </c>
      <c r="K62" s="142" t="s">
        <v>1633</v>
      </c>
      <c r="L62" s="142"/>
      <c r="M62" s="142" t="s">
        <v>939</v>
      </c>
      <c r="N62" s="142" t="s">
        <v>694</v>
      </c>
    </row>
    <row r="63" spans="1:14" s="165" customFormat="1">
      <c r="A63" s="141">
        <v>46056</v>
      </c>
      <c r="B63" s="142" t="s">
        <v>4611</v>
      </c>
      <c r="C63" s="142" t="s">
        <v>888</v>
      </c>
      <c r="D63" s="142" t="s">
        <v>4610</v>
      </c>
      <c r="E63" s="142" t="s">
        <v>3216</v>
      </c>
      <c r="F63" s="142" t="s">
        <v>4612</v>
      </c>
      <c r="G63" s="260">
        <v>800000</v>
      </c>
      <c r="H63" s="261">
        <v>76000</v>
      </c>
      <c r="I63" s="261"/>
      <c r="J63" s="141">
        <v>46113</v>
      </c>
      <c r="K63" s="142" t="s">
        <v>1633</v>
      </c>
      <c r="L63" s="142"/>
      <c r="M63" s="142" t="s">
        <v>939</v>
      </c>
      <c r="N63" s="142" t="s">
        <v>694</v>
      </c>
    </row>
    <row r="64" spans="1:14" s="165" customFormat="1" ht="120">
      <c r="A64" s="141">
        <v>46084</v>
      </c>
      <c r="B64" s="142" t="s">
        <v>4617</v>
      </c>
      <c r="C64" s="142" t="s">
        <v>888</v>
      </c>
      <c r="D64" s="142" t="s">
        <v>4618</v>
      </c>
      <c r="E64" s="142" t="s">
        <v>2282</v>
      </c>
      <c r="F64" s="163" t="s">
        <v>4619</v>
      </c>
      <c r="G64" s="262" t="s">
        <v>4620</v>
      </c>
      <c r="H64" s="261">
        <v>463500</v>
      </c>
      <c r="I64" s="261"/>
      <c r="J64" s="141">
        <v>46113</v>
      </c>
      <c r="K64" s="142" t="s">
        <v>1633</v>
      </c>
      <c r="L64" s="142"/>
      <c r="M64" s="142" t="s">
        <v>939</v>
      </c>
      <c r="N64" s="142" t="s">
        <v>694</v>
      </c>
    </row>
    <row r="65" spans="1:14" s="165" customFormat="1" ht="45">
      <c r="A65" s="141">
        <v>46084</v>
      </c>
      <c r="B65" s="142" t="s">
        <v>4613</v>
      </c>
      <c r="C65" s="142" t="s">
        <v>888</v>
      </c>
      <c r="D65" s="142" t="s">
        <v>4614</v>
      </c>
      <c r="E65" s="142" t="s">
        <v>2282</v>
      </c>
      <c r="F65" s="163" t="s">
        <v>4615</v>
      </c>
      <c r="G65" s="262" t="s">
        <v>4616</v>
      </c>
      <c r="H65" s="261">
        <v>166500</v>
      </c>
      <c r="I65" s="261"/>
      <c r="J65" s="141">
        <v>46113</v>
      </c>
      <c r="K65" s="142" t="s">
        <v>1633</v>
      </c>
      <c r="L65" s="142"/>
      <c r="M65" s="142" t="s">
        <v>939</v>
      </c>
      <c r="N65" s="142" t="s">
        <v>694</v>
      </c>
    </row>
    <row r="66" spans="1:14" s="165" customFormat="1">
      <c r="A66" s="141">
        <v>46091</v>
      </c>
      <c r="B66" s="142" t="s">
        <v>4652</v>
      </c>
      <c r="C66" s="142" t="s">
        <v>888</v>
      </c>
      <c r="D66" s="142" t="s">
        <v>4653</v>
      </c>
      <c r="E66" s="142" t="s">
        <v>2980</v>
      </c>
      <c r="F66" s="142" t="s">
        <v>4654</v>
      </c>
      <c r="G66" s="260">
        <v>30000</v>
      </c>
      <c r="H66" s="261">
        <v>3300000</v>
      </c>
      <c r="I66" s="261"/>
      <c r="J66" s="141">
        <v>46143</v>
      </c>
      <c r="K66" s="142" t="s">
        <v>1633</v>
      </c>
      <c r="L66" s="142"/>
      <c r="M66" s="142" t="s">
        <v>939</v>
      </c>
      <c r="N66" s="142" t="s">
        <v>694</v>
      </c>
    </row>
    <row r="67" spans="1:14" s="165" customFormat="1">
      <c r="A67" s="141">
        <v>46091</v>
      </c>
      <c r="B67" s="142" t="s">
        <v>4659</v>
      </c>
      <c r="C67" s="142" t="s">
        <v>888</v>
      </c>
      <c r="D67" s="142" t="s">
        <v>4660</v>
      </c>
      <c r="E67" s="142" t="s">
        <v>2980</v>
      </c>
      <c r="F67" s="142" t="s">
        <v>4661</v>
      </c>
      <c r="G67" s="260">
        <v>5000</v>
      </c>
      <c r="H67" s="261">
        <v>550000</v>
      </c>
      <c r="I67" s="261"/>
      <c r="J67" s="141">
        <v>46113</v>
      </c>
      <c r="K67" s="142" t="s">
        <v>1633</v>
      </c>
      <c r="L67" s="142"/>
      <c r="M67" s="142" t="s">
        <v>939</v>
      </c>
      <c r="N67" s="142" t="s">
        <v>694</v>
      </c>
    </row>
    <row r="68" spans="1:14" ht="45">
      <c r="A68" s="141">
        <v>46091</v>
      </c>
      <c r="B68" s="142" t="s">
        <v>4655</v>
      </c>
      <c r="C68" s="142" t="s">
        <v>888</v>
      </c>
      <c r="D68" s="142" t="s">
        <v>4656</v>
      </c>
      <c r="E68" s="142" t="s">
        <v>2980</v>
      </c>
      <c r="F68" s="163" t="s">
        <v>4657</v>
      </c>
      <c r="G68" s="262" t="s">
        <v>4658</v>
      </c>
      <c r="H68" s="261">
        <v>2595000</v>
      </c>
      <c r="I68" s="261"/>
      <c r="J68" s="141">
        <v>46113</v>
      </c>
      <c r="K68" s="142" t="s">
        <v>1633</v>
      </c>
      <c r="L68" s="142"/>
      <c r="M68" s="142" t="s">
        <v>939</v>
      </c>
      <c r="N68" s="142" t="s">
        <v>694</v>
      </c>
    </row>
    <row r="69" spans="1:14">
      <c r="A69" s="141">
        <v>46091</v>
      </c>
      <c r="B69" s="142" t="s">
        <v>4662</v>
      </c>
      <c r="C69" s="142" t="s">
        <v>888</v>
      </c>
      <c r="D69" s="142" t="s">
        <v>4663</v>
      </c>
      <c r="E69" s="142" t="s">
        <v>2980</v>
      </c>
      <c r="F69" s="142" t="s">
        <v>4664</v>
      </c>
      <c r="G69" s="260">
        <v>6000</v>
      </c>
      <c r="H69" s="261">
        <v>840000</v>
      </c>
      <c r="I69" s="261"/>
      <c r="J69" s="141">
        <v>46143</v>
      </c>
      <c r="K69" s="142" t="s">
        <v>1633</v>
      </c>
      <c r="L69" s="142"/>
      <c r="M69" s="142" t="s">
        <v>939</v>
      </c>
      <c r="N69" s="142" t="s">
        <v>694</v>
      </c>
    </row>
    <row r="70" spans="1:14" s="165" customFormat="1" ht="45">
      <c r="A70" s="141">
        <v>46122</v>
      </c>
      <c r="B70" s="142" t="s">
        <v>4977</v>
      </c>
      <c r="C70" s="142" t="s">
        <v>888</v>
      </c>
      <c r="D70" s="142" t="s">
        <v>4976</v>
      </c>
      <c r="E70" s="142" t="s">
        <v>3316</v>
      </c>
      <c r="F70" s="163" t="s">
        <v>3083</v>
      </c>
      <c r="G70" s="262" t="s">
        <v>4978</v>
      </c>
      <c r="H70" s="261"/>
      <c r="I70" s="261">
        <v>509146.33</v>
      </c>
      <c r="J70" s="141">
        <v>46127</v>
      </c>
      <c r="K70" s="142" t="s">
        <v>1633</v>
      </c>
      <c r="L70" s="142"/>
      <c r="M70" s="142" t="s">
        <v>939</v>
      </c>
      <c r="N70" s="142" t="s">
        <v>694</v>
      </c>
    </row>
    <row r="71" spans="1:14">
      <c r="A71" s="141">
        <v>46121</v>
      </c>
      <c r="B71" s="142" t="s">
        <v>4973</v>
      </c>
      <c r="C71" s="142" t="s">
        <v>888</v>
      </c>
      <c r="D71" s="142" t="s">
        <v>4974</v>
      </c>
      <c r="E71" s="142" t="s">
        <v>3325</v>
      </c>
      <c r="F71" s="142" t="s">
        <v>4975</v>
      </c>
      <c r="G71" s="260">
        <v>1079568</v>
      </c>
      <c r="H71" s="261">
        <v>2308267.52</v>
      </c>
      <c r="I71" s="261"/>
      <c r="J71" s="141">
        <v>46127</v>
      </c>
      <c r="K71" s="142" t="s">
        <v>1633</v>
      </c>
      <c r="L71" s="142"/>
      <c r="M71" s="142" t="s">
        <v>939</v>
      </c>
      <c r="N71" s="142" t="s">
        <v>694</v>
      </c>
    </row>
    <row r="72" spans="1:14" ht="150">
      <c r="A72" s="141">
        <v>46119</v>
      </c>
      <c r="B72" s="142" t="s">
        <v>4926</v>
      </c>
      <c r="C72" s="142" t="s">
        <v>888</v>
      </c>
      <c r="D72" s="142" t="s">
        <v>4927</v>
      </c>
      <c r="E72" s="142" t="s">
        <v>3316</v>
      </c>
      <c r="F72" s="163" t="s">
        <v>3317</v>
      </c>
      <c r="G72" s="262" t="s">
        <v>4928</v>
      </c>
      <c r="H72" s="261"/>
      <c r="I72" s="261">
        <v>52377.15</v>
      </c>
      <c r="J72" s="141">
        <v>46122</v>
      </c>
      <c r="K72" s="142" t="s">
        <v>1633</v>
      </c>
      <c r="L72" s="142"/>
      <c r="M72" s="142" t="s">
        <v>939</v>
      </c>
      <c r="N72" s="142" t="s">
        <v>694</v>
      </c>
    </row>
    <row r="73" spans="1:14">
      <c r="A73" s="128">
        <v>46104</v>
      </c>
      <c r="B73" s="100" t="s">
        <v>4834</v>
      </c>
      <c r="C73" s="100" t="s">
        <v>888</v>
      </c>
      <c r="D73" s="100" t="s">
        <v>4831</v>
      </c>
      <c r="E73" s="100" t="s">
        <v>3285</v>
      </c>
      <c r="F73" s="100" t="s">
        <v>1665</v>
      </c>
      <c r="G73" s="257">
        <v>15000</v>
      </c>
      <c r="H73" s="258">
        <v>92250</v>
      </c>
      <c r="I73" s="258"/>
      <c r="J73" s="128">
        <v>46153</v>
      </c>
      <c r="K73" s="142" t="s">
        <v>1633</v>
      </c>
      <c r="L73" s="100"/>
      <c r="M73" s="142" t="s">
        <v>939</v>
      </c>
      <c r="N73" s="142" t="s">
        <v>694</v>
      </c>
    </row>
    <row r="74" spans="1:14">
      <c r="A74" s="128">
        <v>46108</v>
      </c>
      <c r="B74" s="100" t="s">
        <v>4832</v>
      </c>
      <c r="C74" s="100" t="s">
        <v>888</v>
      </c>
      <c r="D74" s="100" t="s">
        <v>4833</v>
      </c>
      <c r="E74" s="100" t="s">
        <v>3591</v>
      </c>
      <c r="F74" s="100" t="s">
        <v>3894</v>
      </c>
      <c r="G74" s="257">
        <v>25000</v>
      </c>
      <c r="H74" s="258">
        <v>273500</v>
      </c>
      <c r="I74" s="258"/>
      <c r="J74" s="128">
        <v>46174</v>
      </c>
      <c r="K74" s="142" t="s">
        <v>1633</v>
      </c>
      <c r="L74" s="100"/>
      <c r="M74" s="142" t="s">
        <v>939</v>
      </c>
      <c r="N74" s="142" t="s">
        <v>694</v>
      </c>
    </row>
    <row r="75" spans="1:14" s="165" customFormat="1" ht="45">
      <c r="A75" s="141">
        <v>46108</v>
      </c>
      <c r="B75" s="142" t="s">
        <v>4835</v>
      </c>
      <c r="C75" s="142" t="s">
        <v>888</v>
      </c>
      <c r="D75" s="142" t="s">
        <v>4836</v>
      </c>
      <c r="E75" s="142" t="s">
        <v>3236</v>
      </c>
      <c r="F75" s="163" t="s">
        <v>4837</v>
      </c>
      <c r="G75" s="262" t="s">
        <v>4838</v>
      </c>
      <c r="H75" s="261">
        <v>205650</v>
      </c>
      <c r="I75" s="261"/>
      <c r="J75" s="141">
        <v>46153</v>
      </c>
      <c r="K75" s="142" t="s">
        <v>1633</v>
      </c>
      <c r="L75" s="142"/>
      <c r="M75" s="142" t="s">
        <v>939</v>
      </c>
      <c r="N75" s="142" t="s">
        <v>694</v>
      </c>
    </row>
    <row r="76" spans="1:14">
      <c r="A76" s="128">
        <v>46108</v>
      </c>
      <c r="B76" s="100" t="s">
        <v>4839</v>
      </c>
      <c r="C76" s="100" t="s">
        <v>888</v>
      </c>
      <c r="D76" s="100" t="s">
        <v>4840</v>
      </c>
      <c r="E76" s="100" t="s">
        <v>2980</v>
      </c>
      <c r="F76" s="100" t="s">
        <v>4841</v>
      </c>
      <c r="G76" s="257">
        <v>3000</v>
      </c>
      <c r="H76" s="258">
        <v>525000</v>
      </c>
      <c r="I76" s="258"/>
      <c r="J76" s="128">
        <v>46108</v>
      </c>
      <c r="K76" s="142" t="s">
        <v>1633</v>
      </c>
      <c r="L76" s="100"/>
      <c r="M76" s="142" t="s">
        <v>939</v>
      </c>
      <c r="N76" s="142" t="s">
        <v>694</v>
      </c>
    </row>
    <row r="77" spans="1:14">
      <c r="A77" s="128">
        <v>46111</v>
      </c>
      <c r="B77" s="100" t="s">
        <v>4894</v>
      </c>
      <c r="C77" s="100" t="s">
        <v>888</v>
      </c>
      <c r="D77" s="100" t="s">
        <v>4895</v>
      </c>
      <c r="E77" s="100" t="s">
        <v>3449</v>
      </c>
      <c r="F77" s="100" t="s">
        <v>1996</v>
      </c>
      <c r="G77" s="257">
        <v>9547</v>
      </c>
      <c r="H77" s="258">
        <v>358012.5</v>
      </c>
      <c r="I77" s="258"/>
      <c r="J77" s="128">
        <v>46121</v>
      </c>
      <c r="K77" s="142" t="s">
        <v>1633</v>
      </c>
      <c r="L77" s="100"/>
      <c r="M77" s="142" t="s">
        <v>939</v>
      </c>
      <c r="N77" s="100" t="s">
        <v>24</v>
      </c>
    </row>
    <row r="78" spans="1:14" s="165" customFormat="1">
      <c r="A78" s="128">
        <v>46108</v>
      </c>
      <c r="B78" s="100" t="s">
        <v>4843</v>
      </c>
      <c r="C78" s="100" t="s">
        <v>888</v>
      </c>
      <c r="D78" s="100" t="s">
        <v>4842</v>
      </c>
      <c r="E78" s="100" t="s">
        <v>3236</v>
      </c>
      <c r="F78" s="100" t="s">
        <v>4844</v>
      </c>
      <c r="G78" s="257">
        <v>2000</v>
      </c>
      <c r="H78" s="258">
        <v>49200</v>
      </c>
      <c r="I78" s="258"/>
      <c r="J78" s="128">
        <v>46120</v>
      </c>
      <c r="K78" s="142" t="s">
        <v>1633</v>
      </c>
      <c r="L78" s="100"/>
      <c r="M78" s="142" t="s">
        <v>939</v>
      </c>
      <c r="N78" s="142" t="s">
        <v>694</v>
      </c>
    </row>
    <row r="79" spans="1:14" s="165" customFormat="1" ht="60">
      <c r="A79" s="141">
        <v>46122</v>
      </c>
      <c r="B79" s="142" t="s">
        <v>4970</v>
      </c>
      <c r="C79" s="142" t="s">
        <v>888</v>
      </c>
      <c r="D79" s="142" t="s">
        <v>4971</v>
      </c>
      <c r="E79" s="142" t="s">
        <v>3316</v>
      </c>
      <c r="F79" s="163" t="s">
        <v>4972</v>
      </c>
      <c r="G79" s="262" t="s">
        <v>5284</v>
      </c>
      <c r="H79" s="261"/>
      <c r="I79" s="261">
        <v>416256.46</v>
      </c>
      <c r="J79" s="141">
        <v>46143</v>
      </c>
      <c r="K79" s="142" t="s">
        <v>1633</v>
      </c>
      <c r="L79" s="142"/>
      <c r="M79" s="142" t="s">
        <v>939</v>
      </c>
      <c r="N79" s="142" t="s">
        <v>694</v>
      </c>
    </row>
    <row r="80" spans="1:14" s="165" customFormat="1" ht="150">
      <c r="A80" s="141">
        <v>46119</v>
      </c>
      <c r="B80" s="142" t="s">
        <v>4922</v>
      </c>
      <c r="C80" s="142" t="s">
        <v>888</v>
      </c>
      <c r="D80" s="142" t="s">
        <v>4923</v>
      </c>
      <c r="E80" s="142" t="s">
        <v>3316</v>
      </c>
      <c r="F80" s="163" t="s">
        <v>4924</v>
      </c>
      <c r="G80" s="262" t="s">
        <v>4925</v>
      </c>
      <c r="H80" s="261"/>
      <c r="I80" s="261">
        <v>20824.650000000001</v>
      </c>
      <c r="J80" s="141">
        <v>46143</v>
      </c>
      <c r="K80" s="142" t="s">
        <v>1633</v>
      </c>
      <c r="L80" s="142"/>
      <c r="M80" s="142" t="s">
        <v>939</v>
      </c>
      <c r="N80" s="142" t="s">
        <v>694</v>
      </c>
    </row>
    <row r="81" spans="1:14" s="165" customFormat="1" ht="45">
      <c r="A81" s="141">
        <v>46127</v>
      </c>
      <c r="B81" s="142" t="s">
        <v>5054</v>
      </c>
      <c r="C81" s="142" t="s">
        <v>888</v>
      </c>
      <c r="D81" s="142" t="s">
        <v>5055</v>
      </c>
      <c r="E81" s="142" t="s">
        <v>3679</v>
      </c>
      <c r="F81" s="163" t="s">
        <v>5056</v>
      </c>
      <c r="G81" s="262" t="s">
        <v>5057</v>
      </c>
      <c r="H81" s="261">
        <v>192400</v>
      </c>
      <c r="I81" s="261"/>
      <c r="J81" s="141">
        <v>46204</v>
      </c>
      <c r="K81" s="142" t="s">
        <v>1633</v>
      </c>
      <c r="L81" s="142"/>
      <c r="M81" s="142" t="s">
        <v>939</v>
      </c>
      <c r="N81" s="142" t="s">
        <v>24</v>
      </c>
    </row>
    <row r="82" spans="1:14">
      <c r="A82" s="128">
        <v>46125</v>
      </c>
      <c r="B82" s="100" t="s">
        <v>4999</v>
      </c>
      <c r="C82" s="100" t="s">
        <v>888</v>
      </c>
      <c r="D82" s="100" t="s">
        <v>5000</v>
      </c>
      <c r="E82" s="100" t="s">
        <v>3449</v>
      </c>
      <c r="F82" s="100" t="s">
        <v>1996</v>
      </c>
      <c r="G82" s="257">
        <v>9547</v>
      </c>
      <c r="H82" s="258">
        <v>358012.5</v>
      </c>
      <c r="I82" s="258"/>
      <c r="J82" s="128">
        <v>46140</v>
      </c>
      <c r="K82" s="142" t="s">
        <v>1633</v>
      </c>
      <c r="L82" s="100"/>
      <c r="M82" s="142" t="s">
        <v>939</v>
      </c>
      <c r="N82" s="142" t="s">
        <v>24</v>
      </c>
    </row>
    <row r="83" spans="1:14" s="165" customFormat="1">
      <c r="A83" s="141">
        <v>46125</v>
      </c>
      <c r="B83" s="142" t="s">
        <v>4995</v>
      </c>
      <c r="C83" s="142" t="s">
        <v>888</v>
      </c>
      <c r="D83" s="142" t="s">
        <v>4996</v>
      </c>
      <c r="E83" s="142" t="s">
        <v>1995</v>
      </c>
      <c r="F83" s="142" t="s">
        <v>1996</v>
      </c>
      <c r="G83" s="260">
        <v>9547</v>
      </c>
      <c r="H83" s="261">
        <v>142250.29999999999</v>
      </c>
      <c r="I83" s="261"/>
      <c r="J83" s="141">
        <v>46142</v>
      </c>
      <c r="K83" s="142" t="s">
        <v>1633</v>
      </c>
      <c r="L83" s="142"/>
      <c r="M83" s="142" t="s">
        <v>939</v>
      </c>
      <c r="N83" s="142" t="s">
        <v>24</v>
      </c>
    </row>
    <row r="84" spans="1:14" s="165" customFormat="1" ht="180">
      <c r="A84" s="141">
        <v>46141</v>
      </c>
      <c r="B84" s="142" t="s">
        <v>5218</v>
      </c>
      <c r="C84" s="142" t="s">
        <v>888</v>
      </c>
      <c r="D84" s="142" t="s">
        <v>5219</v>
      </c>
      <c r="E84" s="142" t="s">
        <v>2282</v>
      </c>
      <c r="F84" s="163" t="s">
        <v>5220</v>
      </c>
      <c r="G84" s="262" t="s">
        <v>5221</v>
      </c>
      <c r="H84" s="261">
        <v>6211500</v>
      </c>
      <c r="I84" s="261"/>
      <c r="J84" s="141">
        <v>46204</v>
      </c>
      <c r="K84" s="142" t="s">
        <v>1633</v>
      </c>
      <c r="L84" s="142"/>
      <c r="M84" s="142" t="s">
        <v>939</v>
      </c>
      <c r="N84" s="142" t="s">
        <v>694</v>
      </c>
    </row>
    <row r="85" spans="1:14">
      <c r="A85" s="128">
        <v>46136</v>
      </c>
      <c r="B85" s="100" t="s">
        <v>5116</v>
      </c>
      <c r="C85" s="100" t="s">
        <v>888</v>
      </c>
      <c r="D85" s="100" t="s">
        <v>5117</v>
      </c>
      <c r="E85" s="100" t="s">
        <v>2981</v>
      </c>
      <c r="F85" s="100" t="s">
        <v>5118</v>
      </c>
      <c r="G85" s="257">
        <v>1000</v>
      </c>
      <c r="H85" s="258">
        <v>65000</v>
      </c>
      <c r="I85" s="258"/>
      <c r="J85" s="128">
        <v>46266</v>
      </c>
      <c r="K85" s="142" t="s">
        <v>1633</v>
      </c>
      <c r="L85" s="100"/>
      <c r="M85" s="142" t="s">
        <v>939</v>
      </c>
      <c r="N85" s="100" t="s">
        <v>24</v>
      </c>
    </row>
    <row r="86" spans="1:14" ht="285">
      <c r="A86" s="141">
        <v>46146</v>
      </c>
      <c r="B86" s="142" t="s">
        <v>5214</v>
      </c>
      <c r="C86" s="142" t="s">
        <v>888</v>
      </c>
      <c r="D86" s="142" t="s">
        <v>5215</v>
      </c>
      <c r="E86" s="142" t="s">
        <v>3216</v>
      </c>
      <c r="F86" s="163" t="s">
        <v>5216</v>
      </c>
      <c r="G86" s="262" t="s">
        <v>5217</v>
      </c>
      <c r="H86" s="261">
        <v>1279200</v>
      </c>
      <c r="I86" s="261"/>
      <c r="J86" s="141">
        <v>46204</v>
      </c>
      <c r="K86" s="142" t="s">
        <v>1633</v>
      </c>
      <c r="L86" s="142"/>
      <c r="M86" s="142" t="s">
        <v>939</v>
      </c>
      <c r="N86" s="142" t="s">
        <v>694</v>
      </c>
    </row>
    <row r="87" spans="1:14" s="165" customFormat="1">
      <c r="A87" s="128">
        <v>46136</v>
      </c>
      <c r="B87" s="100" t="s">
        <v>5114</v>
      </c>
      <c r="C87" s="100" t="s">
        <v>888</v>
      </c>
      <c r="D87" s="100" t="s">
        <v>5115</v>
      </c>
      <c r="E87" s="100" t="s">
        <v>996</v>
      </c>
      <c r="F87" s="100" t="s">
        <v>4276</v>
      </c>
      <c r="G87" s="257">
        <v>2016000</v>
      </c>
      <c r="H87" s="258">
        <v>70560000</v>
      </c>
      <c r="I87" s="258"/>
      <c r="J87" s="128">
        <v>46139</v>
      </c>
      <c r="K87" s="142" t="s">
        <v>1633</v>
      </c>
      <c r="L87" s="100"/>
      <c r="M87" s="142" t="s">
        <v>939</v>
      </c>
      <c r="N87" s="100" t="s">
        <v>24</v>
      </c>
    </row>
    <row r="88" spans="1:14" ht="45">
      <c r="A88" s="141">
        <v>46135</v>
      </c>
      <c r="B88" s="142" t="s">
        <v>5120</v>
      </c>
      <c r="C88" s="142" t="s">
        <v>888</v>
      </c>
      <c r="D88" s="142" t="s">
        <v>5121</v>
      </c>
      <c r="E88" s="142" t="s">
        <v>2980</v>
      </c>
      <c r="F88" s="163" t="s">
        <v>5122</v>
      </c>
      <c r="G88" s="262" t="s">
        <v>5123</v>
      </c>
      <c r="H88" s="261">
        <v>4290000</v>
      </c>
      <c r="I88" s="261"/>
      <c r="J88" s="141">
        <v>46134</v>
      </c>
      <c r="K88" s="142" t="s">
        <v>1633</v>
      </c>
      <c r="L88" s="142"/>
      <c r="M88" s="142" t="s">
        <v>939</v>
      </c>
      <c r="N88" s="142" t="s">
        <v>694</v>
      </c>
    </row>
    <row r="89" spans="1:14" s="165" customFormat="1" ht="30">
      <c r="A89" s="141">
        <v>46133</v>
      </c>
      <c r="B89" s="142" t="s">
        <v>5076</v>
      </c>
      <c r="C89" s="142" t="s">
        <v>888</v>
      </c>
      <c r="D89" s="142" t="s">
        <v>5077</v>
      </c>
      <c r="E89" s="142" t="s">
        <v>3216</v>
      </c>
      <c r="F89" s="163" t="s">
        <v>5078</v>
      </c>
      <c r="G89" s="262" t="s">
        <v>5079</v>
      </c>
      <c r="H89" s="261">
        <v>197400</v>
      </c>
      <c r="I89" s="261"/>
      <c r="J89" s="141">
        <v>46134</v>
      </c>
      <c r="K89" s="142" t="s">
        <v>1633</v>
      </c>
      <c r="L89" s="142"/>
      <c r="M89" s="142" t="s">
        <v>939</v>
      </c>
      <c r="N89" s="142" t="s">
        <v>694</v>
      </c>
    </row>
    <row r="90" spans="1:14">
      <c r="A90" s="128">
        <v>46146</v>
      </c>
      <c r="B90" s="100" t="s">
        <v>5222</v>
      </c>
      <c r="C90" s="100" t="s">
        <v>888</v>
      </c>
      <c r="D90" s="100" t="s">
        <v>5223</v>
      </c>
      <c r="E90" s="100" t="s">
        <v>2301</v>
      </c>
      <c r="F90" s="100" t="s">
        <v>2302</v>
      </c>
      <c r="G90" s="257">
        <v>150000</v>
      </c>
      <c r="H90" s="258">
        <v>48750000</v>
      </c>
      <c r="I90" s="258"/>
      <c r="J90" s="128">
        <v>46188</v>
      </c>
      <c r="K90" s="142" t="s">
        <v>1633</v>
      </c>
      <c r="L90" s="100"/>
      <c r="M90" s="142" t="s">
        <v>939</v>
      </c>
      <c r="N90" s="142" t="s">
        <v>694</v>
      </c>
    </row>
    <row r="91" spans="1:14" ht="30">
      <c r="A91" s="141">
        <v>46139</v>
      </c>
      <c r="B91" s="142" t="s">
        <v>5152</v>
      </c>
      <c r="C91" s="142" t="s">
        <v>888</v>
      </c>
      <c r="D91" s="142" t="s">
        <v>5153</v>
      </c>
      <c r="E91" s="142" t="s">
        <v>3601</v>
      </c>
      <c r="F91" s="163" t="s">
        <v>5154</v>
      </c>
      <c r="G91" s="262" t="s">
        <v>5155</v>
      </c>
      <c r="H91" s="261">
        <v>56359.199999999997</v>
      </c>
      <c r="I91" s="261"/>
      <c r="J91" s="141">
        <v>46157</v>
      </c>
      <c r="K91" s="142" t="s">
        <v>1633</v>
      </c>
      <c r="L91" s="142"/>
      <c r="M91" s="142" t="s">
        <v>939</v>
      </c>
      <c r="N91" s="142" t="s">
        <v>27</v>
      </c>
    </row>
    <row r="92" spans="1:14">
      <c r="A92" s="128">
        <v>46139</v>
      </c>
      <c r="B92" s="100" t="s">
        <v>5134</v>
      </c>
      <c r="C92" s="100" t="s">
        <v>888</v>
      </c>
      <c r="D92" s="100" t="s">
        <v>5135</v>
      </c>
      <c r="E92" s="100" t="s">
        <v>3285</v>
      </c>
      <c r="F92" s="100" t="s">
        <v>5136</v>
      </c>
      <c r="G92" s="257">
        <v>5000</v>
      </c>
      <c r="H92" s="258">
        <v>240637.5</v>
      </c>
      <c r="I92" s="258"/>
      <c r="J92" s="128">
        <v>46146</v>
      </c>
      <c r="K92" s="142" t="s">
        <v>1633</v>
      </c>
      <c r="L92" s="100"/>
      <c r="M92" s="142" t="s">
        <v>939</v>
      </c>
      <c r="N92" s="142" t="s">
        <v>694</v>
      </c>
    </row>
    <row r="93" spans="1:14">
      <c r="A93" s="128">
        <v>46141</v>
      </c>
      <c r="B93" s="100" t="s">
        <v>5204</v>
      </c>
      <c r="C93" s="100" t="s">
        <v>888</v>
      </c>
      <c r="D93" s="100" t="s">
        <v>5205</v>
      </c>
      <c r="E93" s="100" t="s">
        <v>2980</v>
      </c>
      <c r="F93" s="100" t="s">
        <v>2298</v>
      </c>
      <c r="G93" s="257">
        <v>2000</v>
      </c>
      <c r="H93" s="258">
        <v>350000</v>
      </c>
      <c r="I93" s="258"/>
      <c r="J93" s="128">
        <v>46174</v>
      </c>
      <c r="K93" s="142" t="s">
        <v>1633</v>
      </c>
      <c r="L93" s="100"/>
      <c r="M93" s="142" t="s">
        <v>939</v>
      </c>
      <c r="N93" s="142" t="s">
        <v>694</v>
      </c>
    </row>
    <row r="94" spans="1:14" s="165" customFormat="1">
      <c r="A94" s="128">
        <v>46140</v>
      </c>
      <c r="B94" s="100" t="s">
        <v>5206</v>
      </c>
      <c r="C94" s="100" t="s">
        <v>888</v>
      </c>
      <c r="D94" s="100" t="s">
        <v>5207</v>
      </c>
      <c r="E94" s="100" t="s">
        <v>4751</v>
      </c>
      <c r="F94" s="100" t="s">
        <v>5208</v>
      </c>
      <c r="G94" s="386">
        <v>1800</v>
      </c>
      <c r="H94" s="258">
        <v>340200</v>
      </c>
      <c r="I94" s="258"/>
      <c r="J94" s="128">
        <v>46143</v>
      </c>
      <c r="K94" s="142" t="s">
        <v>1633</v>
      </c>
      <c r="L94" s="100"/>
      <c r="M94" s="142" t="s">
        <v>939</v>
      </c>
      <c r="N94" s="100" t="s">
        <v>27</v>
      </c>
    </row>
    <row r="95" spans="1:14" s="165" customFormat="1">
      <c r="A95" s="128">
        <v>46140</v>
      </c>
      <c r="B95" s="100" t="s">
        <v>5209</v>
      </c>
      <c r="C95" s="100" t="s">
        <v>888</v>
      </c>
      <c r="D95" s="100" t="s">
        <v>5210</v>
      </c>
      <c r="E95" s="100" t="s">
        <v>4751</v>
      </c>
      <c r="F95" s="100" t="s">
        <v>5211</v>
      </c>
      <c r="G95" s="257">
        <v>100</v>
      </c>
      <c r="H95" s="258">
        <v>13500</v>
      </c>
      <c r="I95" s="258"/>
      <c r="J95" s="128">
        <v>46143</v>
      </c>
      <c r="K95" s="142" t="s">
        <v>1633</v>
      </c>
      <c r="L95" s="100"/>
      <c r="M95" s="142" t="s">
        <v>939</v>
      </c>
      <c r="N95" s="100" t="s">
        <v>27</v>
      </c>
    </row>
    <row r="96" spans="1:14" ht="30">
      <c r="A96" s="128">
        <v>46139</v>
      </c>
      <c r="B96" s="100" t="s">
        <v>5285</v>
      </c>
      <c r="C96" s="100" t="s">
        <v>888</v>
      </c>
      <c r="D96" s="100" t="s">
        <v>5286</v>
      </c>
      <c r="E96" s="100" t="s">
        <v>2981</v>
      </c>
      <c r="F96" s="130" t="s">
        <v>5287</v>
      </c>
      <c r="G96" s="259" t="s">
        <v>5288</v>
      </c>
      <c r="H96" s="258">
        <v>70000</v>
      </c>
      <c r="I96" s="258"/>
      <c r="J96" s="128">
        <v>46154</v>
      </c>
      <c r="K96" s="142" t="s">
        <v>1633</v>
      </c>
      <c r="L96" s="100"/>
      <c r="M96" s="142" t="s">
        <v>939</v>
      </c>
      <c r="N96" s="100" t="s">
        <v>24</v>
      </c>
    </row>
    <row r="97" spans="1:14" s="165" customFormat="1">
      <c r="A97" s="128">
        <v>46140</v>
      </c>
      <c r="B97" s="100" t="s">
        <v>5212</v>
      </c>
      <c r="C97" s="100" t="s">
        <v>888</v>
      </c>
      <c r="D97" s="100" t="s">
        <v>5213</v>
      </c>
      <c r="E97" s="100" t="s">
        <v>4751</v>
      </c>
      <c r="F97" s="100" t="s">
        <v>4755</v>
      </c>
      <c r="G97" s="257">
        <v>120000</v>
      </c>
      <c r="H97" s="258">
        <v>3480000</v>
      </c>
      <c r="I97" s="258"/>
      <c r="J97" s="128">
        <v>46143</v>
      </c>
      <c r="K97" s="142" t="s">
        <v>1633</v>
      </c>
      <c r="L97" s="100"/>
      <c r="M97" s="142" t="s">
        <v>939</v>
      </c>
      <c r="N97" s="100" t="s">
        <v>27</v>
      </c>
    </row>
    <row r="98" spans="1:14" ht="30">
      <c r="A98" s="141">
        <v>46140</v>
      </c>
      <c r="B98" s="142" t="s">
        <v>5280</v>
      </c>
      <c r="C98" s="142" t="s">
        <v>888</v>
      </c>
      <c r="D98" s="142" t="s">
        <v>5281</v>
      </c>
      <c r="E98" s="142" t="s">
        <v>3316</v>
      </c>
      <c r="F98" s="163" t="s">
        <v>5283</v>
      </c>
      <c r="G98" s="262" t="s">
        <v>5282</v>
      </c>
      <c r="H98" s="261">
        <v>266150.78999999998</v>
      </c>
      <c r="I98" s="261"/>
      <c r="J98" s="141">
        <v>46146</v>
      </c>
      <c r="K98" s="142" t="s">
        <v>1633</v>
      </c>
      <c r="L98" s="142"/>
      <c r="M98" s="142" t="s">
        <v>939</v>
      </c>
      <c r="N98" s="142" t="s">
        <v>694</v>
      </c>
    </row>
    <row r="99" spans="1:14" ht="60">
      <c r="A99" s="141">
        <v>46156</v>
      </c>
      <c r="B99" s="142" t="s">
        <v>5395</v>
      </c>
      <c r="C99" s="142" t="s">
        <v>888</v>
      </c>
      <c r="D99" s="142" t="s">
        <v>5396</v>
      </c>
      <c r="E99" s="142" t="s">
        <v>3236</v>
      </c>
      <c r="F99" s="163" t="s">
        <v>5397</v>
      </c>
      <c r="G99" s="262" t="s">
        <v>5398</v>
      </c>
      <c r="H99" s="261">
        <v>370750</v>
      </c>
      <c r="I99" s="261"/>
      <c r="J99" s="141">
        <v>46174</v>
      </c>
      <c r="K99" s="142" t="s">
        <v>1633</v>
      </c>
      <c r="L99" s="142"/>
      <c r="M99" s="142" t="s">
        <v>939</v>
      </c>
      <c r="N99" s="142" t="s">
        <v>694</v>
      </c>
    </row>
    <row r="100" spans="1:14">
      <c r="A100" s="128">
        <v>46150</v>
      </c>
      <c r="B100" s="100" t="s">
        <v>5289</v>
      </c>
      <c r="C100" s="100" t="s">
        <v>888</v>
      </c>
      <c r="D100" s="100" t="s">
        <v>5290</v>
      </c>
      <c r="E100" s="100" t="s">
        <v>2425</v>
      </c>
      <c r="F100" s="100" t="s">
        <v>5291</v>
      </c>
      <c r="G100" s="257">
        <v>300</v>
      </c>
      <c r="H100" s="258">
        <v>247500</v>
      </c>
      <c r="I100" s="258"/>
      <c r="J100" s="128">
        <v>46151</v>
      </c>
      <c r="K100" s="142" t="s">
        <v>1633</v>
      </c>
      <c r="L100" s="100"/>
      <c r="M100" s="142" t="s">
        <v>939</v>
      </c>
      <c r="N100" s="100" t="s">
        <v>24</v>
      </c>
    </row>
    <row r="101" spans="1:14" s="165" customFormat="1" ht="330">
      <c r="A101" s="141">
        <v>46154</v>
      </c>
      <c r="B101" s="141" t="s">
        <v>5314</v>
      </c>
      <c r="C101" s="142" t="s">
        <v>888</v>
      </c>
      <c r="D101" s="142" t="s">
        <v>5315</v>
      </c>
      <c r="E101" s="142" t="s">
        <v>2282</v>
      </c>
      <c r="F101" s="163" t="s">
        <v>5316</v>
      </c>
      <c r="G101" s="262" t="s">
        <v>5317</v>
      </c>
      <c r="H101" s="261">
        <v>1813500</v>
      </c>
      <c r="I101" s="261"/>
      <c r="J101" s="141">
        <v>46174</v>
      </c>
      <c r="K101" s="142" t="s">
        <v>1633</v>
      </c>
      <c r="L101" s="142"/>
      <c r="M101" s="142" t="s">
        <v>939</v>
      </c>
      <c r="N101" s="142" t="s">
        <v>694</v>
      </c>
    </row>
    <row r="102" spans="1:14" s="165" customFormat="1" ht="270">
      <c r="A102" s="141">
        <v>46154</v>
      </c>
      <c r="B102" s="142" t="s">
        <v>5310</v>
      </c>
      <c r="C102" s="142" t="s">
        <v>888</v>
      </c>
      <c r="D102" s="142" t="s">
        <v>5311</v>
      </c>
      <c r="E102" s="142" t="s">
        <v>3216</v>
      </c>
      <c r="F102" s="163" t="s">
        <v>5312</v>
      </c>
      <c r="G102" s="262" t="s">
        <v>5313</v>
      </c>
      <c r="H102" s="261">
        <v>2482100</v>
      </c>
      <c r="I102" s="261"/>
      <c r="J102" s="141">
        <v>46204</v>
      </c>
      <c r="K102" s="142" t="s">
        <v>1633</v>
      </c>
      <c r="L102" s="142"/>
      <c r="M102" s="142" t="s">
        <v>939</v>
      </c>
      <c r="N102" s="142" t="s">
        <v>694</v>
      </c>
    </row>
    <row r="103" spans="1:14" s="165" customFormat="1" ht="45">
      <c r="A103" s="141">
        <v>46147</v>
      </c>
      <c r="B103" s="142" t="s">
        <v>5392</v>
      </c>
      <c r="C103" s="142" t="s">
        <v>888</v>
      </c>
      <c r="D103" s="142" t="s">
        <v>5393</v>
      </c>
      <c r="E103" s="142" t="s">
        <v>2980</v>
      </c>
      <c r="F103" s="163" t="s">
        <v>1522</v>
      </c>
      <c r="G103" s="262" t="s">
        <v>5394</v>
      </c>
      <c r="H103" s="261">
        <v>2825000</v>
      </c>
      <c r="I103" s="261"/>
      <c r="J103" s="141">
        <v>46174</v>
      </c>
      <c r="K103" s="142" t="s">
        <v>1633</v>
      </c>
      <c r="L103" s="142"/>
      <c r="M103" s="142" t="s">
        <v>939</v>
      </c>
      <c r="N103" s="142" t="s">
        <v>694</v>
      </c>
    </row>
    <row r="104" spans="1:14" s="165" customFormat="1">
      <c r="A104" s="141">
        <v>46154</v>
      </c>
      <c r="B104" s="142" t="s">
        <v>5318</v>
      </c>
      <c r="C104" s="142" t="s">
        <v>888</v>
      </c>
      <c r="D104" s="142" t="s">
        <v>5319</v>
      </c>
      <c r="E104" s="142" t="s">
        <v>3325</v>
      </c>
      <c r="F104" s="142" t="s">
        <v>5320</v>
      </c>
      <c r="G104" s="260">
        <v>719712</v>
      </c>
      <c r="H104" s="261">
        <v>1996495.48</v>
      </c>
      <c r="I104" s="261"/>
      <c r="J104" s="141">
        <v>46162</v>
      </c>
      <c r="K104" s="142" t="s">
        <v>1633</v>
      </c>
      <c r="L104" s="142"/>
      <c r="M104" s="142" t="s">
        <v>939</v>
      </c>
      <c r="N104" s="142" t="s">
        <v>694</v>
      </c>
    </row>
    <row r="105" spans="1:14" s="165" customFormat="1">
      <c r="A105" s="128">
        <v>46154</v>
      </c>
      <c r="B105" s="100" t="s">
        <v>5307</v>
      </c>
      <c r="C105" s="100" t="s">
        <v>888</v>
      </c>
      <c r="D105" s="100" t="s">
        <v>5308</v>
      </c>
      <c r="E105" s="100" t="s">
        <v>2980</v>
      </c>
      <c r="F105" s="100" t="s">
        <v>5309</v>
      </c>
      <c r="G105" s="257">
        <v>5000</v>
      </c>
      <c r="H105" s="258">
        <v>910000</v>
      </c>
      <c r="I105" s="258"/>
      <c r="J105" s="128">
        <v>46162</v>
      </c>
      <c r="K105" s="142" t="s">
        <v>1633</v>
      </c>
      <c r="L105" s="100"/>
      <c r="M105" s="142" t="s">
        <v>939</v>
      </c>
      <c r="N105" s="142" t="s">
        <v>694</v>
      </c>
    </row>
    <row r="106" spans="1:14" s="165" customFormat="1">
      <c r="A106" s="141">
        <v>46156</v>
      </c>
      <c r="B106" s="142" t="s">
        <v>5399</v>
      </c>
      <c r="C106" s="142" t="s">
        <v>888</v>
      </c>
      <c r="D106" s="142" t="s">
        <v>5400</v>
      </c>
      <c r="E106" s="142" t="s">
        <v>4751</v>
      </c>
      <c r="F106" s="142" t="s">
        <v>4752</v>
      </c>
      <c r="G106" s="260">
        <v>19000</v>
      </c>
      <c r="H106" s="261">
        <v>1539000</v>
      </c>
      <c r="I106" s="261"/>
      <c r="J106" s="141">
        <v>46157</v>
      </c>
      <c r="K106" s="142" t="s">
        <v>1633</v>
      </c>
      <c r="L106" s="142"/>
      <c r="M106" s="142" t="s">
        <v>939</v>
      </c>
      <c r="N106" s="142" t="s">
        <v>694</v>
      </c>
    </row>
    <row r="107" spans="1:14" s="165" customFormat="1">
      <c r="A107" s="396">
        <v>46156</v>
      </c>
      <c r="B107" s="142" t="s">
        <v>5401</v>
      </c>
      <c r="C107" s="142" t="s">
        <v>888</v>
      </c>
      <c r="D107" s="142" t="s">
        <v>5402</v>
      </c>
      <c r="E107" s="142" t="s">
        <v>4751</v>
      </c>
      <c r="F107" s="142" t="s">
        <v>4864</v>
      </c>
      <c r="G107" s="260">
        <v>14660</v>
      </c>
      <c r="H107" s="261">
        <v>425140</v>
      </c>
      <c r="I107" s="261"/>
      <c r="J107" s="141">
        <v>46157</v>
      </c>
      <c r="K107" s="142" t="s">
        <v>1633</v>
      </c>
      <c r="L107" s="142"/>
      <c r="M107" s="142" t="s">
        <v>939</v>
      </c>
      <c r="N107" s="142" t="s">
        <v>27</v>
      </c>
    </row>
    <row r="108" spans="1:14" s="165" customFormat="1">
      <c r="A108" s="141">
        <v>46156</v>
      </c>
      <c r="B108" s="142" t="s">
        <v>5403</v>
      </c>
      <c r="C108" s="142" t="s">
        <v>888</v>
      </c>
      <c r="D108" s="142" t="s">
        <v>5404</v>
      </c>
      <c r="E108" s="142" t="s">
        <v>4751</v>
      </c>
      <c r="F108" s="142" t="s">
        <v>4864</v>
      </c>
      <c r="G108" s="260">
        <v>14480</v>
      </c>
      <c r="H108" s="261">
        <v>419920</v>
      </c>
      <c r="I108" s="261"/>
      <c r="J108" s="141">
        <v>46157</v>
      </c>
      <c r="K108" s="142" t="s">
        <v>1633</v>
      </c>
      <c r="L108" s="142"/>
      <c r="M108" s="142" t="s">
        <v>939</v>
      </c>
      <c r="N108" s="142" t="s">
        <v>27</v>
      </c>
    </row>
    <row r="109" spans="1:14" s="165" customFormat="1" ht="30">
      <c r="A109" s="141">
        <v>46157</v>
      </c>
      <c r="B109" s="142" t="s">
        <v>5389</v>
      </c>
      <c r="C109" s="142" t="s">
        <v>888</v>
      </c>
      <c r="D109" s="142" t="s">
        <v>5390</v>
      </c>
      <c r="E109" s="142" t="s">
        <v>3236</v>
      </c>
      <c r="F109" s="163" t="s">
        <v>5391</v>
      </c>
      <c r="G109" s="262" t="s">
        <v>2295</v>
      </c>
      <c r="H109" s="261">
        <v>82900</v>
      </c>
      <c r="I109" s="261"/>
      <c r="J109" s="141">
        <v>46235</v>
      </c>
      <c r="K109" s="142" t="s">
        <v>1633</v>
      </c>
      <c r="L109" s="142"/>
      <c r="M109" s="142" t="s">
        <v>939</v>
      </c>
      <c r="N109" s="142" t="s">
        <v>694</v>
      </c>
    </row>
    <row r="110" spans="1:14" s="165" customFormat="1">
      <c r="A110" s="141"/>
      <c r="B110" s="142"/>
      <c r="C110" s="142" t="s">
        <v>888</v>
      </c>
      <c r="D110" s="142"/>
      <c r="E110" s="142"/>
      <c r="F110" s="142"/>
      <c r="G110" s="260"/>
      <c r="H110" s="261"/>
      <c r="I110" s="261"/>
      <c r="J110" s="141"/>
      <c r="K110" s="142"/>
      <c r="L110" s="142"/>
      <c r="M110" s="142"/>
      <c r="N110" s="142"/>
    </row>
    <row r="111" spans="1:14" s="165" customFormat="1">
      <c r="A111" s="141"/>
      <c r="B111" s="142"/>
      <c r="C111" s="142" t="s">
        <v>888</v>
      </c>
      <c r="D111" s="142"/>
      <c r="E111" s="142"/>
      <c r="F111" s="142"/>
      <c r="G111" s="260"/>
      <c r="H111" s="261"/>
      <c r="I111" s="261"/>
      <c r="J111" s="141"/>
      <c r="K111" s="142"/>
      <c r="L111" s="142"/>
      <c r="M111" s="142"/>
      <c r="N111" s="142"/>
    </row>
    <row r="112" spans="1:14" s="165" customFormat="1">
      <c r="A112" s="141"/>
      <c r="B112" s="142"/>
      <c r="C112" s="142" t="s">
        <v>888</v>
      </c>
      <c r="D112" s="142"/>
      <c r="E112" s="142"/>
      <c r="F112" s="142"/>
      <c r="G112" s="260"/>
      <c r="H112" s="261"/>
      <c r="I112" s="261"/>
      <c r="J112" s="141"/>
      <c r="K112" s="142"/>
      <c r="L112" s="142"/>
      <c r="M112" s="142"/>
      <c r="N112" s="142"/>
    </row>
    <row r="113" spans="1:14" s="165" customFormat="1">
      <c r="A113" s="141"/>
      <c r="B113" s="142"/>
      <c r="C113" s="142" t="s">
        <v>888</v>
      </c>
      <c r="D113" s="142"/>
      <c r="E113" s="142"/>
      <c r="F113" s="142"/>
      <c r="G113" s="260"/>
      <c r="H113" s="261"/>
      <c r="I113" s="261"/>
      <c r="J113" s="141"/>
      <c r="K113" s="142"/>
      <c r="L113" s="142"/>
      <c r="M113" s="142"/>
      <c r="N113" s="142"/>
    </row>
    <row r="114" spans="1:14" s="165" customFormat="1">
      <c r="A114" s="141"/>
      <c r="B114" s="142"/>
      <c r="C114" s="142" t="s">
        <v>888</v>
      </c>
      <c r="D114" s="142"/>
      <c r="E114" s="142"/>
      <c r="F114" s="142"/>
      <c r="G114" s="392"/>
      <c r="H114" s="164"/>
      <c r="I114" s="164"/>
      <c r="J114" s="141"/>
      <c r="K114" s="142"/>
      <c r="L114" s="142"/>
      <c r="M114" s="142"/>
      <c r="N114" s="142"/>
    </row>
    <row r="115" spans="1:14" s="165" customFormat="1">
      <c r="A115" s="141"/>
      <c r="B115" s="142"/>
      <c r="C115" s="142" t="s">
        <v>888</v>
      </c>
      <c r="D115" s="142"/>
      <c r="E115" s="142"/>
      <c r="F115" s="142"/>
      <c r="G115" s="392"/>
      <c r="H115" s="164"/>
      <c r="I115" s="164"/>
      <c r="J115" s="141"/>
      <c r="K115" s="142"/>
      <c r="L115" s="142"/>
      <c r="M115" s="142"/>
      <c r="N115" s="142"/>
    </row>
    <row r="116" spans="1:14" s="165" customFormat="1">
      <c r="A116" s="141"/>
      <c r="B116" s="142"/>
      <c r="C116" s="142" t="s">
        <v>888</v>
      </c>
      <c r="D116" s="142"/>
      <c r="E116" s="142"/>
      <c r="F116" s="142"/>
      <c r="G116" s="392"/>
      <c r="H116" s="164"/>
      <c r="I116" s="164"/>
      <c r="J116" s="141"/>
      <c r="K116" s="142"/>
      <c r="L116" s="142"/>
      <c r="M116" s="142"/>
      <c r="N116" s="142"/>
    </row>
    <row r="117" spans="1:14" s="165" customFormat="1">
      <c r="A117" s="141"/>
      <c r="B117" s="142"/>
      <c r="C117" s="142" t="s">
        <v>888</v>
      </c>
      <c r="D117" s="142"/>
      <c r="E117" s="142"/>
      <c r="F117" s="142"/>
      <c r="G117" s="392"/>
      <c r="H117" s="164"/>
      <c r="I117" s="164"/>
      <c r="J117" s="141"/>
      <c r="K117" s="142"/>
      <c r="L117" s="142"/>
      <c r="M117" s="142"/>
      <c r="N117" s="142"/>
    </row>
    <row r="118" spans="1:14" s="165" customFormat="1">
      <c r="A118" s="141"/>
      <c r="B118" s="142"/>
      <c r="C118" s="142" t="s">
        <v>888</v>
      </c>
      <c r="D118" s="142"/>
      <c r="E118" s="142"/>
      <c r="F118" s="142"/>
      <c r="G118" s="392"/>
      <c r="H118" s="164"/>
      <c r="I118" s="164"/>
      <c r="J118" s="141"/>
      <c r="K118" s="142"/>
      <c r="L118" s="142"/>
      <c r="M118" s="142"/>
      <c r="N118" s="142"/>
    </row>
    <row r="119" spans="1:14" s="165" customFormat="1">
      <c r="A119" s="141"/>
      <c r="B119" s="142"/>
      <c r="C119" s="142" t="s">
        <v>888</v>
      </c>
      <c r="D119" s="142"/>
      <c r="E119" s="142"/>
      <c r="F119" s="142"/>
      <c r="G119" s="392"/>
      <c r="H119" s="164"/>
      <c r="I119" s="164"/>
      <c r="J119" s="141"/>
      <c r="K119" s="142"/>
      <c r="L119" s="142"/>
      <c r="M119" s="142"/>
      <c r="N119" s="142"/>
    </row>
    <row r="120" spans="1:14" s="165" customFormat="1">
      <c r="A120" s="141"/>
      <c r="B120" s="142"/>
      <c r="C120" s="142" t="s">
        <v>888</v>
      </c>
      <c r="D120" s="142"/>
      <c r="E120" s="142"/>
      <c r="F120" s="142"/>
      <c r="G120" s="392"/>
      <c r="H120" s="164"/>
      <c r="I120" s="164"/>
      <c r="J120" s="141"/>
      <c r="K120" s="142"/>
      <c r="L120" s="142"/>
      <c r="M120" s="142"/>
      <c r="N120" s="142"/>
    </row>
    <row r="121" spans="1:14" s="165" customFormat="1">
      <c r="A121" s="141"/>
      <c r="B121" s="142"/>
      <c r="C121" s="142" t="s">
        <v>888</v>
      </c>
      <c r="D121" s="142"/>
      <c r="E121" s="142"/>
      <c r="F121" s="142"/>
      <c r="G121" s="392"/>
      <c r="H121" s="164"/>
      <c r="I121" s="164"/>
      <c r="J121" s="141"/>
      <c r="K121" s="142"/>
      <c r="L121" s="142"/>
      <c r="M121" s="142"/>
      <c r="N121" s="142"/>
    </row>
    <row r="122" spans="1:14" s="165" customFormat="1">
      <c r="A122" s="141"/>
      <c r="B122" s="142"/>
      <c r="C122" s="142" t="s">
        <v>888</v>
      </c>
      <c r="D122" s="142"/>
      <c r="E122" s="142"/>
      <c r="F122" s="142"/>
      <c r="G122" s="392"/>
      <c r="H122" s="164"/>
      <c r="I122" s="164"/>
      <c r="J122" s="141"/>
      <c r="K122" s="142"/>
      <c r="L122" s="142"/>
      <c r="M122" s="142"/>
      <c r="N122" s="142"/>
    </row>
    <row r="123" spans="1:14">
      <c r="A123" s="128"/>
      <c r="B123" s="100"/>
      <c r="C123" s="100" t="s">
        <v>888</v>
      </c>
      <c r="D123" s="100"/>
      <c r="E123" s="100"/>
      <c r="F123" s="100"/>
      <c r="G123" s="241"/>
      <c r="H123" s="129"/>
      <c r="I123" s="129"/>
      <c r="J123" s="128"/>
      <c r="K123" s="100"/>
      <c r="L123" s="100"/>
      <c r="M123" s="100"/>
      <c r="N123" s="100"/>
    </row>
    <row r="124" spans="1:14">
      <c r="A124" s="128"/>
      <c r="B124" s="100"/>
      <c r="C124" s="100" t="s">
        <v>888</v>
      </c>
      <c r="D124" s="100"/>
      <c r="E124" s="100"/>
      <c r="F124" s="100"/>
      <c r="G124" s="241"/>
      <c r="H124" s="129"/>
      <c r="I124" s="129"/>
      <c r="J124" s="128"/>
      <c r="K124" s="100"/>
      <c r="L124" s="100"/>
      <c r="M124" s="100"/>
      <c r="N124" s="100"/>
    </row>
    <row r="125" spans="1:14">
      <c r="A125" s="128"/>
      <c r="B125" s="100"/>
      <c r="C125" s="100" t="s">
        <v>888</v>
      </c>
      <c r="D125" s="100"/>
      <c r="E125" s="100"/>
      <c r="F125" s="100"/>
      <c r="G125" s="241"/>
      <c r="H125" s="129"/>
      <c r="I125" s="129"/>
      <c r="J125" s="128"/>
      <c r="K125" s="100"/>
      <c r="L125" s="100"/>
      <c r="M125" s="100"/>
      <c r="N125" s="100"/>
    </row>
    <row r="126" spans="1:14">
      <c r="A126" s="128"/>
      <c r="B126" s="100"/>
      <c r="C126" s="100" t="s">
        <v>888</v>
      </c>
      <c r="D126" s="100"/>
      <c r="E126" s="100"/>
      <c r="F126" s="100"/>
      <c r="G126" s="241"/>
      <c r="H126" s="129"/>
      <c r="I126" s="129"/>
      <c r="J126" s="128"/>
      <c r="K126" s="100"/>
      <c r="L126" s="100"/>
      <c r="M126" s="100"/>
      <c r="N126" s="100"/>
    </row>
    <row r="127" spans="1:14">
      <c r="A127" s="128"/>
      <c r="B127" s="100"/>
      <c r="C127" s="100" t="s">
        <v>888</v>
      </c>
      <c r="D127" s="100"/>
      <c r="E127" s="100"/>
      <c r="F127" s="100"/>
      <c r="G127" s="241"/>
      <c r="H127" s="129"/>
      <c r="I127" s="129"/>
      <c r="J127" s="128"/>
      <c r="K127" s="100"/>
      <c r="L127" s="100"/>
      <c r="M127" s="100"/>
      <c r="N127" s="100"/>
    </row>
    <row r="128" spans="1:14">
      <c r="A128" s="128"/>
      <c r="B128" s="100"/>
      <c r="C128" s="100" t="s">
        <v>888</v>
      </c>
      <c r="D128" s="100"/>
      <c r="E128" s="100"/>
      <c r="F128" s="100"/>
      <c r="G128" s="241"/>
      <c r="H128" s="129"/>
      <c r="I128" s="129"/>
      <c r="J128" s="128"/>
      <c r="K128" s="100"/>
      <c r="L128" s="100"/>
      <c r="M128" s="100"/>
      <c r="N128" s="100"/>
    </row>
    <row r="129" spans="1:14">
      <c r="A129" s="128"/>
      <c r="B129" s="100"/>
      <c r="C129" s="100" t="s">
        <v>888</v>
      </c>
      <c r="D129" s="100"/>
      <c r="E129" s="100"/>
      <c r="F129" s="100"/>
      <c r="G129" s="241"/>
      <c r="H129" s="129"/>
      <c r="I129" s="129"/>
      <c r="J129" s="128"/>
      <c r="K129" s="100"/>
      <c r="L129" s="100"/>
      <c r="M129" s="100"/>
      <c r="N129" s="100"/>
    </row>
    <row r="130" spans="1:14">
      <c r="A130" s="128"/>
      <c r="B130" s="100"/>
      <c r="C130" s="100" t="s">
        <v>888</v>
      </c>
      <c r="D130" s="100"/>
      <c r="E130" s="100"/>
      <c r="F130" s="100"/>
      <c r="G130" s="241"/>
      <c r="H130" s="129"/>
      <c r="I130" s="129"/>
      <c r="J130" s="128"/>
      <c r="K130" s="100"/>
      <c r="L130" s="100"/>
      <c r="M130" s="100"/>
      <c r="N130" s="100"/>
    </row>
    <row r="131" spans="1:14">
      <c r="A131" s="128"/>
      <c r="B131" s="100"/>
      <c r="C131" s="100" t="s">
        <v>888</v>
      </c>
      <c r="D131" s="100"/>
      <c r="E131" s="100"/>
      <c r="F131" s="100"/>
      <c r="G131" s="241"/>
      <c r="H131" s="129"/>
      <c r="I131" s="129"/>
      <c r="J131" s="128"/>
      <c r="K131" s="100"/>
      <c r="L131" s="100"/>
      <c r="M131" s="100"/>
      <c r="N131" s="100"/>
    </row>
    <row r="132" spans="1:14">
      <c r="A132" s="128"/>
      <c r="B132" s="100"/>
      <c r="C132" s="100" t="s">
        <v>888</v>
      </c>
      <c r="D132" s="100"/>
      <c r="E132" s="100"/>
      <c r="F132" s="100"/>
      <c r="G132" s="241"/>
      <c r="H132" s="129"/>
      <c r="I132" s="129"/>
      <c r="J132" s="128"/>
      <c r="K132" s="100"/>
      <c r="L132" s="100"/>
      <c r="M132" s="100"/>
      <c r="N132" s="100"/>
    </row>
    <row r="133" spans="1:14">
      <c r="A133" s="128"/>
      <c r="B133" s="100"/>
      <c r="C133" s="100" t="s">
        <v>888</v>
      </c>
      <c r="D133" s="100"/>
      <c r="E133" s="100"/>
      <c r="F133" s="100"/>
      <c r="G133" s="241"/>
      <c r="H133" s="129"/>
      <c r="I133" s="129"/>
      <c r="J133" s="128"/>
      <c r="K133" s="100"/>
      <c r="L133" s="100"/>
      <c r="M133" s="100"/>
      <c r="N133" s="100"/>
    </row>
    <row r="134" spans="1:14">
      <c r="A134" s="128"/>
      <c r="B134" s="100"/>
      <c r="C134" s="100" t="s">
        <v>888</v>
      </c>
      <c r="D134" s="100"/>
      <c r="E134" s="100"/>
      <c r="F134" s="100"/>
      <c r="G134" s="241"/>
      <c r="H134" s="129"/>
      <c r="I134" s="129"/>
      <c r="J134" s="128"/>
      <c r="K134" s="100"/>
      <c r="L134" s="100"/>
      <c r="M134" s="100"/>
      <c r="N134" s="100"/>
    </row>
    <row r="135" spans="1:14">
      <c r="A135" s="128"/>
      <c r="B135" s="100"/>
      <c r="C135" s="100" t="s">
        <v>888</v>
      </c>
      <c r="D135" s="100"/>
      <c r="E135" s="100"/>
      <c r="F135" s="100"/>
      <c r="G135" s="241"/>
      <c r="H135" s="129"/>
      <c r="I135" s="129"/>
      <c r="J135" s="128"/>
      <c r="K135" s="100"/>
      <c r="L135" s="100"/>
      <c r="M135" s="100"/>
      <c r="N135" s="100"/>
    </row>
    <row r="136" spans="1:14">
      <c r="A136" s="128"/>
      <c r="B136" s="100"/>
      <c r="C136" s="100" t="s">
        <v>888</v>
      </c>
      <c r="D136" s="100"/>
      <c r="E136" s="100"/>
      <c r="F136" s="100"/>
      <c r="G136" s="241"/>
      <c r="H136" s="129"/>
      <c r="I136" s="129"/>
      <c r="J136" s="128"/>
      <c r="K136" s="100"/>
      <c r="L136" s="100"/>
      <c r="M136" s="100"/>
      <c r="N136" s="100"/>
    </row>
    <row r="137" spans="1:14">
      <c r="A137" s="128"/>
      <c r="B137" s="100"/>
      <c r="C137" s="100" t="s">
        <v>888</v>
      </c>
      <c r="D137" s="100"/>
      <c r="E137" s="100"/>
      <c r="F137" s="100"/>
      <c r="G137" s="241"/>
      <c r="H137" s="129"/>
      <c r="I137" s="129"/>
      <c r="J137" s="128"/>
      <c r="K137" s="100"/>
      <c r="L137" s="100"/>
      <c r="M137" s="100"/>
      <c r="N137" s="100"/>
    </row>
    <row r="138" spans="1:14">
      <c r="A138" s="128"/>
      <c r="B138" s="100"/>
      <c r="C138" s="100" t="s">
        <v>888</v>
      </c>
      <c r="D138" s="100"/>
      <c r="E138" s="100"/>
      <c r="F138" s="100"/>
      <c r="G138" s="241"/>
      <c r="H138" s="129"/>
      <c r="I138" s="129"/>
      <c r="J138" s="128"/>
      <c r="K138" s="100"/>
      <c r="L138" s="100"/>
      <c r="M138" s="100"/>
      <c r="N138" s="100"/>
    </row>
    <row r="139" spans="1:14">
      <c r="A139" s="128"/>
      <c r="B139" s="100"/>
      <c r="C139" s="100" t="s">
        <v>888</v>
      </c>
      <c r="D139" s="100"/>
      <c r="E139" s="100"/>
      <c r="F139" s="100"/>
      <c r="G139" s="241"/>
      <c r="H139" s="129"/>
      <c r="I139" s="129"/>
      <c r="J139" s="128"/>
      <c r="K139" s="100"/>
      <c r="L139" s="100"/>
      <c r="M139" s="100"/>
      <c r="N139" s="100"/>
    </row>
    <row r="140" spans="1:14">
      <c r="A140" s="128"/>
      <c r="B140" s="100"/>
      <c r="C140" s="100" t="s">
        <v>888</v>
      </c>
      <c r="D140" s="100"/>
      <c r="E140" s="100"/>
      <c r="F140" s="100"/>
      <c r="G140" s="241"/>
      <c r="H140" s="129"/>
      <c r="I140" s="129"/>
      <c r="J140" s="128"/>
      <c r="K140" s="100"/>
      <c r="L140" s="100"/>
      <c r="M140" s="100"/>
      <c r="N140" s="100"/>
    </row>
    <row r="141" spans="1:14">
      <c r="A141" s="128"/>
      <c r="B141" s="100"/>
      <c r="C141" s="100" t="s">
        <v>888</v>
      </c>
      <c r="D141" s="100"/>
      <c r="E141" s="100"/>
      <c r="F141" s="100"/>
      <c r="G141" s="241"/>
      <c r="H141" s="129"/>
      <c r="I141" s="129"/>
      <c r="J141" s="128"/>
      <c r="K141" s="100"/>
      <c r="L141" s="100"/>
      <c r="M141" s="100"/>
      <c r="N141" s="100"/>
    </row>
    <row r="142" spans="1:14">
      <c r="A142" s="128"/>
      <c r="B142" s="100"/>
      <c r="C142" s="100" t="s">
        <v>888</v>
      </c>
      <c r="D142" s="100"/>
      <c r="E142" s="100"/>
      <c r="F142" s="100"/>
      <c r="G142" s="241"/>
      <c r="H142" s="129"/>
      <c r="I142" s="129"/>
      <c r="J142" s="128"/>
      <c r="K142" s="100"/>
      <c r="L142" s="100"/>
      <c r="M142" s="100"/>
      <c r="N142" s="100"/>
    </row>
    <row r="143" spans="1:14">
      <c r="A143" s="128"/>
      <c r="B143" s="100"/>
      <c r="C143" s="100" t="s">
        <v>888</v>
      </c>
      <c r="D143" s="100"/>
      <c r="E143" s="100"/>
      <c r="F143" s="100"/>
      <c r="G143" s="241"/>
      <c r="H143" s="129"/>
      <c r="I143" s="129"/>
      <c r="J143" s="128"/>
      <c r="K143" s="100"/>
      <c r="L143" s="100"/>
      <c r="M143" s="100"/>
      <c r="N143" s="100"/>
    </row>
    <row r="144" spans="1:14">
      <c r="A144" s="128"/>
      <c r="B144" s="100"/>
      <c r="C144" s="100" t="s">
        <v>888</v>
      </c>
      <c r="D144" s="100"/>
      <c r="E144" s="100"/>
      <c r="F144" s="100"/>
      <c r="G144" s="241"/>
      <c r="H144" s="129"/>
      <c r="I144" s="129"/>
      <c r="J144" s="128"/>
      <c r="K144" s="100"/>
      <c r="L144" s="100"/>
      <c r="M144" s="100"/>
      <c r="N144" s="100"/>
    </row>
    <row r="145" spans="1:14">
      <c r="A145" s="128"/>
      <c r="B145" s="100"/>
      <c r="C145" s="100" t="s">
        <v>888</v>
      </c>
      <c r="D145" s="100"/>
      <c r="E145" s="100"/>
      <c r="F145" s="100"/>
      <c r="G145" s="241"/>
      <c r="H145" s="129"/>
      <c r="I145" s="129"/>
      <c r="J145" s="128"/>
      <c r="K145" s="100"/>
      <c r="L145" s="100"/>
      <c r="M145" s="100"/>
      <c r="N145" s="100"/>
    </row>
    <row r="146" spans="1:14">
      <c r="A146" s="128"/>
      <c r="B146" s="100"/>
      <c r="C146" s="100" t="s">
        <v>888</v>
      </c>
      <c r="D146" s="100"/>
      <c r="E146" s="100"/>
      <c r="F146" s="100"/>
      <c r="G146" s="241"/>
      <c r="H146" s="129"/>
      <c r="I146" s="129"/>
      <c r="J146" s="128"/>
      <c r="K146" s="100"/>
      <c r="L146" s="100"/>
      <c r="M146" s="100"/>
      <c r="N146" s="100"/>
    </row>
    <row r="147" spans="1:14">
      <c r="A147" s="128"/>
      <c r="B147" s="100"/>
      <c r="C147" s="100" t="s">
        <v>888</v>
      </c>
      <c r="D147" s="100"/>
      <c r="E147" s="100"/>
      <c r="F147" s="100"/>
      <c r="G147" s="241"/>
      <c r="H147" s="129"/>
      <c r="I147" s="129"/>
      <c r="J147" s="128"/>
      <c r="K147" s="100"/>
      <c r="L147" s="100"/>
      <c r="M147" s="100"/>
      <c r="N147" s="100"/>
    </row>
    <row r="148" spans="1:14">
      <c r="A148" s="128"/>
      <c r="B148" s="100"/>
      <c r="C148" s="100" t="s">
        <v>888</v>
      </c>
      <c r="D148" s="100"/>
      <c r="E148" s="100"/>
      <c r="F148" s="100"/>
      <c r="G148" s="241"/>
      <c r="H148" s="129"/>
      <c r="I148" s="129"/>
      <c r="J148" s="128"/>
      <c r="K148" s="100"/>
      <c r="L148" s="100"/>
      <c r="M148" s="100"/>
      <c r="N148" s="100"/>
    </row>
    <row r="149" spans="1:14">
      <c r="A149" s="128"/>
      <c r="B149" s="100"/>
      <c r="C149" s="100" t="s">
        <v>888</v>
      </c>
      <c r="D149" s="100"/>
      <c r="E149" s="100"/>
      <c r="F149" s="100"/>
      <c r="G149" s="241"/>
      <c r="H149" s="129"/>
      <c r="I149" s="129"/>
      <c r="J149" s="128"/>
      <c r="K149" s="100"/>
      <c r="L149" s="100"/>
      <c r="M149" s="100"/>
      <c r="N149" s="100"/>
    </row>
    <row r="150" spans="1:14">
      <c r="A150" s="128"/>
      <c r="B150" s="100"/>
      <c r="C150" s="100" t="s">
        <v>888</v>
      </c>
      <c r="D150" s="100"/>
      <c r="E150" s="100"/>
      <c r="F150" s="100"/>
      <c r="G150" s="241"/>
      <c r="H150" s="129"/>
      <c r="I150" s="129"/>
      <c r="J150" s="128"/>
      <c r="K150" s="100"/>
      <c r="L150" s="100"/>
      <c r="M150" s="100"/>
      <c r="N150" s="100"/>
    </row>
    <row r="151" spans="1:14">
      <c r="A151" s="128"/>
      <c r="B151" s="100"/>
      <c r="C151" s="100" t="s">
        <v>888</v>
      </c>
      <c r="D151" s="100"/>
      <c r="E151" s="100"/>
      <c r="F151" s="100"/>
      <c r="G151" s="241"/>
      <c r="H151" s="129"/>
      <c r="I151" s="129"/>
      <c r="J151" s="128"/>
      <c r="K151" s="100"/>
      <c r="L151" s="100"/>
      <c r="M151" s="100"/>
      <c r="N151" s="100"/>
    </row>
    <row r="152" spans="1:14">
      <c r="A152" s="128"/>
      <c r="B152" s="100"/>
      <c r="C152" s="100" t="s">
        <v>888</v>
      </c>
      <c r="D152" s="100"/>
      <c r="E152" s="100"/>
      <c r="F152" s="100"/>
      <c r="G152" s="241"/>
      <c r="H152" s="129"/>
      <c r="I152" s="129"/>
      <c r="J152" s="128"/>
      <c r="K152" s="100"/>
      <c r="L152" s="100"/>
      <c r="M152" s="100"/>
      <c r="N152" s="100"/>
    </row>
    <row r="153" spans="1:14">
      <c r="A153" s="128"/>
      <c r="B153" s="100"/>
      <c r="C153" s="100" t="s">
        <v>888</v>
      </c>
      <c r="D153" s="100"/>
      <c r="E153" s="100"/>
      <c r="F153" s="100"/>
      <c r="G153" s="241"/>
      <c r="H153" s="129"/>
      <c r="I153" s="129"/>
      <c r="J153" s="128"/>
      <c r="K153" s="100"/>
      <c r="L153" s="100"/>
      <c r="M153" s="100"/>
      <c r="N153" s="100"/>
    </row>
    <row r="154" spans="1:14">
      <c r="A154" s="128"/>
      <c r="B154" s="100"/>
      <c r="C154" s="100" t="s">
        <v>888</v>
      </c>
      <c r="D154" s="100"/>
      <c r="E154" s="100"/>
      <c r="F154" s="100"/>
      <c r="G154" s="241"/>
      <c r="H154" s="129"/>
      <c r="I154" s="129"/>
      <c r="J154" s="128"/>
      <c r="K154" s="100"/>
      <c r="L154" s="100"/>
      <c r="M154" s="100"/>
      <c r="N154" s="100"/>
    </row>
    <row r="155" spans="1:14">
      <c r="A155" s="128"/>
      <c r="B155" s="100"/>
      <c r="C155" s="100" t="s">
        <v>888</v>
      </c>
      <c r="D155" s="100"/>
      <c r="E155" s="100"/>
      <c r="F155" s="100"/>
      <c r="G155" s="241"/>
      <c r="H155" s="129"/>
      <c r="I155" s="129"/>
      <c r="J155" s="128"/>
      <c r="K155" s="100"/>
      <c r="L155" s="100"/>
      <c r="M155" s="100"/>
      <c r="N155" s="100"/>
    </row>
    <row r="156" spans="1:14">
      <c r="A156" s="100"/>
      <c r="B156" s="100"/>
      <c r="C156" s="100" t="s">
        <v>888</v>
      </c>
      <c r="D156" s="100"/>
      <c r="E156" s="100"/>
      <c r="F156" s="100"/>
      <c r="G156" s="241"/>
      <c r="H156" s="129"/>
      <c r="I156" s="129"/>
      <c r="J156" s="128"/>
      <c r="K156" s="100"/>
      <c r="L156" s="100"/>
      <c r="M156" s="100"/>
      <c r="N156" s="100"/>
    </row>
    <row r="157" spans="1:14">
      <c r="A157" s="100"/>
      <c r="B157" s="100"/>
      <c r="C157" s="100" t="s">
        <v>888</v>
      </c>
      <c r="D157" s="100"/>
      <c r="E157" s="100"/>
      <c r="F157" s="100"/>
      <c r="G157" s="241"/>
      <c r="H157" s="129"/>
      <c r="I157" s="129"/>
      <c r="J157" s="128"/>
      <c r="K157" s="100"/>
      <c r="L157" s="100"/>
      <c r="M157" s="100"/>
      <c r="N157" s="100"/>
    </row>
    <row r="158" spans="1:14">
      <c r="A158" s="100"/>
      <c r="B158" s="100"/>
      <c r="C158" s="100" t="s">
        <v>888</v>
      </c>
      <c r="D158" s="100"/>
      <c r="E158" s="100"/>
      <c r="F158" s="100"/>
      <c r="G158" s="241"/>
      <c r="H158" s="129"/>
      <c r="I158" s="129"/>
      <c r="J158" s="128"/>
      <c r="K158" s="100"/>
      <c r="L158" s="100"/>
      <c r="M158" s="100"/>
      <c r="N158" s="100"/>
    </row>
    <row r="159" spans="1:14">
      <c r="A159" s="100"/>
      <c r="B159" s="100"/>
      <c r="C159" s="100" t="s">
        <v>888</v>
      </c>
      <c r="D159" s="100"/>
      <c r="E159" s="100"/>
      <c r="F159" s="100"/>
      <c r="G159" s="241"/>
      <c r="H159" s="129"/>
      <c r="I159" s="129"/>
      <c r="J159" s="128"/>
      <c r="K159" s="100"/>
      <c r="L159" s="100"/>
      <c r="M159" s="100"/>
      <c r="N159" s="100"/>
    </row>
    <row r="160" spans="1:14">
      <c r="A160" s="100"/>
      <c r="B160" s="100"/>
      <c r="C160" s="100" t="s">
        <v>888</v>
      </c>
      <c r="D160" s="100"/>
      <c r="E160" s="100"/>
      <c r="F160" s="100"/>
      <c r="G160" s="241"/>
      <c r="H160" s="129"/>
      <c r="I160" s="129"/>
      <c r="J160" s="128"/>
      <c r="K160" s="100"/>
      <c r="L160" s="100"/>
      <c r="M160" s="100"/>
      <c r="N160" s="100"/>
    </row>
    <row r="161" spans="1:14">
      <c r="A161" s="100"/>
      <c r="B161" s="100"/>
      <c r="C161" s="100" t="s">
        <v>888</v>
      </c>
      <c r="D161" s="100"/>
      <c r="E161" s="100"/>
      <c r="F161" s="100"/>
      <c r="G161" s="241"/>
      <c r="H161" s="129"/>
      <c r="I161" s="129"/>
      <c r="J161" s="128"/>
      <c r="K161" s="100"/>
      <c r="L161" s="100"/>
      <c r="M161" s="100"/>
      <c r="N161" s="100"/>
    </row>
    <row r="162" spans="1:14">
      <c r="A162" s="100"/>
      <c r="B162" s="100"/>
      <c r="C162" s="100" t="s">
        <v>888</v>
      </c>
      <c r="D162" s="100"/>
      <c r="E162" s="100"/>
      <c r="F162" s="100"/>
      <c r="G162" s="241"/>
      <c r="H162" s="129"/>
      <c r="I162" s="129"/>
      <c r="J162" s="128"/>
      <c r="K162" s="100"/>
      <c r="L162" s="100"/>
      <c r="M162" s="100"/>
      <c r="N162" s="100"/>
    </row>
    <row r="163" spans="1:14">
      <c r="A163" s="100"/>
      <c r="B163" s="100"/>
      <c r="C163" s="100" t="s">
        <v>888</v>
      </c>
      <c r="D163" s="100"/>
      <c r="E163" s="100"/>
      <c r="F163" s="100"/>
      <c r="G163" s="241"/>
      <c r="H163" s="129"/>
      <c r="I163" s="129"/>
      <c r="J163" s="128"/>
      <c r="K163" s="100"/>
      <c r="L163" s="100"/>
      <c r="M163" s="100"/>
      <c r="N163" s="100"/>
    </row>
    <row r="164" spans="1:14">
      <c r="A164" s="100"/>
      <c r="B164" s="100"/>
      <c r="C164" s="100" t="s">
        <v>888</v>
      </c>
      <c r="D164" s="100"/>
      <c r="E164" s="100"/>
      <c r="F164" s="100"/>
      <c r="G164" s="241"/>
      <c r="H164" s="129"/>
      <c r="I164" s="129"/>
      <c r="J164" s="128"/>
      <c r="K164" s="100"/>
      <c r="L164" s="100"/>
      <c r="M164" s="100"/>
      <c r="N164" s="100"/>
    </row>
    <row r="165" spans="1:14">
      <c r="A165" s="100"/>
      <c r="B165" s="100"/>
      <c r="C165" s="100" t="s">
        <v>888</v>
      </c>
      <c r="D165" s="100"/>
      <c r="E165" s="100"/>
      <c r="F165" s="100"/>
      <c r="G165" s="241"/>
      <c r="H165" s="129"/>
      <c r="I165" s="129"/>
      <c r="J165" s="128"/>
      <c r="K165" s="100"/>
      <c r="L165" s="100"/>
      <c r="M165" s="100"/>
      <c r="N165" s="100"/>
    </row>
    <row r="166" spans="1:14">
      <c r="A166" s="100"/>
      <c r="B166" s="100"/>
      <c r="C166" s="100" t="s">
        <v>888</v>
      </c>
      <c r="D166" s="100"/>
      <c r="E166" s="100"/>
      <c r="F166" s="100"/>
      <c r="G166" s="241"/>
      <c r="H166" s="129"/>
      <c r="I166" s="129"/>
      <c r="J166" s="128"/>
      <c r="K166" s="100"/>
      <c r="L166" s="100"/>
      <c r="M166" s="100"/>
      <c r="N166" s="100"/>
    </row>
    <row r="167" spans="1:14">
      <c r="A167" s="100"/>
      <c r="B167" s="100"/>
      <c r="C167" s="100" t="s">
        <v>888</v>
      </c>
      <c r="D167" s="100"/>
      <c r="E167" s="100"/>
      <c r="F167" s="100"/>
      <c r="G167" s="241"/>
      <c r="H167" s="129"/>
      <c r="I167" s="129"/>
      <c r="J167" s="128"/>
      <c r="K167" s="100"/>
      <c r="L167" s="100"/>
      <c r="M167" s="100"/>
      <c r="N167" s="100"/>
    </row>
    <row r="168" spans="1:14">
      <c r="A168" s="100"/>
      <c r="B168" s="100"/>
      <c r="C168" s="100" t="s">
        <v>888</v>
      </c>
      <c r="D168" s="100"/>
      <c r="E168" s="100"/>
      <c r="F168" s="100"/>
      <c r="G168" s="241"/>
      <c r="H168" s="129"/>
      <c r="I168" s="129"/>
      <c r="J168" s="128"/>
      <c r="K168" s="100"/>
      <c r="L168" s="100"/>
      <c r="M168" s="100"/>
      <c r="N168" s="100"/>
    </row>
    <row r="169" spans="1:14">
      <c r="A169" s="100"/>
      <c r="B169" s="100"/>
      <c r="C169" s="100" t="s">
        <v>888</v>
      </c>
      <c r="D169" s="100"/>
      <c r="E169" s="100"/>
      <c r="F169" s="100"/>
      <c r="G169" s="241"/>
      <c r="H169" s="129"/>
      <c r="I169" s="129"/>
      <c r="J169" s="128"/>
      <c r="K169" s="100"/>
      <c r="L169" s="100"/>
      <c r="M169" s="100"/>
      <c r="N169" s="100"/>
    </row>
    <row r="170" spans="1:14">
      <c r="A170" s="100"/>
      <c r="B170" s="100"/>
      <c r="C170" s="100" t="s">
        <v>888</v>
      </c>
      <c r="D170" s="100"/>
      <c r="E170" s="100"/>
      <c r="F170" s="100"/>
      <c r="G170" s="241"/>
      <c r="H170" s="129"/>
      <c r="I170" s="129"/>
      <c r="J170" s="128"/>
      <c r="K170" s="100"/>
      <c r="L170" s="100"/>
      <c r="M170" s="100"/>
      <c r="N170" s="100"/>
    </row>
    <row r="171" spans="1:14">
      <c r="A171" s="100"/>
      <c r="B171" s="100"/>
      <c r="C171" s="100" t="s">
        <v>888</v>
      </c>
      <c r="D171" s="100"/>
      <c r="E171" s="100"/>
      <c r="F171" s="100"/>
      <c r="G171" s="241"/>
      <c r="H171" s="129"/>
      <c r="I171" s="129"/>
      <c r="J171" s="128"/>
      <c r="K171" s="100"/>
      <c r="L171" s="100"/>
      <c r="M171" s="100"/>
      <c r="N171" s="100"/>
    </row>
    <row r="172" spans="1:14">
      <c r="A172" s="100"/>
      <c r="B172" s="100"/>
      <c r="C172" s="100" t="s">
        <v>888</v>
      </c>
      <c r="D172" s="100"/>
      <c r="E172" s="100"/>
      <c r="F172" s="100"/>
      <c r="G172" s="241"/>
      <c r="H172" s="129"/>
      <c r="I172" s="129"/>
      <c r="J172" s="128"/>
      <c r="K172" s="100"/>
      <c r="L172" s="100"/>
      <c r="M172" s="100"/>
      <c r="N172" s="100"/>
    </row>
    <row r="173" spans="1:14">
      <c r="A173" s="100"/>
      <c r="B173" s="100"/>
      <c r="C173" s="100" t="s">
        <v>888</v>
      </c>
      <c r="D173" s="100"/>
      <c r="E173" s="100"/>
      <c r="F173" s="100"/>
      <c r="G173" s="241"/>
      <c r="H173" s="129"/>
      <c r="I173" s="129"/>
      <c r="J173" s="128"/>
      <c r="K173" s="100"/>
      <c r="L173" s="100"/>
      <c r="M173" s="100"/>
      <c r="N173" s="100"/>
    </row>
    <row r="174" spans="1:14">
      <c r="A174" s="100"/>
      <c r="B174" s="100"/>
      <c r="C174" s="100" t="s">
        <v>888</v>
      </c>
      <c r="D174" s="100"/>
      <c r="E174" s="100"/>
      <c r="F174" s="100"/>
      <c r="G174" s="241"/>
      <c r="H174" s="129"/>
      <c r="I174" s="129"/>
      <c r="J174" s="128"/>
      <c r="K174" s="100"/>
      <c r="L174" s="100"/>
      <c r="M174" s="100"/>
      <c r="N174" s="100"/>
    </row>
    <row r="175" spans="1:14">
      <c r="A175" s="100"/>
      <c r="B175" s="100"/>
      <c r="C175" s="100" t="s">
        <v>888</v>
      </c>
      <c r="D175" s="100"/>
      <c r="E175" s="100"/>
      <c r="F175" s="100"/>
      <c r="G175" s="241"/>
      <c r="H175" s="129"/>
      <c r="I175" s="129"/>
      <c r="J175" s="128"/>
      <c r="K175" s="100"/>
      <c r="L175" s="100"/>
      <c r="M175" s="100"/>
      <c r="N175" s="100"/>
    </row>
    <row r="176" spans="1:14">
      <c r="A176" s="100"/>
      <c r="B176" s="100"/>
      <c r="C176" s="100" t="s">
        <v>888</v>
      </c>
      <c r="D176" s="100"/>
      <c r="E176" s="100"/>
      <c r="F176" s="100"/>
      <c r="G176" s="241"/>
      <c r="H176" s="129"/>
      <c r="I176" s="129"/>
      <c r="J176" s="128"/>
      <c r="K176" s="100"/>
      <c r="L176" s="100"/>
      <c r="M176" s="100"/>
      <c r="N176" s="100"/>
    </row>
    <row r="177" spans="1:14">
      <c r="A177" s="100"/>
      <c r="B177" s="100"/>
      <c r="C177" s="100" t="s">
        <v>888</v>
      </c>
      <c r="D177" s="100"/>
      <c r="E177" s="100"/>
      <c r="F177" s="100"/>
      <c r="G177" s="241"/>
      <c r="H177" s="129"/>
      <c r="I177" s="129"/>
      <c r="J177" s="128"/>
      <c r="K177" s="100"/>
      <c r="L177" s="100"/>
      <c r="M177" s="100"/>
      <c r="N177" s="100"/>
    </row>
    <row r="178" spans="1:14">
      <c r="A178" s="100"/>
      <c r="B178" s="100"/>
      <c r="C178" s="100" t="s">
        <v>888</v>
      </c>
      <c r="D178" s="100"/>
      <c r="E178" s="100"/>
      <c r="F178" s="100"/>
      <c r="G178" s="241"/>
      <c r="H178" s="129"/>
      <c r="I178" s="129"/>
      <c r="J178" s="128"/>
      <c r="K178" s="100"/>
      <c r="L178" s="100"/>
      <c r="M178" s="100"/>
      <c r="N178" s="100"/>
    </row>
    <row r="179" spans="1:14">
      <c r="A179" s="100"/>
      <c r="B179" s="100"/>
      <c r="C179" s="100" t="s">
        <v>888</v>
      </c>
      <c r="D179" s="100"/>
      <c r="E179" s="100"/>
      <c r="F179" s="100"/>
      <c r="G179" s="241"/>
      <c r="H179" s="129"/>
      <c r="I179" s="129"/>
      <c r="J179" s="128"/>
      <c r="K179" s="100"/>
      <c r="L179" s="100"/>
      <c r="M179" s="100"/>
      <c r="N179" s="100"/>
    </row>
    <row r="180" spans="1:14">
      <c r="A180" s="100"/>
      <c r="B180" s="100"/>
      <c r="C180" s="100" t="s">
        <v>888</v>
      </c>
      <c r="D180" s="100"/>
      <c r="E180" s="100"/>
      <c r="F180" s="100"/>
      <c r="G180" s="241"/>
      <c r="H180" s="129"/>
      <c r="I180" s="129"/>
      <c r="J180" s="128"/>
      <c r="K180" s="100"/>
      <c r="L180" s="100"/>
      <c r="M180" s="100"/>
      <c r="N180" s="100"/>
    </row>
    <row r="181" spans="1:14">
      <c r="A181" s="100"/>
      <c r="B181" s="100"/>
      <c r="C181" s="100" t="s">
        <v>888</v>
      </c>
      <c r="D181" s="100"/>
      <c r="E181" s="100"/>
      <c r="F181" s="100"/>
      <c r="G181" s="241"/>
      <c r="H181" s="129"/>
      <c r="I181" s="129"/>
      <c r="J181" s="128"/>
      <c r="K181" s="100"/>
      <c r="L181" s="100"/>
      <c r="M181" s="100"/>
      <c r="N181" s="100"/>
    </row>
    <row r="182" spans="1:14">
      <c r="A182" s="100"/>
      <c r="B182" s="100"/>
      <c r="C182" s="100" t="s">
        <v>888</v>
      </c>
      <c r="D182" s="100"/>
      <c r="E182" s="100"/>
      <c r="F182" s="100"/>
      <c r="G182" s="241"/>
      <c r="H182" s="129"/>
      <c r="I182" s="129"/>
      <c r="J182" s="128"/>
      <c r="K182" s="100"/>
      <c r="L182" s="100"/>
      <c r="M182" s="100"/>
      <c r="N182" s="100"/>
    </row>
    <row r="183" spans="1:14">
      <c r="A183" s="100"/>
      <c r="B183" s="100"/>
      <c r="C183" s="100" t="s">
        <v>888</v>
      </c>
      <c r="D183" s="100"/>
      <c r="E183" s="100"/>
      <c r="F183" s="100"/>
      <c r="G183" s="241"/>
      <c r="H183" s="129"/>
      <c r="I183" s="129"/>
      <c r="J183" s="128"/>
      <c r="K183" s="100"/>
      <c r="L183" s="100"/>
      <c r="M183" s="100"/>
      <c r="N183" s="100"/>
    </row>
    <row r="184" spans="1:14">
      <c r="A184" s="100"/>
      <c r="B184" s="100"/>
      <c r="C184" s="100" t="s">
        <v>888</v>
      </c>
      <c r="D184" s="100"/>
      <c r="E184" s="100"/>
      <c r="F184" s="100"/>
      <c r="G184" s="241"/>
      <c r="H184" s="129"/>
      <c r="I184" s="129"/>
      <c r="J184" s="128"/>
      <c r="K184" s="100"/>
      <c r="L184" s="100"/>
      <c r="M184" s="100"/>
      <c r="N184" s="100"/>
    </row>
    <row r="185" spans="1:14">
      <c r="A185" s="100"/>
      <c r="B185" s="100"/>
      <c r="C185" s="100" t="s">
        <v>888</v>
      </c>
      <c r="D185" s="100"/>
      <c r="E185" s="100"/>
      <c r="F185" s="100"/>
      <c r="G185" s="241"/>
      <c r="H185" s="129"/>
      <c r="I185" s="129"/>
      <c r="J185" s="128"/>
      <c r="K185" s="100"/>
      <c r="L185" s="100"/>
      <c r="M185" s="100"/>
      <c r="N185" s="100"/>
    </row>
    <row r="186" spans="1:14">
      <c r="A186" s="100"/>
      <c r="B186" s="100"/>
      <c r="C186" s="100" t="s">
        <v>888</v>
      </c>
      <c r="D186" s="100"/>
      <c r="E186" s="100"/>
      <c r="F186" s="100"/>
      <c r="G186" s="241"/>
      <c r="H186" s="129"/>
      <c r="I186" s="129"/>
      <c r="J186" s="128"/>
      <c r="K186" s="100"/>
      <c r="L186" s="100"/>
      <c r="M186" s="100"/>
      <c r="N186" s="100"/>
    </row>
    <row r="187" spans="1:14">
      <c r="A187" s="100"/>
      <c r="B187" s="100"/>
      <c r="C187" s="100" t="s">
        <v>888</v>
      </c>
      <c r="D187" s="100"/>
      <c r="E187" s="100"/>
      <c r="F187" s="100"/>
      <c r="G187" s="241"/>
      <c r="H187" s="129"/>
      <c r="I187" s="129"/>
      <c r="J187" s="128"/>
      <c r="K187" s="100"/>
      <c r="L187" s="100"/>
      <c r="M187" s="100"/>
      <c r="N187" s="100"/>
    </row>
    <row r="188" spans="1:14">
      <c r="A188" s="100"/>
      <c r="B188" s="100"/>
      <c r="C188" s="100" t="s">
        <v>888</v>
      </c>
      <c r="D188" s="100"/>
      <c r="E188" s="100"/>
      <c r="F188" s="100"/>
      <c r="G188" s="241"/>
      <c r="H188" s="129"/>
      <c r="I188" s="129"/>
      <c r="J188" s="128"/>
      <c r="K188" s="100"/>
      <c r="L188" s="100"/>
      <c r="M188" s="100"/>
      <c r="N188" s="100"/>
    </row>
    <row r="189" spans="1:14">
      <c r="A189" s="100"/>
      <c r="B189" s="100"/>
      <c r="C189" s="100" t="s">
        <v>888</v>
      </c>
      <c r="D189" s="100"/>
      <c r="E189" s="100"/>
      <c r="F189" s="100"/>
      <c r="G189" s="241"/>
      <c r="H189" s="129"/>
      <c r="I189" s="129"/>
      <c r="J189" s="128"/>
      <c r="K189" s="100"/>
      <c r="L189" s="100"/>
      <c r="M189" s="100"/>
      <c r="N189" s="100"/>
    </row>
    <row r="190" spans="1:14">
      <c r="A190" s="100"/>
      <c r="B190" s="100"/>
      <c r="C190" s="100" t="s">
        <v>888</v>
      </c>
      <c r="D190" s="100"/>
      <c r="E190" s="100"/>
      <c r="F190" s="100"/>
      <c r="G190" s="241"/>
      <c r="H190" s="129"/>
      <c r="I190" s="129"/>
      <c r="J190" s="128"/>
      <c r="K190" s="100"/>
      <c r="L190" s="100"/>
      <c r="M190" s="100"/>
      <c r="N190" s="100"/>
    </row>
    <row r="191" spans="1:14">
      <c r="A191" s="100"/>
      <c r="B191" s="100"/>
      <c r="C191" s="100" t="s">
        <v>888</v>
      </c>
      <c r="D191" s="100"/>
      <c r="E191" s="100"/>
      <c r="F191" s="100"/>
      <c r="G191" s="241"/>
      <c r="H191" s="129"/>
      <c r="I191" s="129"/>
      <c r="J191" s="128"/>
      <c r="K191" s="100"/>
      <c r="L191" s="100"/>
      <c r="M191" s="100"/>
      <c r="N191" s="100"/>
    </row>
    <row r="192" spans="1:14">
      <c r="A192" s="100"/>
      <c r="B192" s="100"/>
      <c r="C192" s="100" t="s">
        <v>888</v>
      </c>
      <c r="D192" s="100"/>
      <c r="E192" s="100"/>
      <c r="F192" s="100"/>
      <c r="G192" s="241"/>
      <c r="H192" s="129"/>
      <c r="I192" s="129"/>
      <c r="J192" s="128"/>
      <c r="K192" s="100"/>
      <c r="L192" s="100"/>
      <c r="M192" s="100"/>
      <c r="N192" s="100"/>
    </row>
    <row r="193" spans="1:14">
      <c r="A193" s="100"/>
      <c r="B193" s="100"/>
      <c r="C193" s="100" t="s">
        <v>888</v>
      </c>
      <c r="D193" s="100"/>
      <c r="E193" s="100"/>
      <c r="F193" s="100"/>
      <c r="G193" s="241"/>
      <c r="H193" s="129"/>
      <c r="I193" s="129"/>
      <c r="J193" s="128"/>
      <c r="K193" s="100"/>
      <c r="L193" s="100"/>
      <c r="M193" s="100"/>
      <c r="N193" s="100"/>
    </row>
    <row r="194" spans="1:14">
      <c r="A194" s="100"/>
      <c r="B194" s="100"/>
      <c r="C194" s="100" t="s">
        <v>888</v>
      </c>
      <c r="D194" s="100"/>
      <c r="E194" s="100"/>
      <c r="F194" s="100"/>
      <c r="G194" s="241"/>
      <c r="H194" s="129"/>
      <c r="I194" s="129"/>
      <c r="J194" s="128"/>
      <c r="K194" s="100"/>
      <c r="L194" s="100"/>
      <c r="M194" s="100"/>
      <c r="N194" s="100"/>
    </row>
    <row r="195" spans="1:14">
      <c r="A195" s="100"/>
      <c r="B195" s="100"/>
      <c r="C195" s="100" t="s">
        <v>888</v>
      </c>
      <c r="D195" s="100"/>
      <c r="E195" s="100"/>
      <c r="F195" s="100"/>
      <c r="G195" s="241"/>
      <c r="H195" s="129"/>
      <c r="I195" s="129"/>
      <c r="J195" s="128"/>
      <c r="K195" s="100"/>
      <c r="L195" s="100"/>
      <c r="M195" s="100"/>
      <c r="N195" s="100"/>
    </row>
    <row r="196" spans="1:14">
      <c r="A196" s="100"/>
      <c r="B196" s="100"/>
      <c r="C196" s="100" t="s">
        <v>888</v>
      </c>
      <c r="D196" s="100"/>
      <c r="E196" s="100"/>
      <c r="F196" s="100"/>
      <c r="G196" s="241"/>
      <c r="H196" s="129"/>
      <c r="I196" s="129"/>
      <c r="J196" s="128"/>
      <c r="K196" s="100"/>
      <c r="L196" s="100"/>
      <c r="M196" s="100"/>
      <c r="N196" s="100"/>
    </row>
    <row r="197" spans="1:14">
      <c r="A197" s="100"/>
      <c r="B197" s="100"/>
      <c r="C197" s="100" t="s">
        <v>888</v>
      </c>
      <c r="D197" s="100"/>
      <c r="E197" s="100"/>
      <c r="F197" s="100"/>
      <c r="G197" s="241"/>
      <c r="H197" s="129"/>
      <c r="I197" s="129"/>
      <c r="J197" s="128"/>
      <c r="K197" s="100"/>
      <c r="L197" s="100"/>
      <c r="M197" s="100"/>
      <c r="N197" s="100"/>
    </row>
    <row r="198" spans="1:14">
      <c r="A198" s="100"/>
      <c r="B198" s="100"/>
      <c r="C198" s="100" t="s">
        <v>888</v>
      </c>
      <c r="D198" s="100"/>
      <c r="E198" s="100"/>
      <c r="F198" s="100"/>
      <c r="G198" s="241"/>
      <c r="H198" s="129"/>
      <c r="I198" s="129"/>
      <c r="J198" s="128"/>
      <c r="K198" s="100"/>
      <c r="L198" s="100"/>
      <c r="M198" s="100"/>
      <c r="N198" s="100"/>
    </row>
    <row r="199" spans="1:14">
      <c r="A199" s="100"/>
      <c r="B199" s="100"/>
      <c r="C199" s="100" t="s">
        <v>888</v>
      </c>
      <c r="D199" s="100"/>
      <c r="E199" s="100"/>
      <c r="F199" s="100"/>
      <c r="G199" s="241"/>
      <c r="H199" s="129"/>
      <c r="I199" s="129"/>
      <c r="J199" s="128"/>
      <c r="K199" s="100"/>
      <c r="L199" s="100"/>
      <c r="M199" s="100"/>
      <c r="N199" s="100"/>
    </row>
    <row r="200" spans="1:14">
      <c r="A200" s="100"/>
      <c r="B200" s="100"/>
      <c r="C200" s="100" t="s">
        <v>888</v>
      </c>
      <c r="D200" s="100"/>
      <c r="E200" s="100"/>
      <c r="F200" s="100"/>
      <c r="G200" s="241"/>
      <c r="H200" s="129"/>
      <c r="I200" s="129"/>
      <c r="J200" s="128"/>
      <c r="K200" s="100"/>
      <c r="L200" s="100"/>
      <c r="M200" s="100"/>
      <c r="N200" s="100"/>
    </row>
    <row r="201" spans="1:14">
      <c r="A201" s="100"/>
      <c r="B201" s="100"/>
      <c r="C201" s="100" t="s">
        <v>888</v>
      </c>
      <c r="D201" s="100"/>
      <c r="E201" s="100"/>
      <c r="F201" s="100"/>
      <c r="G201" s="241"/>
      <c r="H201" s="129"/>
      <c r="I201" s="129"/>
      <c r="J201" s="128"/>
      <c r="K201" s="100"/>
      <c r="L201" s="100"/>
      <c r="M201" s="100"/>
      <c r="N201" s="100"/>
    </row>
  </sheetData>
  <autoFilter ref="A1:N201" xr:uid="{22F330E3-ECCB-4B02-AB28-C1970BAEB162}">
    <sortState xmlns:xlrd2="http://schemas.microsoft.com/office/spreadsheetml/2017/richdata2" ref="A2:N201">
      <sortCondition ref="D1:D201"/>
    </sortState>
  </autoFilter>
  <phoneticPr fontId="16" type="noConversion"/>
  <dataValidations disablePrompts="1" count="2">
    <dataValidation allowBlank="1" showInputMessage="1" showErrorMessage="1" errorTitle="Invalid Date Format" error="Please click Retry Button_x000a_Correct Date format dd/mm/yyyy" sqref="J1" xr:uid="{DC484779-6210-48B1-B10D-0ABB1AA04BFF}"/>
    <dataValidation type="date" allowBlank="1" showInputMessage="1" showErrorMessage="1" errorTitle="Invalid date format" error="Please click Retry Button_x000a_Correct Date format dd/mm/yyyy" sqref="A1" xr:uid="{FBF12BD8-87A4-4A60-BAFE-2C73C8243EFD}">
      <formula1>41640</formula1>
      <formula2>767376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38A7B-AA82-4E92-92A0-18DD08676FD3}">
  <dimension ref="A1:N243"/>
  <sheetViews>
    <sheetView tabSelected="1" topLeftCell="A64" workbookViewId="0">
      <selection activeCell="E28" sqref="E28"/>
    </sheetView>
  </sheetViews>
  <sheetFormatPr defaultRowHeight="15"/>
  <cols>
    <col min="1" max="4" width="20.5703125" customWidth="1"/>
    <col min="5" max="5" width="31.140625" bestFit="1" customWidth="1"/>
    <col min="6" max="6" width="50.42578125" bestFit="1" customWidth="1"/>
    <col min="7" max="12" width="20.5703125" customWidth="1"/>
    <col min="13" max="13" width="24.28515625" bestFit="1" customWidth="1"/>
    <col min="14" max="17" width="20.5703125" customWidth="1"/>
  </cols>
  <sheetData>
    <row r="1" spans="1:14" s="131" customFormat="1" ht="76.5" customHeight="1">
      <c r="A1" s="131" t="s">
        <v>0</v>
      </c>
      <c r="B1" s="131" t="s">
        <v>696</v>
      </c>
      <c r="C1" s="131" t="s">
        <v>1</v>
      </c>
      <c r="D1" s="131" t="s">
        <v>2</v>
      </c>
      <c r="E1" s="131" t="s">
        <v>3</v>
      </c>
      <c r="F1" s="131" t="s">
        <v>82</v>
      </c>
      <c r="G1" s="240" t="s">
        <v>4</v>
      </c>
      <c r="H1" s="132" t="s">
        <v>695</v>
      </c>
      <c r="I1" s="132" t="s">
        <v>7</v>
      </c>
      <c r="J1" s="133" t="s">
        <v>16</v>
      </c>
      <c r="K1" s="133" t="s">
        <v>81</v>
      </c>
      <c r="L1" s="133" t="s">
        <v>930</v>
      </c>
      <c r="M1" s="131" t="s">
        <v>241</v>
      </c>
      <c r="N1" s="131" t="s">
        <v>17</v>
      </c>
    </row>
    <row r="2" spans="1:14" ht="13.5" customHeight="1">
      <c r="A2" s="128">
        <v>45673</v>
      </c>
      <c r="B2" s="100" t="s">
        <v>887</v>
      </c>
      <c r="C2" s="100" t="s">
        <v>888</v>
      </c>
      <c r="D2" s="100" t="s">
        <v>889</v>
      </c>
      <c r="E2" s="100" t="s">
        <v>890</v>
      </c>
      <c r="F2" s="100" t="s">
        <v>891</v>
      </c>
      <c r="G2" s="241" t="s">
        <v>937</v>
      </c>
      <c r="H2" s="129">
        <v>3682097.66</v>
      </c>
      <c r="I2" s="129"/>
      <c r="J2" s="128">
        <v>45698</v>
      </c>
      <c r="K2" s="100" t="s">
        <v>925</v>
      </c>
      <c r="L2" s="100" t="s">
        <v>931</v>
      </c>
      <c r="M2" s="100" t="s">
        <v>924</v>
      </c>
      <c r="N2" s="100" t="s">
        <v>694</v>
      </c>
    </row>
    <row r="3" spans="1:14">
      <c r="A3" s="128">
        <v>45673</v>
      </c>
      <c r="B3" s="100" t="s">
        <v>926</v>
      </c>
      <c r="C3" s="100" t="s">
        <v>888</v>
      </c>
      <c r="D3" s="100" t="s">
        <v>927</v>
      </c>
      <c r="E3" s="100" t="s">
        <v>890</v>
      </c>
      <c r="F3" s="100" t="s">
        <v>928</v>
      </c>
      <c r="G3" s="241" t="s">
        <v>938</v>
      </c>
      <c r="H3" s="129">
        <v>969074.26</v>
      </c>
      <c r="I3" s="129"/>
      <c r="J3" s="128">
        <v>45717</v>
      </c>
      <c r="K3" s="100" t="s">
        <v>925</v>
      </c>
      <c r="L3" s="100" t="s">
        <v>931</v>
      </c>
      <c r="M3" s="100" t="s">
        <v>929</v>
      </c>
      <c r="N3" s="100" t="s">
        <v>694</v>
      </c>
    </row>
    <row r="4" spans="1:14">
      <c r="A4" s="128">
        <v>45673</v>
      </c>
      <c r="B4" s="100" t="s">
        <v>977</v>
      </c>
      <c r="C4" s="100" t="s">
        <v>888</v>
      </c>
      <c r="D4" s="100" t="s">
        <v>978</v>
      </c>
      <c r="E4" s="100" t="s">
        <v>979</v>
      </c>
      <c r="F4" s="100" t="s">
        <v>980</v>
      </c>
      <c r="G4" s="241" t="s">
        <v>981</v>
      </c>
      <c r="H4" s="129">
        <v>61700</v>
      </c>
      <c r="I4" s="129"/>
      <c r="J4" s="128">
        <v>45689</v>
      </c>
      <c r="K4" s="100"/>
      <c r="L4" s="100"/>
      <c r="M4" s="100" t="s">
        <v>939</v>
      </c>
      <c r="N4" s="100" t="s">
        <v>694</v>
      </c>
    </row>
    <row r="5" spans="1:14">
      <c r="A5" s="128">
        <v>45673</v>
      </c>
      <c r="B5" s="100" t="s">
        <v>990</v>
      </c>
      <c r="C5" s="100" t="s">
        <v>888</v>
      </c>
      <c r="D5" s="100" t="s">
        <v>991</v>
      </c>
      <c r="E5" s="100" t="s">
        <v>992</v>
      </c>
      <c r="F5" s="100" t="s">
        <v>993</v>
      </c>
      <c r="G5" s="241"/>
      <c r="H5" s="129">
        <v>253500</v>
      </c>
      <c r="I5" s="129"/>
      <c r="J5" s="128">
        <v>45698</v>
      </c>
      <c r="K5" s="100"/>
      <c r="L5" s="100"/>
      <c r="M5" s="100" t="s">
        <v>939</v>
      </c>
      <c r="N5" s="100" t="s">
        <v>694</v>
      </c>
    </row>
    <row r="6" spans="1:14">
      <c r="A6" s="128">
        <v>45678</v>
      </c>
      <c r="B6" s="100" t="s">
        <v>932</v>
      </c>
      <c r="C6" s="100" t="s">
        <v>888</v>
      </c>
      <c r="D6" s="100" t="s">
        <v>933</v>
      </c>
      <c r="E6" s="100" t="s">
        <v>934</v>
      </c>
      <c r="F6" s="100" t="s">
        <v>935</v>
      </c>
      <c r="G6" s="241" t="s">
        <v>936</v>
      </c>
      <c r="H6" s="129">
        <v>294360</v>
      </c>
      <c r="I6" s="129"/>
      <c r="J6" s="128">
        <v>45689</v>
      </c>
      <c r="K6" s="100" t="s">
        <v>925</v>
      </c>
      <c r="L6" s="100"/>
      <c r="M6" s="100" t="s">
        <v>939</v>
      </c>
      <c r="N6" s="100" t="s">
        <v>694</v>
      </c>
    </row>
    <row r="7" spans="1:14">
      <c r="A7" s="128">
        <v>45678</v>
      </c>
      <c r="B7" s="100" t="s">
        <v>945</v>
      </c>
      <c r="C7" s="100" t="s">
        <v>888</v>
      </c>
      <c r="D7" s="100" t="s">
        <v>946</v>
      </c>
      <c r="E7" s="100" t="s">
        <v>947</v>
      </c>
      <c r="F7" s="100" t="s">
        <v>948</v>
      </c>
      <c r="G7" s="241" t="s">
        <v>949</v>
      </c>
      <c r="H7" s="129">
        <v>412500</v>
      </c>
      <c r="I7" s="129"/>
      <c r="J7" s="128">
        <v>45717</v>
      </c>
      <c r="K7" s="100"/>
      <c r="L7" s="100"/>
      <c r="M7" s="100" t="s">
        <v>939</v>
      </c>
      <c r="N7" s="100" t="s">
        <v>694</v>
      </c>
    </row>
    <row r="8" spans="1:14">
      <c r="A8" s="128">
        <v>45678</v>
      </c>
      <c r="B8" s="100" t="s">
        <v>950</v>
      </c>
      <c r="C8" s="100" t="s">
        <v>888</v>
      </c>
      <c r="D8" s="100" t="s">
        <v>951</v>
      </c>
      <c r="E8" s="100" t="s">
        <v>942</v>
      </c>
      <c r="F8" s="100" t="s">
        <v>943</v>
      </c>
      <c r="G8" s="241" t="s">
        <v>952</v>
      </c>
      <c r="H8" s="129">
        <v>138000</v>
      </c>
      <c r="I8" s="129"/>
      <c r="J8" s="128">
        <v>45717</v>
      </c>
      <c r="K8" s="100"/>
      <c r="L8" s="100"/>
      <c r="M8" s="100" t="s">
        <v>939</v>
      </c>
      <c r="N8" s="100" t="s">
        <v>694</v>
      </c>
    </row>
    <row r="9" spans="1:14">
      <c r="A9" s="128">
        <v>45678</v>
      </c>
      <c r="B9" s="100" t="s">
        <v>967</v>
      </c>
      <c r="C9" s="100" t="s">
        <v>888</v>
      </c>
      <c r="D9" s="100" t="s">
        <v>968</v>
      </c>
      <c r="E9" s="100" t="s">
        <v>969</v>
      </c>
      <c r="F9" s="100" t="s">
        <v>970</v>
      </c>
      <c r="G9" s="241" t="s">
        <v>971</v>
      </c>
      <c r="H9" s="129">
        <v>12500</v>
      </c>
      <c r="I9" s="129"/>
      <c r="J9" s="128">
        <v>45717</v>
      </c>
      <c r="K9" s="100"/>
      <c r="L9" s="100"/>
      <c r="M9" s="100" t="s">
        <v>939</v>
      </c>
      <c r="N9" s="100" t="s">
        <v>694</v>
      </c>
    </row>
    <row r="10" spans="1:14">
      <c r="A10" s="128">
        <v>45678</v>
      </c>
      <c r="B10" s="100" t="s">
        <v>972</v>
      </c>
      <c r="C10" s="100" t="s">
        <v>888</v>
      </c>
      <c r="D10" s="100" t="s">
        <v>973</v>
      </c>
      <c r="E10" s="100" t="s">
        <v>974</v>
      </c>
      <c r="F10" s="100" t="s">
        <v>975</v>
      </c>
      <c r="G10" s="241" t="s">
        <v>976</v>
      </c>
      <c r="H10" s="129">
        <v>123000</v>
      </c>
      <c r="I10" s="129"/>
      <c r="J10" s="128">
        <v>45717</v>
      </c>
      <c r="K10" s="100"/>
      <c r="L10" s="100"/>
      <c r="M10" s="100" t="s">
        <v>939</v>
      </c>
      <c r="N10" s="100" t="s">
        <v>694</v>
      </c>
    </row>
    <row r="11" spans="1:14" ht="60">
      <c r="A11" s="128">
        <v>45678</v>
      </c>
      <c r="B11" s="100" t="s">
        <v>962</v>
      </c>
      <c r="C11" s="100" t="s">
        <v>888</v>
      </c>
      <c r="D11" s="100" t="s">
        <v>963</v>
      </c>
      <c r="E11" s="100" t="s">
        <v>964</v>
      </c>
      <c r="F11" s="130" t="s">
        <v>965</v>
      </c>
      <c r="G11" s="242" t="s">
        <v>966</v>
      </c>
      <c r="H11" s="129">
        <v>39225</v>
      </c>
      <c r="I11" s="129"/>
      <c r="J11" s="128">
        <v>45717</v>
      </c>
      <c r="K11" s="100"/>
      <c r="L11" s="100"/>
      <c r="M11" s="100" t="s">
        <v>939</v>
      </c>
      <c r="N11" s="100" t="s">
        <v>694</v>
      </c>
    </row>
    <row r="12" spans="1:14">
      <c r="A12" s="128">
        <v>45678</v>
      </c>
      <c r="B12" s="100" t="s">
        <v>999</v>
      </c>
      <c r="C12" s="100" t="s">
        <v>888</v>
      </c>
      <c r="D12" s="100" t="s">
        <v>1000</v>
      </c>
      <c r="E12" s="100" t="s">
        <v>1001</v>
      </c>
      <c r="F12" s="130" t="s">
        <v>989</v>
      </c>
      <c r="G12" s="242">
        <v>9547</v>
      </c>
      <c r="H12" s="129">
        <v>142250.29999999999</v>
      </c>
      <c r="I12" s="129"/>
      <c r="J12" s="128">
        <v>45700</v>
      </c>
      <c r="K12" s="100"/>
      <c r="L12" s="100"/>
      <c r="M12" s="100" t="s">
        <v>939</v>
      </c>
      <c r="N12" s="100" t="s">
        <v>694</v>
      </c>
    </row>
    <row r="13" spans="1:14" ht="45">
      <c r="A13" s="128">
        <v>45678</v>
      </c>
      <c r="B13" s="100" t="s">
        <v>982</v>
      </c>
      <c r="C13" s="100" t="s">
        <v>888</v>
      </c>
      <c r="D13" s="100" t="s">
        <v>983</v>
      </c>
      <c r="E13" s="100" t="s">
        <v>979</v>
      </c>
      <c r="F13" s="130" t="s">
        <v>984</v>
      </c>
      <c r="G13" s="242" t="s">
        <v>985</v>
      </c>
      <c r="H13" s="129">
        <v>130100</v>
      </c>
      <c r="I13" s="129"/>
      <c r="J13" s="128">
        <v>45717</v>
      </c>
      <c r="K13" s="100"/>
      <c r="L13" s="100"/>
      <c r="M13" s="100" t="s">
        <v>939</v>
      </c>
      <c r="N13" s="100" t="s">
        <v>694</v>
      </c>
    </row>
    <row r="14" spans="1:14">
      <c r="A14" s="128">
        <v>45680</v>
      </c>
      <c r="B14" s="100" t="s">
        <v>1002</v>
      </c>
      <c r="C14" s="100" t="s">
        <v>888</v>
      </c>
      <c r="D14" s="100" t="s">
        <v>1003</v>
      </c>
      <c r="E14" s="100" t="s">
        <v>1001</v>
      </c>
      <c r="F14" s="130" t="s">
        <v>989</v>
      </c>
      <c r="G14" s="242">
        <v>9547</v>
      </c>
      <c r="H14" s="129">
        <v>142250.29999999999</v>
      </c>
      <c r="I14" s="129"/>
      <c r="J14" s="128">
        <v>45692</v>
      </c>
      <c r="K14" s="100"/>
      <c r="L14" s="100"/>
      <c r="M14" s="100" t="s">
        <v>939</v>
      </c>
      <c r="N14" s="100" t="s">
        <v>694</v>
      </c>
    </row>
    <row r="15" spans="1:14">
      <c r="A15" s="128">
        <v>45680</v>
      </c>
      <c r="B15" s="100" t="s">
        <v>986</v>
      </c>
      <c r="C15" s="100" t="s">
        <v>888</v>
      </c>
      <c r="D15" s="100" t="s">
        <v>987</v>
      </c>
      <c r="E15" s="100" t="s">
        <v>988</v>
      </c>
      <c r="F15" s="130" t="s">
        <v>989</v>
      </c>
      <c r="G15" s="242">
        <v>9547</v>
      </c>
      <c r="H15" s="129">
        <v>358012.5</v>
      </c>
      <c r="I15" s="129"/>
      <c r="J15" s="128">
        <v>45706</v>
      </c>
      <c r="K15" s="100"/>
      <c r="L15" s="100"/>
      <c r="M15" s="100" t="s">
        <v>939</v>
      </c>
      <c r="N15" s="100" t="s">
        <v>694</v>
      </c>
    </row>
    <row r="16" spans="1:14">
      <c r="A16" s="128">
        <v>45681</v>
      </c>
      <c r="B16" s="100" t="s">
        <v>1004</v>
      </c>
      <c r="C16" s="100" t="s">
        <v>888</v>
      </c>
      <c r="D16" s="100" t="s">
        <v>1005</v>
      </c>
      <c r="E16" s="100" t="s">
        <v>1001</v>
      </c>
      <c r="F16" s="130" t="s">
        <v>989</v>
      </c>
      <c r="G16" s="242">
        <v>9547</v>
      </c>
      <c r="H16" s="129">
        <v>142250.29999999999</v>
      </c>
      <c r="I16" s="129"/>
      <c r="J16" s="128">
        <v>45720</v>
      </c>
      <c r="K16" s="100"/>
      <c r="L16" s="100"/>
      <c r="M16" s="100" t="s">
        <v>939</v>
      </c>
      <c r="N16" s="100" t="s">
        <v>694</v>
      </c>
    </row>
    <row r="17" spans="1:14" ht="30">
      <c r="A17" s="128">
        <v>45692</v>
      </c>
      <c r="B17" s="100" t="s">
        <v>958</v>
      </c>
      <c r="C17" s="100" t="s">
        <v>888</v>
      </c>
      <c r="D17" s="100" t="s">
        <v>959</v>
      </c>
      <c r="E17" s="100" t="s">
        <v>955</v>
      </c>
      <c r="F17" s="130" t="s">
        <v>960</v>
      </c>
      <c r="G17" s="242" t="s">
        <v>961</v>
      </c>
      <c r="H17" s="129">
        <v>87000</v>
      </c>
      <c r="I17" s="129"/>
      <c r="J17" s="128">
        <v>45726</v>
      </c>
      <c r="K17" s="100"/>
      <c r="L17" s="100"/>
      <c r="M17" s="100" t="s">
        <v>939</v>
      </c>
      <c r="N17" s="100" t="s">
        <v>27</v>
      </c>
    </row>
    <row r="18" spans="1:14">
      <c r="A18" s="128">
        <v>45698</v>
      </c>
      <c r="B18" s="100" t="s">
        <v>994</v>
      </c>
      <c r="C18" s="100" t="s">
        <v>888</v>
      </c>
      <c r="D18" s="100" t="s">
        <v>995</v>
      </c>
      <c r="E18" s="100" t="s">
        <v>996</v>
      </c>
      <c r="F18" s="130" t="s">
        <v>997</v>
      </c>
      <c r="G18" s="242" t="s">
        <v>998</v>
      </c>
      <c r="H18" s="129">
        <v>22500000</v>
      </c>
      <c r="I18" s="129"/>
      <c r="J18" s="128">
        <v>45700</v>
      </c>
      <c r="K18" s="100"/>
      <c r="L18" s="100"/>
      <c r="M18" s="100" t="s">
        <v>939</v>
      </c>
      <c r="N18" s="100" t="s">
        <v>694</v>
      </c>
    </row>
    <row r="19" spans="1:14" ht="30">
      <c r="A19" s="128">
        <v>45701</v>
      </c>
      <c r="B19" s="100" t="s">
        <v>953</v>
      </c>
      <c r="C19" s="100" t="s">
        <v>888</v>
      </c>
      <c r="D19" s="100" t="s">
        <v>954</v>
      </c>
      <c r="E19" s="100" t="s">
        <v>955</v>
      </c>
      <c r="F19" s="130" t="s">
        <v>956</v>
      </c>
      <c r="G19" s="242" t="s">
        <v>957</v>
      </c>
      <c r="H19" s="129">
        <v>47218</v>
      </c>
      <c r="I19" s="129"/>
      <c r="J19" s="128">
        <v>45717</v>
      </c>
      <c r="K19" s="100"/>
      <c r="L19" s="100"/>
      <c r="M19" s="100" t="s">
        <v>939</v>
      </c>
      <c r="N19" s="100" t="s">
        <v>694</v>
      </c>
    </row>
    <row r="20" spans="1:14">
      <c r="A20" s="128">
        <v>45705</v>
      </c>
      <c r="B20" s="100" t="s">
        <v>1680</v>
      </c>
      <c r="C20" s="100" t="s">
        <v>888</v>
      </c>
      <c r="D20" s="100" t="s">
        <v>1681</v>
      </c>
      <c r="E20" s="100" t="s">
        <v>1682</v>
      </c>
      <c r="F20" s="130" t="s">
        <v>1683</v>
      </c>
      <c r="G20" s="242">
        <v>100000</v>
      </c>
      <c r="H20" s="129">
        <v>50000</v>
      </c>
      <c r="I20" s="129"/>
      <c r="J20" s="128">
        <v>45717</v>
      </c>
      <c r="K20" s="100"/>
      <c r="L20" s="100"/>
      <c r="M20" s="100" t="s">
        <v>939</v>
      </c>
      <c r="N20" s="100" t="s">
        <v>694</v>
      </c>
    </row>
    <row r="21" spans="1:14" ht="45">
      <c r="A21" s="128">
        <v>45709</v>
      </c>
      <c r="B21" s="100" t="s">
        <v>1527</v>
      </c>
      <c r="C21" s="100" t="s">
        <v>888</v>
      </c>
      <c r="D21" s="100" t="s">
        <v>1528</v>
      </c>
      <c r="E21" s="100" t="s">
        <v>979</v>
      </c>
      <c r="F21" s="130" t="s">
        <v>1529</v>
      </c>
      <c r="G21" s="242" t="s">
        <v>1530</v>
      </c>
      <c r="H21" s="129">
        <v>517000</v>
      </c>
      <c r="I21" s="129"/>
      <c r="J21" s="128">
        <v>45717</v>
      </c>
      <c r="K21" s="100"/>
      <c r="L21" s="100"/>
      <c r="M21" s="100" t="s">
        <v>939</v>
      </c>
      <c r="N21" s="100" t="s">
        <v>694</v>
      </c>
    </row>
    <row r="22" spans="1:14" ht="60">
      <c r="A22" s="128">
        <v>45709</v>
      </c>
      <c r="B22" s="100" t="s">
        <v>1515</v>
      </c>
      <c r="C22" s="100" t="s">
        <v>888</v>
      </c>
      <c r="D22" s="100" t="s">
        <v>1516</v>
      </c>
      <c r="E22" s="100" t="s">
        <v>1517</v>
      </c>
      <c r="F22" s="130" t="s">
        <v>1518</v>
      </c>
      <c r="G22" s="242" t="s">
        <v>1519</v>
      </c>
      <c r="H22" s="129"/>
      <c r="I22" s="129">
        <v>217932.59</v>
      </c>
      <c r="J22" s="128">
        <v>45719</v>
      </c>
      <c r="K22" s="100"/>
      <c r="L22" s="100"/>
      <c r="M22" s="100" t="s">
        <v>939</v>
      </c>
      <c r="N22" s="100" t="s">
        <v>694</v>
      </c>
    </row>
    <row r="23" spans="1:14" ht="30">
      <c r="A23" s="128">
        <v>45709</v>
      </c>
      <c r="B23" s="100" t="s">
        <v>1651</v>
      </c>
      <c r="C23" s="100" t="s">
        <v>888</v>
      </c>
      <c r="D23" s="100" t="s">
        <v>1652</v>
      </c>
      <c r="E23" s="100" t="s">
        <v>1517</v>
      </c>
      <c r="F23" s="130" t="s">
        <v>1653</v>
      </c>
      <c r="G23" s="242" t="s">
        <v>1654</v>
      </c>
      <c r="H23" s="129"/>
      <c r="I23" s="129">
        <v>12427.8</v>
      </c>
      <c r="J23" s="128">
        <v>45719</v>
      </c>
      <c r="K23" s="100"/>
      <c r="L23" s="100"/>
      <c r="M23" s="100" t="s">
        <v>939</v>
      </c>
      <c r="N23" s="100" t="s">
        <v>694</v>
      </c>
    </row>
    <row r="24" spans="1:14">
      <c r="A24" s="128">
        <v>45709</v>
      </c>
      <c r="B24" s="100" t="s">
        <v>1655</v>
      </c>
      <c r="C24" s="100" t="s">
        <v>888</v>
      </c>
      <c r="D24" s="100" t="s">
        <v>1656</v>
      </c>
      <c r="E24" s="100" t="s">
        <v>890</v>
      </c>
      <c r="F24" s="130" t="s">
        <v>1657</v>
      </c>
      <c r="G24" s="242">
        <v>198240</v>
      </c>
      <c r="H24" s="129">
        <v>781150.84</v>
      </c>
      <c r="I24" s="129"/>
      <c r="J24" s="128"/>
      <c r="K24" s="100"/>
      <c r="L24" s="100"/>
      <c r="M24" s="100" t="s">
        <v>939</v>
      </c>
      <c r="N24" s="100" t="s">
        <v>694</v>
      </c>
    </row>
    <row r="25" spans="1:14" ht="60">
      <c r="A25" s="141">
        <v>45712</v>
      </c>
      <c r="B25" s="142" t="s">
        <v>1079</v>
      </c>
      <c r="C25" s="142" t="s">
        <v>888</v>
      </c>
      <c r="D25" s="142" t="s">
        <v>1080</v>
      </c>
      <c r="E25" s="142" t="s">
        <v>969</v>
      </c>
      <c r="F25" s="130" t="s">
        <v>1081</v>
      </c>
      <c r="G25" s="242" t="s">
        <v>1086</v>
      </c>
      <c r="H25" s="140">
        <v>114137.5</v>
      </c>
      <c r="I25" s="140"/>
      <c r="J25" s="141">
        <v>45748</v>
      </c>
      <c r="K25" s="142" t="s">
        <v>1598</v>
      </c>
      <c r="L25" s="100"/>
      <c r="M25" s="142" t="s">
        <v>939</v>
      </c>
      <c r="N25" s="142" t="s">
        <v>24</v>
      </c>
    </row>
    <row r="26" spans="1:14">
      <c r="A26" s="141">
        <v>45712</v>
      </c>
      <c r="B26" s="100" t="s">
        <v>1082</v>
      </c>
      <c r="C26" s="142" t="s">
        <v>888</v>
      </c>
      <c r="D26" s="100" t="s">
        <v>1083</v>
      </c>
      <c r="E26" s="142" t="s">
        <v>969</v>
      </c>
      <c r="F26" s="100" t="s">
        <v>1084</v>
      </c>
      <c r="G26" s="241" t="s">
        <v>1085</v>
      </c>
      <c r="H26" s="129">
        <v>60000</v>
      </c>
      <c r="I26" s="129"/>
      <c r="J26" s="141">
        <v>45719</v>
      </c>
      <c r="K26" s="100" t="s">
        <v>1599</v>
      </c>
      <c r="L26" s="100"/>
      <c r="M26" s="142" t="s">
        <v>939</v>
      </c>
      <c r="N26" s="142" t="s">
        <v>24</v>
      </c>
    </row>
    <row r="27" spans="1:14" ht="45">
      <c r="A27" s="141">
        <v>45712</v>
      </c>
      <c r="B27" s="100" t="s">
        <v>1520</v>
      </c>
      <c r="C27" s="142" t="s">
        <v>888</v>
      </c>
      <c r="D27" s="100" t="s">
        <v>1521</v>
      </c>
      <c r="E27" s="142" t="s">
        <v>942</v>
      </c>
      <c r="F27" s="130" t="s">
        <v>1522</v>
      </c>
      <c r="G27" s="242" t="s">
        <v>1523</v>
      </c>
      <c r="H27" s="129">
        <v>1092000</v>
      </c>
      <c r="I27" s="129"/>
      <c r="J27" s="141"/>
      <c r="K27" s="100"/>
      <c r="L27" s="100"/>
      <c r="M27" s="142" t="s">
        <v>939</v>
      </c>
      <c r="N27" s="142" t="s">
        <v>694</v>
      </c>
    </row>
    <row r="28" spans="1:14" ht="210">
      <c r="A28" s="141">
        <v>45712</v>
      </c>
      <c r="B28" s="100" t="s">
        <v>1524</v>
      </c>
      <c r="C28" s="142" t="s">
        <v>888</v>
      </c>
      <c r="D28" s="100" t="s">
        <v>1525</v>
      </c>
      <c r="E28" s="142" t="s">
        <v>992</v>
      </c>
      <c r="F28" s="130" t="s">
        <v>1526</v>
      </c>
      <c r="G28" s="242"/>
      <c r="H28" s="129">
        <v>1035000</v>
      </c>
      <c r="I28" s="129"/>
      <c r="J28" s="141"/>
      <c r="K28" s="100"/>
      <c r="L28" s="100"/>
      <c r="M28" s="142" t="s">
        <v>939</v>
      </c>
      <c r="N28" s="142" t="s">
        <v>694</v>
      </c>
    </row>
    <row r="29" spans="1:14">
      <c r="A29" s="141">
        <v>45713</v>
      </c>
      <c r="B29" s="100" t="s">
        <v>1671</v>
      </c>
      <c r="C29" s="142" t="s">
        <v>888</v>
      </c>
      <c r="D29" s="100" t="s">
        <v>1672</v>
      </c>
      <c r="E29" s="142" t="s">
        <v>1643</v>
      </c>
      <c r="F29" s="130" t="s">
        <v>1673</v>
      </c>
      <c r="G29" s="241">
        <v>50000</v>
      </c>
      <c r="H29" s="129">
        <v>390000</v>
      </c>
      <c r="I29" s="129"/>
      <c r="J29" s="141"/>
      <c r="K29" s="100"/>
      <c r="L29" s="100"/>
      <c r="M29" s="142" t="s">
        <v>939</v>
      </c>
      <c r="N29" s="142" t="s">
        <v>694</v>
      </c>
    </row>
    <row r="30" spans="1:14" ht="135">
      <c r="A30" s="141">
        <v>45716</v>
      </c>
      <c r="B30" s="100" t="s">
        <v>1512</v>
      </c>
      <c r="C30" s="142" t="s">
        <v>888</v>
      </c>
      <c r="D30" s="100" t="s">
        <v>1513</v>
      </c>
      <c r="E30" s="142" t="s">
        <v>955</v>
      </c>
      <c r="F30" s="130" t="s">
        <v>1514</v>
      </c>
      <c r="G30" s="241"/>
      <c r="H30" s="129">
        <v>358625</v>
      </c>
      <c r="I30" s="129"/>
      <c r="J30" s="141">
        <v>45733</v>
      </c>
      <c r="K30" s="100"/>
      <c r="L30" s="100"/>
      <c r="M30" s="142" t="s">
        <v>939</v>
      </c>
      <c r="N30" s="142" t="s">
        <v>694</v>
      </c>
    </row>
    <row r="31" spans="1:14">
      <c r="A31" s="141">
        <v>45719</v>
      </c>
      <c r="B31" s="100" t="s">
        <v>1674</v>
      </c>
      <c r="C31" s="142" t="s">
        <v>888</v>
      </c>
      <c r="D31" s="100" t="s">
        <v>1675</v>
      </c>
      <c r="E31" s="142" t="s">
        <v>979</v>
      </c>
      <c r="F31" s="130" t="s">
        <v>1676</v>
      </c>
      <c r="G31" s="241">
        <v>5000</v>
      </c>
      <c r="H31" s="129">
        <v>27500</v>
      </c>
      <c r="I31" s="129"/>
      <c r="J31" s="141">
        <v>45748</v>
      </c>
      <c r="K31" s="100"/>
      <c r="L31" s="100"/>
      <c r="M31" s="142" t="s">
        <v>939</v>
      </c>
      <c r="N31" s="142" t="s">
        <v>694</v>
      </c>
    </row>
    <row r="32" spans="1:14">
      <c r="A32" s="141">
        <v>45719</v>
      </c>
      <c r="B32" s="100" t="s">
        <v>1663</v>
      </c>
      <c r="C32" s="142" t="s">
        <v>888</v>
      </c>
      <c r="D32" s="100" t="s">
        <v>1664</v>
      </c>
      <c r="E32" s="142" t="s">
        <v>974</v>
      </c>
      <c r="F32" s="130" t="s">
        <v>1665</v>
      </c>
      <c r="G32" s="241">
        <v>20000</v>
      </c>
      <c r="H32" s="129">
        <v>123000</v>
      </c>
      <c r="I32" s="129"/>
      <c r="J32" s="141">
        <v>45748</v>
      </c>
      <c r="K32" s="100"/>
      <c r="L32" s="100"/>
      <c r="M32" s="142" t="s">
        <v>939</v>
      </c>
      <c r="N32" s="142" t="s">
        <v>694</v>
      </c>
    </row>
    <row r="33" spans="1:14" ht="30">
      <c r="A33" s="141">
        <v>45719</v>
      </c>
      <c r="B33" s="100" t="s">
        <v>1666</v>
      </c>
      <c r="C33" s="142" t="s">
        <v>888</v>
      </c>
      <c r="D33" s="100" t="s">
        <v>1667</v>
      </c>
      <c r="E33" s="142" t="s">
        <v>1668</v>
      </c>
      <c r="F33" s="130" t="s">
        <v>1669</v>
      </c>
      <c r="G33" s="242" t="s">
        <v>1670</v>
      </c>
      <c r="H33" s="129">
        <v>297600</v>
      </c>
      <c r="I33" s="129"/>
      <c r="J33" s="141">
        <v>45748</v>
      </c>
      <c r="K33" s="100"/>
      <c r="L33" s="100"/>
      <c r="M33" s="142" t="s">
        <v>939</v>
      </c>
      <c r="N33" s="142" t="s">
        <v>694</v>
      </c>
    </row>
    <row r="34" spans="1:14">
      <c r="A34" s="128">
        <v>45719</v>
      </c>
      <c r="B34" s="100" t="s">
        <v>1138</v>
      </c>
      <c r="C34" s="100" t="s">
        <v>888</v>
      </c>
      <c r="D34" s="100" t="s">
        <v>1139</v>
      </c>
      <c r="E34" s="100" t="s">
        <v>934</v>
      </c>
      <c r="F34" s="100" t="s">
        <v>935</v>
      </c>
      <c r="G34" s="241" t="s">
        <v>1140</v>
      </c>
      <c r="H34" s="129">
        <v>294360</v>
      </c>
      <c r="I34" s="129"/>
      <c r="J34" s="128">
        <v>45748</v>
      </c>
      <c r="K34" s="100"/>
      <c r="L34" s="100"/>
      <c r="M34" s="100" t="s">
        <v>939</v>
      </c>
      <c r="N34" s="100" t="s">
        <v>27</v>
      </c>
    </row>
    <row r="35" spans="1:14" s="165" customFormat="1" ht="75">
      <c r="A35" s="141">
        <v>45720</v>
      </c>
      <c r="B35" s="142" t="s">
        <v>1257</v>
      </c>
      <c r="C35" s="142" t="s">
        <v>888</v>
      </c>
      <c r="D35" s="142" t="s">
        <v>1258</v>
      </c>
      <c r="E35" s="142" t="s">
        <v>969</v>
      </c>
      <c r="F35" s="163" t="s">
        <v>1259</v>
      </c>
      <c r="G35" s="239" t="s">
        <v>1260</v>
      </c>
      <c r="H35" s="164">
        <v>285343.75</v>
      </c>
      <c r="I35" s="164"/>
      <c r="J35" s="141">
        <v>45748</v>
      </c>
      <c r="K35" s="142" t="s">
        <v>1261</v>
      </c>
      <c r="L35" s="142"/>
      <c r="M35" s="100" t="s">
        <v>939</v>
      </c>
      <c r="N35" s="142" t="s">
        <v>24</v>
      </c>
    </row>
    <row r="36" spans="1:14">
      <c r="A36" s="128">
        <v>45722</v>
      </c>
      <c r="B36" s="100" t="s">
        <v>1249</v>
      </c>
      <c r="C36" s="100" t="s">
        <v>888</v>
      </c>
      <c r="D36" s="100" t="s">
        <v>1250</v>
      </c>
      <c r="E36" s="100" t="s">
        <v>1001</v>
      </c>
      <c r="F36" s="100" t="s">
        <v>989</v>
      </c>
      <c r="G36" s="241" t="s">
        <v>1242</v>
      </c>
      <c r="H36" s="129">
        <v>142250.29999999999</v>
      </c>
      <c r="I36" s="129"/>
      <c r="J36" s="128">
        <v>45734</v>
      </c>
      <c r="K36" s="100" t="s">
        <v>1600</v>
      </c>
      <c r="L36" s="100"/>
      <c r="M36" s="100" t="s">
        <v>939</v>
      </c>
      <c r="N36" s="100" t="s">
        <v>24</v>
      </c>
    </row>
    <row r="37" spans="1:14">
      <c r="A37" s="128">
        <v>45722</v>
      </c>
      <c r="B37" s="100" t="s">
        <v>1251</v>
      </c>
      <c r="C37" s="100" t="s">
        <v>888</v>
      </c>
      <c r="D37" s="100" t="s">
        <v>1252</v>
      </c>
      <c r="E37" s="100" t="s">
        <v>1001</v>
      </c>
      <c r="F37" s="100" t="s">
        <v>989</v>
      </c>
      <c r="G37" s="241" t="s">
        <v>1242</v>
      </c>
      <c r="H37" s="129">
        <v>142250.29999999999</v>
      </c>
      <c r="I37" s="129"/>
      <c r="J37" s="128">
        <v>45727</v>
      </c>
      <c r="K37" s="100" t="s">
        <v>1600</v>
      </c>
      <c r="L37" s="100"/>
      <c r="M37" s="100" t="s">
        <v>939</v>
      </c>
      <c r="N37" s="100" t="s">
        <v>24</v>
      </c>
    </row>
    <row r="38" spans="1:14">
      <c r="A38" s="128">
        <v>45722</v>
      </c>
      <c r="B38" s="100" t="s">
        <v>1240</v>
      </c>
      <c r="C38" s="100" t="s">
        <v>888</v>
      </c>
      <c r="D38" s="100" t="s">
        <v>1241</v>
      </c>
      <c r="E38" s="100" t="s">
        <v>1001</v>
      </c>
      <c r="F38" s="100" t="s">
        <v>989</v>
      </c>
      <c r="G38" s="241" t="s">
        <v>1242</v>
      </c>
      <c r="H38" s="129">
        <v>142250.29999999999</v>
      </c>
      <c r="I38" s="129"/>
      <c r="J38" s="128">
        <v>45748</v>
      </c>
      <c r="K38" s="100" t="s">
        <v>1600</v>
      </c>
      <c r="L38" s="100"/>
      <c r="M38" s="100" t="s">
        <v>939</v>
      </c>
      <c r="N38" s="100" t="s">
        <v>24</v>
      </c>
    </row>
    <row r="39" spans="1:14">
      <c r="A39" s="128">
        <v>45722</v>
      </c>
      <c r="B39" s="100" t="s">
        <v>1253</v>
      </c>
      <c r="C39" s="100" t="s">
        <v>888</v>
      </c>
      <c r="D39" s="100" t="s">
        <v>1254</v>
      </c>
      <c r="E39" s="100" t="s">
        <v>1255</v>
      </c>
      <c r="F39" s="100" t="s">
        <v>989</v>
      </c>
      <c r="G39" s="241" t="s">
        <v>1242</v>
      </c>
      <c r="H39" s="129">
        <v>358012.5</v>
      </c>
      <c r="I39" s="129"/>
      <c r="J39" s="128">
        <v>45741</v>
      </c>
      <c r="K39" s="100" t="s">
        <v>1256</v>
      </c>
      <c r="L39" s="100"/>
      <c r="M39" s="100"/>
      <c r="N39" s="100"/>
    </row>
    <row r="40" spans="1:14" s="200" customFormat="1" ht="240">
      <c r="A40" s="196">
        <v>45726</v>
      </c>
      <c r="B40" s="197" t="s">
        <v>1687</v>
      </c>
      <c r="C40" s="197" t="s">
        <v>888</v>
      </c>
      <c r="D40" s="197" t="s">
        <v>1688</v>
      </c>
      <c r="E40" s="197" t="s">
        <v>1643</v>
      </c>
      <c r="F40" s="198" t="s">
        <v>1689</v>
      </c>
      <c r="G40" s="243"/>
      <c r="H40" s="199">
        <v>1958560</v>
      </c>
      <c r="I40" s="199"/>
      <c r="J40" s="196"/>
      <c r="K40" s="100" t="s">
        <v>1633</v>
      </c>
      <c r="L40" s="197"/>
      <c r="M40" s="100" t="s">
        <v>939</v>
      </c>
      <c r="N40" s="197" t="s">
        <v>694</v>
      </c>
    </row>
    <row r="41" spans="1:14" ht="45">
      <c r="A41" s="128">
        <v>45733</v>
      </c>
      <c r="B41" s="100" t="s">
        <v>1684</v>
      </c>
      <c r="C41" s="100" t="s">
        <v>888</v>
      </c>
      <c r="D41" s="100" t="s">
        <v>1685</v>
      </c>
      <c r="E41" s="100" t="s">
        <v>942</v>
      </c>
      <c r="F41" s="130" t="s">
        <v>1522</v>
      </c>
      <c r="G41" s="242" t="s">
        <v>1686</v>
      </c>
      <c r="H41" s="129">
        <v>1318000</v>
      </c>
      <c r="I41" s="129"/>
      <c r="J41" s="128">
        <v>45748</v>
      </c>
      <c r="K41" s="100" t="s">
        <v>1633</v>
      </c>
      <c r="L41" s="100"/>
      <c r="M41" s="100" t="s">
        <v>939</v>
      </c>
      <c r="N41" s="100" t="s">
        <v>694</v>
      </c>
    </row>
    <row r="42" spans="1:14">
      <c r="A42" s="128">
        <v>45736</v>
      </c>
      <c r="B42" s="100" t="s">
        <v>1315</v>
      </c>
      <c r="C42" s="100" t="s">
        <v>888</v>
      </c>
      <c r="D42" s="100" t="s">
        <v>1316</v>
      </c>
      <c r="E42" s="100" t="s">
        <v>969</v>
      </c>
      <c r="F42" s="100" t="s">
        <v>1317</v>
      </c>
      <c r="G42" s="241" t="s">
        <v>1318</v>
      </c>
      <c r="H42" s="129">
        <v>15000</v>
      </c>
      <c r="I42" s="129"/>
      <c r="J42" s="128">
        <v>45778</v>
      </c>
      <c r="K42" s="100" t="s">
        <v>1601</v>
      </c>
      <c r="L42" s="100"/>
      <c r="M42" s="100" t="s">
        <v>939</v>
      </c>
      <c r="N42" s="100" t="s">
        <v>24</v>
      </c>
    </row>
    <row r="43" spans="1:14">
      <c r="A43" s="123">
        <v>45741</v>
      </c>
      <c r="B43" s="183" t="s">
        <v>1701</v>
      </c>
      <c r="C43" s="100" t="s">
        <v>888</v>
      </c>
      <c r="D43" s="100" t="s">
        <v>1702</v>
      </c>
      <c r="E43" s="100" t="s">
        <v>955</v>
      </c>
      <c r="F43" s="100" t="s">
        <v>1703</v>
      </c>
      <c r="G43" s="241"/>
      <c r="H43" s="129">
        <v>128280</v>
      </c>
      <c r="I43" s="129"/>
      <c r="J43" s="128">
        <v>45764</v>
      </c>
      <c r="K43" s="100" t="s">
        <v>1633</v>
      </c>
      <c r="L43" s="100"/>
      <c r="M43" s="100" t="s">
        <v>939</v>
      </c>
      <c r="N43" s="100" t="s">
        <v>694</v>
      </c>
    </row>
    <row r="44" spans="1:14" ht="30">
      <c r="A44" s="123">
        <v>45749</v>
      </c>
      <c r="B44" s="183" t="s">
        <v>1641</v>
      </c>
      <c r="C44" s="100" t="s">
        <v>888</v>
      </c>
      <c r="D44" s="100" t="s">
        <v>1642</v>
      </c>
      <c r="E44" s="100" t="s">
        <v>1643</v>
      </c>
      <c r="F44" s="130" t="s">
        <v>1644</v>
      </c>
      <c r="G44" s="242" t="s">
        <v>1645</v>
      </c>
      <c r="H44" s="129">
        <v>475000</v>
      </c>
      <c r="I44" s="129"/>
      <c r="J44" s="128">
        <v>45757</v>
      </c>
      <c r="K44" s="100" t="s">
        <v>1633</v>
      </c>
      <c r="L44" s="100"/>
      <c r="M44" s="100" t="s">
        <v>939</v>
      </c>
      <c r="N44" s="100" t="s">
        <v>694</v>
      </c>
    </row>
    <row r="45" spans="1:14" ht="30">
      <c r="A45" s="128">
        <v>45756</v>
      </c>
      <c r="B45" s="100" t="s">
        <v>2320</v>
      </c>
      <c r="C45" s="100" t="s">
        <v>888</v>
      </c>
      <c r="D45" s="100" t="s">
        <v>2318</v>
      </c>
      <c r="E45" s="100" t="s">
        <v>1643</v>
      </c>
      <c r="F45" s="130" t="s">
        <v>2319</v>
      </c>
      <c r="G45" s="242" t="s">
        <v>1645</v>
      </c>
      <c r="H45" s="129">
        <v>507500</v>
      </c>
      <c r="I45" s="129"/>
      <c r="J45" s="128">
        <v>45778</v>
      </c>
      <c r="K45" s="100" t="s">
        <v>1633</v>
      </c>
      <c r="L45" s="100"/>
      <c r="M45" s="100" t="s">
        <v>939</v>
      </c>
      <c r="N45" s="100" t="s">
        <v>694</v>
      </c>
    </row>
    <row r="46" spans="1:14" ht="30">
      <c r="A46" s="128">
        <v>45757</v>
      </c>
      <c r="B46" s="100" t="s">
        <v>1629</v>
      </c>
      <c r="C46" s="100" t="s">
        <v>888</v>
      </c>
      <c r="D46" s="100" t="s">
        <v>1630</v>
      </c>
      <c r="E46" s="100" t="s">
        <v>890</v>
      </c>
      <c r="F46" s="130" t="s">
        <v>1631</v>
      </c>
      <c r="G46" s="242" t="s">
        <v>1632</v>
      </c>
      <c r="H46" s="129">
        <v>3337547.33</v>
      </c>
      <c r="I46" s="129"/>
      <c r="J46" s="128">
        <v>45765</v>
      </c>
      <c r="K46" s="100" t="s">
        <v>1633</v>
      </c>
      <c r="L46" s="100"/>
      <c r="M46" s="100" t="s">
        <v>939</v>
      </c>
      <c r="N46" s="100" t="s">
        <v>694</v>
      </c>
    </row>
    <row r="47" spans="1:14" ht="60">
      <c r="A47" s="128">
        <v>45757</v>
      </c>
      <c r="B47" s="100" t="s">
        <v>1634</v>
      </c>
      <c r="C47" s="100" t="s">
        <v>888</v>
      </c>
      <c r="D47" s="100" t="s">
        <v>1635</v>
      </c>
      <c r="E47" s="100" t="s">
        <v>1517</v>
      </c>
      <c r="F47" s="130" t="s">
        <v>1518</v>
      </c>
      <c r="G47" s="242" t="s">
        <v>1636</v>
      </c>
      <c r="H47" s="129"/>
      <c r="I47" s="129">
        <v>418107.34</v>
      </c>
      <c r="J47" s="128">
        <v>45765</v>
      </c>
      <c r="K47" s="100" t="s">
        <v>1633</v>
      </c>
      <c r="L47" s="100"/>
      <c r="M47" s="100" t="s">
        <v>939</v>
      </c>
      <c r="N47" s="100" t="s">
        <v>694</v>
      </c>
    </row>
    <row r="48" spans="1:14" ht="150">
      <c r="A48" s="128">
        <v>45757</v>
      </c>
      <c r="B48" s="100" t="s">
        <v>1637</v>
      </c>
      <c r="C48" s="100" t="s">
        <v>888</v>
      </c>
      <c r="D48" s="100" t="s">
        <v>1638</v>
      </c>
      <c r="E48" s="100" t="s">
        <v>1517</v>
      </c>
      <c r="F48" s="130" t="s">
        <v>1639</v>
      </c>
      <c r="G48" s="242" t="s">
        <v>1640</v>
      </c>
      <c r="H48" s="129"/>
      <c r="I48" s="129">
        <v>49394.1</v>
      </c>
      <c r="J48" s="128">
        <v>45765</v>
      </c>
      <c r="K48" s="100" t="s">
        <v>1633</v>
      </c>
      <c r="L48" s="100"/>
      <c r="M48" s="100" t="s">
        <v>939</v>
      </c>
      <c r="N48" s="100" t="s">
        <v>694</v>
      </c>
    </row>
    <row r="49" spans="1:14">
      <c r="A49" s="128">
        <v>45765</v>
      </c>
      <c r="B49" s="100" t="s">
        <v>1593</v>
      </c>
      <c r="C49" s="100" t="s">
        <v>888</v>
      </c>
      <c r="D49" s="100" t="s">
        <v>1594</v>
      </c>
      <c r="E49" s="100" t="s">
        <v>955</v>
      </c>
      <c r="F49" s="100" t="s">
        <v>1595</v>
      </c>
      <c r="G49" s="241">
        <v>150000</v>
      </c>
      <c r="H49" s="129">
        <v>51000</v>
      </c>
      <c r="I49" s="129"/>
      <c r="J49" s="128">
        <v>45772</v>
      </c>
      <c r="K49" s="100" t="s">
        <v>1633</v>
      </c>
      <c r="L49" s="194"/>
      <c r="M49" s="100" t="s">
        <v>939</v>
      </c>
      <c r="N49" s="194" t="s">
        <v>694</v>
      </c>
    </row>
    <row r="50" spans="1:14" ht="60">
      <c r="A50" s="128">
        <v>45772</v>
      </c>
      <c r="B50" s="100" t="s">
        <v>1737</v>
      </c>
      <c r="C50" s="100" t="s">
        <v>888</v>
      </c>
      <c r="D50" s="100" t="s">
        <v>1738</v>
      </c>
      <c r="E50" s="100" t="s">
        <v>969</v>
      </c>
      <c r="F50" s="130" t="s">
        <v>1739</v>
      </c>
      <c r="G50" s="242" t="s">
        <v>1740</v>
      </c>
      <c r="H50" s="129">
        <v>57000</v>
      </c>
      <c r="I50" s="129"/>
      <c r="J50" s="128"/>
      <c r="K50" s="100" t="s">
        <v>1729</v>
      </c>
      <c r="L50" s="194"/>
      <c r="M50" s="100"/>
      <c r="N50" s="100"/>
    </row>
    <row r="51" spans="1:14">
      <c r="A51" s="128">
        <v>45772</v>
      </c>
      <c r="B51" s="100" t="s">
        <v>1741</v>
      </c>
      <c r="C51" s="100" t="s">
        <v>888</v>
      </c>
      <c r="D51" s="100" t="s">
        <v>1742</v>
      </c>
      <c r="E51" s="100" t="s">
        <v>969</v>
      </c>
      <c r="F51" s="100" t="s">
        <v>1743</v>
      </c>
      <c r="G51" s="241">
        <v>125</v>
      </c>
      <c r="H51" s="129">
        <v>10000</v>
      </c>
      <c r="I51" s="129"/>
      <c r="J51" s="128"/>
      <c r="K51" s="100" t="s">
        <v>1729</v>
      </c>
      <c r="L51" s="194"/>
      <c r="M51" s="100"/>
      <c r="N51" s="100"/>
    </row>
    <row r="52" spans="1:14">
      <c r="A52" s="128">
        <v>45775</v>
      </c>
      <c r="B52" s="100" t="s">
        <v>1708</v>
      </c>
      <c r="C52" s="100" t="s">
        <v>888</v>
      </c>
      <c r="D52" s="100" t="s">
        <v>1710</v>
      </c>
      <c r="E52" s="100" t="s">
        <v>942</v>
      </c>
      <c r="F52" s="100" t="s">
        <v>1712</v>
      </c>
      <c r="G52" s="241">
        <v>4000</v>
      </c>
      <c r="H52" s="129">
        <v>502000</v>
      </c>
      <c r="I52" s="129"/>
      <c r="J52" s="128">
        <v>45772</v>
      </c>
      <c r="K52" s="100" t="s">
        <v>1633</v>
      </c>
      <c r="L52" s="100"/>
      <c r="M52" s="100" t="s">
        <v>939</v>
      </c>
      <c r="N52" s="194" t="s">
        <v>694</v>
      </c>
    </row>
    <row r="53" spans="1:14">
      <c r="A53" s="128">
        <v>45775</v>
      </c>
      <c r="B53" s="100" t="s">
        <v>1709</v>
      </c>
      <c r="C53" s="100" t="s">
        <v>888</v>
      </c>
      <c r="D53" s="100" t="s">
        <v>1711</v>
      </c>
      <c r="E53" s="100" t="s">
        <v>942</v>
      </c>
      <c r="F53" s="100" t="s">
        <v>1712</v>
      </c>
      <c r="G53" s="241">
        <v>15000</v>
      </c>
      <c r="H53" s="129">
        <v>1845000</v>
      </c>
      <c r="I53" s="129"/>
      <c r="J53" s="128">
        <v>45772</v>
      </c>
      <c r="K53" s="100" t="s">
        <v>1633</v>
      </c>
      <c r="L53" s="100"/>
      <c r="M53" s="100" t="s">
        <v>939</v>
      </c>
      <c r="N53" s="194" t="s">
        <v>694</v>
      </c>
    </row>
    <row r="54" spans="1:14">
      <c r="A54" s="128">
        <v>45779</v>
      </c>
      <c r="B54" s="100" t="s">
        <v>1727</v>
      </c>
      <c r="C54" s="100" t="s">
        <v>888</v>
      </c>
      <c r="D54" s="100" t="s">
        <v>1728</v>
      </c>
      <c r="E54" s="100" t="s">
        <v>1255</v>
      </c>
      <c r="F54" s="183" t="s">
        <v>989</v>
      </c>
      <c r="G54" s="241">
        <v>9547</v>
      </c>
      <c r="H54" s="129">
        <v>358012.5</v>
      </c>
      <c r="I54" s="129"/>
      <c r="J54" s="128">
        <v>45784</v>
      </c>
      <c r="K54" s="100" t="s">
        <v>1729</v>
      </c>
      <c r="L54" s="100"/>
      <c r="M54" s="100" t="s">
        <v>939</v>
      </c>
      <c r="N54" s="100" t="s">
        <v>24</v>
      </c>
    </row>
    <row r="55" spans="1:14" ht="16.899999999999999" customHeight="1">
      <c r="A55" s="128">
        <v>45779</v>
      </c>
      <c r="B55" s="100" t="s">
        <v>1730</v>
      </c>
      <c r="C55" s="100" t="s">
        <v>888</v>
      </c>
      <c r="D55" s="100" t="s">
        <v>1731</v>
      </c>
      <c r="E55" s="100" t="s">
        <v>1732</v>
      </c>
      <c r="F55" s="100" t="s">
        <v>1733</v>
      </c>
      <c r="G55" s="241">
        <v>1000000</v>
      </c>
      <c r="H55" s="129">
        <v>37500000</v>
      </c>
      <c r="I55" s="129"/>
      <c r="J55" s="128">
        <v>45778</v>
      </c>
      <c r="K55" s="100" t="s">
        <v>1734</v>
      </c>
      <c r="L55" s="100"/>
      <c r="M55" s="100" t="s">
        <v>939</v>
      </c>
      <c r="N55" s="100" t="s">
        <v>24</v>
      </c>
    </row>
    <row r="56" spans="1:14" s="165" customFormat="1" ht="45">
      <c r="A56" s="141">
        <v>45779</v>
      </c>
      <c r="B56" s="142" t="s">
        <v>1756</v>
      </c>
      <c r="C56" s="142" t="s">
        <v>888</v>
      </c>
      <c r="D56" s="142" t="s">
        <v>1757</v>
      </c>
      <c r="E56" s="142" t="s">
        <v>955</v>
      </c>
      <c r="F56" s="163" t="s">
        <v>1758</v>
      </c>
      <c r="G56" s="239" t="s">
        <v>1759</v>
      </c>
      <c r="H56" s="164">
        <v>98210</v>
      </c>
      <c r="I56" s="164"/>
      <c r="J56" s="141">
        <v>45809</v>
      </c>
      <c r="K56" s="142" t="s">
        <v>1633</v>
      </c>
      <c r="L56" s="142"/>
      <c r="M56" s="142" t="s">
        <v>939</v>
      </c>
      <c r="N56" s="142" t="s">
        <v>694</v>
      </c>
    </row>
    <row r="57" spans="1:14">
      <c r="A57" s="128">
        <v>45793</v>
      </c>
      <c r="B57" s="100" t="s">
        <v>1864</v>
      </c>
      <c r="C57" s="142" t="s">
        <v>888</v>
      </c>
      <c r="D57" s="100" t="s">
        <v>1865</v>
      </c>
      <c r="E57" s="100" t="s">
        <v>890</v>
      </c>
      <c r="F57" s="100" t="s">
        <v>1866</v>
      </c>
      <c r="G57" s="241"/>
      <c r="H57" s="129">
        <v>1567547.12</v>
      </c>
      <c r="I57" s="129"/>
      <c r="J57" s="128">
        <v>45803</v>
      </c>
      <c r="K57" s="142" t="s">
        <v>1633</v>
      </c>
      <c r="L57" s="100"/>
      <c r="M57" s="142" t="s">
        <v>939</v>
      </c>
      <c r="N57" s="100" t="s">
        <v>694</v>
      </c>
    </row>
    <row r="58" spans="1:14">
      <c r="A58" s="128">
        <v>45793</v>
      </c>
      <c r="B58" s="100" t="s">
        <v>1870</v>
      </c>
      <c r="C58" s="142" t="s">
        <v>888</v>
      </c>
      <c r="D58" s="100" t="s">
        <v>1871</v>
      </c>
      <c r="E58" s="100" t="s">
        <v>1517</v>
      </c>
      <c r="F58" s="100" t="s">
        <v>1872</v>
      </c>
      <c r="G58" s="241"/>
      <c r="H58" s="129"/>
      <c r="I58" s="129">
        <v>24122.7</v>
      </c>
      <c r="J58" s="128">
        <v>45803</v>
      </c>
      <c r="K58" s="142" t="s">
        <v>1633</v>
      </c>
      <c r="L58" s="100"/>
      <c r="M58" s="142" t="s">
        <v>939</v>
      </c>
      <c r="N58" s="100" t="s">
        <v>694</v>
      </c>
    </row>
    <row r="59" spans="1:14" s="165" customFormat="1" ht="362.45" customHeight="1">
      <c r="A59" s="141">
        <v>45854</v>
      </c>
      <c r="B59" s="142" t="s">
        <v>2355</v>
      </c>
      <c r="C59" s="142" t="s">
        <v>888</v>
      </c>
      <c r="D59" s="142" t="s">
        <v>2356</v>
      </c>
      <c r="E59" s="142" t="s">
        <v>955</v>
      </c>
      <c r="F59" s="163" t="s">
        <v>2357</v>
      </c>
      <c r="G59" s="239" t="s">
        <v>2358</v>
      </c>
      <c r="H59" s="164">
        <v>107507</v>
      </c>
      <c r="I59" s="164"/>
      <c r="J59" s="141">
        <v>45839</v>
      </c>
      <c r="K59" s="142"/>
      <c r="L59" s="142"/>
      <c r="M59" s="142" t="s">
        <v>939</v>
      </c>
      <c r="N59" s="142" t="s">
        <v>694</v>
      </c>
    </row>
    <row r="60" spans="1:14">
      <c r="A60" s="128">
        <v>45797</v>
      </c>
      <c r="B60" s="100" t="s">
        <v>1993</v>
      </c>
      <c r="C60" s="142" t="s">
        <v>888</v>
      </c>
      <c r="D60" s="100" t="s">
        <v>1994</v>
      </c>
      <c r="E60" s="100" t="s">
        <v>1995</v>
      </c>
      <c r="F60" s="100" t="s">
        <v>1996</v>
      </c>
      <c r="G60" s="239">
        <v>9547</v>
      </c>
      <c r="H60" s="129">
        <v>142250.29999999999</v>
      </c>
      <c r="I60" s="129"/>
      <c r="J60" s="128">
        <v>45800</v>
      </c>
      <c r="K60" s="142" t="s">
        <v>1633</v>
      </c>
      <c r="L60" s="100"/>
      <c r="M60" s="142" t="s">
        <v>939</v>
      </c>
      <c r="N60" s="100" t="s">
        <v>24</v>
      </c>
    </row>
    <row r="61" spans="1:14">
      <c r="A61" s="128">
        <v>45797</v>
      </c>
      <c r="B61" s="100" t="s">
        <v>1997</v>
      </c>
      <c r="C61" s="142" t="s">
        <v>888</v>
      </c>
      <c r="D61" s="100" t="s">
        <v>1999</v>
      </c>
      <c r="E61" s="100" t="s">
        <v>1995</v>
      </c>
      <c r="F61" s="100" t="s">
        <v>1996</v>
      </c>
      <c r="G61" s="239">
        <v>9547</v>
      </c>
      <c r="H61" s="129">
        <v>142250.29999999999</v>
      </c>
      <c r="I61" s="129"/>
      <c r="J61" s="128">
        <v>45804</v>
      </c>
      <c r="K61" s="142" t="s">
        <v>1633</v>
      </c>
      <c r="L61" s="100"/>
      <c r="M61" s="142" t="s">
        <v>939</v>
      </c>
      <c r="N61" s="100" t="s">
        <v>24</v>
      </c>
    </row>
    <row r="62" spans="1:14">
      <c r="A62" s="128">
        <v>45797</v>
      </c>
      <c r="B62" s="100" t="s">
        <v>1998</v>
      </c>
      <c r="C62" s="142" t="s">
        <v>888</v>
      </c>
      <c r="D62" s="100" t="s">
        <v>2000</v>
      </c>
      <c r="E62" s="100" t="s">
        <v>1995</v>
      </c>
      <c r="F62" s="100" t="s">
        <v>1996</v>
      </c>
      <c r="G62" s="239">
        <v>9547</v>
      </c>
      <c r="H62" s="129">
        <v>142250.29999999999</v>
      </c>
      <c r="I62" s="129"/>
      <c r="J62" s="128">
        <v>45811</v>
      </c>
      <c r="K62" s="142" t="s">
        <v>1633</v>
      </c>
      <c r="L62" s="100"/>
      <c r="M62" s="142" t="s">
        <v>939</v>
      </c>
      <c r="N62" s="100" t="s">
        <v>24</v>
      </c>
    </row>
    <row r="63" spans="1:14">
      <c r="A63" s="128">
        <v>45800</v>
      </c>
      <c r="B63" s="100" t="s">
        <v>2315</v>
      </c>
      <c r="C63" s="142" t="s">
        <v>888</v>
      </c>
      <c r="D63" s="100" t="s">
        <v>2316</v>
      </c>
      <c r="E63" s="100" t="s">
        <v>955</v>
      </c>
      <c r="F63" s="100" t="s">
        <v>2317</v>
      </c>
      <c r="G63" s="239">
        <v>20000</v>
      </c>
      <c r="H63" s="129">
        <v>30000</v>
      </c>
      <c r="I63" s="129"/>
      <c r="J63" s="128">
        <v>45870</v>
      </c>
      <c r="K63" s="142" t="s">
        <v>1633</v>
      </c>
      <c r="L63" s="100"/>
      <c r="M63" s="142" t="s">
        <v>939</v>
      </c>
      <c r="N63" s="100"/>
    </row>
    <row r="64" spans="1:14" ht="30">
      <c r="A64" s="128">
        <v>45800</v>
      </c>
      <c r="B64" s="100" t="s">
        <v>2334</v>
      </c>
      <c r="C64" s="142" t="s">
        <v>888</v>
      </c>
      <c r="D64" s="100" t="s">
        <v>2335</v>
      </c>
      <c r="E64" s="100" t="s">
        <v>1668</v>
      </c>
      <c r="F64" s="130" t="s">
        <v>1669</v>
      </c>
      <c r="G64" s="239" t="s">
        <v>2336</v>
      </c>
      <c r="H64" s="129">
        <v>407000</v>
      </c>
      <c r="I64" s="129"/>
      <c r="J64" s="128">
        <v>45870</v>
      </c>
      <c r="K64" s="142" t="s">
        <v>1633</v>
      </c>
      <c r="L64" s="100"/>
      <c r="M64" s="142" t="s">
        <v>939</v>
      </c>
      <c r="N64" s="100" t="s">
        <v>694</v>
      </c>
    </row>
    <row r="65" spans="1:14">
      <c r="A65" s="128">
        <v>45797</v>
      </c>
      <c r="B65" s="100" t="s">
        <v>2364</v>
      </c>
      <c r="C65" s="142" t="s">
        <v>888</v>
      </c>
      <c r="D65" s="100" t="s">
        <v>2365</v>
      </c>
      <c r="E65" s="183" t="s">
        <v>942</v>
      </c>
      <c r="F65" s="100" t="s">
        <v>2298</v>
      </c>
      <c r="G65" s="239">
        <v>1500</v>
      </c>
      <c r="H65" s="129">
        <v>207000</v>
      </c>
      <c r="I65" s="129"/>
      <c r="J65" s="128">
        <v>45800</v>
      </c>
      <c r="K65" s="142" t="s">
        <v>1633</v>
      </c>
      <c r="L65" s="100"/>
      <c r="M65" s="142" t="s">
        <v>939</v>
      </c>
      <c r="N65" s="100" t="s">
        <v>694</v>
      </c>
    </row>
    <row r="66" spans="1:14" ht="30">
      <c r="A66" s="128">
        <v>45813</v>
      </c>
      <c r="B66" s="100" t="s">
        <v>2347</v>
      </c>
      <c r="C66" s="142" t="s">
        <v>888</v>
      </c>
      <c r="D66" s="100" t="s">
        <v>2348</v>
      </c>
      <c r="E66" s="100" t="s">
        <v>979</v>
      </c>
      <c r="F66" s="130" t="s">
        <v>2349</v>
      </c>
      <c r="G66" s="239" t="s">
        <v>2350</v>
      </c>
      <c r="H66" s="129">
        <v>116700</v>
      </c>
      <c r="I66" s="129"/>
      <c r="J66" s="128">
        <v>45817</v>
      </c>
      <c r="K66" s="142" t="s">
        <v>1633</v>
      </c>
      <c r="L66" s="100"/>
      <c r="M66" s="142" t="s">
        <v>939</v>
      </c>
      <c r="N66" s="100" t="s">
        <v>694</v>
      </c>
    </row>
    <row r="67" spans="1:14">
      <c r="A67" s="128">
        <v>45813</v>
      </c>
      <c r="B67" s="100" t="s">
        <v>2321</v>
      </c>
      <c r="C67" s="142" t="s">
        <v>888</v>
      </c>
      <c r="D67" s="100" t="s">
        <v>2322</v>
      </c>
      <c r="E67" s="100" t="s">
        <v>979</v>
      </c>
      <c r="F67" s="100" t="s">
        <v>2323</v>
      </c>
      <c r="G67" s="239">
        <v>2000</v>
      </c>
      <c r="H67" s="129">
        <v>22440</v>
      </c>
      <c r="I67" s="129"/>
      <c r="J67" s="128">
        <v>45845</v>
      </c>
      <c r="K67" s="142" t="s">
        <v>1633</v>
      </c>
      <c r="L67" s="100"/>
      <c r="M67" s="100" t="s">
        <v>939</v>
      </c>
      <c r="N67" s="100" t="s">
        <v>694</v>
      </c>
    </row>
    <row r="68" spans="1:14">
      <c r="A68" s="141">
        <v>45819</v>
      </c>
      <c r="B68" s="100" t="s">
        <v>2128</v>
      </c>
      <c r="C68" s="142" t="s">
        <v>888</v>
      </c>
      <c r="D68" s="100" t="s">
        <v>2129</v>
      </c>
      <c r="E68" s="100" t="s">
        <v>1255</v>
      </c>
      <c r="F68" s="183" t="s">
        <v>989</v>
      </c>
      <c r="G68" s="241">
        <v>9547</v>
      </c>
      <c r="H68" s="129">
        <v>358012.5</v>
      </c>
      <c r="I68" s="129"/>
      <c r="J68" s="141">
        <v>45821</v>
      </c>
      <c r="K68" s="142" t="s">
        <v>1633</v>
      </c>
      <c r="L68" s="100"/>
      <c r="M68" s="142" t="s">
        <v>939</v>
      </c>
      <c r="N68" s="142" t="s">
        <v>24</v>
      </c>
    </row>
    <row r="69" spans="1:14">
      <c r="A69" s="141">
        <v>45819</v>
      </c>
      <c r="B69" s="100" t="s">
        <v>2130</v>
      </c>
      <c r="C69" s="142" t="s">
        <v>888</v>
      </c>
      <c r="D69" s="100" t="s">
        <v>2131</v>
      </c>
      <c r="E69" s="100" t="s">
        <v>1001</v>
      </c>
      <c r="F69" s="183" t="s">
        <v>989</v>
      </c>
      <c r="G69" s="241">
        <v>9547</v>
      </c>
      <c r="H69" s="129">
        <v>142250.29999999999</v>
      </c>
      <c r="I69" s="129"/>
      <c r="J69" s="141">
        <v>45825</v>
      </c>
      <c r="K69" s="142" t="s">
        <v>1633</v>
      </c>
      <c r="L69" s="100"/>
      <c r="M69" s="142" t="s">
        <v>939</v>
      </c>
      <c r="N69" s="142" t="s">
        <v>24</v>
      </c>
    </row>
    <row r="70" spans="1:14">
      <c r="A70" s="141">
        <v>45819</v>
      </c>
      <c r="B70" s="100" t="s">
        <v>2132</v>
      </c>
      <c r="C70" s="142" t="s">
        <v>888</v>
      </c>
      <c r="D70" s="100" t="s">
        <v>2133</v>
      </c>
      <c r="E70" s="100" t="s">
        <v>1001</v>
      </c>
      <c r="F70" s="183" t="s">
        <v>989</v>
      </c>
      <c r="G70" s="241">
        <v>9547</v>
      </c>
      <c r="H70" s="129">
        <v>142250.29999999999</v>
      </c>
      <c r="I70" s="129"/>
      <c r="J70" s="141">
        <v>45832</v>
      </c>
      <c r="K70" s="142" t="s">
        <v>1633</v>
      </c>
      <c r="L70" s="100"/>
      <c r="M70" s="142" t="s">
        <v>939</v>
      </c>
      <c r="N70" s="142" t="s">
        <v>24</v>
      </c>
    </row>
    <row r="71" spans="1:14">
      <c r="A71" s="250">
        <v>45819</v>
      </c>
      <c r="B71" s="251" t="s">
        <v>2134</v>
      </c>
      <c r="C71" s="252" t="s">
        <v>888</v>
      </c>
      <c r="D71" s="251" t="s">
        <v>2135</v>
      </c>
      <c r="E71" s="251" t="s">
        <v>1001</v>
      </c>
      <c r="F71" s="183" t="s">
        <v>989</v>
      </c>
      <c r="G71" s="253">
        <v>9547</v>
      </c>
      <c r="H71" s="254">
        <v>142250.29999999999</v>
      </c>
      <c r="I71" s="254"/>
      <c r="J71" s="250">
        <v>45839</v>
      </c>
      <c r="K71" s="252" t="s">
        <v>1633</v>
      </c>
      <c r="L71" s="251"/>
      <c r="M71" s="252" t="s">
        <v>939</v>
      </c>
      <c r="N71" s="252" t="s">
        <v>24</v>
      </c>
    </row>
    <row r="72" spans="1:14" ht="45">
      <c r="A72" s="141">
        <v>45821</v>
      </c>
      <c r="B72" s="142" t="s">
        <v>2326</v>
      </c>
      <c r="C72" s="142" t="s">
        <v>888</v>
      </c>
      <c r="D72" s="194" t="s">
        <v>2328</v>
      </c>
      <c r="E72" s="100" t="s">
        <v>942</v>
      </c>
      <c r="F72" s="130" t="s">
        <v>1522</v>
      </c>
      <c r="G72" s="244" t="s">
        <v>2329</v>
      </c>
      <c r="H72" s="195">
        <v>1180000</v>
      </c>
      <c r="I72" s="195"/>
      <c r="J72" s="255">
        <v>45839</v>
      </c>
      <c r="K72" s="252" t="s">
        <v>1633</v>
      </c>
      <c r="L72" s="194"/>
      <c r="M72" s="100" t="s">
        <v>2330</v>
      </c>
      <c r="N72" s="100" t="s">
        <v>694</v>
      </c>
    </row>
    <row r="73" spans="1:14">
      <c r="A73" s="255">
        <v>45834</v>
      </c>
      <c r="B73" s="194" t="s">
        <v>2158</v>
      </c>
      <c r="C73" s="256" t="s">
        <v>888</v>
      </c>
      <c r="D73" s="194" t="s">
        <v>2159</v>
      </c>
      <c r="E73" s="194" t="s">
        <v>988</v>
      </c>
      <c r="F73" s="183" t="s">
        <v>989</v>
      </c>
      <c r="G73" s="245">
        <v>9547</v>
      </c>
      <c r="H73" s="195">
        <v>358012.5</v>
      </c>
      <c r="I73" s="195"/>
      <c r="J73" s="255">
        <v>45842</v>
      </c>
      <c r="K73" s="256" t="s">
        <v>1633</v>
      </c>
      <c r="L73" s="194"/>
      <c r="M73" s="256" t="s">
        <v>939</v>
      </c>
      <c r="N73" s="256" t="s">
        <v>24</v>
      </c>
    </row>
    <row r="74" spans="1:14">
      <c r="A74" s="141">
        <v>45834</v>
      </c>
      <c r="B74" s="100" t="s">
        <v>2160</v>
      </c>
      <c r="C74" s="142" t="s">
        <v>888</v>
      </c>
      <c r="D74" s="100" t="s">
        <v>2161</v>
      </c>
      <c r="E74" s="100" t="s">
        <v>1001</v>
      </c>
      <c r="F74" s="183" t="s">
        <v>989</v>
      </c>
      <c r="G74" s="241">
        <v>9547</v>
      </c>
      <c r="H74" s="129">
        <v>142250.29999999999</v>
      </c>
      <c r="I74" s="129"/>
      <c r="J74" s="141">
        <v>45848</v>
      </c>
      <c r="K74" s="142" t="s">
        <v>1633</v>
      </c>
      <c r="L74" s="100"/>
      <c r="M74" s="142" t="s">
        <v>939</v>
      </c>
      <c r="N74" s="142" t="s">
        <v>24</v>
      </c>
    </row>
    <row r="75" spans="1:14">
      <c r="A75" s="141">
        <v>45834</v>
      </c>
      <c r="B75" s="100" t="s">
        <v>2162</v>
      </c>
      <c r="C75" s="142" t="s">
        <v>888</v>
      </c>
      <c r="D75" s="100" t="s">
        <v>2163</v>
      </c>
      <c r="E75" s="100" t="s">
        <v>1001</v>
      </c>
      <c r="F75" s="183" t="s">
        <v>989</v>
      </c>
      <c r="G75" s="241">
        <v>9547</v>
      </c>
      <c r="H75" s="129">
        <v>142250.29999999999</v>
      </c>
      <c r="I75" s="129"/>
      <c r="J75" s="141">
        <v>45855</v>
      </c>
      <c r="K75" s="142" t="s">
        <v>1633</v>
      </c>
      <c r="L75" s="100"/>
      <c r="M75" s="142" t="s">
        <v>939</v>
      </c>
      <c r="N75" s="142" t="s">
        <v>24</v>
      </c>
    </row>
    <row r="76" spans="1:14">
      <c r="A76" s="141">
        <v>45834</v>
      </c>
      <c r="B76" s="100" t="s">
        <v>2164</v>
      </c>
      <c r="C76" s="142" t="s">
        <v>888</v>
      </c>
      <c r="D76" s="100" t="s">
        <v>2165</v>
      </c>
      <c r="E76" s="100" t="s">
        <v>1001</v>
      </c>
      <c r="F76" s="183" t="s">
        <v>989</v>
      </c>
      <c r="G76" s="241">
        <v>9547</v>
      </c>
      <c r="H76" s="129">
        <v>142250.29999999999</v>
      </c>
      <c r="I76" s="129"/>
      <c r="J76" s="141">
        <v>45855</v>
      </c>
      <c r="K76" s="142" t="s">
        <v>1633</v>
      </c>
      <c r="L76" s="100"/>
      <c r="M76" s="142" t="s">
        <v>939</v>
      </c>
      <c r="N76" s="142" t="s">
        <v>24</v>
      </c>
    </row>
    <row r="77" spans="1:14">
      <c r="A77" s="141">
        <v>45834</v>
      </c>
      <c r="B77" s="100" t="s">
        <v>2286</v>
      </c>
      <c r="C77" s="142" t="s">
        <v>888</v>
      </c>
      <c r="D77" s="100" t="s">
        <v>2287</v>
      </c>
      <c r="E77" s="100" t="s">
        <v>1682</v>
      </c>
      <c r="F77" s="183" t="s">
        <v>2288</v>
      </c>
      <c r="G77" s="241">
        <v>100000</v>
      </c>
      <c r="H77" s="129">
        <v>50000</v>
      </c>
      <c r="I77" s="129"/>
      <c r="J77" s="141">
        <v>45835</v>
      </c>
      <c r="K77" s="142"/>
      <c r="L77" s="100"/>
      <c r="M77" s="100"/>
      <c r="N77" s="100"/>
    </row>
    <row r="78" spans="1:14">
      <c r="A78" s="128">
        <v>45838</v>
      </c>
      <c r="B78" s="100" t="s">
        <v>2178</v>
      </c>
      <c r="C78" s="100" t="s">
        <v>888</v>
      </c>
      <c r="D78" s="100" t="s">
        <v>2179</v>
      </c>
      <c r="E78" s="100" t="s">
        <v>2180</v>
      </c>
      <c r="F78" s="100" t="s">
        <v>2194</v>
      </c>
      <c r="G78" s="241"/>
      <c r="H78" s="129"/>
      <c r="I78" s="129"/>
      <c r="J78" s="128">
        <v>45870</v>
      </c>
      <c r="K78" s="100" t="s">
        <v>1734</v>
      </c>
      <c r="L78" s="100"/>
      <c r="M78" s="100"/>
      <c r="N78" s="100"/>
    </row>
    <row r="79" spans="1:14">
      <c r="A79" s="100"/>
      <c r="B79" s="100"/>
      <c r="C79" s="100"/>
      <c r="D79" s="100"/>
      <c r="E79" s="100"/>
      <c r="F79" s="100" t="s">
        <v>2181</v>
      </c>
      <c r="G79" s="246">
        <v>12</v>
      </c>
      <c r="H79" s="234">
        <v>172080</v>
      </c>
      <c r="I79" s="129"/>
      <c r="J79" s="100"/>
      <c r="K79" s="100"/>
      <c r="L79" s="100"/>
      <c r="M79" s="100" t="s">
        <v>939</v>
      </c>
      <c r="N79" s="100" t="s">
        <v>694</v>
      </c>
    </row>
    <row r="80" spans="1:14">
      <c r="A80" s="100"/>
      <c r="B80" s="100"/>
      <c r="C80" s="100"/>
      <c r="D80" s="100"/>
      <c r="E80" s="100"/>
      <c r="F80" s="100" t="s">
        <v>2182</v>
      </c>
      <c r="G80" s="246">
        <v>12</v>
      </c>
      <c r="H80" s="234">
        <v>122916</v>
      </c>
      <c r="I80" s="129"/>
      <c r="J80" s="100"/>
      <c r="K80" s="100"/>
      <c r="L80" s="100"/>
      <c r="M80" s="100" t="s">
        <v>939</v>
      </c>
      <c r="N80" s="100" t="s">
        <v>694</v>
      </c>
    </row>
    <row r="81" spans="1:14">
      <c r="A81" s="100"/>
      <c r="B81" s="100"/>
      <c r="C81" s="100"/>
      <c r="D81" s="100"/>
      <c r="E81" s="100"/>
      <c r="F81" s="100" t="s">
        <v>2183</v>
      </c>
      <c r="G81" s="246">
        <v>24</v>
      </c>
      <c r="H81" s="234">
        <v>47520</v>
      </c>
      <c r="I81" s="129"/>
      <c r="J81" s="100"/>
      <c r="K81" s="100"/>
      <c r="L81" s="100"/>
      <c r="M81" s="100" t="s">
        <v>939</v>
      </c>
      <c r="N81" s="100" t="s">
        <v>694</v>
      </c>
    </row>
    <row r="82" spans="1:14">
      <c r="A82" s="100"/>
      <c r="B82" s="100"/>
      <c r="C82" s="100"/>
      <c r="D82" s="100"/>
      <c r="E82" s="100"/>
      <c r="F82" s="100" t="s">
        <v>2184</v>
      </c>
      <c r="G82" s="246">
        <v>12</v>
      </c>
      <c r="H82" s="234">
        <v>16392</v>
      </c>
      <c r="I82" s="129"/>
      <c r="J82" s="100"/>
      <c r="K82" s="100"/>
      <c r="L82" s="100"/>
      <c r="M82" s="100" t="s">
        <v>939</v>
      </c>
      <c r="N82" s="100" t="s">
        <v>694</v>
      </c>
    </row>
    <row r="83" spans="1:14">
      <c r="A83" s="100"/>
      <c r="B83" s="100"/>
      <c r="C83" s="100"/>
      <c r="D83" s="100"/>
      <c r="E83" s="100"/>
      <c r="F83" s="100" t="s">
        <v>2185</v>
      </c>
      <c r="G83" s="246">
        <v>36</v>
      </c>
      <c r="H83" s="234">
        <v>24336</v>
      </c>
      <c r="I83" s="129"/>
      <c r="J83" s="100"/>
      <c r="K83" s="100"/>
      <c r="L83" s="100"/>
      <c r="M83" s="100" t="s">
        <v>939</v>
      </c>
      <c r="N83" s="100" t="s">
        <v>694</v>
      </c>
    </row>
    <row r="84" spans="1:14">
      <c r="A84" s="100"/>
      <c r="B84" s="100"/>
      <c r="C84" s="100"/>
      <c r="D84" s="100"/>
      <c r="E84" s="100"/>
      <c r="F84" s="100" t="s">
        <v>2186</v>
      </c>
      <c r="G84" s="246">
        <v>42</v>
      </c>
      <c r="H84" s="234">
        <v>30198</v>
      </c>
      <c r="I84" s="129"/>
      <c r="J84" s="100"/>
      <c r="K84" s="100"/>
      <c r="L84" s="100"/>
      <c r="M84" s="100" t="s">
        <v>939</v>
      </c>
      <c r="N84" s="100" t="s">
        <v>694</v>
      </c>
    </row>
    <row r="85" spans="1:14">
      <c r="A85" s="100"/>
      <c r="B85" s="100"/>
      <c r="C85" s="100"/>
      <c r="D85" s="100"/>
      <c r="E85" s="100"/>
      <c r="F85" s="100" t="s">
        <v>2187</v>
      </c>
      <c r="G85" s="246">
        <v>36</v>
      </c>
      <c r="H85" s="234">
        <v>25884</v>
      </c>
      <c r="I85" s="129"/>
      <c r="J85" s="100"/>
      <c r="K85" s="100"/>
      <c r="L85" s="100"/>
      <c r="M85" s="100" t="s">
        <v>939</v>
      </c>
      <c r="N85" s="100" t="s">
        <v>694</v>
      </c>
    </row>
    <row r="86" spans="1:14">
      <c r="A86" s="100"/>
      <c r="B86" s="100"/>
      <c r="C86" s="100"/>
      <c r="D86" s="100"/>
      <c r="E86" s="100"/>
      <c r="F86" s="100" t="s">
        <v>2188</v>
      </c>
      <c r="G86" s="246">
        <v>24</v>
      </c>
      <c r="H86" s="234">
        <v>17256</v>
      </c>
      <c r="I86" s="129"/>
      <c r="J86" s="100"/>
      <c r="K86" s="100"/>
      <c r="L86" s="100"/>
      <c r="M86" s="100" t="s">
        <v>939</v>
      </c>
      <c r="N86" s="100" t="s">
        <v>694</v>
      </c>
    </row>
    <row r="87" spans="1:14">
      <c r="A87" s="100"/>
      <c r="B87" s="100"/>
      <c r="C87" s="100"/>
      <c r="D87" s="100"/>
      <c r="E87" s="100"/>
      <c r="F87" s="100" t="s">
        <v>2189</v>
      </c>
      <c r="G87" s="246">
        <v>42</v>
      </c>
      <c r="H87" s="234">
        <v>20034</v>
      </c>
      <c r="I87" s="129"/>
      <c r="J87" s="100"/>
      <c r="K87" s="100"/>
      <c r="L87" s="100"/>
      <c r="M87" s="100" t="s">
        <v>939</v>
      </c>
      <c r="N87" s="100" t="s">
        <v>694</v>
      </c>
    </row>
    <row r="88" spans="1:14">
      <c r="A88" s="100"/>
      <c r="B88" s="100"/>
      <c r="C88" s="100"/>
      <c r="D88" s="100"/>
      <c r="E88" s="100"/>
      <c r="F88" s="100" t="s">
        <v>2190</v>
      </c>
      <c r="G88" s="246">
        <v>60</v>
      </c>
      <c r="H88" s="234">
        <v>28620</v>
      </c>
      <c r="I88" s="129"/>
      <c r="J88" s="100"/>
      <c r="K88" s="100"/>
      <c r="L88" s="100"/>
      <c r="M88" s="100" t="s">
        <v>939</v>
      </c>
      <c r="N88" s="100" t="s">
        <v>694</v>
      </c>
    </row>
    <row r="89" spans="1:14">
      <c r="A89" s="100"/>
      <c r="B89" s="100"/>
      <c r="C89" s="100"/>
      <c r="D89" s="100"/>
      <c r="E89" s="100"/>
      <c r="F89" s="100" t="s">
        <v>2191</v>
      </c>
      <c r="G89" s="246">
        <v>60</v>
      </c>
      <c r="H89" s="234">
        <v>19200</v>
      </c>
      <c r="I89" s="129"/>
      <c r="J89" s="100"/>
      <c r="K89" s="100"/>
      <c r="L89" s="100"/>
      <c r="M89" s="100" t="s">
        <v>939</v>
      </c>
      <c r="N89" s="100" t="s">
        <v>694</v>
      </c>
    </row>
    <row r="90" spans="1:14">
      <c r="A90" s="100"/>
      <c r="B90" s="100"/>
      <c r="C90" s="100"/>
      <c r="D90" s="100"/>
      <c r="E90" s="100"/>
      <c r="F90" s="100" t="s">
        <v>2192</v>
      </c>
      <c r="G90" s="246">
        <v>60</v>
      </c>
      <c r="H90" s="234">
        <v>19200</v>
      </c>
      <c r="I90" s="129"/>
      <c r="J90" s="100"/>
      <c r="K90" s="100"/>
      <c r="L90" s="100"/>
      <c r="M90" s="100" t="s">
        <v>939</v>
      </c>
      <c r="N90" s="100" t="s">
        <v>694</v>
      </c>
    </row>
    <row r="91" spans="1:14">
      <c r="A91" s="100"/>
      <c r="B91" s="100"/>
      <c r="C91" s="100"/>
      <c r="D91" s="100"/>
      <c r="E91" s="100"/>
      <c r="F91" s="100" t="s">
        <v>2193</v>
      </c>
      <c r="G91" s="246">
        <v>48</v>
      </c>
      <c r="H91" s="234">
        <v>15360</v>
      </c>
      <c r="I91" s="129"/>
      <c r="J91" s="100"/>
      <c r="K91" s="100"/>
      <c r="L91" s="100"/>
      <c r="M91" s="100" t="s">
        <v>939</v>
      </c>
      <c r="N91" s="100" t="s">
        <v>694</v>
      </c>
    </row>
    <row r="92" spans="1:14">
      <c r="A92" s="100"/>
      <c r="B92" s="100"/>
      <c r="C92" s="100"/>
      <c r="D92" s="100"/>
      <c r="E92" s="100"/>
      <c r="F92" s="100"/>
      <c r="G92" s="246"/>
      <c r="H92" s="235">
        <f>SUM(H79:H91)</f>
        <v>558996</v>
      </c>
      <c r="I92" s="129"/>
      <c r="J92" s="100"/>
      <c r="K92" s="100"/>
      <c r="L92" s="100"/>
      <c r="M92" s="100" t="s">
        <v>939</v>
      </c>
      <c r="N92" s="100" t="s">
        <v>694</v>
      </c>
    </row>
    <row r="93" spans="1:14" s="165" customFormat="1" ht="30">
      <c r="A93" s="141">
        <v>45839</v>
      </c>
      <c r="B93" s="142" t="s">
        <v>2278</v>
      </c>
      <c r="C93" s="142" t="s">
        <v>888</v>
      </c>
      <c r="D93" s="142" t="s">
        <v>2279</v>
      </c>
      <c r="E93" s="142" t="s">
        <v>890</v>
      </c>
      <c r="F93" s="163" t="s">
        <v>2280</v>
      </c>
      <c r="G93" s="239" t="s">
        <v>2284</v>
      </c>
      <c r="H93" s="238">
        <v>2436046.86</v>
      </c>
      <c r="I93" s="164"/>
      <c r="J93" s="141">
        <v>45839</v>
      </c>
      <c r="K93" s="142" t="s">
        <v>1633</v>
      </c>
      <c r="L93" s="142"/>
      <c r="M93" s="100" t="s">
        <v>939</v>
      </c>
      <c r="N93" s="100" t="s">
        <v>694</v>
      </c>
    </row>
    <row r="94" spans="1:14" s="165" customFormat="1" ht="120">
      <c r="A94" s="249" t="s">
        <v>2306</v>
      </c>
      <c r="B94" s="142" t="s">
        <v>2307</v>
      </c>
      <c r="C94" s="142" t="s">
        <v>888</v>
      </c>
      <c r="D94" s="142" t="s">
        <v>2308</v>
      </c>
      <c r="E94" s="142" t="s">
        <v>1517</v>
      </c>
      <c r="F94" s="163" t="s">
        <v>2309</v>
      </c>
      <c r="G94" s="239" t="s">
        <v>2310</v>
      </c>
      <c r="H94" s="238"/>
      <c r="I94" s="164">
        <v>31928.400000000001</v>
      </c>
      <c r="J94" s="141">
        <v>45839</v>
      </c>
      <c r="K94" s="142" t="s">
        <v>1633</v>
      </c>
      <c r="L94" s="142"/>
      <c r="M94" s="100" t="s">
        <v>939</v>
      </c>
      <c r="N94" s="100" t="s">
        <v>694</v>
      </c>
    </row>
    <row r="95" spans="1:14" s="165" customFormat="1">
      <c r="A95" s="141">
        <v>45839</v>
      </c>
      <c r="B95" s="142" t="s">
        <v>2296</v>
      </c>
      <c r="C95" s="142" t="s">
        <v>888</v>
      </c>
      <c r="D95" s="142" t="s">
        <v>2297</v>
      </c>
      <c r="E95" s="100" t="s">
        <v>942</v>
      </c>
      <c r="F95" s="163" t="s">
        <v>2298</v>
      </c>
      <c r="G95" s="239">
        <v>2000</v>
      </c>
      <c r="H95" s="238">
        <v>276000</v>
      </c>
      <c r="I95" s="164"/>
      <c r="J95" s="141">
        <v>45839</v>
      </c>
      <c r="K95" s="142" t="s">
        <v>1633</v>
      </c>
      <c r="L95" s="142"/>
      <c r="M95" s="100" t="s">
        <v>939</v>
      </c>
      <c r="N95" s="100" t="s">
        <v>694</v>
      </c>
    </row>
    <row r="96" spans="1:14" s="165" customFormat="1">
      <c r="A96" s="141">
        <v>45839</v>
      </c>
      <c r="B96" s="142" t="s">
        <v>2303</v>
      </c>
      <c r="C96" s="142" t="s">
        <v>888</v>
      </c>
      <c r="D96" s="142" t="s">
        <v>2304</v>
      </c>
      <c r="E96" s="142" t="s">
        <v>2301</v>
      </c>
      <c r="F96" s="163" t="s">
        <v>2305</v>
      </c>
      <c r="G96" s="247">
        <v>50000</v>
      </c>
      <c r="H96" s="238">
        <v>12900000</v>
      </c>
      <c r="I96" s="164"/>
      <c r="J96" s="141">
        <v>45870</v>
      </c>
      <c r="K96" s="142" t="s">
        <v>1633</v>
      </c>
      <c r="L96" s="142"/>
      <c r="M96" s="100" t="s">
        <v>939</v>
      </c>
      <c r="N96" s="100" t="s">
        <v>694</v>
      </c>
    </row>
    <row r="97" spans="1:14" s="165" customFormat="1">
      <c r="A97" s="141">
        <v>45839</v>
      </c>
      <c r="B97" s="142" t="s">
        <v>2290</v>
      </c>
      <c r="C97" s="142" t="s">
        <v>888</v>
      </c>
      <c r="D97" s="142" t="s">
        <v>2291</v>
      </c>
      <c r="E97" s="100" t="s">
        <v>979</v>
      </c>
      <c r="F97" s="163" t="s">
        <v>1676</v>
      </c>
      <c r="G97" s="239">
        <v>10000</v>
      </c>
      <c r="H97" s="238">
        <v>55000</v>
      </c>
      <c r="I97" s="164"/>
      <c r="J97" s="141">
        <v>45870</v>
      </c>
      <c r="K97" s="142" t="s">
        <v>1633</v>
      </c>
      <c r="L97" s="142"/>
      <c r="M97" s="100" t="s">
        <v>939</v>
      </c>
      <c r="N97" s="100" t="s">
        <v>694</v>
      </c>
    </row>
    <row r="98" spans="1:14">
      <c r="A98" s="128">
        <v>45840</v>
      </c>
      <c r="B98" s="100" t="s">
        <v>2195</v>
      </c>
      <c r="C98" s="100" t="s">
        <v>888</v>
      </c>
      <c r="D98" s="100" t="s">
        <v>2196</v>
      </c>
      <c r="E98" s="100" t="s">
        <v>934</v>
      </c>
      <c r="F98" s="100" t="s">
        <v>2197</v>
      </c>
      <c r="G98" s="241">
        <v>1000</v>
      </c>
      <c r="H98" s="129">
        <v>245300</v>
      </c>
      <c r="I98" s="129"/>
      <c r="J98" s="128">
        <v>45845</v>
      </c>
      <c r="K98" s="100" t="s">
        <v>2198</v>
      </c>
      <c r="L98" s="100"/>
      <c r="M98" s="100" t="s">
        <v>939</v>
      </c>
      <c r="N98" s="100" t="s">
        <v>694</v>
      </c>
    </row>
    <row r="99" spans="1:14">
      <c r="A99" s="128">
        <v>45896</v>
      </c>
      <c r="B99" s="100" t="s">
        <v>2826</v>
      </c>
      <c r="C99" s="100" t="s">
        <v>888</v>
      </c>
      <c r="D99" s="100" t="s">
        <v>2828</v>
      </c>
      <c r="E99" s="100" t="s">
        <v>964</v>
      </c>
      <c r="F99" s="100" t="s">
        <v>2831</v>
      </c>
      <c r="G99" s="241">
        <v>200</v>
      </c>
      <c r="H99" s="129">
        <v>12580</v>
      </c>
      <c r="I99" s="129"/>
      <c r="J99" s="128">
        <v>45896</v>
      </c>
      <c r="K99" s="100" t="s">
        <v>2717</v>
      </c>
      <c r="L99" s="100"/>
      <c r="M99" s="100" t="s">
        <v>939</v>
      </c>
      <c r="N99" s="100" t="s">
        <v>694</v>
      </c>
    </row>
    <row r="100" spans="1:14">
      <c r="A100" s="128">
        <v>45884</v>
      </c>
      <c r="B100" s="100" t="s">
        <v>2758</v>
      </c>
      <c r="C100" s="100" t="s">
        <v>888</v>
      </c>
      <c r="D100" s="100" t="s">
        <v>2759</v>
      </c>
      <c r="E100" s="100" t="s">
        <v>2760</v>
      </c>
      <c r="F100" s="130" t="s">
        <v>2761</v>
      </c>
      <c r="G100" s="241"/>
      <c r="H100" s="129">
        <v>3179741.44</v>
      </c>
      <c r="I100" s="129"/>
      <c r="J100" s="128">
        <v>45887</v>
      </c>
      <c r="K100" s="100" t="s">
        <v>2717</v>
      </c>
      <c r="L100" s="100"/>
      <c r="M100" s="100" t="s">
        <v>939</v>
      </c>
      <c r="N100" s="100" t="s">
        <v>694</v>
      </c>
    </row>
    <row r="101" spans="1:14">
      <c r="A101" s="128">
        <v>45877</v>
      </c>
      <c r="B101" s="100" t="s">
        <v>2731</v>
      </c>
      <c r="C101" s="100" t="s">
        <v>888</v>
      </c>
      <c r="D101" s="100" t="s">
        <v>2732</v>
      </c>
      <c r="E101" s="100" t="s">
        <v>988</v>
      </c>
      <c r="F101" s="100" t="s">
        <v>2726</v>
      </c>
      <c r="G101" s="241">
        <v>9547</v>
      </c>
      <c r="H101" s="129">
        <v>358012.5</v>
      </c>
      <c r="I101" s="129"/>
      <c r="J101" s="128">
        <v>45881</v>
      </c>
      <c r="K101" s="100" t="s">
        <v>2717</v>
      </c>
      <c r="L101" s="100"/>
      <c r="M101" s="100" t="s">
        <v>939</v>
      </c>
      <c r="N101" s="100" t="s">
        <v>24</v>
      </c>
    </row>
    <row r="102" spans="1:14" ht="30">
      <c r="A102" s="128">
        <v>45870</v>
      </c>
      <c r="B102" s="100" t="s">
        <v>2583</v>
      </c>
      <c r="C102" s="100" t="s">
        <v>888</v>
      </c>
      <c r="D102" s="100" t="s">
        <v>2584</v>
      </c>
      <c r="E102" s="100" t="s">
        <v>979</v>
      </c>
      <c r="F102" s="130" t="s">
        <v>2585</v>
      </c>
      <c r="G102" s="241">
        <v>10000</v>
      </c>
      <c r="H102" s="129">
        <v>151000</v>
      </c>
      <c r="I102" s="129"/>
      <c r="J102" s="128">
        <v>45884</v>
      </c>
      <c r="K102" s="142" t="s">
        <v>1633</v>
      </c>
      <c r="L102" s="100"/>
      <c r="M102" s="100" t="s">
        <v>939</v>
      </c>
      <c r="N102" s="100" t="s">
        <v>694</v>
      </c>
    </row>
    <row r="103" spans="1:14">
      <c r="A103" s="128">
        <v>45870</v>
      </c>
      <c r="B103" s="100" t="s">
        <v>2586</v>
      </c>
      <c r="C103" s="100" t="s">
        <v>888</v>
      </c>
      <c r="D103" s="100" t="s">
        <v>2587</v>
      </c>
      <c r="E103" s="100" t="s">
        <v>1643</v>
      </c>
      <c r="F103" s="100" t="s">
        <v>2588</v>
      </c>
      <c r="G103" s="241">
        <v>25000</v>
      </c>
      <c r="H103" s="129">
        <v>231250</v>
      </c>
      <c r="I103" s="129"/>
      <c r="J103" s="128">
        <v>45894</v>
      </c>
      <c r="K103" s="142" t="s">
        <v>1633</v>
      </c>
      <c r="L103" s="100"/>
      <c r="M103" s="100" t="s">
        <v>939</v>
      </c>
      <c r="N103" s="100" t="s">
        <v>694</v>
      </c>
    </row>
    <row r="104" spans="1:14" ht="60">
      <c r="A104" s="128">
        <v>45861</v>
      </c>
      <c r="B104" s="100" t="s">
        <v>2501</v>
      </c>
      <c r="C104" s="100" t="s">
        <v>888</v>
      </c>
      <c r="D104" s="100" t="s">
        <v>2502</v>
      </c>
      <c r="E104" s="100" t="s">
        <v>955</v>
      </c>
      <c r="F104" s="130" t="s">
        <v>2503</v>
      </c>
      <c r="G104" s="242" t="s">
        <v>2504</v>
      </c>
      <c r="H104" s="129">
        <v>2200</v>
      </c>
      <c r="I104" s="129"/>
      <c r="J104" s="128">
        <v>45877</v>
      </c>
      <c r="K104" s="100"/>
      <c r="L104" s="100"/>
      <c r="M104" s="100" t="s">
        <v>939</v>
      </c>
      <c r="N104" s="100" t="s">
        <v>694</v>
      </c>
    </row>
    <row r="105" spans="1:14" ht="60">
      <c r="A105" s="128">
        <v>45856</v>
      </c>
      <c r="B105" s="100" t="s">
        <v>2426</v>
      </c>
      <c r="C105" s="100" t="s">
        <v>888</v>
      </c>
      <c r="D105" s="100" t="s">
        <v>2427</v>
      </c>
      <c r="E105" s="100" t="s">
        <v>964</v>
      </c>
      <c r="F105" s="130" t="s">
        <v>2429</v>
      </c>
      <c r="G105" s="242" t="s">
        <v>2428</v>
      </c>
      <c r="H105" s="129">
        <v>71700</v>
      </c>
      <c r="I105" s="129"/>
      <c r="J105" s="128">
        <v>45901</v>
      </c>
      <c r="K105" s="100"/>
      <c r="L105" s="100"/>
      <c r="M105" s="100" t="s">
        <v>939</v>
      </c>
      <c r="N105" s="100" t="s">
        <v>24</v>
      </c>
    </row>
    <row r="106" spans="1:14" s="165" customFormat="1" ht="60">
      <c r="A106" s="141">
        <v>45839</v>
      </c>
      <c r="B106" s="142" t="s">
        <v>2768</v>
      </c>
      <c r="C106" s="142" t="s">
        <v>888</v>
      </c>
      <c r="D106" s="142" t="s">
        <v>2769</v>
      </c>
      <c r="E106" s="100" t="s">
        <v>969</v>
      </c>
      <c r="F106" s="163" t="s">
        <v>2770</v>
      </c>
      <c r="G106" s="271" t="s">
        <v>2771</v>
      </c>
      <c r="H106" s="276" t="s">
        <v>2772</v>
      </c>
      <c r="I106" s="261"/>
      <c r="J106" s="141">
        <v>45839</v>
      </c>
      <c r="K106" s="142" t="s">
        <v>1633</v>
      </c>
      <c r="L106" s="142"/>
      <c r="M106" s="100" t="s">
        <v>939</v>
      </c>
      <c r="N106" s="100" t="s">
        <v>24</v>
      </c>
    </row>
    <row r="107" spans="1:14" ht="45">
      <c r="A107" s="141">
        <v>45821</v>
      </c>
      <c r="B107" s="142" t="s">
        <v>2324</v>
      </c>
      <c r="C107" s="142" t="s">
        <v>888</v>
      </c>
      <c r="D107" s="100" t="s">
        <v>2327</v>
      </c>
      <c r="E107" s="100" t="s">
        <v>942</v>
      </c>
      <c r="F107" s="130" t="s">
        <v>1522</v>
      </c>
      <c r="G107" s="259" t="s">
        <v>2325</v>
      </c>
      <c r="H107" s="258">
        <v>816000</v>
      </c>
      <c r="I107" s="258"/>
      <c r="J107" s="141">
        <v>45824</v>
      </c>
      <c r="K107" s="252" t="s">
        <v>1633</v>
      </c>
      <c r="L107" s="100"/>
      <c r="M107" s="100" t="s">
        <v>939</v>
      </c>
      <c r="N107" s="100" t="s">
        <v>694</v>
      </c>
    </row>
    <row r="108" spans="1:14" s="165" customFormat="1">
      <c r="A108" s="141">
        <v>45797</v>
      </c>
      <c r="B108" s="142" t="s">
        <v>2364</v>
      </c>
      <c r="C108" s="142" t="s">
        <v>888</v>
      </c>
      <c r="D108" s="142" t="s">
        <v>2372</v>
      </c>
      <c r="E108" s="142" t="s">
        <v>942</v>
      </c>
      <c r="F108" s="163" t="s">
        <v>2298</v>
      </c>
      <c r="G108" s="262">
        <v>1500</v>
      </c>
      <c r="H108" s="261">
        <v>207000</v>
      </c>
      <c r="I108" s="261"/>
      <c r="J108" s="141">
        <v>45800</v>
      </c>
      <c r="K108" s="142" t="s">
        <v>1633</v>
      </c>
      <c r="L108" s="142"/>
      <c r="M108" s="142" t="s">
        <v>939</v>
      </c>
      <c r="N108" s="142" t="s">
        <v>694</v>
      </c>
    </row>
    <row r="109" spans="1:14" s="165" customFormat="1" ht="30">
      <c r="A109" s="128">
        <v>45807</v>
      </c>
      <c r="B109" s="100" t="s">
        <v>2345</v>
      </c>
      <c r="C109" s="142" t="s">
        <v>888</v>
      </c>
      <c r="D109" s="100" t="s">
        <v>2344</v>
      </c>
      <c r="E109" s="100" t="s">
        <v>942</v>
      </c>
      <c r="F109" s="130" t="s">
        <v>2294</v>
      </c>
      <c r="G109" s="262" t="s">
        <v>2346</v>
      </c>
      <c r="H109" s="258">
        <v>1416000</v>
      </c>
      <c r="I109" s="258"/>
      <c r="J109" s="128">
        <v>45810</v>
      </c>
      <c r="K109" s="142" t="s">
        <v>1633</v>
      </c>
      <c r="L109" s="100"/>
      <c r="M109" s="142" t="s">
        <v>939</v>
      </c>
      <c r="N109" s="100" t="s">
        <v>694</v>
      </c>
    </row>
    <row r="110" spans="1:14">
      <c r="A110" s="128">
        <v>45793</v>
      </c>
      <c r="B110" s="100" t="s">
        <v>1867</v>
      </c>
      <c r="C110" s="142" t="s">
        <v>888</v>
      </c>
      <c r="D110" s="100" t="s">
        <v>1868</v>
      </c>
      <c r="E110" s="100" t="s">
        <v>1517</v>
      </c>
      <c r="F110" s="100" t="s">
        <v>1869</v>
      </c>
      <c r="G110" s="257"/>
      <c r="H110" s="282"/>
      <c r="I110" s="258">
        <v>263471.15000000002</v>
      </c>
      <c r="J110" s="128">
        <v>45803</v>
      </c>
      <c r="K110" s="142" t="s">
        <v>1633</v>
      </c>
      <c r="L110" s="100"/>
      <c r="M110" s="142" t="s">
        <v>939</v>
      </c>
      <c r="N110" s="100" t="s">
        <v>694</v>
      </c>
    </row>
    <row r="111" spans="1:14" s="165" customFormat="1">
      <c r="A111" s="141">
        <v>45784</v>
      </c>
      <c r="B111" s="142" t="s">
        <v>1873</v>
      </c>
      <c r="C111" s="142" t="s">
        <v>888</v>
      </c>
      <c r="D111" s="142" t="s">
        <v>1874</v>
      </c>
      <c r="E111" s="142" t="s">
        <v>1875</v>
      </c>
      <c r="F111" s="163" t="s">
        <v>1876</v>
      </c>
      <c r="G111" s="262">
        <v>50000</v>
      </c>
      <c r="H111" s="261">
        <v>12900000</v>
      </c>
      <c r="I111" s="261"/>
      <c r="J111" s="141">
        <v>45789</v>
      </c>
      <c r="K111" s="142" t="s">
        <v>1633</v>
      </c>
      <c r="L111" s="142"/>
      <c r="M111" s="142" t="s">
        <v>939</v>
      </c>
      <c r="N111" s="142" t="s">
        <v>694</v>
      </c>
    </row>
    <row r="112" spans="1:14" s="165" customFormat="1" ht="75.75" customHeight="1">
      <c r="A112" s="141">
        <v>45741</v>
      </c>
      <c r="B112" s="142" t="s">
        <v>1690</v>
      </c>
      <c r="C112" s="142" t="s">
        <v>888</v>
      </c>
      <c r="D112" s="142" t="s">
        <v>1691</v>
      </c>
      <c r="E112" s="142" t="s">
        <v>969</v>
      </c>
      <c r="F112" s="163" t="s">
        <v>1259</v>
      </c>
      <c r="G112" s="262" t="s">
        <v>1692</v>
      </c>
      <c r="H112" s="261">
        <v>124625</v>
      </c>
      <c r="I112" s="261"/>
      <c r="J112" s="141">
        <v>45778</v>
      </c>
      <c r="K112" s="142" t="s">
        <v>1633</v>
      </c>
      <c r="L112" s="142"/>
      <c r="M112" s="142" t="s">
        <v>939</v>
      </c>
      <c r="N112" s="142" t="s">
        <v>694</v>
      </c>
    </row>
    <row r="113" spans="1:14">
      <c r="A113" s="128">
        <v>45779</v>
      </c>
      <c r="B113" s="100" t="s">
        <v>1735</v>
      </c>
      <c r="C113" s="100" t="s">
        <v>888</v>
      </c>
      <c r="D113" s="100" t="s">
        <v>1736</v>
      </c>
      <c r="E113" s="100" t="s">
        <v>1732</v>
      </c>
      <c r="F113" s="100" t="s">
        <v>1733</v>
      </c>
      <c r="G113" s="257">
        <v>2000400</v>
      </c>
      <c r="H113" s="258">
        <v>75015000</v>
      </c>
      <c r="I113" s="258"/>
      <c r="J113" s="128">
        <v>45809</v>
      </c>
      <c r="K113" s="100" t="s">
        <v>1734</v>
      </c>
      <c r="L113" s="100"/>
      <c r="M113" s="100" t="s">
        <v>939</v>
      </c>
      <c r="N113" s="100" t="s">
        <v>24</v>
      </c>
    </row>
    <row r="114" spans="1:14" s="165" customFormat="1" ht="17.25" customHeight="1">
      <c r="A114" s="128">
        <v>45887</v>
      </c>
      <c r="B114" s="100" t="s">
        <v>2823</v>
      </c>
      <c r="C114" s="100" t="s">
        <v>888</v>
      </c>
      <c r="D114" s="100" t="s">
        <v>2824</v>
      </c>
      <c r="E114" s="100" t="s">
        <v>1682</v>
      </c>
      <c r="F114" s="100" t="s">
        <v>2825</v>
      </c>
      <c r="G114" s="257">
        <v>100000</v>
      </c>
      <c r="H114" s="258">
        <v>50000</v>
      </c>
      <c r="I114" s="258"/>
      <c r="J114" s="128">
        <v>45901</v>
      </c>
      <c r="K114" s="100" t="s">
        <v>2717</v>
      </c>
      <c r="L114" s="100"/>
      <c r="M114" s="100" t="s">
        <v>939</v>
      </c>
      <c r="N114" s="100" t="s">
        <v>694</v>
      </c>
    </row>
    <row r="115" spans="1:14" ht="75">
      <c r="A115" s="141">
        <v>45911</v>
      </c>
      <c r="B115" s="142" t="s">
        <v>3065</v>
      </c>
      <c r="C115" s="142" t="s">
        <v>888</v>
      </c>
      <c r="D115" s="142" t="s">
        <v>3066</v>
      </c>
      <c r="E115" s="142" t="s">
        <v>2981</v>
      </c>
      <c r="F115" s="163" t="s">
        <v>3067</v>
      </c>
      <c r="G115" s="239" t="s">
        <v>3068</v>
      </c>
      <c r="H115" s="164">
        <v>211125</v>
      </c>
      <c r="I115" s="164"/>
      <c r="J115" s="141">
        <v>45915</v>
      </c>
      <c r="K115" s="142" t="s">
        <v>2717</v>
      </c>
      <c r="L115" s="142"/>
      <c r="M115" s="142" t="s">
        <v>939</v>
      </c>
      <c r="N115" s="142" t="s">
        <v>24</v>
      </c>
    </row>
    <row r="116" spans="1:14" s="165" customFormat="1">
      <c r="A116" s="128">
        <v>45910</v>
      </c>
      <c r="B116" s="100" t="s">
        <v>3061</v>
      </c>
      <c r="C116" s="100" t="s">
        <v>888</v>
      </c>
      <c r="D116" s="100" t="s">
        <v>3064</v>
      </c>
      <c r="E116" s="100" t="s">
        <v>3063</v>
      </c>
      <c r="F116" s="100" t="s">
        <v>1996</v>
      </c>
      <c r="G116" s="241">
        <v>4500</v>
      </c>
      <c r="H116" s="129">
        <v>168750</v>
      </c>
      <c r="I116" s="129"/>
      <c r="J116" s="128">
        <v>45912</v>
      </c>
      <c r="K116" s="142" t="s">
        <v>2717</v>
      </c>
      <c r="L116" s="100"/>
      <c r="M116" s="142" t="s">
        <v>939</v>
      </c>
      <c r="N116" s="142" t="s">
        <v>24</v>
      </c>
    </row>
    <row r="117" spans="1:14" s="165" customFormat="1" ht="120">
      <c r="A117" s="141">
        <v>45793</v>
      </c>
      <c r="B117" s="142" t="s">
        <v>2351</v>
      </c>
      <c r="C117" s="142" t="s">
        <v>888</v>
      </c>
      <c r="D117" s="142" t="s">
        <v>2352</v>
      </c>
      <c r="E117" s="142" t="s">
        <v>1510</v>
      </c>
      <c r="F117" s="163" t="s">
        <v>2353</v>
      </c>
      <c r="G117" s="262" t="s">
        <v>2354</v>
      </c>
      <c r="H117" s="261">
        <v>1008650</v>
      </c>
      <c r="I117" s="261"/>
      <c r="J117" s="141">
        <v>45839</v>
      </c>
      <c r="K117" s="142" t="s">
        <v>1633</v>
      </c>
      <c r="L117" s="142"/>
      <c r="M117" s="142"/>
      <c r="N117" s="142"/>
    </row>
    <row r="118" spans="1:14">
      <c r="A118" s="128">
        <v>45887</v>
      </c>
      <c r="B118" s="100" t="s">
        <v>2837</v>
      </c>
      <c r="C118" s="100" t="s">
        <v>888</v>
      </c>
      <c r="D118" s="100" t="s">
        <v>2838</v>
      </c>
      <c r="E118" s="100" t="s">
        <v>1245</v>
      </c>
      <c r="F118" s="100" t="s">
        <v>2839</v>
      </c>
      <c r="G118" s="241">
        <v>240</v>
      </c>
      <c r="H118" s="129">
        <v>86922</v>
      </c>
      <c r="I118" s="129"/>
      <c r="J118" s="128">
        <v>45887</v>
      </c>
      <c r="K118" s="142" t="s">
        <v>2717</v>
      </c>
      <c r="L118" s="100"/>
      <c r="M118" s="142" t="s">
        <v>939</v>
      </c>
      <c r="N118" s="100" t="s">
        <v>694</v>
      </c>
    </row>
    <row r="119" spans="1:14" ht="45">
      <c r="A119" s="141">
        <v>45884</v>
      </c>
      <c r="B119" s="142" t="s">
        <v>2763</v>
      </c>
      <c r="C119" s="142" t="s">
        <v>888</v>
      </c>
      <c r="D119" s="142" t="s">
        <v>2765</v>
      </c>
      <c r="E119" s="142" t="s">
        <v>1517</v>
      </c>
      <c r="F119" s="163" t="s">
        <v>3083</v>
      </c>
      <c r="G119" s="262" t="s">
        <v>3084</v>
      </c>
      <c r="H119" s="261"/>
      <c r="I119" s="261">
        <v>254717.11</v>
      </c>
      <c r="J119" s="141">
        <v>45887</v>
      </c>
      <c r="K119" s="142" t="s">
        <v>2717</v>
      </c>
      <c r="L119" s="142"/>
      <c r="M119" s="142" t="s">
        <v>939</v>
      </c>
      <c r="N119" s="142" t="s">
        <v>694</v>
      </c>
    </row>
    <row r="120" spans="1:14" ht="150">
      <c r="A120" s="128">
        <v>45884</v>
      </c>
      <c r="B120" s="100" t="s">
        <v>2762</v>
      </c>
      <c r="C120" s="100" t="s">
        <v>888</v>
      </c>
      <c r="D120" s="100" t="s">
        <v>2764</v>
      </c>
      <c r="E120" s="100" t="s">
        <v>1517</v>
      </c>
      <c r="F120" s="130" t="s">
        <v>3085</v>
      </c>
      <c r="G120" s="259" t="s">
        <v>3086</v>
      </c>
      <c r="H120" s="258"/>
      <c r="I120" s="258">
        <v>36422.400000000001</v>
      </c>
      <c r="J120" s="128">
        <v>45887</v>
      </c>
      <c r="K120" s="100" t="s">
        <v>2717</v>
      </c>
      <c r="L120" s="100"/>
      <c r="M120" s="100" t="s">
        <v>939</v>
      </c>
      <c r="N120" s="100" t="s">
        <v>694</v>
      </c>
    </row>
    <row r="121" spans="1:14" s="165" customFormat="1" ht="409.5">
      <c r="A121" s="141">
        <v>45895</v>
      </c>
      <c r="B121" s="142" t="s">
        <v>2833</v>
      </c>
      <c r="C121" s="142" t="s">
        <v>888</v>
      </c>
      <c r="D121" s="142" t="s">
        <v>2834</v>
      </c>
      <c r="E121" s="142" t="s">
        <v>955</v>
      </c>
      <c r="F121" s="163" t="s">
        <v>2835</v>
      </c>
      <c r="G121" s="239" t="s">
        <v>2836</v>
      </c>
      <c r="H121" s="164">
        <v>126850</v>
      </c>
      <c r="I121" s="164"/>
      <c r="J121" s="141">
        <v>45908</v>
      </c>
      <c r="K121" s="142" t="s">
        <v>2717</v>
      </c>
      <c r="L121" s="142"/>
      <c r="M121" s="142" t="s">
        <v>939</v>
      </c>
      <c r="N121" s="142" t="s">
        <v>694</v>
      </c>
    </row>
    <row r="122" spans="1:14">
      <c r="A122" s="128">
        <v>45896</v>
      </c>
      <c r="B122" s="100" t="s">
        <v>2827</v>
      </c>
      <c r="C122" s="100" t="s">
        <v>888</v>
      </c>
      <c r="D122" s="100" t="s">
        <v>2829</v>
      </c>
      <c r="E122" s="100" t="s">
        <v>2830</v>
      </c>
      <c r="F122" s="100" t="s">
        <v>2832</v>
      </c>
      <c r="G122" s="257">
        <v>15000</v>
      </c>
      <c r="H122" s="258">
        <f>G122*10.3</f>
        <v>154500</v>
      </c>
      <c r="I122" s="258"/>
      <c r="J122" s="128">
        <v>45901</v>
      </c>
      <c r="K122" s="100" t="s">
        <v>2717</v>
      </c>
      <c r="L122" s="100"/>
      <c r="M122" s="100" t="s">
        <v>939</v>
      </c>
      <c r="N122" s="100" t="s">
        <v>694</v>
      </c>
    </row>
    <row r="123" spans="1:14" s="165" customFormat="1">
      <c r="A123" s="128">
        <v>45901</v>
      </c>
      <c r="B123" s="100" t="s">
        <v>2874</v>
      </c>
      <c r="C123" s="100" t="s">
        <v>888</v>
      </c>
      <c r="D123" s="100" t="s">
        <v>2875</v>
      </c>
      <c r="E123" s="100" t="s">
        <v>1643</v>
      </c>
      <c r="F123" s="100" t="s">
        <v>2876</v>
      </c>
      <c r="G123" s="257">
        <v>600</v>
      </c>
      <c r="H123" s="258">
        <v>37578</v>
      </c>
      <c r="I123" s="258"/>
      <c r="J123" s="128">
        <v>45908</v>
      </c>
      <c r="K123" s="142" t="s">
        <v>2717</v>
      </c>
      <c r="L123" s="100"/>
      <c r="M123" s="142" t="s">
        <v>939</v>
      </c>
      <c r="N123" s="100" t="s">
        <v>694</v>
      </c>
    </row>
    <row r="124" spans="1:14">
      <c r="A124" s="128">
        <v>45910</v>
      </c>
      <c r="B124" s="100" t="s">
        <v>2963</v>
      </c>
      <c r="C124" s="100" t="s">
        <v>888</v>
      </c>
      <c r="D124" s="100" t="s">
        <v>2961</v>
      </c>
      <c r="E124" s="100" t="s">
        <v>2282</v>
      </c>
      <c r="F124" s="100" t="s">
        <v>2964</v>
      </c>
      <c r="G124" s="241">
        <v>50000</v>
      </c>
      <c r="H124" s="129">
        <v>86500</v>
      </c>
      <c r="I124" s="129"/>
      <c r="J124" s="128">
        <v>45922</v>
      </c>
      <c r="K124" s="142" t="s">
        <v>2717</v>
      </c>
      <c r="L124" s="100"/>
      <c r="M124" s="142" t="s">
        <v>939</v>
      </c>
      <c r="N124" s="142" t="s">
        <v>694</v>
      </c>
    </row>
    <row r="125" spans="1:14" s="165" customFormat="1" ht="255">
      <c r="A125" s="141">
        <v>45726</v>
      </c>
      <c r="B125" s="142" t="s">
        <v>1658</v>
      </c>
      <c r="C125" s="142" t="s">
        <v>888</v>
      </c>
      <c r="D125" s="142" t="s">
        <v>1659</v>
      </c>
      <c r="E125" s="142" t="s">
        <v>955</v>
      </c>
      <c r="F125" s="163" t="s">
        <v>1660</v>
      </c>
      <c r="G125" s="262" t="s">
        <v>1661</v>
      </c>
      <c r="H125" s="261">
        <v>671754.5</v>
      </c>
      <c r="I125" s="261"/>
      <c r="J125" s="141">
        <v>45792</v>
      </c>
      <c r="K125" s="309" t="s">
        <v>1662</v>
      </c>
      <c r="L125" s="142"/>
      <c r="M125" s="100" t="s">
        <v>939</v>
      </c>
      <c r="N125" s="142" t="s">
        <v>694</v>
      </c>
    </row>
    <row r="126" spans="1:14" s="165" customFormat="1" ht="45">
      <c r="A126" s="128">
        <v>45821</v>
      </c>
      <c r="B126" s="100" t="s">
        <v>2326</v>
      </c>
      <c r="C126" s="100" t="s">
        <v>888</v>
      </c>
      <c r="D126" s="100" t="s">
        <v>2328</v>
      </c>
      <c r="E126" s="100" t="s">
        <v>2980</v>
      </c>
      <c r="F126" s="130" t="s">
        <v>1522</v>
      </c>
      <c r="G126" s="259" t="s">
        <v>2329</v>
      </c>
      <c r="H126" s="258">
        <v>1357000</v>
      </c>
      <c r="I126" s="258"/>
      <c r="J126" s="128">
        <v>45839</v>
      </c>
      <c r="K126" s="100"/>
      <c r="L126" s="100"/>
      <c r="M126" s="142" t="s">
        <v>939</v>
      </c>
      <c r="N126" s="142" t="s">
        <v>694</v>
      </c>
    </row>
    <row r="127" spans="1:14" ht="60">
      <c r="A127" s="141">
        <v>45832</v>
      </c>
      <c r="B127" s="142" t="s">
        <v>2768</v>
      </c>
      <c r="C127" s="142" t="s">
        <v>888</v>
      </c>
      <c r="D127" s="142" t="s">
        <v>2769</v>
      </c>
      <c r="E127" s="142" t="s">
        <v>2981</v>
      </c>
      <c r="F127" s="163" t="s">
        <v>2982</v>
      </c>
      <c r="G127" s="262" t="s">
        <v>2771</v>
      </c>
      <c r="H127" s="261">
        <v>122475</v>
      </c>
      <c r="I127" s="261"/>
      <c r="J127" s="141">
        <v>45839</v>
      </c>
      <c r="K127" s="142"/>
      <c r="L127" s="142"/>
      <c r="M127" s="142" t="s">
        <v>939</v>
      </c>
      <c r="N127" s="142" t="s">
        <v>24</v>
      </c>
    </row>
    <row r="128" spans="1:14" s="165" customFormat="1">
      <c r="A128" s="128">
        <v>45881</v>
      </c>
      <c r="B128" s="100" t="s">
        <v>2714</v>
      </c>
      <c r="C128" s="100" t="s">
        <v>888</v>
      </c>
      <c r="D128" s="100" t="s">
        <v>2715</v>
      </c>
      <c r="E128" s="100" t="s">
        <v>942</v>
      </c>
      <c r="F128" s="100" t="s">
        <v>2716</v>
      </c>
      <c r="G128" s="257">
        <v>30000</v>
      </c>
      <c r="H128" s="258">
        <v>3390000</v>
      </c>
      <c r="I128" s="258"/>
      <c r="J128" s="128">
        <v>45901</v>
      </c>
      <c r="K128" s="100" t="s">
        <v>2717</v>
      </c>
      <c r="L128" s="100"/>
      <c r="M128" s="100" t="s">
        <v>939</v>
      </c>
      <c r="N128" s="100" t="s">
        <v>694</v>
      </c>
    </row>
    <row r="129" spans="1:14">
      <c r="A129" s="128">
        <v>45877</v>
      </c>
      <c r="B129" s="100" t="s">
        <v>2724</v>
      </c>
      <c r="C129" s="100" t="s">
        <v>888</v>
      </c>
      <c r="D129" s="100" t="s">
        <v>2725</v>
      </c>
      <c r="E129" s="100" t="s">
        <v>1001</v>
      </c>
      <c r="F129" s="100" t="s">
        <v>2726</v>
      </c>
      <c r="G129" s="257">
        <v>9547</v>
      </c>
      <c r="H129" s="258">
        <v>142250.29999999999</v>
      </c>
      <c r="I129" s="258"/>
      <c r="J129" s="128">
        <v>45888</v>
      </c>
      <c r="K129" s="100" t="s">
        <v>2717</v>
      </c>
      <c r="L129" s="100"/>
      <c r="M129" s="100" t="s">
        <v>939</v>
      </c>
      <c r="N129" s="100" t="s">
        <v>24</v>
      </c>
    </row>
    <row r="130" spans="1:14" s="165" customFormat="1">
      <c r="A130" s="128">
        <v>45877</v>
      </c>
      <c r="B130" s="100" t="s">
        <v>2727</v>
      </c>
      <c r="C130" s="100" t="s">
        <v>888</v>
      </c>
      <c r="D130" s="100" t="s">
        <v>2728</v>
      </c>
      <c r="E130" s="100" t="s">
        <v>1001</v>
      </c>
      <c r="F130" s="100" t="s">
        <v>2726</v>
      </c>
      <c r="G130" s="257">
        <v>9547</v>
      </c>
      <c r="H130" s="258">
        <v>142250.29999999999</v>
      </c>
      <c r="I130" s="258"/>
      <c r="J130" s="128">
        <v>45895</v>
      </c>
      <c r="K130" s="100" t="s">
        <v>2717</v>
      </c>
      <c r="L130" s="100"/>
      <c r="M130" s="100" t="s">
        <v>939</v>
      </c>
      <c r="N130" s="100" t="s">
        <v>24</v>
      </c>
    </row>
    <row r="131" spans="1:14">
      <c r="A131" s="128">
        <v>45877</v>
      </c>
      <c r="B131" s="100" t="s">
        <v>2729</v>
      </c>
      <c r="C131" s="100" t="s">
        <v>888</v>
      </c>
      <c r="D131" s="100" t="s">
        <v>2730</v>
      </c>
      <c r="E131" s="100" t="s">
        <v>1001</v>
      </c>
      <c r="F131" s="100" t="s">
        <v>2726</v>
      </c>
      <c r="G131" s="257">
        <v>9547</v>
      </c>
      <c r="H131" s="258">
        <v>142250.29999999999</v>
      </c>
      <c r="I131" s="258"/>
      <c r="J131" s="128">
        <v>45902</v>
      </c>
      <c r="K131" s="100" t="s">
        <v>2717</v>
      </c>
      <c r="L131" s="100"/>
      <c r="M131" s="100" t="s">
        <v>939</v>
      </c>
      <c r="N131" s="100" t="s">
        <v>24</v>
      </c>
    </row>
    <row r="132" spans="1:14" ht="30">
      <c r="A132" s="128">
        <v>45898</v>
      </c>
      <c r="B132" s="100" t="s">
        <v>2853</v>
      </c>
      <c r="C132" s="100" t="s">
        <v>888</v>
      </c>
      <c r="D132" s="100" t="s">
        <v>2854</v>
      </c>
      <c r="E132" s="100" t="s">
        <v>2855</v>
      </c>
      <c r="F132" s="130" t="s">
        <v>2856</v>
      </c>
      <c r="G132" s="259" t="s">
        <v>2857</v>
      </c>
      <c r="H132" s="258">
        <v>466200</v>
      </c>
      <c r="I132" s="258"/>
      <c r="J132" s="128">
        <v>45931</v>
      </c>
      <c r="K132" s="142" t="s">
        <v>2717</v>
      </c>
      <c r="L132" s="100"/>
      <c r="M132" s="142" t="s">
        <v>939</v>
      </c>
      <c r="N132" s="100" t="s">
        <v>694</v>
      </c>
    </row>
    <row r="133" spans="1:14" s="165" customFormat="1" ht="45">
      <c r="A133" s="128">
        <v>45898</v>
      </c>
      <c r="B133" s="100" t="s">
        <v>2858</v>
      </c>
      <c r="C133" s="100" t="s">
        <v>888</v>
      </c>
      <c r="D133" s="100" t="s">
        <v>2859</v>
      </c>
      <c r="E133" s="100" t="s">
        <v>955</v>
      </c>
      <c r="F133" s="130" t="s">
        <v>2860</v>
      </c>
      <c r="G133" s="259" t="s">
        <v>2861</v>
      </c>
      <c r="H133" s="258">
        <v>101500</v>
      </c>
      <c r="I133" s="258"/>
      <c r="J133" s="128">
        <v>45931</v>
      </c>
      <c r="K133" s="142" t="s">
        <v>2717</v>
      </c>
      <c r="L133" s="100"/>
      <c r="M133" s="142" t="s">
        <v>939</v>
      </c>
      <c r="N133" s="100" t="s">
        <v>694</v>
      </c>
    </row>
    <row r="134" spans="1:14">
      <c r="A134" s="128">
        <v>45911</v>
      </c>
      <c r="B134" s="100" t="s">
        <v>2960</v>
      </c>
      <c r="C134" s="100" t="s">
        <v>888</v>
      </c>
      <c r="D134" s="100" t="s">
        <v>2965</v>
      </c>
      <c r="E134" s="100" t="s">
        <v>2282</v>
      </c>
      <c r="F134" s="100" t="s">
        <v>2962</v>
      </c>
      <c r="G134" s="257">
        <v>50000</v>
      </c>
      <c r="H134" s="258">
        <v>115000</v>
      </c>
      <c r="I134" s="258"/>
      <c r="J134" s="128">
        <v>45926</v>
      </c>
      <c r="K134" s="142" t="s">
        <v>2717</v>
      </c>
      <c r="L134" s="100"/>
      <c r="M134" s="142" t="s">
        <v>939</v>
      </c>
      <c r="N134" s="142" t="s">
        <v>694</v>
      </c>
    </row>
    <row r="135" spans="1:14" s="165" customFormat="1" ht="45">
      <c r="A135" s="141">
        <v>45918</v>
      </c>
      <c r="B135" s="142" t="s">
        <v>3104</v>
      </c>
      <c r="C135" s="142" t="s">
        <v>888</v>
      </c>
      <c r="D135" s="142" t="s">
        <v>3105</v>
      </c>
      <c r="E135" s="142" t="s">
        <v>3106</v>
      </c>
      <c r="F135" s="142" t="s">
        <v>3107</v>
      </c>
      <c r="G135" s="260">
        <v>120</v>
      </c>
      <c r="H135" s="261">
        <v>166080</v>
      </c>
      <c r="I135" s="261"/>
      <c r="J135" s="141">
        <v>45945</v>
      </c>
      <c r="K135" s="142" t="s">
        <v>2717</v>
      </c>
      <c r="L135" s="310" t="s">
        <v>3191</v>
      </c>
      <c r="M135" s="142" t="s">
        <v>3190</v>
      </c>
      <c r="N135" s="142" t="s">
        <v>27</v>
      </c>
    </row>
    <row r="136" spans="1:14" s="165" customFormat="1">
      <c r="A136" s="128">
        <v>45922</v>
      </c>
      <c r="B136" s="100" t="s">
        <v>3108</v>
      </c>
      <c r="C136" s="100" t="s">
        <v>888</v>
      </c>
      <c r="D136" s="100" t="s">
        <v>3109</v>
      </c>
      <c r="E136" s="100" t="s">
        <v>1245</v>
      </c>
      <c r="F136" s="100" t="s">
        <v>3110</v>
      </c>
      <c r="G136" s="257">
        <v>400</v>
      </c>
      <c r="H136" s="258">
        <v>144870</v>
      </c>
      <c r="I136" s="258"/>
      <c r="J136" s="128">
        <v>45834</v>
      </c>
      <c r="K136" s="142" t="s">
        <v>2717</v>
      </c>
      <c r="L136" s="100"/>
      <c r="M136" s="142" t="s">
        <v>939</v>
      </c>
      <c r="N136" s="100" t="s">
        <v>24</v>
      </c>
    </row>
    <row r="137" spans="1:14" ht="45">
      <c r="A137" s="128">
        <v>45933</v>
      </c>
      <c r="B137" s="100" t="s">
        <v>3234</v>
      </c>
      <c r="C137" s="100" t="s">
        <v>888</v>
      </c>
      <c r="D137" s="100" t="s">
        <v>3235</v>
      </c>
      <c r="E137" s="100" t="s">
        <v>3236</v>
      </c>
      <c r="F137" s="130" t="s">
        <v>3237</v>
      </c>
      <c r="G137" s="259" t="s">
        <v>3238</v>
      </c>
      <c r="H137" s="258">
        <v>126250</v>
      </c>
      <c r="I137" s="258"/>
      <c r="J137" s="128">
        <v>45945</v>
      </c>
      <c r="K137" s="142" t="s">
        <v>2717</v>
      </c>
      <c r="L137" s="100"/>
      <c r="M137" s="142" t="s">
        <v>939</v>
      </c>
      <c r="N137" s="142" t="s">
        <v>694</v>
      </c>
    </row>
    <row r="138" spans="1:14">
      <c r="A138" s="128">
        <v>45936</v>
      </c>
      <c r="B138" s="100" t="s">
        <v>3283</v>
      </c>
      <c r="C138" s="100" t="s">
        <v>888</v>
      </c>
      <c r="D138" s="100" t="s">
        <v>3284</v>
      </c>
      <c r="E138" s="100" t="s">
        <v>3285</v>
      </c>
      <c r="F138" s="100" t="s">
        <v>1665</v>
      </c>
      <c r="G138" s="257">
        <v>10000</v>
      </c>
      <c r="H138" s="258">
        <v>61500</v>
      </c>
      <c r="I138" s="258"/>
      <c r="J138" s="128">
        <v>45962</v>
      </c>
      <c r="K138" s="142" t="s">
        <v>2717</v>
      </c>
      <c r="L138" s="100"/>
      <c r="M138" s="142" t="s">
        <v>939</v>
      </c>
      <c r="N138" s="142" t="s">
        <v>694</v>
      </c>
    </row>
    <row r="139" spans="1:14">
      <c r="A139" s="128">
        <v>45943</v>
      </c>
      <c r="B139" s="100" t="s">
        <v>3342</v>
      </c>
      <c r="C139" s="100" t="s">
        <v>888</v>
      </c>
      <c r="D139" s="100" t="s">
        <v>3343</v>
      </c>
      <c r="E139" s="100" t="s">
        <v>955</v>
      </c>
      <c r="F139" s="100" t="s">
        <v>1595</v>
      </c>
      <c r="G139" s="257">
        <v>100000</v>
      </c>
      <c r="H139" s="258">
        <v>34000</v>
      </c>
      <c r="I139" s="258"/>
      <c r="J139" s="128">
        <v>45962</v>
      </c>
      <c r="K139" s="142" t="s">
        <v>2717</v>
      </c>
      <c r="L139" s="100"/>
      <c r="M139" s="142" t="s">
        <v>939</v>
      </c>
      <c r="N139" s="142" t="s">
        <v>694</v>
      </c>
    </row>
    <row r="140" spans="1:14">
      <c r="A140" s="128">
        <v>45947</v>
      </c>
      <c r="B140" s="100" t="s">
        <v>3431</v>
      </c>
      <c r="C140" s="100" t="s">
        <v>888</v>
      </c>
      <c r="D140" s="100" t="s">
        <v>3432</v>
      </c>
      <c r="E140" s="100" t="s">
        <v>1995</v>
      </c>
      <c r="F140" s="100" t="s">
        <v>1996</v>
      </c>
      <c r="G140" s="241">
        <v>9547</v>
      </c>
      <c r="H140" s="129">
        <v>142250.29999999999</v>
      </c>
      <c r="I140" s="129"/>
      <c r="J140" s="128">
        <v>45958</v>
      </c>
      <c r="K140" s="142" t="s">
        <v>2717</v>
      </c>
      <c r="L140" s="100"/>
      <c r="M140" s="142" t="s">
        <v>939</v>
      </c>
      <c r="N140" s="100" t="s">
        <v>24</v>
      </c>
    </row>
    <row r="141" spans="1:14">
      <c r="A141" s="128">
        <v>45947</v>
      </c>
      <c r="B141" s="100" t="s">
        <v>3433</v>
      </c>
      <c r="C141" s="100" t="s">
        <v>888</v>
      </c>
      <c r="D141" s="100" t="s">
        <v>3434</v>
      </c>
      <c r="E141" s="100" t="s">
        <v>1995</v>
      </c>
      <c r="F141" s="100" t="s">
        <v>1996</v>
      </c>
      <c r="G141" s="241">
        <v>9547</v>
      </c>
      <c r="H141" s="129">
        <v>142250.29999999999</v>
      </c>
      <c r="I141" s="129"/>
      <c r="J141" s="128">
        <v>45972</v>
      </c>
      <c r="K141" s="142" t="s">
        <v>2717</v>
      </c>
      <c r="L141" s="100"/>
      <c r="M141" s="142" t="s">
        <v>939</v>
      </c>
      <c r="N141" s="100" t="s">
        <v>24</v>
      </c>
    </row>
    <row r="142" spans="1:14">
      <c r="A142" s="128">
        <v>45953</v>
      </c>
      <c r="B142" s="100" t="s">
        <v>3556</v>
      </c>
      <c r="C142" s="100" t="s">
        <v>888</v>
      </c>
      <c r="D142" s="100" t="s">
        <v>3557</v>
      </c>
      <c r="E142" s="100" t="s">
        <v>3558</v>
      </c>
      <c r="F142" s="100" t="s">
        <v>3559</v>
      </c>
      <c r="G142" s="241">
        <v>1</v>
      </c>
      <c r="H142" s="129">
        <v>30000</v>
      </c>
      <c r="I142" s="129"/>
      <c r="J142" s="128">
        <v>45954</v>
      </c>
      <c r="K142" s="142" t="s">
        <v>2717</v>
      </c>
      <c r="L142" s="100"/>
      <c r="M142" s="142" t="s">
        <v>939</v>
      </c>
      <c r="N142" s="142" t="s">
        <v>694</v>
      </c>
    </row>
    <row r="143" spans="1:14">
      <c r="A143" s="128">
        <v>45856</v>
      </c>
      <c r="B143" s="100" t="s">
        <v>2423</v>
      </c>
      <c r="C143" s="100" t="s">
        <v>888</v>
      </c>
      <c r="D143" s="100" t="s">
        <v>2424</v>
      </c>
      <c r="E143" s="100" t="s">
        <v>2425</v>
      </c>
      <c r="F143" s="100" t="s">
        <v>948</v>
      </c>
      <c r="G143" s="257">
        <v>825000</v>
      </c>
      <c r="H143" s="258">
        <v>825000</v>
      </c>
      <c r="I143" s="258"/>
      <c r="J143" s="128">
        <v>45901</v>
      </c>
      <c r="K143" s="100"/>
      <c r="L143" s="100"/>
      <c r="M143" s="100" t="s">
        <v>939</v>
      </c>
      <c r="N143" s="100" t="s">
        <v>24</v>
      </c>
    </row>
    <row r="144" spans="1:14" ht="195">
      <c r="A144" s="128">
        <v>45937</v>
      </c>
      <c r="B144" s="100" t="s">
        <v>3314</v>
      </c>
      <c r="C144" s="100" t="s">
        <v>888</v>
      </c>
      <c r="D144" s="100" t="s">
        <v>3315</v>
      </c>
      <c r="E144" s="100" t="s">
        <v>3316</v>
      </c>
      <c r="F144" s="130" t="s">
        <v>3317</v>
      </c>
      <c r="G144" s="259" t="s">
        <v>3318</v>
      </c>
      <c r="H144" s="258">
        <v>70875</v>
      </c>
      <c r="I144" s="258"/>
      <c r="J144" s="128">
        <v>45940</v>
      </c>
      <c r="K144" s="142" t="s">
        <v>2717</v>
      </c>
      <c r="L144" s="100"/>
      <c r="M144" s="142" t="s">
        <v>939</v>
      </c>
      <c r="N144" s="142" t="s">
        <v>694</v>
      </c>
    </row>
    <row r="145" spans="1:14" ht="165">
      <c r="A145" s="141">
        <v>45954</v>
      </c>
      <c r="B145" s="142" t="s">
        <v>3598</v>
      </c>
      <c r="C145" s="142" t="s">
        <v>3599</v>
      </c>
      <c r="D145" s="142" t="s">
        <v>3600</v>
      </c>
      <c r="E145" s="142" t="s">
        <v>3601</v>
      </c>
      <c r="F145" s="163" t="s">
        <v>3602</v>
      </c>
      <c r="G145" s="262" t="s">
        <v>3603</v>
      </c>
      <c r="H145" s="261">
        <v>429132</v>
      </c>
      <c r="I145" s="261"/>
      <c r="J145" s="141">
        <v>46006</v>
      </c>
      <c r="K145" s="142" t="s">
        <v>2717</v>
      </c>
      <c r="L145" s="142"/>
      <c r="M145" s="142" t="s">
        <v>939</v>
      </c>
      <c r="N145" s="142" t="s">
        <v>27</v>
      </c>
    </row>
    <row r="146" spans="1:14">
      <c r="A146" s="128">
        <v>45957</v>
      </c>
      <c r="B146" s="100" t="s">
        <v>3604</v>
      </c>
      <c r="C146" s="100" t="s">
        <v>888</v>
      </c>
      <c r="D146" s="100" t="s">
        <v>3605</v>
      </c>
      <c r="E146" s="100" t="s">
        <v>3236</v>
      </c>
      <c r="F146" s="100" t="s">
        <v>3606</v>
      </c>
      <c r="G146" s="257">
        <v>5000</v>
      </c>
      <c r="H146" s="282">
        <v>30850</v>
      </c>
      <c r="I146" s="258"/>
      <c r="J146" s="128">
        <v>45962</v>
      </c>
      <c r="K146" s="142" t="s">
        <v>2717</v>
      </c>
      <c r="L146" s="100"/>
      <c r="M146" s="142" t="s">
        <v>939</v>
      </c>
      <c r="N146" s="142" t="s">
        <v>694</v>
      </c>
    </row>
    <row r="147" spans="1:14" s="165" customFormat="1" ht="195">
      <c r="A147" s="141">
        <v>45854</v>
      </c>
      <c r="B147" s="142" t="s">
        <v>2276</v>
      </c>
      <c r="C147" s="142" t="s">
        <v>888</v>
      </c>
      <c r="D147" s="142" t="s">
        <v>2277</v>
      </c>
      <c r="E147" s="142" t="s">
        <v>992</v>
      </c>
      <c r="F147" s="130" t="s">
        <v>2368</v>
      </c>
      <c r="G147" s="262" t="s">
        <v>2369</v>
      </c>
      <c r="H147" s="261">
        <v>5563500</v>
      </c>
      <c r="I147" s="261"/>
      <c r="J147" s="141">
        <v>45839</v>
      </c>
      <c r="K147" s="142" t="s">
        <v>1633</v>
      </c>
      <c r="L147" s="142"/>
      <c r="M147" s="142" t="s">
        <v>939</v>
      </c>
      <c r="N147" s="142" t="s">
        <v>694</v>
      </c>
    </row>
    <row r="148" spans="1:14">
      <c r="A148" s="128">
        <v>45793</v>
      </c>
      <c r="B148" s="100" t="s">
        <v>1861</v>
      </c>
      <c r="C148" s="142" t="s">
        <v>888</v>
      </c>
      <c r="D148" s="100" t="s">
        <v>1862</v>
      </c>
      <c r="E148" s="100" t="s">
        <v>1643</v>
      </c>
      <c r="F148" s="100" t="s">
        <v>1863</v>
      </c>
      <c r="G148" s="257"/>
      <c r="H148" s="258">
        <v>6137480</v>
      </c>
      <c r="I148" s="258"/>
      <c r="J148" s="128">
        <v>45839</v>
      </c>
      <c r="K148" s="142" t="s">
        <v>1633</v>
      </c>
      <c r="L148" s="100"/>
      <c r="M148" s="142" t="s">
        <v>939</v>
      </c>
      <c r="N148" s="100" t="s">
        <v>694</v>
      </c>
    </row>
    <row r="149" spans="1:14">
      <c r="A149" s="128">
        <v>45881</v>
      </c>
      <c r="B149" s="100" t="s">
        <v>2735</v>
      </c>
      <c r="C149" s="100" t="s">
        <v>888</v>
      </c>
      <c r="D149" s="100" t="s">
        <v>2736</v>
      </c>
      <c r="E149" s="100" t="s">
        <v>1732</v>
      </c>
      <c r="F149" s="100" t="s">
        <v>1733</v>
      </c>
      <c r="G149" s="257">
        <v>1008000</v>
      </c>
      <c r="H149" s="258">
        <v>36792000</v>
      </c>
      <c r="I149" s="258"/>
      <c r="J149" s="128">
        <v>45894</v>
      </c>
      <c r="K149" s="100" t="s">
        <v>2717</v>
      </c>
      <c r="L149" s="100"/>
      <c r="M149" s="100" t="s">
        <v>939</v>
      </c>
      <c r="N149" s="100" t="s">
        <v>24</v>
      </c>
    </row>
    <row r="150" spans="1:14">
      <c r="A150" s="128">
        <v>45881</v>
      </c>
      <c r="B150" s="100" t="s">
        <v>2733</v>
      </c>
      <c r="C150" s="100" t="s">
        <v>888</v>
      </c>
      <c r="D150" s="100" t="s">
        <v>2734</v>
      </c>
      <c r="E150" s="100" t="s">
        <v>1732</v>
      </c>
      <c r="F150" s="100" t="s">
        <v>1733</v>
      </c>
      <c r="G150" s="257">
        <v>416000</v>
      </c>
      <c r="H150" s="258">
        <v>15184000</v>
      </c>
      <c r="I150" s="258"/>
      <c r="J150" s="128">
        <v>45894</v>
      </c>
      <c r="K150" s="100" t="s">
        <v>2717</v>
      </c>
      <c r="L150" s="100"/>
      <c r="M150" s="100" t="s">
        <v>939</v>
      </c>
      <c r="N150" s="100" t="s">
        <v>24</v>
      </c>
    </row>
    <row r="151" spans="1:14" s="165" customFormat="1" ht="60">
      <c r="A151" s="141">
        <v>45919</v>
      </c>
      <c r="B151" s="142" t="s">
        <v>3054</v>
      </c>
      <c r="C151" s="142" t="s">
        <v>888</v>
      </c>
      <c r="D151" s="142" t="s">
        <v>3055</v>
      </c>
      <c r="E151" s="142" t="s">
        <v>2981</v>
      </c>
      <c r="F151" s="163" t="s">
        <v>3056</v>
      </c>
      <c r="G151" s="262" t="s">
        <v>3057</v>
      </c>
      <c r="H151" s="261">
        <v>78125</v>
      </c>
      <c r="I151" s="261"/>
      <c r="J151" s="141">
        <v>45931</v>
      </c>
      <c r="K151" s="142" t="s">
        <v>2717</v>
      </c>
      <c r="L151" s="142"/>
      <c r="M151" s="142" t="s">
        <v>939</v>
      </c>
      <c r="N151" s="142" t="s">
        <v>24</v>
      </c>
    </row>
    <row r="152" spans="1:14" ht="30">
      <c r="A152" s="128">
        <v>45937</v>
      </c>
      <c r="B152" s="100" t="s">
        <v>3323</v>
      </c>
      <c r="C152" s="100" t="s">
        <v>888</v>
      </c>
      <c r="D152" s="100" t="s">
        <v>3324</v>
      </c>
      <c r="E152" s="100" t="s">
        <v>3325</v>
      </c>
      <c r="F152" s="130" t="s">
        <v>3326</v>
      </c>
      <c r="G152" s="259" t="s">
        <v>3327</v>
      </c>
      <c r="H152" s="258">
        <v>4791679.2</v>
      </c>
      <c r="I152" s="258"/>
      <c r="J152" s="128">
        <v>45940</v>
      </c>
      <c r="K152" s="142" t="s">
        <v>2717</v>
      </c>
      <c r="L152" s="100"/>
      <c r="M152" s="142" t="s">
        <v>939</v>
      </c>
      <c r="N152" s="142" t="s">
        <v>694</v>
      </c>
    </row>
    <row r="153" spans="1:14" ht="45">
      <c r="A153" s="128">
        <v>45923</v>
      </c>
      <c r="B153" s="100" t="s">
        <v>3139</v>
      </c>
      <c r="C153" s="100" t="s">
        <v>888</v>
      </c>
      <c r="D153" s="100" t="s">
        <v>3140</v>
      </c>
      <c r="E153" s="100" t="s">
        <v>3141</v>
      </c>
      <c r="F153" s="130" t="s">
        <v>3142</v>
      </c>
      <c r="G153" s="259" t="s">
        <v>3143</v>
      </c>
      <c r="H153" s="258">
        <v>125371</v>
      </c>
      <c r="I153" s="258"/>
      <c r="J153" s="128">
        <v>45962</v>
      </c>
      <c r="K153" s="142" t="s">
        <v>2717</v>
      </c>
      <c r="L153" s="100"/>
      <c r="M153" s="142" t="s">
        <v>939</v>
      </c>
      <c r="N153" s="100" t="s">
        <v>694</v>
      </c>
    </row>
    <row r="154" spans="1:14" ht="45">
      <c r="A154" s="128">
        <v>45923</v>
      </c>
      <c r="B154" s="100" t="s">
        <v>3135</v>
      </c>
      <c r="C154" s="100" t="s">
        <v>888</v>
      </c>
      <c r="D154" s="100" t="s">
        <v>3136</v>
      </c>
      <c r="E154" s="100" t="s">
        <v>2498</v>
      </c>
      <c r="F154" s="130" t="s">
        <v>3137</v>
      </c>
      <c r="G154" s="259" t="s">
        <v>3138</v>
      </c>
      <c r="H154" s="258">
        <v>140500</v>
      </c>
      <c r="I154" s="258"/>
      <c r="J154" s="128">
        <v>45976</v>
      </c>
      <c r="K154" s="142" t="s">
        <v>2717</v>
      </c>
      <c r="L154" s="100"/>
      <c r="M154" s="142" t="s">
        <v>939</v>
      </c>
      <c r="N154" s="100" t="s">
        <v>694</v>
      </c>
    </row>
    <row r="155" spans="1:14" s="165" customFormat="1" ht="30">
      <c r="A155" s="141">
        <v>45931</v>
      </c>
      <c r="B155" s="142" t="s">
        <v>3219</v>
      </c>
      <c r="C155" s="142" t="s">
        <v>888</v>
      </c>
      <c r="D155" s="142" t="s">
        <v>3220</v>
      </c>
      <c r="E155" s="142" t="s">
        <v>1643</v>
      </c>
      <c r="F155" s="163" t="s">
        <v>3221</v>
      </c>
      <c r="G155" s="262" t="s">
        <v>1645</v>
      </c>
      <c r="H155" s="261">
        <v>507500</v>
      </c>
      <c r="I155" s="261"/>
      <c r="J155" s="141">
        <v>45992</v>
      </c>
      <c r="K155" s="142" t="s">
        <v>2717</v>
      </c>
      <c r="L155" s="142"/>
      <c r="M155" s="142" t="s">
        <v>939</v>
      </c>
      <c r="N155" s="142" t="s">
        <v>694</v>
      </c>
    </row>
    <row r="156" spans="1:14">
      <c r="A156" s="128">
        <v>45947</v>
      </c>
      <c r="B156" s="100" t="s">
        <v>3435</v>
      </c>
      <c r="C156" s="100" t="s">
        <v>888</v>
      </c>
      <c r="D156" s="100" t="s">
        <v>3436</v>
      </c>
      <c r="E156" s="100" t="s">
        <v>1995</v>
      </c>
      <c r="F156" s="100" t="s">
        <v>1996</v>
      </c>
      <c r="G156" s="257">
        <v>9547</v>
      </c>
      <c r="H156" s="258">
        <v>142250.29999999999</v>
      </c>
      <c r="I156" s="258"/>
      <c r="J156" s="128">
        <v>45981</v>
      </c>
      <c r="K156" s="142" t="s">
        <v>2717</v>
      </c>
      <c r="L156" s="100"/>
      <c r="M156" s="142" t="s">
        <v>939</v>
      </c>
      <c r="N156" s="100" t="s">
        <v>24</v>
      </c>
    </row>
    <row r="157" spans="1:14">
      <c r="A157" s="128">
        <v>45947</v>
      </c>
      <c r="B157" s="100" t="s">
        <v>3450</v>
      </c>
      <c r="C157" s="100" t="s">
        <v>888</v>
      </c>
      <c r="D157" s="100" t="s">
        <v>3451</v>
      </c>
      <c r="E157" s="100" t="s">
        <v>3449</v>
      </c>
      <c r="F157" s="100" t="s">
        <v>1996</v>
      </c>
      <c r="G157" s="257">
        <v>9547</v>
      </c>
      <c r="H157" s="258">
        <v>358012.5</v>
      </c>
      <c r="I157" s="258"/>
      <c r="J157" s="128">
        <v>46000</v>
      </c>
      <c r="K157" s="142" t="s">
        <v>2717</v>
      </c>
      <c r="L157" s="100"/>
      <c r="M157" s="142" t="s">
        <v>939</v>
      </c>
      <c r="N157" s="100" t="s">
        <v>24</v>
      </c>
    </row>
    <row r="158" spans="1:14" ht="45">
      <c r="A158" s="128">
        <v>45988</v>
      </c>
      <c r="B158" s="100" t="s">
        <v>3832</v>
      </c>
      <c r="C158" s="100" t="s">
        <v>888</v>
      </c>
      <c r="D158" s="100" t="s">
        <v>3833</v>
      </c>
      <c r="E158" s="100" t="s">
        <v>3325</v>
      </c>
      <c r="F158" s="130" t="s">
        <v>3834</v>
      </c>
      <c r="G158" s="259" t="s">
        <v>3676</v>
      </c>
      <c r="H158" s="258">
        <v>3636316.98</v>
      </c>
      <c r="I158" s="258"/>
      <c r="J158" s="128">
        <v>46027</v>
      </c>
      <c r="K158" s="142" t="s">
        <v>1633</v>
      </c>
      <c r="L158" s="100"/>
      <c r="M158" s="142" t="s">
        <v>939</v>
      </c>
      <c r="N158" s="100" t="s">
        <v>694</v>
      </c>
    </row>
    <row r="159" spans="1:14" s="165" customFormat="1">
      <c r="A159" s="128">
        <v>45957</v>
      </c>
      <c r="B159" s="100" t="s">
        <v>3607</v>
      </c>
      <c r="C159" s="100" t="s">
        <v>888</v>
      </c>
      <c r="D159" s="100" t="s">
        <v>3608</v>
      </c>
      <c r="E159" s="100" t="s">
        <v>3236</v>
      </c>
      <c r="F159" s="100" t="s">
        <v>3288</v>
      </c>
      <c r="G159" s="257">
        <v>5000</v>
      </c>
      <c r="H159" s="258">
        <v>30850</v>
      </c>
      <c r="I159" s="258"/>
      <c r="J159" s="128">
        <v>45957</v>
      </c>
      <c r="K159" s="142" t="s">
        <v>2717</v>
      </c>
      <c r="L159" s="100"/>
      <c r="M159" s="142" t="s">
        <v>939</v>
      </c>
      <c r="N159" s="142" t="s">
        <v>694</v>
      </c>
    </row>
    <row r="160" spans="1:14" s="165" customFormat="1">
      <c r="A160" s="128">
        <v>45947</v>
      </c>
      <c r="B160" s="100" t="s">
        <v>3437</v>
      </c>
      <c r="C160" s="100" t="s">
        <v>888</v>
      </c>
      <c r="D160" s="100" t="s">
        <v>3438</v>
      </c>
      <c r="E160" s="100" t="s">
        <v>1995</v>
      </c>
      <c r="F160" s="100" t="s">
        <v>1996</v>
      </c>
      <c r="G160" s="257">
        <v>9547</v>
      </c>
      <c r="H160" s="258">
        <v>142250.29999999999</v>
      </c>
      <c r="I160" s="258"/>
      <c r="J160" s="128">
        <v>45989</v>
      </c>
      <c r="K160" s="142" t="s">
        <v>2717</v>
      </c>
      <c r="L160" s="100"/>
      <c r="M160" s="142" t="s">
        <v>939</v>
      </c>
      <c r="N160" s="100" t="s">
        <v>24</v>
      </c>
    </row>
    <row r="161" spans="1:14" ht="45">
      <c r="A161" s="141">
        <v>45929</v>
      </c>
      <c r="B161" s="142" t="s">
        <v>3181</v>
      </c>
      <c r="C161" s="142" t="s">
        <v>888</v>
      </c>
      <c r="D161" s="142" t="s">
        <v>3182</v>
      </c>
      <c r="E161" s="142" t="s">
        <v>2980</v>
      </c>
      <c r="F161" s="163" t="s">
        <v>1522</v>
      </c>
      <c r="G161" s="262" t="s">
        <v>3183</v>
      </c>
      <c r="H161" s="261">
        <v>1054500</v>
      </c>
      <c r="I161" s="261"/>
      <c r="J161" s="141">
        <v>45929</v>
      </c>
      <c r="K161" s="142" t="s">
        <v>2717</v>
      </c>
      <c r="L161" s="142"/>
      <c r="M161" s="142" t="s">
        <v>939</v>
      </c>
      <c r="N161" s="142" t="s">
        <v>694</v>
      </c>
    </row>
    <row r="162" spans="1:14" s="165" customFormat="1">
      <c r="A162" s="128">
        <v>45810</v>
      </c>
      <c r="B162" s="100" t="s">
        <v>2937</v>
      </c>
      <c r="C162" s="100" t="s">
        <v>888</v>
      </c>
      <c r="D162" s="100" t="s">
        <v>2938</v>
      </c>
      <c r="E162" s="100" t="s">
        <v>2939</v>
      </c>
      <c r="F162" s="100" t="s">
        <v>2940</v>
      </c>
      <c r="G162" s="257">
        <v>1000</v>
      </c>
      <c r="H162" s="258">
        <v>282095</v>
      </c>
      <c r="I162" s="258"/>
      <c r="J162" s="128">
        <v>45812</v>
      </c>
      <c r="K162" s="100"/>
      <c r="L162" s="100"/>
      <c r="M162" s="142" t="s">
        <v>939</v>
      </c>
      <c r="N162" s="100" t="s">
        <v>27</v>
      </c>
    </row>
    <row r="163" spans="1:14" ht="225">
      <c r="A163" s="141">
        <v>45903</v>
      </c>
      <c r="B163" s="142" t="s">
        <v>2907</v>
      </c>
      <c r="C163" s="142" t="s">
        <v>888</v>
      </c>
      <c r="D163" s="142" t="s">
        <v>2908</v>
      </c>
      <c r="E163" s="142" t="s">
        <v>1510</v>
      </c>
      <c r="F163" s="163" t="s">
        <v>2912</v>
      </c>
      <c r="G163" s="262" t="s">
        <v>2909</v>
      </c>
      <c r="H163" s="261">
        <v>2312000</v>
      </c>
      <c r="I163" s="261"/>
      <c r="J163" s="141">
        <v>45926</v>
      </c>
      <c r="K163" s="142" t="s">
        <v>1633</v>
      </c>
      <c r="L163" s="142"/>
      <c r="M163" s="142" t="s">
        <v>939</v>
      </c>
      <c r="N163" s="142" t="s">
        <v>694</v>
      </c>
    </row>
    <row r="164" spans="1:14">
      <c r="A164" s="128">
        <v>45911</v>
      </c>
      <c r="B164" s="100" t="s">
        <v>2956</v>
      </c>
      <c r="C164" s="100" t="s">
        <v>888</v>
      </c>
      <c r="D164" s="100" t="s">
        <v>2957</v>
      </c>
      <c r="E164" s="100" t="s">
        <v>2958</v>
      </c>
      <c r="F164" s="100" t="s">
        <v>2959</v>
      </c>
      <c r="G164" s="257">
        <v>30000</v>
      </c>
      <c r="H164" s="258">
        <v>3390000</v>
      </c>
      <c r="I164" s="258"/>
      <c r="J164" s="128">
        <v>45931</v>
      </c>
      <c r="K164" s="142" t="s">
        <v>2717</v>
      </c>
      <c r="L164" s="100"/>
      <c r="M164" s="142" t="s">
        <v>939</v>
      </c>
      <c r="N164" s="142" t="s">
        <v>694</v>
      </c>
    </row>
    <row r="165" spans="1:14" s="165" customFormat="1" ht="45">
      <c r="A165" s="128">
        <v>45937</v>
      </c>
      <c r="B165" s="100" t="s">
        <v>3319</v>
      </c>
      <c r="C165" s="100" t="s">
        <v>888</v>
      </c>
      <c r="D165" s="100" t="s">
        <v>3320</v>
      </c>
      <c r="E165" s="100" t="s">
        <v>3316</v>
      </c>
      <c r="F165" s="130" t="s">
        <v>3083</v>
      </c>
      <c r="G165" s="259" t="s">
        <v>3321</v>
      </c>
      <c r="H165" s="258">
        <v>445437.28</v>
      </c>
      <c r="I165" s="258"/>
      <c r="J165" s="128">
        <v>45940</v>
      </c>
      <c r="K165" s="142" t="s">
        <v>2717</v>
      </c>
      <c r="L165" s="100"/>
      <c r="M165" s="142" t="s">
        <v>939</v>
      </c>
      <c r="N165" s="142" t="s">
        <v>694</v>
      </c>
    </row>
    <row r="166" spans="1:14" s="165" customFormat="1" ht="90.75" customHeight="1">
      <c r="A166" s="141">
        <v>45931</v>
      </c>
      <c r="B166" s="142" t="s">
        <v>3222</v>
      </c>
      <c r="C166" s="142" t="s">
        <v>888</v>
      </c>
      <c r="D166" s="142" t="s">
        <v>3223</v>
      </c>
      <c r="E166" s="142" t="s">
        <v>2980</v>
      </c>
      <c r="F166" s="163" t="s">
        <v>1522</v>
      </c>
      <c r="G166" s="262" t="s">
        <v>3224</v>
      </c>
      <c r="H166" s="261">
        <v>1487500</v>
      </c>
      <c r="I166" s="261"/>
      <c r="J166" s="141">
        <v>45940</v>
      </c>
      <c r="K166" s="142" t="s">
        <v>2717</v>
      </c>
      <c r="L166" s="142"/>
      <c r="M166" s="142" t="s">
        <v>939</v>
      </c>
      <c r="N166" s="142" t="s">
        <v>694</v>
      </c>
    </row>
    <row r="167" spans="1:14" ht="60">
      <c r="A167" s="141">
        <v>45947</v>
      </c>
      <c r="B167" s="142" t="s">
        <v>3452</v>
      </c>
      <c r="C167" s="142" t="s">
        <v>888</v>
      </c>
      <c r="D167" s="142" t="s">
        <v>3453</v>
      </c>
      <c r="E167" s="142" t="s">
        <v>2981</v>
      </c>
      <c r="F167" s="163" t="s">
        <v>3056</v>
      </c>
      <c r="G167" s="262" t="s">
        <v>3454</v>
      </c>
      <c r="H167" s="261">
        <v>75125</v>
      </c>
      <c r="I167" s="261"/>
      <c r="J167" s="141">
        <v>45962</v>
      </c>
      <c r="K167" s="142" t="s">
        <v>2717</v>
      </c>
      <c r="L167" s="142"/>
      <c r="M167" s="142" t="s">
        <v>939</v>
      </c>
      <c r="N167" s="142" t="s">
        <v>24</v>
      </c>
    </row>
    <row r="168" spans="1:14">
      <c r="A168" s="128">
        <v>45947</v>
      </c>
      <c r="B168" s="100" t="s">
        <v>3447</v>
      </c>
      <c r="C168" s="100" t="s">
        <v>888</v>
      </c>
      <c r="D168" s="100" t="s">
        <v>3448</v>
      </c>
      <c r="E168" s="100" t="s">
        <v>3449</v>
      </c>
      <c r="F168" s="100" t="s">
        <v>1996</v>
      </c>
      <c r="G168" s="257">
        <v>9547</v>
      </c>
      <c r="H168" s="258">
        <v>358012.5</v>
      </c>
      <c r="I168" s="258"/>
      <c r="J168" s="128">
        <v>45986</v>
      </c>
      <c r="K168" s="142" t="s">
        <v>2717</v>
      </c>
      <c r="L168" s="100"/>
      <c r="M168" s="142" t="s">
        <v>939</v>
      </c>
      <c r="N168" s="100" t="s">
        <v>24</v>
      </c>
    </row>
    <row r="169" spans="1:14" s="165" customFormat="1" ht="18" customHeight="1">
      <c r="A169" s="128">
        <v>45947</v>
      </c>
      <c r="B169" s="100" t="s">
        <v>3439</v>
      </c>
      <c r="C169" s="100" t="s">
        <v>888</v>
      </c>
      <c r="D169" s="100" t="s">
        <v>3440</v>
      </c>
      <c r="E169" s="100" t="s">
        <v>1995</v>
      </c>
      <c r="F169" s="100" t="s">
        <v>1996</v>
      </c>
      <c r="G169" s="257">
        <v>9547</v>
      </c>
      <c r="H169" s="258">
        <v>142250.29999999999</v>
      </c>
      <c r="I169" s="258"/>
      <c r="J169" s="128">
        <v>45993</v>
      </c>
      <c r="K169" s="142" t="s">
        <v>2717</v>
      </c>
      <c r="L169" s="100"/>
      <c r="M169" s="142" t="s">
        <v>939</v>
      </c>
      <c r="N169" s="100" t="s">
        <v>24</v>
      </c>
    </row>
    <row r="170" spans="1:14">
      <c r="A170" s="128">
        <v>45947</v>
      </c>
      <c r="B170" s="100" t="s">
        <v>3441</v>
      </c>
      <c r="C170" s="100" t="s">
        <v>888</v>
      </c>
      <c r="D170" s="100" t="s">
        <v>3442</v>
      </c>
      <c r="E170" s="100" t="s">
        <v>1995</v>
      </c>
      <c r="F170" s="100" t="s">
        <v>1996</v>
      </c>
      <c r="G170" s="257">
        <v>9547</v>
      </c>
      <c r="H170" s="258">
        <v>142250.29999999999</v>
      </c>
      <c r="I170" s="258"/>
      <c r="J170" s="128">
        <v>45996</v>
      </c>
      <c r="K170" s="142" t="s">
        <v>2717</v>
      </c>
      <c r="L170" s="100"/>
      <c r="M170" s="142" t="s">
        <v>939</v>
      </c>
      <c r="N170" s="100" t="s">
        <v>24</v>
      </c>
    </row>
    <row r="171" spans="1:14">
      <c r="A171" s="128">
        <v>45947</v>
      </c>
      <c r="B171" s="100" t="s">
        <v>3443</v>
      </c>
      <c r="C171" s="100" t="s">
        <v>888</v>
      </c>
      <c r="D171" s="100" t="s">
        <v>3444</v>
      </c>
      <c r="E171" s="100" t="s">
        <v>1995</v>
      </c>
      <c r="F171" s="100" t="s">
        <v>1996</v>
      </c>
      <c r="G171" s="257">
        <v>9547</v>
      </c>
      <c r="H171" s="258">
        <v>142250.29999999999</v>
      </c>
      <c r="I171" s="258"/>
      <c r="J171" s="128">
        <v>46003</v>
      </c>
      <c r="K171" s="142" t="s">
        <v>2717</v>
      </c>
      <c r="L171" s="100"/>
      <c r="M171" s="142" t="s">
        <v>939</v>
      </c>
      <c r="N171" s="100" t="s">
        <v>24</v>
      </c>
    </row>
    <row r="172" spans="1:14" s="165" customFormat="1" ht="30">
      <c r="A172" s="128">
        <v>45964</v>
      </c>
      <c r="B172" s="100" t="s">
        <v>3673</v>
      </c>
      <c r="C172" s="100" t="s">
        <v>888</v>
      </c>
      <c r="D172" s="100" t="s">
        <v>3674</v>
      </c>
      <c r="E172" s="100" t="s">
        <v>3325</v>
      </c>
      <c r="F172" s="130" t="s">
        <v>3675</v>
      </c>
      <c r="G172" s="259" t="s">
        <v>3676</v>
      </c>
      <c r="H172" s="258">
        <v>3636316.98</v>
      </c>
      <c r="I172" s="258"/>
      <c r="J172" s="128">
        <v>45967</v>
      </c>
      <c r="K172" s="100" t="s">
        <v>1633</v>
      </c>
      <c r="L172" s="100"/>
      <c r="M172" s="100" t="s">
        <v>939</v>
      </c>
      <c r="N172" s="100" t="s">
        <v>694</v>
      </c>
    </row>
    <row r="173" spans="1:14" s="165" customFormat="1" ht="150">
      <c r="A173" s="141">
        <v>45973</v>
      </c>
      <c r="B173" s="142" t="s">
        <v>3757</v>
      </c>
      <c r="C173" s="142" t="s">
        <v>888</v>
      </c>
      <c r="D173" s="142" t="s">
        <v>3758</v>
      </c>
      <c r="E173" s="142" t="s">
        <v>3316</v>
      </c>
      <c r="F173" s="163" t="s">
        <v>3759</v>
      </c>
      <c r="G173" s="262" t="s">
        <v>3760</v>
      </c>
      <c r="H173" s="261"/>
      <c r="I173" s="261">
        <v>27783</v>
      </c>
      <c r="J173" s="141">
        <v>45975</v>
      </c>
      <c r="K173" s="142" t="s">
        <v>1633</v>
      </c>
      <c r="L173" s="142"/>
      <c r="M173" s="142" t="s">
        <v>939</v>
      </c>
      <c r="N173" s="142" t="s">
        <v>694</v>
      </c>
    </row>
    <row r="174" spans="1:14">
      <c r="A174" s="128">
        <v>45993</v>
      </c>
      <c r="B174" s="100" t="s">
        <v>3856</v>
      </c>
      <c r="C174" s="100" t="s">
        <v>888</v>
      </c>
      <c r="D174" s="100" t="s">
        <v>3857</v>
      </c>
      <c r="E174" s="100" t="s">
        <v>2425</v>
      </c>
      <c r="F174" s="100" t="s">
        <v>3858</v>
      </c>
      <c r="G174" s="257">
        <v>800</v>
      </c>
      <c r="H174" s="258">
        <v>412500</v>
      </c>
      <c r="I174" s="258"/>
      <c r="J174" s="128">
        <v>45662</v>
      </c>
      <c r="K174" s="142" t="s">
        <v>1633</v>
      </c>
      <c r="L174" s="100"/>
      <c r="M174" s="100" t="s">
        <v>939</v>
      </c>
      <c r="N174" s="100" t="s">
        <v>40</v>
      </c>
    </row>
    <row r="175" spans="1:14">
      <c r="A175" s="128">
        <v>45996</v>
      </c>
      <c r="B175" s="100" t="s">
        <v>3892</v>
      </c>
      <c r="C175" s="100" t="s">
        <v>888</v>
      </c>
      <c r="D175" s="100" t="s">
        <v>3893</v>
      </c>
      <c r="E175" s="100" t="s">
        <v>3591</v>
      </c>
      <c r="F175" s="100" t="s">
        <v>3894</v>
      </c>
      <c r="G175" s="257">
        <v>25000</v>
      </c>
      <c r="H175" s="258">
        <v>237500</v>
      </c>
      <c r="I175" s="258"/>
      <c r="J175" s="128">
        <v>46027</v>
      </c>
      <c r="K175" s="142" t="s">
        <v>1633</v>
      </c>
      <c r="L175" s="100"/>
      <c r="M175" s="100" t="s">
        <v>939</v>
      </c>
      <c r="N175" s="142" t="s">
        <v>694</v>
      </c>
    </row>
    <row r="176" spans="1:14">
      <c r="A176" s="128">
        <v>46003</v>
      </c>
      <c r="B176" s="100" t="s">
        <v>3977</v>
      </c>
      <c r="C176" s="100" t="s">
        <v>888</v>
      </c>
      <c r="D176" s="100" t="s">
        <v>3978</v>
      </c>
      <c r="E176" s="100" t="s">
        <v>3285</v>
      </c>
      <c r="F176" s="100" t="s">
        <v>3979</v>
      </c>
      <c r="G176" s="257">
        <v>5000</v>
      </c>
      <c r="H176" s="258">
        <v>158250</v>
      </c>
      <c r="I176" s="258"/>
      <c r="J176" s="128">
        <v>46008</v>
      </c>
      <c r="K176" s="142" t="s">
        <v>1633</v>
      </c>
      <c r="L176" s="100"/>
      <c r="M176" s="100" t="s">
        <v>939</v>
      </c>
      <c r="N176" s="100" t="s">
        <v>694</v>
      </c>
    </row>
    <row r="177" spans="1:14">
      <c r="A177" s="128">
        <v>46030</v>
      </c>
      <c r="B177" s="100" t="s">
        <v>4144</v>
      </c>
      <c r="C177" s="100" t="s">
        <v>888</v>
      </c>
      <c r="D177" s="100" t="s">
        <v>4145</v>
      </c>
      <c r="E177" s="100" t="s">
        <v>4146</v>
      </c>
      <c r="F177" s="100" t="s">
        <v>1683</v>
      </c>
      <c r="G177" s="257">
        <v>150000</v>
      </c>
      <c r="H177" s="258">
        <v>75000</v>
      </c>
      <c r="I177" s="258"/>
      <c r="J177" s="128">
        <v>46034</v>
      </c>
      <c r="K177" s="142" t="s">
        <v>1633</v>
      </c>
      <c r="L177" s="100"/>
      <c r="M177" s="100" t="s">
        <v>939</v>
      </c>
      <c r="N177" s="100" t="s">
        <v>694</v>
      </c>
    </row>
    <row r="178" spans="1:14">
      <c r="A178" s="128">
        <v>45839</v>
      </c>
      <c r="B178" s="100" t="s">
        <v>2296</v>
      </c>
      <c r="C178" s="100" t="s">
        <v>888</v>
      </c>
      <c r="D178" s="100" t="s">
        <v>2297</v>
      </c>
      <c r="E178" s="100" t="s">
        <v>2980</v>
      </c>
      <c r="F178" s="100" t="s">
        <v>2298</v>
      </c>
      <c r="G178" s="257">
        <v>2000</v>
      </c>
      <c r="H178" s="258">
        <v>317400</v>
      </c>
      <c r="I178" s="258"/>
      <c r="J178" s="128">
        <v>45839</v>
      </c>
      <c r="K178" s="100"/>
      <c r="L178" s="100"/>
      <c r="M178" s="142" t="s">
        <v>939</v>
      </c>
      <c r="N178" s="142" t="s">
        <v>694</v>
      </c>
    </row>
    <row r="179" spans="1:14" ht="225">
      <c r="A179" s="141">
        <v>45901</v>
      </c>
      <c r="B179" s="142" t="s">
        <v>2877</v>
      </c>
      <c r="C179" s="142" t="s">
        <v>888</v>
      </c>
      <c r="D179" s="142" t="s">
        <v>2878</v>
      </c>
      <c r="E179" s="142" t="s">
        <v>1643</v>
      </c>
      <c r="F179" s="163" t="s">
        <v>2879</v>
      </c>
      <c r="G179" s="262" t="s">
        <v>2880</v>
      </c>
      <c r="H179" s="261">
        <v>4445220</v>
      </c>
      <c r="I179" s="261"/>
      <c r="J179" s="141">
        <v>45931</v>
      </c>
      <c r="K179" s="142" t="s">
        <v>2717</v>
      </c>
      <c r="L179" s="142"/>
      <c r="M179" s="142" t="s">
        <v>939</v>
      </c>
      <c r="N179" s="142" t="s">
        <v>694</v>
      </c>
    </row>
    <row r="180" spans="1:14">
      <c r="A180" s="141">
        <v>45931</v>
      </c>
      <c r="B180" s="142" t="s">
        <v>3225</v>
      </c>
      <c r="C180" s="142" t="s">
        <v>888</v>
      </c>
      <c r="D180" s="142" t="s">
        <v>3226</v>
      </c>
      <c r="E180" s="142" t="s">
        <v>2980</v>
      </c>
      <c r="F180" s="142" t="s">
        <v>3227</v>
      </c>
      <c r="G180" s="260">
        <v>4000</v>
      </c>
      <c r="H180" s="261">
        <v>572000</v>
      </c>
      <c r="I180" s="261"/>
      <c r="J180" s="141">
        <v>45940</v>
      </c>
      <c r="K180" s="142" t="s">
        <v>2717</v>
      </c>
      <c r="L180" s="142"/>
      <c r="M180" s="142" t="s">
        <v>939</v>
      </c>
      <c r="N180" s="142" t="s">
        <v>694</v>
      </c>
    </row>
    <row r="181" spans="1:14">
      <c r="A181" s="128">
        <v>45947</v>
      </c>
      <c r="B181" s="100" t="s">
        <v>3413</v>
      </c>
      <c r="C181" s="100" t="s">
        <v>888</v>
      </c>
      <c r="D181" s="100" t="s">
        <v>3414</v>
      </c>
      <c r="E181" s="100" t="s">
        <v>3415</v>
      </c>
      <c r="F181" s="100" t="s">
        <v>3416</v>
      </c>
      <c r="G181" s="257">
        <v>90000</v>
      </c>
      <c r="H181" s="258">
        <v>158400</v>
      </c>
      <c r="I181" s="258"/>
      <c r="J181" s="128">
        <v>46027</v>
      </c>
      <c r="K181" s="142" t="s">
        <v>2717</v>
      </c>
      <c r="L181" s="100"/>
      <c r="M181" s="142" t="s">
        <v>939</v>
      </c>
      <c r="N181" s="142" t="s">
        <v>694</v>
      </c>
    </row>
    <row r="182" spans="1:14">
      <c r="A182" s="128">
        <v>46030</v>
      </c>
      <c r="B182" s="100" t="s">
        <v>4139</v>
      </c>
      <c r="C182" s="100" t="s">
        <v>888</v>
      </c>
      <c r="D182" s="100" t="s">
        <v>4140</v>
      </c>
      <c r="E182" s="100" t="s">
        <v>3285</v>
      </c>
      <c r="F182" s="130" t="s">
        <v>3979</v>
      </c>
      <c r="G182" s="259">
        <v>3000</v>
      </c>
      <c r="H182" s="258">
        <v>109192.5</v>
      </c>
      <c r="I182" s="258"/>
      <c r="J182" s="128">
        <v>46041</v>
      </c>
      <c r="K182" s="142" t="s">
        <v>1633</v>
      </c>
      <c r="L182" s="100"/>
      <c r="M182" s="100" t="s">
        <v>939</v>
      </c>
      <c r="N182" s="100" t="s">
        <v>694</v>
      </c>
    </row>
    <row r="183" spans="1:14">
      <c r="A183" s="128">
        <v>46030</v>
      </c>
      <c r="B183" s="100" t="s">
        <v>4125</v>
      </c>
      <c r="C183" s="100" t="s">
        <v>888</v>
      </c>
      <c r="D183" s="100" t="s">
        <v>4126</v>
      </c>
      <c r="E183" s="100" t="s">
        <v>2981</v>
      </c>
      <c r="F183" s="100" t="s">
        <v>4127</v>
      </c>
      <c r="G183" s="257">
        <v>50</v>
      </c>
      <c r="H183" s="258">
        <v>13750</v>
      </c>
      <c r="I183" s="258"/>
      <c r="J183" s="128">
        <v>46031</v>
      </c>
      <c r="K183" s="142" t="s">
        <v>1633</v>
      </c>
      <c r="L183" s="100"/>
      <c r="M183" s="100" t="s">
        <v>939</v>
      </c>
      <c r="N183" s="100" t="s">
        <v>24</v>
      </c>
    </row>
    <row r="184" spans="1:14">
      <c r="A184" s="128">
        <v>45868</v>
      </c>
      <c r="B184" t="s">
        <v>2580</v>
      </c>
      <c r="C184" s="100" t="s">
        <v>888</v>
      </c>
      <c r="D184" s="100" t="s">
        <v>2581</v>
      </c>
      <c r="E184" s="100" t="s">
        <v>2301</v>
      </c>
      <c r="F184" s="100" t="s">
        <v>2582</v>
      </c>
      <c r="G184" s="257">
        <v>1</v>
      </c>
      <c r="H184" s="258">
        <v>3750000</v>
      </c>
      <c r="I184" s="258"/>
      <c r="J184" s="128">
        <v>45868</v>
      </c>
      <c r="K184" s="142" t="s">
        <v>1633</v>
      </c>
      <c r="L184" s="100"/>
      <c r="M184" s="100" t="s">
        <v>939</v>
      </c>
      <c r="N184" s="100" t="s">
        <v>694</v>
      </c>
    </row>
    <row r="185" spans="1:14" ht="405">
      <c r="A185" s="141">
        <v>45909</v>
      </c>
      <c r="B185" s="142" t="s">
        <v>2933</v>
      </c>
      <c r="C185" s="142" t="s">
        <v>888</v>
      </c>
      <c r="D185" s="142" t="s">
        <v>2934</v>
      </c>
      <c r="E185" s="142" t="s">
        <v>955</v>
      </c>
      <c r="F185" s="163" t="s">
        <v>2935</v>
      </c>
      <c r="G185" s="262" t="s">
        <v>2936</v>
      </c>
      <c r="H185" s="261">
        <v>1487170</v>
      </c>
      <c r="I185" s="261"/>
      <c r="J185" s="141">
        <v>45931</v>
      </c>
      <c r="K185" s="142"/>
      <c r="L185" s="142"/>
      <c r="M185" s="142" t="s">
        <v>939</v>
      </c>
      <c r="N185" s="142" t="s">
        <v>694</v>
      </c>
    </row>
    <row r="186" spans="1:14" ht="45">
      <c r="A186" s="128">
        <v>45964</v>
      </c>
      <c r="B186" s="100" t="s">
        <v>3670</v>
      </c>
      <c r="C186" s="100" t="s">
        <v>888</v>
      </c>
      <c r="D186" s="100" t="s">
        <v>3671</v>
      </c>
      <c r="E186" s="100" t="s">
        <v>3316</v>
      </c>
      <c r="F186" s="130" t="s">
        <v>3083</v>
      </c>
      <c r="G186" s="259" t="s">
        <v>3672</v>
      </c>
      <c r="H186" s="258">
        <v>227290.19</v>
      </c>
      <c r="I186" s="258"/>
      <c r="J186" s="128">
        <v>45967</v>
      </c>
      <c r="K186" s="100" t="s">
        <v>2717</v>
      </c>
      <c r="L186" s="100"/>
      <c r="M186" s="142" t="s">
        <v>939</v>
      </c>
      <c r="N186" s="100" t="s">
        <v>694</v>
      </c>
    </row>
    <row r="187" spans="1:14" ht="60">
      <c r="A187" s="141">
        <v>45813</v>
      </c>
      <c r="B187" s="142" t="s">
        <v>2124</v>
      </c>
      <c r="C187" s="142" t="s">
        <v>888</v>
      </c>
      <c r="D187" s="142" t="s">
        <v>2125</v>
      </c>
      <c r="E187" s="142" t="s">
        <v>964</v>
      </c>
      <c r="F187" s="163" t="s">
        <v>2126</v>
      </c>
      <c r="G187" s="262" t="s">
        <v>2127</v>
      </c>
      <c r="H187" s="261">
        <v>186500</v>
      </c>
      <c r="I187" s="261"/>
      <c r="J187" s="141">
        <v>45839</v>
      </c>
      <c r="K187" s="142" t="s">
        <v>1633</v>
      </c>
      <c r="L187" s="142"/>
      <c r="M187" s="142" t="s">
        <v>939</v>
      </c>
      <c r="N187" s="142" t="s">
        <v>24</v>
      </c>
    </row>
    <row r="188" spans="1:14">
      <c r="A188" s="128">
        <v>45933</v>
      </c>
      <c r="B188" s="100" t="s">
        <v>3239</v>
      </c>
      <c r="C188" s="100" t="s">
        <v>888</v>
      </c>
      <c r="D188" s="100" t="s">
        <v>3240</v>
      </c>
      <c r="E188" s="100" t="s">
        <v>2980</v>
      </c>
      <c r="F188" s="100" t="s">
        <v>3227</v>
      </c>
      <c r="G188" s="257">
        <v>4000</v>
      </c>
      <c r="H188" s="258">
        <v>572000</v>
      </c>
      <c r="I188" s="258"/>
      <c r="J188" s="128">
        <v>45931</v>
      </c>
      <c r="K188" s="142" t="s">
        <v>2717</v>
      </c>
      <c r="L188" s="100"/>
      <c r="M188" s="142" t="s">
        <v>939</v>
      </c>
      <c r="N188" s="142" t="s">
        <v>694</v>
      </c>
    </row>
    <row r="189" spans="1:14" ht="90">
      <c r="A189" s="141">
        <v>45947</v>
      </c>
      <c r="B189" s="142" t="s">
        <v>3455</v>
      </c>
      <c r="C189" s="142" t="s">
        <v>888</v>
      </c>
      <c r="D189" s="142" t="s">
        <v>3456</v>
      </c>
      <c r="E189" s="142" t="s">
        <v>2981</v>
      </c>
      <c r="F189" s="163" t="s">
        <v>3457</v>
      </c>
      <c r="G189" s="262" t="s">
        <v>3458</v>
      </c>
      <c r="H189" s="261">
        <v>240125</v>
      </c>
      <c r="I189" s="261"/>
      <c r="J189" s="141">
        <v>45992</v>
      </c>
      <c r="K189" s="142" t="s">
        <v>2717</v>
      </c>
      <c r="L189" s="142"/>
      <c r="M189" s="142" t="s">
        <v>939</v>
      </c>
      <c r="N189" s="142" t="s">
        <v>24</v>
      </c>
    </row>
    <row r="190" spans="1:14">
      <c r="A190" s="128">
        <v>45947</v>
      </c>
      <c r="B190" s="100" t="s">
        <v>3445</v>
      </c>
      <c r="C190" s="100" t="s">
        <v>888</v>
      </c>
      <c r="D190" s="100" t="s">
        <v>3446</v>
      </c>
      <c r="E190" s="100" t="s">
        <v>1995</v>
      </c>
      <c r="F190" s="100" t="s">
        <v>1996</v>
      </c>
      <c r="G190" s="257">
        <v>9547</v>
      </c>
      <c r="H190" s="258">
        <v>142250.29999999999</v>
      </c>
      <c r="I190" s="258"/>
      <c r="J190" s="128">
        <v>46010</v>
      </c>
      <c r="K190" s="142" t="s">
        <v>2717</v>
      </c>
      <c r="L190" s="100"/>
      <c r="M190" s="142" t="s">
        <v>939</v>
      </c>
      <c r="N190" s="100" t="s">
        <v>24</v>
      </c>
    </row>
    <row r="191" spans="1:14" ht="30">
      <c r="A191" s="141">
        <v>45947</v>
      </c>
      <c r="B191" s="142" t="s">
        <v>3410</v>
      </c>
      <c r="C191" s="142" t="s">
        <v>888</v>
      </c>
      <c r="D191" s="142" t="s">
        <v>3411</v>
      </c>
      <c r="E191" s="142" t="s">
        <v>2941</v>
      </c>
      <c r="F191" s="163" t="s">
        <v>3412</v>
      </c>
      <c r="G191" s="262" t="s">
        <v>961</v>
      </c>
      <c r="H191" s="261">
        <v>89500</v>
      </c>
      <c r="I191" s="261"/>
      <c r="J191" s="141">
        <v>46027</v>
      </c>
      <c r="K191" s="142" t="s">
        <v>2717</v>
      </c>
      <c r="L191" s="142"/>
      <c r="M191" s="142" t="s">
        <v>939</v>
      </c>
      <c r="N191" s="142" t="s">
        <v>694</v>
      </c>
    </row>
    <row r="192" spans="1:14" ht="45">
      <c r="A192" s="128">
        <v>45988</v>
      </c>
      <c r="B192" s="100" t="s">
        <v>3832</v>
      </c>
      <c r="C192" s="100" t="s">
        <v>888</v>
      </c>
      <c r="D192" s="100" t="s">
        <v>3833</v>
      </c>
      <c r="E192" s="100" t="s">
        <v>3325</v>
      </c>
      <c r="F192" s="130" t="s">
        <v>3834</v>
      </c>
      <c r="G192" s="259" t="s">
        <v>4150</v>
      </c>
      <c r="H192" s="258">
        <v>2983461.9</v>
      </c>
      <c r="I192" s="258"/>
      <c r="J192" s="128">
        <v>46027</v>
      </c>
      <c r="K192" s="142" t="s">
        <v>1633</v>
      </c>
      <c r="L192" s="100"/>
      <c r="M192" s="100" t="s">
        <v>939</v>
      </c>
      <c r="N192" s="100" t="s">
        <v>694</v>
      </c>
    </row>
    <row r="193" spans="1:14" ht="30">
      <c r="A193" s="128">
        <v>45992</v>
      </c>
      <c r="B193" s="100" t="s">
        <v>3842</v>
      </c>
      <c r="C193" s="100" t="s">
        <v>3843</v>
      </c>
      <c r="D193" s="100" t="s">
        <v>3844</v>
      </c>
      <c r="E193" s="100" t="s">
        <v>3216</v>
      </c>
      <c r="F193" s="130" t="s">
        <v>3845</v>
      </c>
      <c r="G193" s="259" t="s">
        <v>3846</v>
      </c>
      <c r="H193" s="258">
        <v>194100</v>
      </c>
      <c r="I193" s="258"/>
      <c r="J193" s="128">
        <v>46027</v>
      </c>
      <c r="K193" s="142" t="s">
        <v>1633</v>
      </c>
      <c r="L193" s="100"/>
      <c r="M193" s="142" t="s">
        <v>939</v>
      </c>
      <c r="N193" s="100" t="s">
        <v>694</v>
      </c>
    </row>
    <row r="194" spans="1:14" ht="195">
      <c r="A194" s="128">
        <v>45996</v>
      </c>
      <c r="B194" s="100" t="s">
        <v>3934</v>
      </c>
      <c r="C194" s="100" t="s">
        <v>888</v>
      </c>
      <c r="D194" s="100" t="s">
        <v>3935</v>
      </c>
      <c r="E194" s="100" t="s">
        <v>3316</v>
      </c>
      <c r="F194" s="130" t="s">
        <v>3317</v>
      </c>
      <c r="G194" s="259" t="s">
        <v>3936</v>
      </c>
      <c r="H194" s="258">
        <v>55566</v>
      </c>
      <c r="I194" s="258"/>
      <c r="J194" s="128">
        <v>45996</v>
      </c>
      <c r="K194" s="142" t="s">
        <v>1633</v>
      </c>
      <c r="L194" s="100"/>
      <c r="M194" s="100" t="s">
        <v>939</v>
      </c>
      <c r="N194" s="100" t="s">
        <v>694</v>
      </c>
    </row>
    <row r="195" spans="1:14" ht="30">
      <c r="A195" s="128">
        <v>45999</v>
      </c>
      <c r="B195" s="100" t="s">
        <v>3930</v>
      </c>
      <c r="C195" s="100" t="s">
        <v>888</v>
      </c>
      <c r="D195" s="100" t="s">
        <v>3931</v>
      </c>
      <c r="E195" s="100" t="s">
        <v>2980</v>
      </c>
      <c r="F195" s="130" t="s">
        <v>3932</v>
      </c>
      <c r="G195" s="259" t="s">
        <v>3933</v>
      </c>
      <c r="H195" s="258">
        <v>1186500</v>
      </c>
      <c r="I195" s="258"/>
      <c r="J195" s="128">
        <v>45999</v>
      </c>
      <c r="K195" s="142" t="s">
        <v>1633</v>
      </c>
      <c r="L195" s="100"/>
      <c r="M195" s="100" t="s">
        <v>939</v>
      </c>
      <c r="N195" s="100" t="s">
        <v>694</v>
      </c>
    </row>
    <row r="196" spans="1:14">
      <c r="A196" s="128">
        <v>45996</v>
      </c>
      <c r="B196" s="100" t="s">
        <v>3937</v>
      </c>
      <c r="C196" s="100" t="s">
        <v>888</v>
      </c>
      <c r="D196" s="100" t="s">
        <v>3938</v>
      </c>
      <c r="E196" s="100" t="s">
        <v>3285</v>
      </c>
      <c r="F196" s="100" t="s">
        <v>1665</v>
      </c>
      <c r="G196" s="257">
        <v>20000</v>
      </c>
      <c r="H196" s="258">
        <v>123000</v>
      </c>
      <c r="I196" s="258"/>
      <c r="J196" s="128">
        <v>46027</v>
      </c>
      <c r="K196" s="142" t="s">
        <v>1633</v>
      </c>
      <c r="L196" s="100"/>
      <c r="M196" s="100" t="s">
        <v>939</v>
      </c>
      <c r="N196" s="100" t="s">
        <v>694</v>
      </c>
    </row>
    <row r="197" spans="1:14">
      <c r="A197" s="128">
        <v>46013</v>
      </c>
      <c r="B197" s="100" t="s">
        <v>4147</v>
      </c>
      <c r="C197" s="100" t="s">
        <v>888</v>
      </c>
      <c r="D197" s="100" t="s">
        <v>4148</v>
      </c>
      <c r="E197" s="100" t="s">
        <v>3316</v>
      </c>
      <c r="F197" s="100" t="s">
        <v>4149</v>
      </c>
      <c r="G197" s="257">
        <v>210000</v>
      </c>
      <c r="H197" s="258">
        <v>1134</v>
      </c>
      <c r="I197" s="258"/>
      <c r="J197" s="128">
        <v>46015</v>
      </c>
      <c r="K197" s="142" t="s">
        <v>1633</v>
      </c>
      <c r="L197" s="100"/>
      <c r="M197" s="100" t="s">
        <v>939</v>
      </c>
      <c r="N197" s="100" t="s">
        <v>694</v>
      </c>
    </row>
    <row r="198" spans="1:14">
      <c r="A198" s="128">
        <v>46036</v>
      </c>
      <c r="B198" s="100" t="s">
        <v>4196</v>
      </c>
      <c r="C198" s="100" t="s">
        <v>888</v>
      </c>
      <c r="D198" s="100" t="s">
        <v>4197</v>
      </c>
      <c r="E198" s="100" t="s">
        <v>1995</v>
      </c>
      <c r="F198" s="100" t="s">
        <v>1996</v>
      </c>
      <c r="G198" s="257">
        <v>9547</v>
      </c>
      <c r="H198" s="258">
        <v>163587.85</v>
      </c>
      <c r="I198" s="258"/>
      <c r="J198" s="128">
        <v>46038</v>
      </c>
      <c r="K198" s="142" t="s">
        <v>1633</v>
      </c>
      <c r="L198" s="100"/>
      <c r="M198" s="100" t="s">
        <v>939</v>
      </c>
      <c r="N198" s="100" t="s">
        <v>24</v>
      </c>
    </row>
    <row r="199" spans="1:14">
      <c r="A199" s="128">
        <v>46036</v>
      </c>
      <c r="B199" s="100" t="s">
        <v>4215</v>
      </c>
      <c r="C199" s="100" t="s">
        <v>888</v>
      </c>
      <c r="D199" s="100" t="s">
        <v>4216</v>
      </c>
      <c r="E199" s="100" t="s">
        <v>3449</v>
      </c>
      <c r="F199" s="100" t="s">
        <v>1996</v>
      </c>
      <c r="G199" s="257">
        <v>9547</v>
      </c>
      <c r="H199" s="258">
        <v>358012.5</v>
      </c>
      <c r="I199" s="258"/>
      <c r="J199" s="128">
        <v>46042</v>
      </c>
      <c r="K199" s="142" t="s">
        <v>1633</v>
      </c>
      <c r="L199" s="100"/>
      <c r="M199" s="100" t="s">
        <v>939</v>
      </c>
      <c r="N199" s="100" t="s">
        <v>24</v>
      </c>
    </row>
    <row r="200" spans="1:14">
      <c r="A200" s="128">
        <v>46036</v>
      </c>
      <c r="B200" s="100" t="s">
        <v>4217</v>
      </c>
      <c r="C200" s="100" t="s">
        <v>888</v>
      </c>
      <c r="D200" s="100" t="s">
        <v>4218</v>
      </c>
      <c r="E200" t="s">
        <v>1995</v>
      </c>
      <c r="F200" s="100" t="s">
        <v>1996</v>
      </c>
      <c r="G200" s="257">
        <v>9547</v>
      </c>
      <c r="H200" s="258">
        <v>142250.29999999999</v>
      </c>
      <c r="I200" s="258"/>
      <c r="J200" s="128">
        <v>46044</v>
      </c>
      <c r="K200" s="142" t="s">
        <v>1633</v>
      </c>
      <c r="L200" s="100"/>
      <c r="M200" s="100" t="s">
        <v>939</v>
      </c>
      <c r="N200" s="100" t="s">
        <v>24</v>
      </c>
    </row>
    <row r="201" spans="1:14">
      <c r="A201" s="128">
        <v>46036</v>
      </c>
      <c r="B201" s="100" t="s">
        <v>4219</v>
      </c>
      <c r="C201" s="100" t="s">
        <v>888</v>
      </c>
      <c r="D201" s="100" t="s">
        <v>4220</v>
      </c>
      <c r="E201" s="100" t="s">
        <v>1995</v>
      </c>
      <c r="F201" s="100" t="s">
        <v>1996</v>
      </c>
      <c r="G201" s="257">
        <v>9547</v>
      </c>
      <c r="H201" s="258">
        <v>142250.29999999999</v>
      </c>
      <c r="I201" s="258"/>
      <c r="J201" s="128">
        <v>46048</v>
      </c>
      <c r="K201" s="142" t="s">
        <v>1633</v>
      </c>
      <c r="L201" s="100"/>
      <c r="M201" s="100" t="s">
        <v>939</v>
      </c>
      <c r="N201" s="100" t="s">
        <v>24</v>
      </c>
    </row>
    <row r="202" spans="1:14">
      <c r="A202" s="128">
        <v>46036</v>
      </c>
      <c r="B202" s="100" t="s">
        <v>4223</v>
      </c>
      <c r="C202" s="100" t="s">
        <v>888</v>
      </c>
      <c r="D202" s="100" t="s">
        <v>4224</v>
      </c>
      <c r="E202" s="100" t="s">
        <v>3449</v>
      </c>
      <c r="F202" s="100" t="s">
        <v>1996</v>
      </c>
      <c r="G202" s="257">
        <v>9547</v>
      </c>
      <c r="H202" s="258">
        <v>358012.5</v>
      </c>
      <c r="I202" s="258"/>
      <c r="J202" s="128">
        <v>46052</v>
      </c>
      <c r="K202" s="142" t="s">
        <v>1633</v>
      </c>
      <c r="L202" s="100"/>
      <c r="M202" s="100" t="s">
        <v>939</v>
      </c>
      <c r="N202" s="100" t="s">
        <v>24</v>
      </c>
    </row>
    <row r="203" spans="1:14" ht="45">
      <c r="A203" s="128">
        <v>46041</v>
      </c>
      <c r="B203" s="100" t="s">
        <v>4241</v>
      </c>
      <c r="C203" s="100" t="s">
        <v>888</v>
      </c>
      <c r="D203" s="100" t="s">
        <v>4246</v>
      </c>
      <c r="E203" s="100" t="s">
        <v>3216</v>
      </c>
      <c r="F203" s="130" t="s">
        <v>4247</v>
      </c>
      <c r="G203" s="259" t="s">
        <v>4248</v>
      </c>
      <c r="H203" s="258">
        <v>214400</v>
      </c>
      <c r="I203" s="258"/>
      <c r="J203" s="128">
        <v>46041</v>
      </c>
      <c r="K203" s="142" t="s">
        <v>1633</v>
      </c>
      <c r="L203" s="100"/>
      <c r="M203" s="100" t="s">
        <v>939</v>
      </c>
      <c r="N203" s="100" t="s">
        <v>694</v>
      </c>
    </row>
    <row r="204" spans="1:14" ht="30">
      <c r="A204" s="128">
        <v>46041</v>
      </c>
      <c r="B204" s="100" t="s">
        <v>4240</v>
      </c>
      <c r="C204" s="100" t="s">
        <v>888</v>
      </c>
      <c r="D204" s="100" t="s">
        <v>4243</v>
      </c>
      <c r="E204" s="100" t="s">
        <v>3216</v>
      </c>
      <c r="F204" s="130" t="s">
        <v>4244</v>
      </c>
      <c r="G204" s="259" t="s">
        <v>4245</v>
      </c>
      <c r="H204" s="258">
        <v>96200</v>
      </c>
      <c r="I204" s="258"/>
      <c r="J204" s="128">
        <v>46054</v>
      </c>
      <c r="K204" s="142" t="s">
        <v>1633</v>
      </c>
      <c r="L204" s="100"/>
      <c r="M204" s="100" t="s">
        <v>939</v>
      </c>
      <c r="N204" s="100" t="s">
        <v>694</v>
      </c>
    </row>
    <row r="205" spans="1:14" ht="30">
      <c r="A205" s="128">
        <v>46041</v>
      </c>
      <c r="B205" s="100" t="s">
        <v>4239</v>
      </c>
      <c r="C205" s="100" t="s">
        <v>888</v>
      </c>
      <c r="D205" s="100" t="s">
        <v>4238</v>
      </c>
      <c r="E205" s="100" t="s">
        <v>2282</v>
      </c>
      <c r="F205" s="130" t="s">
        <v>4242</v>
      </c>
      <c r="G205" s="259" t="s">
        <v>957</v>
      </c>
      <c r="H205" s="258">
        <v>36000</v>
      </c>
      <c r="I205" s="258"/>
      <c r="J205" s="128">
        <v>46054</v>
      </c>
      <c r="K205" s="142" t="s">
        <v>1633</v>
      </c>
      <c r="L205" s="100"/>
      <c r="M205" s="100" t="s">
        <v>939</v>
      </c>
      <c r="N205" s="100" t="s">
        <v>694</v>
      </c>
    </row>
    <row r="206" spans="1:14">
      <c r="A206" s="128">
        <v>46050</v>
      </c>
      <c r="B206" s="100" t="s">
        <v>4305</v>
      </c>
      <c r="C206" s="100" t="s">
        <v>888</v>
      </c>
      <c r="D206" s="100" t="s">
        <v>4306</v>
      </c>
      <c r="E206" s="100" t="s">
        <v>2941</v>
      </c>
      <c r="F206" s="100" t="s">
        <v>4307</v>
      </c>
      <c r="G206" s="257">
        <v>100000</v>
      </c>
      <c r="H206" s="258">
        <v>34000</v>
      </c>
      <c r="I206" s="258"/>
      <c r="J206" s="128">
        <v>46082</v>
      </c>
      <c r="K206" s="142" t="s">
        <v>1633</v>
      </c>
      <c r="L206" s="100"/>
      <c r="M206" s="100" t="s">
        <v>939</v>
      </c>
      <c r="N206" s="100" t="s">
        <v>694</v>
      </c>
    </row>
    <row r="207" spans="1:14" s="165" customFormat="1">
      <c r="A207" s="128">
        <v>46048</v>
      </c>
      <c r="B207" s="100" t="s">
        <v>4279</v>
      </c>
      <c r="C207" s="100" t="s">
        <v>888</v>
      </c>
      <c r="D207" s="100" t="s">
        <v>4280</v>
      </c>
      <c r="E207" s="100" t="s">
        <v>3236</v>
      </c>
      <c r="F207" s="100" t="s">
        <v>4281</v>
      </c>
      <c r="G207" s="257">
        <v>800</v>
      </c>
      <c r="H207" s="258">
        <v>12760</v>
      </c>
      <c r="I207" s="258"/>
      <c r="J207" s="128">
        <v>46064</v>
      </c>
      <c r="K207" s="142" t="s">
        <v>1633</v>
      </c>
      <c r="L207" s="100"/>
      <c r="M207" s="100" t="s">
        <v>939</v>
      </c>
      <c r="N207" s="100" t="s">
        <v>27</v>
      </c>
    </row>
    <row r="208" spans="1:14" s="165" customFormat="1">
      <c r="A208" s="128">
        <v>46059</v>
      </c>
      <c r="B208" s="100" t="s">
        <v>4413</v>
      </c>
      <c r="C208" s="100" t="s">
        <v>888</v>
      </c>
      <c r="D208" s="100" t="s">
        <v>4414</v>
      </c>
      <c r="E208" s="100" t="s">
        <v>3415</v>
      </c>
      <c r="F208" s="100" t="s">
        <v>4415</v>
      </c>
      <c r="G208" s="257">
        <v>80000</v>
      </c>
      <c r="H208" s="258">
        <v>124000</v>
      </c>
      <c r="I208" s="258"/>
      <c r="J208" s="128">
        <v>46143</v>
      </c>
      <c r="K208" s="142" t="s">
        <v>1633</v>
      </c>
      <c r="L208" s="100"/>
      <c r="M208" s="142" t="s">
        <v>939</v>
      </c>
      <c r="N208" s="142" t="s">
        <v>694</v>
      </c>
    </row>
    <row r="209" spans="1:14" s="165" customFormat="1">
      <c r="A209" s="141">
        <v>46058</v>
      </c>
      <c r="B209" s="142" t="s">
        <v>4353</v>
      </c>
      <c r="C209" s="142" t="s">
        <v>888</v>
      </c>
      <c r="D209" s="142" t="s">
        <v>4354</v>
      </c>
      <c r="E209" s="142" t="s">
        <v>3325</v>
      </c>
      <c r="F209" s="142" t="s">
        <v>4355</v>
      </c>
      <c r="G209" s="260">
        <v>719712</v>
      </c>
      <c r="H209" s="261">
        <v>2143705.37</v>
      </c>
      <c r="I209" s="261"/>
      <c r="J209" s="141">
        <v>46062</v>
      </c>
      <c r="K209" s="142" t="s">
        <v>1633</v>
      </c>
      <c r="L209" s="142"/>
      <c r="M209" s="142" t="s">
        <v>939</v>
      </c>
      <c r="N209" s="142" t="s">
        <v>694</v>
      </c>
    </row>
    <row r="210" spans="1:14" s="165" customFormat="1" ht="120">
      <c r="A210" s="141">
        <v>46058</v>
      </c>
      <c r="B210" s="142" t="s">
        <v>4357</v>
      </c>
      <c r="C210" s="142" t="s">
        <v>888</v>
      </c>
      <c r="D210" s="142" t="s">
        <v>4356</v>
      </c>
      <c r="E210" s="142" t="s">
        <v>3316</v>
      </c>
      <c r="F210" s="163" t="s">
        <v>4358</v>
      </c>
      <c r="G210" s="262" t="s">
        <v>4359</v>
      </c>
      <c r="H210" s="261">
        <v>14175</v>
      </c>
      <c r="I210" s="261"/>
      <c r="J210" s="141">
        <v>46060</v>
      </c>
      <c r="K210" s="142" t="s">
        <v>1633</v>
      </c>
      <c r="L210" s="142"/>
      <c r="M210" s="142" t="s">
        <v>939</v>
      </c>
      <c r="N210" s="142" t="s">
        <v>694</v>
      </c>
    </row>
    <row r="211" spans="1:14" s="165" customFormat="1">
      <c r="A211" s="141">
        <v>46059</v>
      </c>
      <c r="B211" s="142" t="s">
        <v>4416</v>
      </c>
      <c r="C211" s="142" t="s">
        <v>888</v>
      </c>
      <c r="D211" s="142" t="s">
        <v>4417</v>
      </c>
      <c r="E211" s="142" t="s">
        <v>3285</v>
      </c>
      <c r="F211" s="142" t="s">
        <v>1665</v>
      </c>
      <c r="G211" s="260">
        <v>5000</v>
      </c>
      <c r="H211" s="261">
        <v>30750</v>
      </c>
      <c r="I211" s="261"/>
      <c r="J211" s="141">
        <v>46082</v>
      </c>
      <c r="K211" s="142" t="s">
        <v>1633</v>
      </c>
      <c r="L211" s="142"/>
      <c r="M211" s="142" t="s">
        <v>939</v>
      </c>
      <c r="N211" s="142" t="s">
        <v>694</v>
      </c>
    </row>
    <row r="212" spans="1:14" s="165" customFormat="1">
      <c r="A212" s="141">
        <v>46072</v>
      </c>
      <c r="B212" s="142" t="s">
        <v>4500</v>
      </c>
      <c r="C212" s="142" t="s">
        <v>888</v>
      </c>
      <c r="D212" s="142" t="s">
        <v>4501</v>
      </c>
      <c r="E212" s="142" t="s">
        <v>3316</v>
      </c>
      <c r="F212" s="142" t="s">
        <v>4502</v>
      </c>
      <c r="G212" s="260">
        <v>210000</v>
      </c>
      <c r="H212" s="261"/>
      <c r="I212" s="261">
        <v>1134</v>
      </c>
      <c r="J212" s="141">
        <v>46078</v>
      </c>
      <c r="K212" s="142" t="s">
        <v>1633</v>
      </c>
      <c r="L212" s="142"/>
      <c r="M212" s="142" t="s">
        <v>939</v>
      </c>
      <c r="N212" s="142" t="s">
        <v>694</v>
      </c>
    </row>
    <row r="213" spans="1:14" s="165" customFormat="1" ht="45">
      <c r="A213" s="141">
        <v>46078</v>
      </c>
      <c r="B213" s="142" t="s">
        <v>4556</v>
      </c>
      <c r="C213" s="142" t="s">
        <v>888</v>
      </c>
      <c r="D213" s="142" t="s">
        <v>4557</v>
      </c>
      <c r="E213" s="142" t="s">
        <v>2981</v>
      </c>
      <c r="F213" s="163" t="s">
        <v>4558</v>
      </c>
      <c r="G213" s="262" t="s">
        <v>4559</v>
      </c>
      <c r="H213" s="261">
        <v>320000</v>
      </c>
      <c r="I213" s="261"/>
      <c r="J213" s="141">
        <v>46087</v>
      </c>
      <c r="K213" s="142" t="s">
        <v>1633</v>
      </c>
      <c r="L213" s="142"/>
      <c r="M213" s="142" t="s">
        <v>939</v>
      </c>
      <c r="N213" s="142" t="s">
        <v>27</v>
      </c>
    </row>
    <row r="214" spans="1:14">
      <c r="A214" s="128">
        <v>45727</v>
      </c>
      <c r="B214" s="100" t="s">
        <v>1243</v>
      </c>
      <c r="C214" s="100" t="s">
        <v>888</v>
      </c>
      <c r="D214" s="100" t="s">
        <v>1244</v>
      </c>
      <c r="E214" s="100" t="s">
        <v>1245</v>
      </c>
      <c r="F214" s="100" t="s">
        <v>1246</v>
      </c>
      <c r="G214" s="257" t="s">
        <v>1247</v>
      </c>
      <c r="H214" s="263">
        <v>201600</v>
      </c>
      <c r="I214" s="258"/>
      <c r="J214" s="128">
        <v>45733</v>
      </c>
      <c r="K214" s="100" t="s">
        <v>1248</v>
      </c>
      <c r="L214" s="100"/>
      <c r="M214" s="100" t="s">
        <v>939</v>
      </c>
      <c r="N214" s="100" t="s">
        <v>24</v>
      </c>
    </row>
    <row r="215" spans="1:14">
      <c r="A215" s="141">
        <v>45839</v>
      </c>
      <c r="B215" s="142" t="s">
        <v>2299</v>
      </c>
      <c r="C215" s="142" t="s">
        <v>888</v>
      </c>
      <c r="D215" s="142" t="s">
        <v>2300</v>
      </c>
      <c r="E215" s="142" t="s">
        <v>2301</v>
      </c>
      <c r="F215" s="163" t="s">
        <v>2302</v>
      </c>
      <c r="G215" s="271">
        <v>150000</v>
      </c>
      <c r="H215" s="265">
        <v>48750000</v>
      </c>
      <c r="I215" s="261"/>
      <c r="J215" s="141">
        <v>45931</v>
      </c>
      <c r="K215" s="142" t="s">
        <v>1633</v>
      </c>
      <c r="L215" s="142"/>
      <c r="M215" s="100" t="s">
        <v>939</v>
      </c>
      <c r="N215" s="100" t="s">
        <v>694</v>
      </c>
    </row>
    <row r="216" spans="1:14" ht="60">
      <c r="A216" s="249">
        <v>45839</v>
      </c>
      <c r="B216" s="142" t="s">
        <v>2311</v>
      </c>
      <c r="C216" s="142" t="s">
        <v>888</v>
      </c>
      <c r="D216" s="142" t="s">
        <v>2312</v>
      </c>
      <c r="E216" s="142" t="s">
        <v>1517</v>
      </c>
      <c r="F216" s="163" t="s">
        <v>2313</v>
      </c>
      <c r="G216" s="262" t="s">
        <v>2314</v>
      </c>
      <c r="H216" s="238"/>
      <c r="I216" s="261">
        <v>379608.7</v>
      </c>
      <c r="J216" s="141">
        <v>45839</v>
      </c>
      <c r="K216" s="142" t="s">
        <v>1633</v>
      </c>
      <c r="L216" s="142"/>
      <c r="M216" s="100" t="s">
        <v>939</v>
      </c>
      <c r="N216" s="100" t="s">
        <v>694</v>
      </c>
    </row>
    <row r="217" spans="1:14" ht="30">
      <c r="A217" s="128">
        <v>46021</v>
      </c>
      <c r="B217" s="100" t="s">
        <v>4115</v>
      </c>
      <c r="C217" s="100" t="s">
        <v>888</v>
      </c>
      <c r="D217" s="100" t="s">
        <v>4114</v>
      </c>
      <c r="E217" s="100" t="s">
        <v>2282</v>
      </c>
      <c r="F217" s="130" t="s">
        <v>4116</v>
      </c>
      <c r="G217" s="259" t="s">
        <v>4117</v>
      </c>
      <c r="H217" s="258">
        <v>193000</v>
      </c>
      <c r="I217" s="258"/>
      <c r="J217" s="128">
        <v>46027</v>
      </c>
      <c r="K217" s="142" t="s">
        <v>1633</v>
      </c>
      <c r="L217" s="100"/>
      <c r="M217" s="100" t="s">
        <v>939</v>
      </c>
      <c r="N217" s="100" t="s">
        <v>694</v>
      </c>
    </row>
    <row r="218" spans="1:14" s="165" customFormat="1" ht="105">
      <c r="A218" s="141">
        <v>45988</v>
      </c>
      <c r="B218" s="142" t="s">
        <v>3828</v>
      </c>
      <c r="C218" s="142" t="s">
        <v>888</v>
      </c>
      <c r="D218" s="142" t="s">
        <v>3829</v>
      </c>
      <c r="E218" s="142" t="s">
        <v>2981</v>
      </c>
      <c r="F218" s="163" t="s">
        <v>3830</v>
      </c>
      <c r="G218" s="262" t="s">
        <v>3831</v>
      </c>
      <c r="H218" s="261">
        <v>518875</v>
      </c>
      <c r="I218" s="261"/>
      <c r="J218" s="141">
        <v>46027</v>
      </c>
      <c r="K218" s="142" t="s">
        <v>1633</v>
      </c>
      <c r="L218" s="142"/>
      <c r="M218" s="142" t="s">
        <v>939</v>
      </c>
      <c r="N218" s="142" t="s">
        <v>24</v>
      </c>
    </row>
    <row r="219" spans="1:14" s="165" customFormat="1" ht="45">
      <c r="A219" s="141">
        <v>46021</v>
      </c>
      <c r="B219" s="142" t="s">
        <v>4151</v>
      </c>
      <c r="C219" s="142" t="s">
        <v>888</v>
      </c>
      <c r="D219" s="142" t="s">
        <v>4152</v>
      </c>
      <c r="E219" s="142" t="s">
        <v>3316</v>
      </c>
      <c r="F219" s="163" t="s">
        <v>3083</v>
      </c>
      <c r="G219" s="262" t="s">
        <v>4153</v>
      </c>
      <c r="H219" s="261">
        <v>444306.82</v>
      </c>
      <c r="I219" s="261"/>
      <c r="J219" s="141">
        <v>46027</v>
      </c>
      <c r="K219" s="142" t="s">
        <v>1633</v>
      </c>
      <c r="L219" s="142"/>
      <c r="M219" s="142" t="s">
        <v>939</v>
      </c>
      <c r="N219" s="142" t="s">
        <v>694</v>
      </c>
    </row>
    <row r="220" spans="1:14">
      <c r="A220" s="128">
        <v>45996</v>
      </c>
      <c r="B220" s="100" t="s">
        <v>3898</v>
      </c>
      <c r="C220" s="100" t="s">
        <v>888</v>
      </c>
      <c r="D220" s="100" t="s">
        <v>3899</v>
      </c>
      <c r="E220" s="100" t="s">
        <v>3638</v>
      </c>
      <c r="F220" s="100" t="s">
        <v>3900</v>
      </c>
      <c r="G220" s="257">
        <v>210</v>
      </c>
      <c r="H220" s="258">
        <v>84000</v>
      </c>
      <c r="I220" s="258"/>
      <c r="J220" s="128">
        <v>46054</v>
      </c>
      <c r="K220" s="142" t="s">
        <v>1633</v>
      </c>
      <c r="L220" s="100"/>
      <c r="M220" s="100" t="s">
        <v>939</v>
      </c>
      <c r="N220" s="100" t="s">
        <v>24</v>
      </c>
    </row>
    <row r="221" spans="1:14">
      <c r="A221" s="128">
        <v>46000</v>
      </c>
      <c r="B221" s="100" t="s">
        <v>3927</v>
      </c>
      <c r="C221" s="100" t="s">
        <v>888</v>
      </c>
      <c r="D221" s="100" t="s">
        <v>3928</v>
      </c>
      <c r="E221" s="100" t="s">
        <v>3236</v>
      </c>
      <c r="F221" s="100" t="s">
        <v>3929</v>
      </c>
      <c r="G221" s="257">
        <v>5000</v>
      </c>
      <c r="H221" s="258">
        <v>75550</v>
      </c>
      <c r="I221" s="258"/>
      <c r="J221" s="128">
        <v>46054</v>
      </c>
      <c r="K221" s="142" t="s">
        <v>1633</v>
      </c>
      <c r="L221" s="100"/>
      <c r="M221" s="100" t="s">
        <v>939</v>
      </c>
      <c r="N221" s="100" t="s">
        <v>694</v>
      </c>
    </row>
    <row r="222" spans="1:14">
      <c r="A222" s="128">
        <v>46036</v>
      </c>
      <c r="B222" s="100" t="s">
        <v>4221</v>
      </c>
      <c r="C222" s="100" t="s">
        <v>888</v>
      </c>
      <c r="D222" s="100" t="s">
        <v>4222</v>
      </c>
      <c r="E222" s="100" t="s">
        <v>1995</v>
      </c>
      <c r="F222" s="100" t="s">
        <v>1996</v>
      </c>
      <c r="G222" s="257">
        <v>9547</v>
      </c>
      <c r="H222" s="258">
        <v>142250.29999999999</v>
      </c>
      <c r="I222" s="258"/>
      <c r="J222" s="128">
        <v>46050</v>
      </c>
      <c r="K222" s="142" t="s">
        <v>1633</v>
      </c>
      <c r="L222" s="100"/>
      <c r="M222" s="100" t="s">
        <v>939</v>
      </c>
      <c r="N222" s="100" t="s">
        <v>24</v>
      </c>
    </row>
    <row r="223" spans="1:14">
      <c r="A223" s="128">
        <v>46036</v>
      </c>
      <c r="B223" s="100" t="s">
        <v>4226</v>
      </c>
      <c r="C223" s="100" t="s">
        <v>888</v>
      </c>
      <c r="D223" s="100" t="s">
        <v>4225</v>
      </c>
      <c r="E223" t="s">
        <v>1995</v>
      </c>
      <c r="F223" s="100" t="s">
        <v>1996</v>
      </c>
      <c r="G223" s="257">
        <v>9547</v>
      </c>
      <c r="H223" s="258">
        <v>142250.29999999999</v>
      </c>
      <c r="I223" s="258"/>
      <c r="J223" s="128">
        <v>46056</v>
      </c>
      <c r="K223" s="142" t="s">
        <v>1633</v>
      </c>
      <c r="L223" s="100"/>
      <c r="M223" s="100" t="s">
        <v>939</v>
      </c>
      <c r="N223" s="100" t="s">
        <v>24</v>
      </c>
    </row>
    <row r="224" spans="1:14">
      <c r="A224" s="128">
        <v>46036</v>
      </c>
      <c r="B224" s="100" t="s">
        <v>4227</v>
      </c>
      <c r="C224" s="100" t="s">
        <v>888</v>
      </c>
      <c r="D224" s="100" t="s">
        <v>4228</v>
      </c>
      <c r="E224" s="100" t="s">
        <v>1995</v>
      </c>
      <c r="F224" s="100" t="s">
        <v>1996</v>
      </c>
      <c r="G224" s="257">
        <v>9547</v>
      </c>
      <c r="H224" s="258">
        <v>142250.29999999999</v>
      </c>
      <c r="I224" s="258"/>
      <c r="J224" s="128">
        <v>46063</v>
      </c>
      <c r="K224" s="142" t="s">
        <v>1633</v>
      </c>
      <c r="L224" s="100"/>
      <c r="M224" s="100" t="s">
        <v>939</v>
      </c>
      <c r="N224" s="100" t="s">
        <v>24</v>
      </c>
    </row>
    <row r="225" spans="1:14">
      <c r="A225" s="128">
        <v>46042</v>
      </c>
      <c r="B225" s="100" t="s">
        <v>4273</v>
      </c>
      <c r="C225" s="100" t="s">
        <v>888</v>
      </c>
      <c r="D225" s="100" t="s">
        <v>4274</v>
      </c>
      <c r="E225" s="100" t="s">
        <v>4275</v>
      </c>
      <c r="F225" s="100" t="s">
        <v>4276</v>
      </c>
      <c r="G225" s="257">
        <v>2040000</v>
      </c>
      <c r="H225" s="258">
        <v>71400000</v>
      </c>
      <c r="I225" s="258"/>
      <c r="J225" s="128">
        <v>46048</v>
      </c>
      <c r="K225" s="142" t="s">
        <v>1633</v>
      </c>
      <c r="L225" s="100"/>
      <c r="M225" s="100" t="s">
        <v>939</v>
      </c>
      <c r="N225" s="100" t="s">
        <v>24</v>
      </c>
    </row>
    <row r="226" spans="1:14" s="165" customFormat="1">
      <c r="A226" s="128">
        <v>46050</v>
      </c>
      <c r="B226" s="100" t="s">
        <v>4348</v>
      </c>
      <c r="C226" s="100" t="s">
        <v>888</v>
      </c>
      <c r="D226" s="100" t="s">
        <v>4349</v>
      </c>
      <c r="E226" s="100" t="s">
        <v>3591</v>
      </c>
      <c r="F226" s="100" t="s">
        <v>4350</v>
      </c>
      <c r="G226" s="257">
        <v>2000</v>
      </c>
      <c r="H226" s="258">
        <v>55060</v>
      </c>
      <c r="I226" s="258"/>
      <c r="J226" s="128">
        <v>46055</v>
      </c>
      <c r="K226" s="142" t="s">
        <v>1633</v>
      </c>
      <c r="L226" s="100"/>
      <c r="M226" s="142" t="s">
        <v>939</v>
      </c>
      <c r="N226" s="142" t="s">
        <v>694</v>
      </c>
    </row>
    <row r="227" spans="1:14" s="165" customFormat="1" ht="60">
      <c r="A227" s="141">
        <v>46058</v>
      </c>
      <c r="B227" s="142" t="s">
        <v>4360</v>
      </c>
      <c r="C227" s="142" t="s">
        <v>888</v>
      </c>
      <c r="D227" s="142" t="s">
        <v>4361</v>
      </c>
      <c r="E227" s="142" t="s">
        <v>3316</v>
      </c>
      <c r="F227" s="163" t="s">
        <v>4362</v>
      </c>
      <c r="G227" s="262" t="s">
        <v>4363</v>
      </c>
      <c r="H227" s="261">
        <v>590149.31999999995</v>
      </c>
      <c r="I227" s="261"/>
      <c r="J227" s="141">
        <v>46060</v>
      </c>
      <c r="K227" s="142" t="s">
        <v>1633</v>
      </c>
      <c r="L227" s="142"/>
      <c r="M227" s="142" t="s">
        <v>939</v>
      </c>
      <c r="N227" s="142" t="s">
        <v>694</v>
      </c>
    </row>
    <row r="228" spans="1:14" s="165" customFormat="1" ht="45">
      <c r="A228" s="141">
        <v>46056</v>
      </c>
      <c r="B228" s="142" t="s">
        <v>4368</v>
      </c>
      <c r="C228" s="142" t="s">
        <v>888</v>
      </c>
      <c r="D228" s="142" t="s">
        <v>4369</v>
      </c>
      <c r="E228" s="142" t="s">
        <v>3591</v>
      </c>
      <c r="F228" s="163" t="s">
        <v>4370</v>
      </c>
      <c r="G228" s="262" t="s">
        <v>4371</v>
      </c>
      <c r="H228" s="261">
        <v>137130</v>
      </c>
      <c r="I228" s="261"/>
      <c r="J228" s="141">
        <v>46082</v>
      </c>
      <c r="K228" s="142" t="s">
        <v>1633</v>
      </c>
      <c r="L228" s="142"/>
      <c r="M228" s="142" t="s">
        <v>939</v>
      </c>
      <c r="N228" s="142" t="s">
        <v>694</v>
      </c>
    </row>
    <row r="229" spans="1:14" s="165" customFormat="1" ht="45">
      <c r="A229" s="141">
        <v>46057</v>
      </c>
      <c r="B229" s="142" t="s">
        <v>4343</v>
      </c>
      <c r="C229" s="142" t="s">
        <v>888</v>
      </c>
      <c r="D229" s="142" t="s">
        <v>4342</v>
      </c>
      <c r="E229" s="142" t="s">
        <v>3236</v>
      </c>
      <c r="F229" s="163" t="s">
        <v>4344</v>
      </c>
      <c r="G229" s="262" t="s">
        <v>4345</v>
      </c>
      <c r="H229" s="261">
        <v>109750</v>
      </c>
      <c r="I229" s="261"/>
      <c r="J229" s="141">
        <v>46082</v>
      </c>
      <c r="K229" s="142" t="s">
        <v>1633</v>
      </c>
      <c r="L229" s="142"/>
      <c r="M229" s="142" t="s">
        <v>939</v>
      </c>
      <c r="N229" s="142" t="s">
        <v>694</v>
      </c>
    </row>
    <row r="230" spans="1:14" s="165" customFormat="1">
      <c r="A230" s="141">
        <v>46059</v>
      </c>
      <c r="B230" s="142" t="s">
        <v>4418</v>
      </c>
      <c r="C230" s="142" t="s">
        <v>888</v>
      </c>
      <c r="D230" s="142" t="s">
        <v>4419</v>
      </c>
      <c r="E230" s="142" t="s">
        <v>3591</v>
      </c>
      <c r="F230" s="142" t="s">
        <v>4420</v>
      </c>
      <c r="G230" s="260">
        <v>25000</v>
      </c>
      <c r="H230" s="261">
        <v>273500</v>
      </c>
      <c r="I230" s="261"/>
      <c r="J230" s="141">
        <v>46113</v>
      </c>
      <c r="K230" s="142" t="s">
        <v>1633</v>
      </c>
      <c r="L230" s="142"/>
      <c r="M230" s="142" t="s">
        <v>939</v>
      </c>
      <c r="N230" s="142" t="s">
        <v>694</v>
      </c>
    </row>
    <row r="231" spans="1:14" s="165" customFormat="1">
      <c r="A231" s="141">
        <v>46059</v>
      </c>
      <c r="B231" s="142" t="s">
        <v>4411</v>
      </c>
      <c r="C231" s="142" t="s">
        <v>888</v>
      </c>
      <c r="D231" s="142" t="s">
        <v>4412</v>
      </c>
      <c r="E231" s="142" t="s">
        <v>2980</v>
      </c>
      <c r="F231" s="142" t="s">
        <v>3227</v>
      </c>
      <c r="G231" s="260">
        <v>5000</v>
      </c>
      <c r="H231" s="261">
        <v>700000</v>
      </c>
      <c r="I231" s="261"/>
      <c r="J231" s="141">
        <v>46063</v>
      </c>
      <c r="K231" s="142" t="s">
        <v>1633</v>
      </c>
      <c r="L231" s="142"/>
      <c r="M231" s="142" t="s">
        <v>939</v>
      </c>
      <c r="N231" s="142" t="s">
        <v>694</v>
      </c>
    </row>
    <row r="232" spans="1:14" s="165" customFormat="1">
      <c r="A232" s="128">
        <v>46065</v>
      </c>
      <c r="B232" s="100" t="s">
        <v>4749</v>
      </c>
      <c r="C232" s="100" t="s">
        <v>888</v>
      </c>
      <c r="D232" s="100" t="s">
        <v>4750</v>
      </c>
      <c r="E232" s="100" t="s">
        <v>4751</v>
      </c>
      <c r="F232" s="100" t="s">
        <v>4752</v>
      </c>
      <c r="G232" s="257">
        <v>18000</v>
      </c>
      <c r="H232" s="258">
        <v>1458000</v>
      </c>
      <c r="I232" s="258"/>
      <c r="J232" s="128">
        <v>46083</v>
      </c>
      <c r="K232" s="142" t="s">
        <v>1633</v>
      </c>
      <c r="L232" s="100"/>
      <c r="M232" s="142" t="s">
        <v>939</v>
      </c>
      <c r="N232" s="100" t="s">
        <v>27</v>
      </c>
    </row>
    <row r="233" spans="1:14">
      <c r="A233" s="128">
        <v>46101</v>
      </c>
      <c r="B233" s="100" t="s">
        <v>4753</v>
      </c>
      <c r="C233" s="100" t="s">
        <v>888</v>
      </c>
      <c r="D233" s="100" t="s">
        <v>4754</v>
      </c>
      <c r="E233" s="100" t="s">
        <v>4751</v>
      </c>
      <c r="F233" s="100" t="s">
        <v>4755</v>
      </c>
      <c r="G233" s="257">
        <v>120000</v>
      </c>
      <c r="H233" s="258">
        <v>3480000</v>
      </c>
      <c r="I233" s="258"/>
      <c r="J233" s="128">
        <v>46087</v>
      </c>
      <c r="K233" s="142" t="s">
        <v>1633</v>
      </c>
      <c r="L233" s="100"/>
      <c r="M233" s="142" t="s">
        <v>939</v>
      </c>
      <c r="N233" s="100" t="s">
        <v>27</v>
      </c>
    </row>
    <row r="234" spans="1:14">
      <c r="A234" s="128">
        <v>46107</v>
      </c>
      <c r="B234" s="100" t="s">
        <v>4862</v>
      </c>
      <c r="C234" s="100" t="s">
        <v>888</v>
      </c>
      <c r="D234" s="100" t="s">
        <v>4863</v>
      </c>
      <c r="E234" s="100" t="s">
        <v>4751</v>
      </c>
      <c r="F234" s="100" t="s">
        <v>4864</v>
      </c>
      <c r="G234" s="257">
        <v>14700</v>
      </c>
      <c r="H234" s="258">
        <v>426300</v>
      </c>
      <c r="I234" s="258"/>
      <c r="J234" s="128">
        <v>46107</v>
      </c>
      <c r="K234" s="142" t="s">
        <v>1633</v>
      </c>
      <c r="L234" s="100"/>
      <c r="M234" s="142" t="s">
        <v>939</v>
      </c>
      <c r="N234" s="100" t="s">
        <v>27</v>
      </c>
    </row>
    <row r="235" spans="1:14" ht="45">
      <c r="A235" s="141">
        <v>46105</v>
      </c>
      <c r="B235" s="142" t="s">
        <v>4756</v>
      </c>
      <c r="C235" s="142" t="s">
        <v>888</v>
      </c>
      <c r="D235" s="142" t="s">
        <v>4757</v>
      </c>
      <c r="E235" s="142" t="s">
        <v>3325</v>
      </c>
      <c r="F235" s="163" t="s">
        <v>4758</v>
      </c>
      <c r="G235" s="262" t="s">
        <v>4759</v>
      </c>
      <c r="H235" s="261">
        <v>183863.36</v>
      </c>
      <c r="I235" s="261"/>
      <c r="J235" s="141">
        <v>46113</v>
      </c>
      <c r="K235" s="142" t="s">
        <v>1633</v>
      </c>
      <c r="L235" s="142"/>
      <c r="M235" s="142" t="s">
        <v>939</v>
      </c>
      <c r="N235" s="142" t="s">
        <v>694</v>
      </c>
    </row>
    <row r="236" spans="1:14">
      <c r="A236" s="128">
        <v>46108</v>
      </c>
      <c r="B236" s="100" t="s">
        <v>4865</v>
      </c>
      <c r="C236" s="100" t="s">
        <v>888</v>
      </c>
      <c r="D236" s="100" t="s">
        <v>4866</v>
      </c>
      <c r="E236" s="100" t="s">
        <v>4751</v>
      </c>
      <c r="F236" s="100" t="s">
        <v>4867</v>
      </c>
      <c r="G236" s="257">
        <v>1000</v>
      </c>
      <c r="H236" s="258">
        <v>189000</v>
      </c>
      <c r="I236" s="258"/>
      <c r="J236" s="128">
        <v>46113</v>
      </c>
      <c r="K236" s="142" t="s">
        <v>1633</v>
      </c>
      <c r="L236" s="100"/>
      <c r="M236" s="142" t="s">
        <v>939</v>
      </c>
      <c r="N236" s="100" t="s">
        <v>27</v>
      </c>
    </row>
    <row r="237" spans="1:14">
      <c r="A237" s="128">
        <v>46108</v>
      </c>
      <c r="B237" s="100" t="s">
        <v>4868</v>
      </c>
      <c r="C237" s="100" t="s">
        <v>888</v>
      </c>
      <c r="D237" s="100" t="s">
        <v>4869</v>
      </c>
      <c r="E237" s="100" t="s">
        <v>4751</v>
      </c>
      <c r="F237" s="100" t="s">
        <v>4870</v>
      </c>
      <c r="G237" s="257">
        <v>100</v>
      </c>
      <c r="H237" s="258">
        <v>13500</v>
      </c>
      <c r="I237" s="258"/>
      <c r="J237" s="128">
        <v>46113</v>
      </c>
      <c r="K237" s="142" t="s">
        <v>1633</v>
      </c>
      <c r="L237" s="100"/>
      <c r="M237" s="142" t="s">
        <v>939</v>
      </c>
      <c r="N237" s="100" t="s">
        <v>27</v>
      </c>
    </row>
    <row r="238" spans="1:14">
      <c r="A238" s="128">
        <v>46111</v>
      </c>
      <c r="B238" s="100" t="s">
        <v>4896</v>
      </c>
      <c r="C238" s="100" t="s">
        <v>888</v>
      </c>
      <c r="D238" s="100" t="s">
        <v>4897</v>
      </c>
      <c r="E238" s="100" t="s">
        <v>1995</v>
      </c>
      <c r="F238" s="100" t="s">
        <v>1996</v>
      </c>
      <c r="G238" s="257">
        <v>9547</v>
      </c>
      <c r="H238" s="258">
        <v>142250.29999999999</v>
      </c>
      <c r="I238" s="258"/>
      <c r="J238" s="128">
        <v>46119</v>
      </c>
      <c r="K238" s="142" t="s">
        <v>1633</v>
      </c>
      <c r="L238" s="100"/>
      <c r="M238" s="142" t="s">
        <v>939</v>
      </c>
      <c r="N238" s="100" t="s">
        <v>24</v>
      </c>
    </row>
    <row r="239" spans="1:14" s="165" customFormat="1">
      <c r="A239" s="128">
        <v>46111</v>
      </c>
      <c r="B239" s="100" t="s">
        <v>4899</v>
      </c>
      <c r="C239" s="100" t="s">
        <v>888</v>
      </c>
      <c r="D239" s="100" t="s">
        <v>4898</v>
      </c>
      <c r="E239" s="100" t="s">
        <v>1995</v>
      </c>
      <c r="F239" s="100" t="s">
        <v>1996</v>
      </c>
      <c r="G239" s="257">
        <v>9547</v>
      </c>
      <c r="H239" s="258">
        <v>142250.29999999999</v>
      </c>
      <c r="I239" s="258"/>
      <c r="J239" s="128">
        <v>46126</v>
      </c>
      <c r="K239" s="142" t="s">
        <v>1633</v>
      </c>
      <c r="L239" s="100"/>
      <c r="M239" s="142" t="s">
        <v>939</v>
      </c>
      <c r="N239" s="100" t="s">
        <v>24</v>
      </c>
    </row>
    <row r="240" spans="1:14" s="165" customFormat="1">
      <c r="A240" s="128">
        <v>46111</v>
      </c>
      <c r="B240" s="100" t="s">
        <v>4900</v>
      </c>
      <c r="C240" s="100" t="s">
        <v>888</v>
      </c>
      <c r="D240" s="100" t="s">
        <v>4901</v>
      </c>
      <c r="E240" s="100" t="s">
        <v>1995</v>
      </c>
      <c r="F240" s="100" t="s">
        <v>1996</v>
      </c>
      <c r="G240" s="257">
        <v>9547</v>
      </c>
      <c r="H240" s="258">
        <v>142250.29999999999</v>
      </c>
      <c r="I240" s="258"/>
      <c r="J240" s="128">
        <v>46133</v>
      </c>
      <c r="K240" s="142" t="s">
        <v>1633</v>
      </c>
      <c r="L240" s="100"/>
      <c r="M240" s="142" t="s">
        <v>939</v>
      </c>
      <c r="N240" s="100" t="s">
        <v>24</v>
      </c>
    </row>
    <row r="241" spans="1:14" s="165" customFormat="1" ht="60">
      <c r="A241" s="141">
        <v>46125</v>
      </c>
      <c r="B241" s="142" t="s">
        <v>4966</v>
      </c>
      <c r="C241" s="142" t="s">
        <v>888</v>
      </c>
      <c r="D241" s="142" t="s">
        <v>4967</v>
      </c>
      <c r="E241" s="142" t="s">
        <v>2282</v>
      </c>
      <c r="F241" s="163" t="s">
        <v>4968</v>
      </c>
      <c r="G241" s="262" t="s">
        <v>4969</v>
      </c>
      <c r="H241" s="261">
        <v>96300</v>
      </c>
      <c r="I241" s="261"/>
      <c r="J241" s="141">
        <v>46128</v>
      </c>
      <c r="K241" s="142" t="s">
        <v>1633</v>
      </c>
      <c r="L241" s="142"/>
      <c r="M241" s="142" t="s">
        <v>939</v>
      </c>
      <c r="N241" s="142" t="s">
        <v>694</v>
      </c>
    </row>
    <row r="242" spans="1:14" s="165" customFormat="1">
      <c r="A242" s="141">
        <v>46119</v>
      </c>
      <c r="B242" s="142" t="s">
        <v>4929</v>
      </c>
      <c r="C242" s="142" t="s">
        <v>888</v>
      </c>
      <c r="D242" s="142" t="s">
        <v>4930</v>
      </c>
      <c r="E242" s="142" t="s">
        <v>3216</v>
      </c>
      <c r="F242" s="142" t="s">
        <v>4931</v>
      </c>
      <c r="G242" s="260">
        <v>57600</v>
      </c>
      <c r="H242" s="261">
        <v>15091.2</v>
      </c>
      <c r="I242" s="261"/>
      <c r="J242" s="141">
        <v>46125</v>
      </c>
      <c r="K242" s="142" t="s">
        <v>1633</v>
      </c>
      <c r="L242" s="142"/>
      <c r="M242" s="142" t="s">
        <v>939</v>
      </c>
      <c r="N242" s="142" t="s">
        <v>694</v>
      </c>
    </row>
    <row r="243" spans="1:14" s="165" customFormat="1">
      <c r="A243" s="141">
        <v>46125</v>
      </c>
      <c r="B243" s="142" t="s">
        <v>4997</v>
      </c>
      <c r="C243" s="142" t="s">
        <v>888</v>
      </c>
      <c r="D243" s="142" t="s">
        <v>4998</v>
      </c>
      <c r="E243" s="142" t="s">
        <v>1995</v>
      </c>
      <c r="F243" s="142" t="s">
        <v>1996</v>
      </c>
      <c r="G243" s="260">
        <v>9547</v>
      </c>
      <c r="H243" s="261">
        <v>142250.29999999999</v>
      </c>
      <c r="I243" s="261"/>
      <c r="J243" s="141">
        <v>46135</v>
      </c>
      <c r="K243" s="142" t="s">
        <v>1633</v>
      </c>
      <c r="L243" s="142"/>
      <c r="M243" s="142" t="s">
        <v>939</v>
      </c>
      <c r="N243" s="142" t="s">
        <v>24</v>
      </c>
    </row>
  </sheetData>
  <autoFilter ref="A1:N98" xr:uid="{E6A38A7B-AA82-4E92-92A0-18DD08676FD3}"/>
  <dataValidations count="2">
    <dataValidation type="date" allowBlank="1" showInputMessage="1" showErrorMessage="1" errorTitle="Invalid date format" error="Please click Retry Button_x000a_Correct Date format dd/mm/yyyy" sqref="A1" xr:uid="{113FCA5E-594D-4908-BA14-9919F3536BB3}">
      <formula1>41640</formula1>
      <formula2>767376</formula2>
    </dataValidation>
    <dataValidation allowBlank="1" showInputMessage="1" showErrorMessage="1" errorTitle="Invalid Date Format" error="Please click Retry Button_x000a_Correct Date format dd/mm/yyyy" sqref="J1" xr:uid="{28AFB749-512D-4AA0-BE83-C0116120B0E8}"/>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8B4C4-BEEC-4AD3-A417-652A75839365}">
  <dimension ref="A1:J3000"/>
  <sheetViews>
    <sheetView topLeftCell="A115" workbookViewId="0">
      <selection activeCell="J119" sqref="J119"/>
    </sheetView>
  </sheetViews>
  <sheetFormatPr defaultRowHeight="15"/>
  <cols>
    <col min="1" max="1" width="12.5703125" bestFit="1" customWidth="1"/>
    <col min="2" max="2" width="38" bestFit="1" customWidth="1"/>
    <col min="3" max="3" width="33.7109375" bestFit="1" customWidth="1"/>
    <col min="4" max="4" width="23" bestFit="1" customWidth="1"/>
    <col min="5" max="5" width="10.7109375" bestFit="1" customWidth="1"/>
    <col min="6" max="6" width="10.5703125" bestFit="1" customWidth="1"/>
    <col min="7" max="7" width="5.7109375" bestFit="1" customWidth="1"/>
    <col min="8" max="8" width="10.28515625" bestFit="1" customWidth="1"/>
    <col min="9" max="9" width="6.140625" bestFit="1" customWidth="1"/>
    <col min="10" max="10" width="14.42578125" customWidth="1"/>
  </cols>
  <sheetData>
    <row r="1" spans="1:10">
      <c r="A1" s="119" t="s">
        <v>793</v>
      </c>
      <c r="B1" s="119" t="s">
        <v>3</v>
      </c>
      <c r="C1" s="119" t="s">
        <v>241</v>
      </c>
      <c r="D1" s="120" t="s">
        <v>6</v>
      </c>
      <c r="E1" s="121" t="s">
        <v>7</v>
      </c>
      <c r="F1" s="121" t="s">
        <v>8</v>
      </c>
      <c r="G1" s="121" t="s">
        <v>9</v>
      </c>
      <c r="H1" s="121" t="s">
        <v>10</v>
      </c>
      <c r="I1" s="121" t="s">
        <v>53</v>
      </c>
      <c r="J1" s="122" t="s">
        <v>48</v>
      </c>
    </row>
    <row r="2" spans="1:10">
      <c r="A2" t="str">
        <f>'CLOSE FOREIGN ORDER'!D436</f>
        <v>FPO12239</v>
      </c>
      <c r="B2" t="str">
        <f>'CLOSE FOREIGN ORDER'!F436</f>
        <v>BOORTMALT NV</v>
      </c>
      <c r="C2" t="str">
        <f>'CLOSE FOREIGN ORDER'!Z436</f>
        <v>60 days Bill of Lading</v>
      </c>
      <c r="D2" s="123">
        <f>'CLOSE FOREIGN ORDER'!AA436</f>
        <v>45944</v>
      </c>
      <c r="E2" s="112">
        <f>'CLOSE FOREIGN ORDER'!AB436</f>
        <v>0</v>
      </c>
      <c r="F2" s="112">
        <f>'CLOSE FOREIGN ORDER'!AC436</f>
        <v>173200.76</v>
      </c>
      <c r="G2" s="112">
        <f>'CLOSE FOREIGN ORDER'!AD436</f>
        <v>0</v>
      </c>
      <c r="H2" s="112">
        <f>'CLOSE FOREIGN ORDER'!AE436</f>
        <v>0</v>
      </c>
      <c r="I2" s="112">
        <f>'CLOSE FOREIGN ORDER'!AF436</f>
        <v>0</v>
      </c>
      <c r="J2" s="112">
        <f>'CLOSE FOREIGN ORDER'!AG436</f>
        <v>0</v>
      </c>
    </row>
    <row r="3" spans="1:10">
      <c r="A3" t="str">
        <f>'CLOSE FOREIGN ORDER'!D496</f>
        <v>FPO12262</v>
      </c>
      <c r="B3" t="str">
        <f>'CLOSE FOREIGN ORDER'!F496</f>
        <v>Holland Malt</v>
      </c>
      <c r="C3" t="str">
        <f>'CLOSE FOREIGN ORDER'!Z496</f>
        <v xml:space="preserve">60 DAYS INVOICE DATE </v>
      </c>
      <c r="D3" s="123">
        <f>'CLOSE FOREIGN ORDER'!AA496</f>
        <v>45962</v>
      </c>
      <c r="E3" s="112">
        <f>'CLOSE FOREIGN ORDER'!AB496</f>
        <v>0</v>
      </c>
      <c r="F3" s="112">
        <f>'CLOSE FOREIGN ORDER'!AC496</f>
        <v>169442.28</v>
      </c>
      <c r="G3" s="112">
        <f>'CLOSE FOREIGN ORDER'!AD496</f>
        <v>0</v>
      </c>
      <c r="H3" s="112">
        <f>'CLOSE FOREIGN ORDER'!AE496</f>
        <v>0</v>
      </c>
      <c r="I3" s="112">
        <f>'CLOSE FOREIGN ORDER'!AF496</f>
        <v>0</v>
      </c>
      <c r="J3" s="112">
        <f>'CLOSE FOREIGN ORDER'!AG496</f>
        <v>0</v>
      </c>
    </row>
    <row r="4" spans="1:10">
      <c r="A4" t="str">
        <f>'CLOSE FOREIGN ORDER'!D417</f>
        <v>FPO12331</v>
      </c>
      <c r="B4" t="str">
        <f>'CLOSE FOREIGN ORDER'!F417</f>
        <v xml:space="preserve">MANUFACTURAS METALICAS CANALS </v>
      </c>
      <c r="C4" t="str">
        <f>'CLOSE FOREIGN ORDER'!Z417</f>
        <v>60 DAYS INVOICE DATE</v>
      </c>
      <c r="D4" s="123">
        <f>'CLOSE FOREIGN ORDER'!AA417</f>
        <v>45929</v>
      </c>
      <c r="E4" s="112">
        <f>'CLOSE FOREIGN ORDER'!AB417</f>
        <v>0</v>
      </c>
      <c r="F4" s="112">
        <f>'CLOSE FOREIGN ORDER'!AC417</f>
        <v>6116.45</v>
      </c>
      <c r="G4" s="112">
        <f>'CLOSE FOREIGN ORDER'!AD417</f>
        <v>0</v>
      </c>
      <c r="H4" s="112">
        <f>'CLOSE FOREIGN ORDER'!AE417</f>
        <v>0</v>
      </c>
      <c r="I4" s="112">
        <f>'CLOSE FOREIGN ORDER'!AF417</f>
        <v>0</v>
      </c>
      <c r="J4" s="112">
        <f>'CLOSE FOREIGN ORDER'!AG417</f>
        <v>0</v>
      </c>
    </row>
    <row r="5" spans="1:10">
      <c r="A5" t="e">
        <f>'OPEN FOREIGN ORDER'!#REF!</f>
        <v>#REF!</v>
      </c>
      <c r="B5" t="e">
        <f>'OPEN FOREIGN ORDER'!#REF!</f>
        <v>#REF!</v>
      </c>
      <c r="C5" t="e">
        <f>'OPEN FOREIGN ORDER'!#REF!</f>
        <v>#REF!</v>
      </c>
      <c r="D5" s="123" t="e">
        <f>'OPEN FOREIGN ORDER'!#REF!</f>
        <v>#REF!</v>
      </c>
      <c r="E5" s="112" t="e">
        <f>'OPEN FOREIGN ORDER'!#REF!</f>
        <v>#REF!</v>
      </c>
      <c r="F5" s="112" t="e">
        <f>'OPEN FOREIGN ORDER'!#REF!</f>
        <v>#REF!</v>
      </c>
      <c r="G5" s="112" t="e">
        <f>'OPEN FOREIGN ORDER'!#REF!</f>
        <v>#REF!</v>
      </c>
      <c r="H5" s="112" t="e">
        <f>'OPEN FOREIGN ORDER'!#REF!</f>
        <v>#REF!</v>
      </c>
      <c r="I5" s="112" t="e">
        <f>'OPEN FOREIGN ORDER'!#REF!</f>
        <v>#REF!</v>
      </c>
      <c r="J5" s="112" t="e">
        <f>'OPEN FOREIGN ORDER'!#REF!</f>
        <v>#REF!</v>
      </c>
    </row>
    <row r="6" spans="1:10">
      <c r="A6" t="e">
        <f>'OPEN FOREIGN ORDER'!#REF!</f>
        <v>#REF!</v>
      </c>
      <c r="B6" t="e">
        <f>'OPEN FOREIGN ORDER'!#REF!</f>
        <v>#REF!</v>
      </c>
      <c r="C6" t="e">
        <f>'OPEN FOREIGN ORDER'!#REF!</f>
        <v>#REF!</v>
      </c>
      <c r="D6" s="123" t="e">
        <f>'OPEN FOREIGN ORDER'!#REF!</f>
        <v>#REF!</v>
      </c>
      <c r="E6" s="112" t="e">
        <f>'OPEN FOREIGN ORDER'!#REF!</f>
        <v>#REF!</v>
      </c>
      <c r="F6" s="112" t="e">
        <f>'OPEN FOREIGN ORDER'!#REF!</f>
        <v>#REF!</v>
      </c>
      <c r="G6" s="112" t="e">
        <f>'OPEN FOREIGN ORDER'!#REF!</f>
        <v>#REF!</v>
      </c>
      <c r="H6" s="112" t="e">
        <f>'OPEN FOREIGN ORDER'!#REF!</f>
        <v>#REF!</v>
      </c>
      <c r="I6" s="112" t="e">
        <f>'OPEN FOREIGN ORDER'!#REF!</f>
        <v>#REF!</v>
      </c>
      <c r="J6" s="112" t="e">
        <f>'OPEN FOREIGN ORDER'!#REF!</f>
        <v>#REF!</v>
      </c>
    </row>
    <row r="7" spans="1:10">
      <c r="A7" t="e">
        <f>'OPEN FOREIGN ORDER'!#REF!</f>
        <v>#REF!</v>
      </c>
      <c r="B7" t="e">
        <f>'OPEN FOREIGN ORDER'!#REF!</f>
        <v>#REF!</v>
      </c>
      <c r="C7" t="e">
        <f>'OPEN FOREIGN ORDER'!#REF!</f>
        <v>#REF!</v>
      </c>
      <c r="D7" s="123" t="e">
        <f>'OPEN FOREIGN ORDER'!#REF!</f>
        <v>#REF!</v>
      </c>
      <c r="E7" s="112" t="e">
        <f>'OPEN FOREIGN ORDER'!#REF!</f>
        <v>#REF!</v>
      </c>
      <c r="F7" s="112" t="e">
        <f>'OPEN FOREIGN ORDER'!#REF!</f>
        <v>#REF!</v>
      </c>
      <c r="G7" s="112" t="e">
        <f>'OPEN FOREIGN ORDER'!#REF!</f>
        <v>#REF!</v>
      </c>
      <c r="H7" s="112" t="e">
        <f>'OPEN FOREIGN ORDER'!#REF!</f>
        <v>#REF!</v>
      </c>
      <c r="I7" s="112" t="e">
        <f>'OPEN FOREIGN ORDER'!#REF!</f>
        <v>#REF!</v>
      </c>
      <c r="J7" s="112" t="e">
        <f>'OPEN FOREIGN ORDER'!#REF!</f>
        <v>#REF!</v>
      </c>
    </row>
    <row r="8" spans="1:10">
      <c r="A8" t="e">
        <f>'OPEN FOREIGN ORDER'!#REF!</f>
        <v>#REF!</v>
      </c>
      <c r="B8" t="e">
        <f>'OPEN FOREIGN ORDER'!#REF!</f>
        <v>#REF!</v>
      </c>
      <c r="C8" t="e">
        <f>'OPEN FOREIGN ORDER'!#REF!</f>
        <v>#REF!</v>
      </c>
      <c r="D8" s="123" t="e">
        <f>'OPEN FOREIGN ORDER'!#REF!</f>
        <v>#REF!</v>
      </c>
      <c r="E8" s="112" t="e">
        <f>'OPEN FOREIGN ORDER'!#REF!</f>
        <v>#REF!</v>
      </c>
      <c r="F8" s="112" t="e">
        <f>'OPEN FOREIGN ORDER'!#REF!</f>
        <v>#REF!</v>
      </c>
      <c r="G8" s="112" t="e">
        <f>'OPEN FOREIGN ORDER'!#REF!</f>
        <v>#REF!</v>
      </c>
      <c r="H8" s="112" t="e">
        <f>'OPEN FOREIGN ORDER'!#REF!</f>
        <v>#REF!</v>
      </c>
      <c r="I8" s="112" t="e">
        <f>'OPEN FOREIGN ORDER'!#REF!</f>
        <v>#REF!</v>
      </c>
      <c r="J8" s="112" t="e">
        <f>'OPEN FOREIGN ORDER'!#REF!</f>
        <v>#REF!</v>
      </c>
    </row>
    <row r="9" spans="1:10">
      <c r="A9" t="str">
        <f>'CLOSE FOREIGN ORDER'!D27</f>
        <v>FPO10897</v>
      </c>
      <c r="B9" t="str">
        <f>'CLOSE FOREIGN ORDER'!F27</f>
        <v>Coca-Cola Swaziland</v>
      </c>
      <c r="C9" t="str">
        <f>'CLOSE FOREIGN ORDER'!X27</f>
        <v>45 days invoice date</v>
      </c>
      <c r="D9" s="123">
        <f>'CLOSE FOREIGN ORDER'!Y27</f>
        <v>45494</v>
      </c>
      <c r="E9" s="112">
        <f>'CLOSE FOREIGN ORDER'!Z27</f>
        <v>15147.03</v>
      </c>
      <c r="F9" s="112">
        <f>'CLOSE FOREIGN ORDER'!AA27</f>
        <v>0</v>
      </c>
      <c r="G9" s="112">
        <f>'CLOSE FOREIGN ORDER'!AB27</f>
        <v>0</v>
      </c>
      <c r="H9" s="112">
        <f>'CLOSE FOREIGN ORDER'!AC27</f>
        <v>0</v>
      </c>
      <c r="I9" s="112">
        <f>'CLOSE FOREIGN ORDER'!AD27</f>
        <v>0</v>
      </c>
      <c r="J9" s="112">
        <f>'CLOSE FOREIGN ORDER'!AE27</f>
        <v>0</v>
      </c>
    </row>
    <row r="10" spans="1:10">
      <c r="A10" t="str">
        <f>'CLOSE FOREIGN ORDER'!D28</f>
        <v>FPO10897</v>
      </c>
      <c r="B10" t="str">
        <f>'CLOSE FOREIGN ORDER'!F28</f>
        <v>Coca-Cola Swaziland</v>
      </c>
      <c r="C10" t="str">
        <f>'CLOSE FOREIGN ORDER'!X28</f>
        <v>45 days invoice date</v>
      </c>
      <c r="D10" s="123">
        <f>'CLOSE FOREIGN ORDER'!Y28</f>
        <v>45542</v>
      </c>
      <c r="E10" s="112">
        <f>'CLOSE FOREIGN ORDER'!Z28</f>
        <v>16831.16</v>
      </c>
      <c r="F10" s="112">
        <f>'CLOSE FOREIGN ORDER'!AA28</f>
        <v>0</v>
      </c>
      <c r="G10" s="112">
        <f>'CLOSE FOREIGN ORDER'!AB28</f>
        <v>0</v>
      </c>
      <c r="H10" s="112">
        <f>'CLOSE FOREIGN ORDER'!AC28</f>
        <v>0</v>
      </c>
      <c r="I10" s="112">
        <f>'CLOSE FOREIGN ORDER'!AD28</f>
        <v>0</v>
      </c>
      <c r="J10" s="112">
        <f>'CLOSE FOREIGN ORDER'!AE28</f>
        <v>0</v>
      </c>
    </row>
    <row r="11" spans="1:10">
      <c r="A11" t="str">
        <f>'CLOSE FOREIGN ORDER'!D58</f>
        <v>FPO10897</v>
      </c>
      <c r="B11" t="str">
        <f>'CLOSE FOREIGN ORDER'!F58</f>
        <v>Coca-Cola Swaziland</v>
      </c>
      <c r="C11" t="str">
        <f>'CLOSE FOREIGN ORDER'!W58</f>
        <v>45 days invoice date</v>
      </c>
      <c r="D11" s="123">
        <f>'CLOSE FOREIGN ORDER'!X58</f>
        <v>45731</v>
      </c>
      <c r="E11" s="112">
        <f>'CLOSE FOREIGN ORDER'!Y58</f>
        <v>12000</v>
      </c>
      <c r="F11" s="112">
        <f>'CLOSE FOREIGN ORDER'!Z58</f>
        <v>0</v>
      </c>
      <c r="G11" s="112">
        <f>'CLOSE FOREIGN ORDER'!AA58</f>
        <v>0</v>
      </c>
      <c r="H11" s="112">
        <f>'CLOSE FOREIGN ORDER'!AB58</f>
        <v>0</v>
      </c>
      <c r="I11" s="112">
        <f>'CLOSE FOREIGN ORDER'!AC58</f>
        <v>0</v>
      </c>
      <c r="J11" s="112">
        <f>'CLOSE FOREIGN ORDER'!AD58</f>
        <v>0</v>
      </c>
    </row>
    <row r="12" spans="1:10">
      <c r="A12" t="str">
        <f>'CLOSE FOREIGN ORDER'!D99</f>
        <v>FPO11138</v>
      </c>
      <c r="B12" t="str">
        <f>'CLOSE FOREIGN ORDER'!F99</f>
        <v>INDIAN OCEAN EXPORT</v>
      </c>
      <c r="C12" t="str">
        <f>'CLOSE FOREIGN ORDER'!W99</f>
        <v>30 DAYS BILL OF LADING</v>
      </c>
      <c r="D12" s="123">
        <f>'CLOSE FOREIGN ORDER'!X99</f>
        <v>45458</v>
      </c>
      <c r="E12" s="112">
        <f>'CLOSE FOREIGN ORDER'!Y99</f>
        <v>0</v>
      </c>
      <c r="F12" s="112">
        <f>'CLOSE FOREIGN ORDER'!Z99</f>
        <v>0</v>
      </c>
      <c r="G12" s="112">
        <f>'CLOSE FOREIGN ORDER'!AA99</f>
        <v>0</v>
      </c>
      <c r="H12" s="112">
        <f>'CLOSE FOREIGN ORDER'!AB99</f>
        <v>462885</v>
      </c>
      <c r="I12" s="112">
        <f>'CLOSE FOREIGN ORDER'!AC99</f>
        <v>0</v>
      </c>
      <c r="J12" s="112">
        <f>'CLOSE FOREIGN ORDER'!AD99</f>
        <v>0</v>
      </c>
    </row>
    <row r="13" spans="1:10">
      <c r="A13" t="str">
        <f>'CLOSE FOREIGN ORDER'!D100</f>
        <v>FPO11139</v>
      </c>
      <c r="B13" t="str">
        <f>'CLOSE FOREIGN ORDER'!F100</f>
        <v>INDIAN OCEAN EXPORT</v>
      </c>
      <c r="C13" t="str">
        <f>'CLOSE FOREIGN ORDER'!W100</f>
        <v>30 DAYS BILL OF LADING</v>
      </c>
      <c r="D13" s="123">
        <f>'CLOSE FOREIGN ORDER'!X100</f>
        <v>45458</v>
      </c>
      <c r="E13" s="112">
        <f>'CLOSE FOREIGN ORDER'!Y100</f>
        <v>0</v>
      </c>
      <c r="F13" s="112">
        <f>'CLOSE FOREIGN ORDER'!Z100</f>
        <v>0</v>
      </c>
      <c r="G13" s="112">
        <f>'CLOSE FOREIGN ORDER'!AA100</f>
        <v>0</v>
      </c>
      <c r="H13" s="112">
        <f>'CLOSE FOREIGN ORDER'!AB100</f>
        <v>462885</v>
      </c>
      <c r="I13" s="112">
        <f>'CLOSE FOREIGN ORDER'!AC100</f>
        <v>0</v>
      </c>
      <c r="J13" s="112">
        <f>'CLOSE FOREIGN ORDER'!AD100</f>
        <v>0</v>
      </c>
    </row>
    <row r="14" spans="1:10">
      <c r="A14" t="e">
        <f>'OPEN FOREIGN ORDER'!#REF!</f>
        <v>#REF!</v>
      </c>
      <c r="B14" t="e">
        <f>'OPEN FOREIGN ORDER'!#REF!</f>
        <v>#REF!</v>
      </c>
      <c r="C14" t="e">
        <f>'OPEN FOREIGN ORDER'!#REF!</f>
        <v>#REF!</v>
      </c>
      <c r="D14" s="123" t="e">
        <f>'OPEN FOREIGN ORDER'!#REF!</f>
        <v>#REF!</v>
      </c>
      <c r="E14" s="112" t="e">
        <f>'OPEN FOREIGN ORDER'!#REF!</f>
        <v>#REF!</v>
      </c>
      <c r="F14" s="112" t="e">
        <f>'OPEN FOREIGN ORDER'!#REF!</f>
        <v>#REF!</v>
      </c>
      <c r="G14" s="112" t="e">
        <f>'OPEN FOREIGN ORDER'!#REF!</f>
        <v>#REF!</v>
      </c>
      <c r="H14" s="112" t="e">
        <f>'OPEN FOREIGN ORDER'!#REF!</f>
        <v>#REF!</v>
      </c>
      <c r="I14" s="112" t="e">
        <f>'OPEN FOREIGN ORDER'!#REF!</f>
        <v>#REF!</v>
      </c>
      <c r="J14" s="112" t="e">
        <f>'OPEN FOREIGN ORDER'!#REF!</f>
        <v>#REF!</v>
      </c>
    </row>
    <row r="15" spans="1:10">
      <c r="A15" t="e">
        <f>'OPEN FOREIGN ORDER'!#REF!</f>
        <v>#REF!</v>
      </c>
      <c r="B15" t="e">
        <f>'OPEN FOREIGN ORDER'!#REF!</f>
        <v>#REF!</v>
      </c>
      <c r="C15" t="e">
        <f>'OPEN FOREIGN ORDER'!#REF!</f>
        <v>#REF!</v>
      </c>
      <c r="D15" s="123" t="e">
        <f>'OPEN FOREIGN ORDER'!#REF!</f>
        <v>#REF!</v>
      </c>
      <c r="E15" s="112" t="e">
        <f>'OPEN FOREIGN ORDER'!#REF!</f>
        <v>#REF!</v>
      </c>
      <c r="F15" s="112" t="e">
        <f>'OPEN FOREIGN ORDER'!#REF!</f>
        <v>#REF!</v>
      </c>
      <c r="G15" s="112" t="e">
        <f>'OPEN FOREIGN ORDER'!#REF!</f>
        <v>#REF!</v>
      </c>
      <c r="H15" s="112" t="e">
        <f>'OPEN FOREIGN ORDER'!#REF!</f>
        <v>#REF!</v>
      </c>
      <c r="I15" s="112" t="e">
        <f>'OPEN FOREIGN ORDER'!#REF!</f>
        <v>#REF!</v>
      </c>
      <c r="J15" s="112" t="e">
        <f>'OPEN FOREIGN ORDER'!#REF!</f>
        <v>#REF!</v>
      </c>
    </row>
    <row r="16" spans="1:10">
      <c r="A16" t="str">
        <f>'CLOSE FOREIGN ORDER'!D164</f>
        <v>FPO11156</v>
      </c>
      <c r="B16" t="str">
        <f>'CLOSE FOREIGN ORDER'!F164</f>
        <v xml:space="preserve">Greyson Trading LTD </v>
      </c>
      <c r="C16" t="str">
        <f>'CLOSE FOREIGN ORDER'!Z164</f>
        <v>60 DAYS BL</v>
      </c>
      <c r="D16" s="123">
        <f>'CLOSE FOREIGN ORDER'!AA164</f>
        <v>45762</v>
      </c>
      <c r="E16" s="112">
        <f>'CLOSE FOREIGN ORDER'!AB164</f>
        <v>205509.75</v>
      </c>
      <c r="F16" s="112">
        <f>'CLOSE FOREIGN ORDER'!AC164</f>
        <v>0</v>
      </c>
      <c r="G16" s="112">
        <f>'CLOSE FOREIGN ORDER'!AD164</f>
        <v>0</v>
      </c>
      <c r="H16" s="112">
        <f>'CLOSE FOREIGN ORDER'!AE164</f>
        <v>0</v>
      </c>
      <c r="I16" s="112">
        <f>'CLOSE FOREIGN ORDER'!AF164</f>
        <v>0</v>
      </c>
      <c r="J16" s="112">
        <f>'CLOSE FOREIGN ORDER'!AG164</f>
        <v>0</v>
      </c>
    </row>
    <row r="17" spans="1:10">
      <c r="A17" t="str">
        <f>'CLOSE FOREIGN ORDER'!D302</f>
        <v>FPO11195</v>
      </c>
      <c r="B17" t="str">
        <f>'CLOSE FOREIGN ORDER'!F302</f>
        <v xml:space="preserve">Greyson Trading LTD </v>
      </c>
      <c r="C17" t="str">
        <f>'CLOSE FOREIGN ORDER'!Z302</f>
        <v>60 days Bill of Lading</v>
      </c>
      <c r="D17" s="123">
        <f>'CLOSE FOREIGN ORDER'!AA302</f>
        <v>45815</v>
      </c>
      <c r="E17" s="112">
        <f>'CLOSE FOREIGN ORDER'!AB302</f>
        <v>177883.85</v>
      </c>
      <c r="F17" s="112">
        <f>'CLOSE FOREIGN ORDER'!AC302</f>
        <v>0</v>
      </c>
      <c r="G17" s="112">
        <f>'CLOSE FOREIGN ORDER'!AD302</f>
        <v>0</v>
      </c>
      <c r="H17" s="112">
        <f>'CLOSE FOREIGN ORDER'!AE302</f>
        <v>0</v>
      </c>
      <c r="I17" s="112">
        <f>'CLOSE FOREIGN ORDER'!AF302</f>
        <v>0</v>
      </c>
      <c r="J17" s="112">
        <f>'CLOSE FOREIGN ORDER'!AG302</f>
        <v>0</v>
      </c>
    </row>
    <row r="18" spans="1:10">
      <c r="A18" t="e">
        <f>'OPEN FOREIGN ORDER'!#REF!</f>
        <v>#REF!</v>
      </c>
      <c r="B18" t="e">
        <f>'OPEN FOREIGN ORDER'!#REF!</f>
        <v>#REF!</v>
      </c>
      <c r="C18" t="e">
        <f>'OPEN FOREIGN ORDER'!#REF!</f>
        <v>#REF!</v>
      </c>
      <c r="D18" s="123" t="e">
        <f>'OPEN FOREIGN ORDER'!#REF!</f>
        <v>#REF!</v>
      </c>
      <c r="E18" s="112" t="e">
        <f>'OPEN FOREIGN ORDER'!#REF!</f>
        <v>#REF!</v>
      </c>
      <c r="F18" s="112" t="e">
        <f>'OPEN FOREIGN ORDER'!#REF!</f>
        <v>#REF!</v>
      </c>
      <c r="G18" s="112" t="e">
        <f>'OPEN FOREIGN ORDER'!#REF!</f>
        <v>#REF!</v>
      </c>
      <c r="H18" s="112" t="e">
        <f>'OPEN FOREIGN ORDER'!#REF!</f>
        <v>#REF!</v>
      </c>
      <c r="I18" s="112" t="e">
        <f>'OPEN FOREIGN ORDER'!#REF!</f>
        <v>#REF!</v>
      </c>
      <c r="J18" s="112" t="e">
        <f>'OPEN FOREIGN ORDER'!#REF!</f>
        <v>#REF!</v>
      </c>
    </row>
    <row r="19" spans="1:10">
      <c r="A19" t="e">
        <f>'OPEN FOREIGN ORDER'!#REF!</f>
        <v>#REF!</v>
      </c>
      <c r="B19" t="e">
        <f>'OPEN FOREIGN ORDER'!#REF!</f>
        <v>#REF!</v>
      </c>
      <c r="C19" t="e">
        <f>'OPEN FOREIGN ORDER'!#REF!</f>
        <v>#REF!</v>
      </c>
      <c r="D19" s="123" t="e">
        <f>'OPEN FOREIGN ORDER'!#REF!</f>
        <v>#REF!</v>
      </c>
      <c r="E19" s="112" t="e">
        <f>'OPEN FOREIGN ORDER'!#REF!</f>
        <v>#REF!</v>
      </c>
      <c r="F19" s="112" t="e">
        <f>'OPEN FOREIGN ORDER'!#REF!</f>
        <v>#REF!</v>
      </c>
      <c r="G19" s="112" t="e">
        <f>'OPEN FOREIGN ORDER'!#REF!</f>
        <v>#REF!</v>
      </c>
      <c r="H19" s="112" t="e">
        <f>'OPEN FOREIGN ORDER'!#REF!</f>
        <v>#REF!</v>
      </c>
      <c r="I19" s="112" t="e">
        <f>'OPEN FOREIGN ORDER'!#REF!</f>
        <v>#REF!</v>
      </c>
      <c r="J19" s="112" t="e">
        <f>'OPEN FOREIGN ORDER'!#REF!</f>
        <v>#REF!</v>
      </c>
    </row>
    <row r="20" spans="1:10">
      <c r="A20" t="e">
        <f>'OPEN FOREIGN ORDER'!#REF!</f>
        <v>#REF!</v>
      </c>
      <c r="B20" t="e">
        <f>'OPEN FOREIGN ORDER'!#REF!</f>
        <v>#REF!</v>
      </c>
      <c r="C20" t="e">
        <f>'OPEN FOREIGN ORDER'!#REF!</f>
        <v>#REF!</v>
      </c>
      <c r="D20" s="123" t="e">
        <f>'OPEN FOREIGN ORDER'!#REF!</f>
        <v>#REF!</v>
      </c>
      <c r="E20" s="112" t="e">
        <f>'OPEN FOREIGN ORDER'!#REF!</f>
        <v>#REF!</v>
      </c>
      <c r="F20" s="112" t="e">
        <f>'OPEN FOREIGN ORDER'!#REF!</f>
        <v>#REF!</v>
      </c>
      <c r="G20" s="112" t="e">
        <f>'OPEN FOREIGN ORDER'!#REF!</f>
        <v>#REF!</v>
      </c>
      <c r="H20" s="112" t="e">
        <f>'OPEN FOREIGN ORDER'!#REF!</f>
        <v>#REF!</v>
      </c>
      <c r="I20" s="112" t="e">
        <f>'OPEN FOREIGN ORDER'!#REF!</f>
        <v>#REF!</v>
      </c>
      <c r="J20" s="112" t="e">
        <f>'OPEN FOREIGN ORDER'!#REF!</f>
        <v>#REF!</v>
      </c>
    </row>
    <row r="21" spans="1:10">
      <c r="A21" t="e">
        <f>'OPEN FOREIGN ORDER'!#REF!</f>
        <v>#REF!</v>
      </c>
      <c r="B21" t="e">
        <f>'OPEN FOREIGN ORDER'!#REF!</f>
        <v>#REF!</v>
      </c>
      <c r="C21" t="e">
        <f>'OPEN FOREIGN ORDER'!#REF!</f>
        <v>#REF!</v>
      </c>
      <c r="D21" s="123" t="e">
        <f>'OPEN FOREIGN ORDER'!#REF!</f>
        <v>#REF!</v>
      </c>
      <c r="E21" s="112" t="e">
        <f>'OPEN FOREIGN ORDER'!#REF!</f>
        <v>#REF!</v>
      </c>
      <c r="F21" s="112" t="e">
        <f>'OPEN FOREIGN ORDER'!#REF!</f>
        <v>#REF!</v>
      </c>
      <c r="G21" s="112" t="e">
        <f>'OPEN FOREIGN ORDER'!#REF!</f>
        <v>#REF!</v>
      </c>
      <c r="H21" s="112" t="e">
        <f>'OPEN FOREIGN ORDER'!#REF!</f>
        <v>#REF!</v>
      </c>
      <c r="I21" s="112" t="e">
        <f>'OPEN FOREIGN ORDER'!#REF!</f>
        <v>#REF!</v>
      </c>
      <c r="J21" s="112" t="e">
        <f>'OPEN FOREIGN ORDER'!#REF!</f>
        <v>#REF!</v>
      </c>
    </row>
    <row r="22" spans="1:10">
      <c r="A22" t="e">
        <f>'OPEN FOREIGN ORDER'!#REF!</f>
        <v>#REF!</v>
      </c>
      <c r="B22" t="e">
        <f>'OPEN FOREIGN ORDER'!#REF!</f>
        <v>#REF!</v>
      </c>
      <c r="C22" t="e">
        <f>'OPEN FOREIGN ORDER'!#REF!</f>
        <v>#REF!</v>
      </c>
      <c r="D22" s="123" t="e">
        <f>'OPEN FOREIGN ORDER'!#REF!</f>
        <v>#REF!</v>
      </c>
      <c r="E22" s="112" t="e">
        <f>'OPEN FOREIGN ORDER'!#REF!</f>
        <v>#REF!</v>
      </c>
      <c r="F22" s="112" t="e">
        <f>'OPEN FOREIGN ORDER'!#REF!</f>
        <v>#REF!</v>
      </c>
      <c r="G22" s="112" t="e">
        <f>'OPEN FOREIGN ORDER'!#REF!</f>
        <v>#REF!</v>
      </c>
      <c r="H22" s="112" t="e">
        <f>'OPEN FOREIGN ORDER'!#REF!</f>
        <v>#REF!</v>
      </c>
      <c r="I22" s="112" t="e">
        <f>'OPEN FOREIGN ORDER'!#REF!</f>
        <v>#REF!</v>
      </c>
      <c r="J22" s="112" t="e">
        <f>'OPEN FOREIGN ORDER'!#REF!</f>
        <v>#REF!</v>
      </c>
    </row>
    <row r="23" spans="1:10">
      <c r="A23" t="str">
        <f>'CLOSE FOREIGN ORDER'!D523</f>
        <v>FPO12358</v>
      </c>
      <c r="B23" t="str">
        <f>'CLOSE FOREIGN ORDER'!F523</f>
        <v>Holland Malt</v>
      </c>
      <c r="C23" t="str">
        <f>'CLOSE FOREIGN ORDER'!Z523</f>
        <v xml:space="preserve">60 DAYS INVOICE DATE </v>
      </c>
      <c r="D23" s="123">
        <f>'CLOSE FOREIGN ORDER'!AA523</f>
        <v>45971</v>
      </c>
      <c r="E23" s="112">
        <f>'CLOSE FOREIGN ORDER'!AB523</f>
        <v>0</v>
      </c>
      <c r="F23" s="112">
        <f>'CLOSE FOREIGN ORDER'!AC523</f>
        <v>194016</v>
      </c>
      <c r="G23" s="112">
        <f>'CLOSE FOREIGN ORDER'!AD523</f>
        <v>0</v>
      </c>
      <c r="H23" s="112">
        <f>'CLOSE FOREIGN ORDER'!AE523</f>
        <v>0</v>
      </c>
      <c r="I23" s="112">
        <f>'CLOSE FOREIGN ORDER'!AF523</f>
        <v>0</v>
      </c>
      <c r="J23" s="112">
        <f>'CLOSE FOREIGN ORDER'!AG523</f>
        <v>0</v>
      </c>
    </row>
    <row r="24" spans="1:10">
      <c r="A24" t="str">
        <f>'CLOSE FOREIGN ORDER'!D504</f>
        <v>FPO12359</v>
      </c>
      <c r="B24" t="str">
        <f>'CLOSE FOREIGN ORDER'!F504</f>
        <v>MALTEUROP</v>
      </c>
      <c r="C24" t="str">
        <f>'CLOSE FOREIGN ORDER'!Z504</f>
        <v>30 days after BL</v>
      </c>
      <c r="D24" s="123">
        <f>'CLOSE FOREIGN ORDER'!AA504</f>
        <v>45951</v>
      </c>
      <c r="E24" s="112">
        <f>'CLOSE FOREIGN ORDER'!AB504</f>
        <v>0</v>
      </c>
      <c r="F24" s="112">
        <f>'CLOSE FOREIGN ORDER'!AC504</f>
        <v>30705</v>
      </c>
      <c r="G24" s="112">
        <f>'CLOSE FOREIGN ORDER'!AD504</f>
        <v>0</v>
      </c>
      <c r="H24" s="112">
        <f>'CLOSE FOREIGN ORDER'!AE504</f>
        <v>0</v>
      </c>
      <c r="I24" s="112">
        <f>'CLOSE FOREIGN ORDER'!AF504</f>
        <v>0</v>
      </c>
      <c r="J24" s="112">
        <f>'CLOSE FOREIGN ORDER'!AG504</f>
        <v>0</v>
      </c>
    </row>
    <row r="25" spans="1:10">
      <c r="A25" t="e">
        <f>'OPEN FOREIGN ORDER'!#REF!</f>
        <v>#REF!</v>
      </c>
      <c r="B25" t="e">
        <f>'OPEN FOREIGN ORDER'!#REF!</f>
        <v>#REF!</v>
      </c>
      <c r="C25" t="e">
        <f>'OPEN FOREIGN ORDER'!#REF!</f>
        <v>#REF!</v>
      </c>
      <c r="D25" s="123" t="e">
        <f>'OPEN FOREIGN ORDER'!#REF!</f>
        <v>#REF!</v>
      </c>
      <c r="E25" s="112" t="e">
        <f>'OPEN FOREIGN ORDER'!#REF!</f>
        <v>#REF!</v>
      </c>
      <c r="F25" s="112" t="e">
        <f>'OPEN FOREIGN ORDER'!#REF!</f>
        <v>#REF!</v>
      </c>
      <c r="G25" s="112" t="e">
        <f>'OPEN FOREIGN ORDER'!#REF!</f>
        <v>#REF!</v>
      </c>
      <c r="H25" s="112" t="e">
        <f>'OPEN FOREIGN ORDER'!#REF!</f>
        <v>#REF!</v>
      </c>
      <c r="I25" s="112" t="e">
        <f>'OPEN FOREIGN ORDER'!#REF!</f>
        <v>#REF!</v>
      </c>
      <c r="J25" s="112" t="e">
        <f>'OPEN FOREIGN ORDER'!#REF!</f>
        <v>#REF!</v>
      </c>
    </row>
    <row r="26" spans="1:10">
      <c r="A26" t="e">
        <f>'OPEN FOREIGN ORDER'!#REF!</f>
        <v>#REF!</v>
      </c>
      <c r="B26" t="e">
        <f>'OPEN FOREIGN ORDER'!#REF!</f>
        <v>#REF!</v>
      </c>
      <c r="C26" t="e">
        <f>'OPEN FOREIGN ORDER'!#REF!</f>
        <v>#REF!</v>
      </c>
      <c r="D26" s="123" t="e">
        <f>'OPEN FOREIGN ORDER'!#REF!</f>
        <v>#REF!</v>
      </c>
      <c r="E26" s="112" t="e">
        <f>'OPEN FOREIGN ORDER'!#REF!</f>
        <v>#REF!</v>
      </c>
      <c r="F26" s="112" t="e">
        <f>'OPEN FOREIGN ORDER'!#REF!</f>
        <v>#REF!</v>
      </c>
      <c r="G26" s="112" t="e">
        <f>'OPEN FOREIGN ORDER'!#REF!</f>
        <v>#REF!</v>
      </c>
      <c r="H26" s="112" t="e">
        <f>'OPEN FOREIGN ORDER'!#REF!</f>
        <v>#REF!</v>
      </c>
      <c r="I26" s="112" t="e">
        <f>'OPEN FOREIGN ORDER'!#REF!</f>
        <v>#REF!</v>
      </c>
      <c r="J26" s="112" t="e">
        <f>'OPEN FOREIGN ORDER'!#REF!</f>
        <v>#REF!</v>
      </c>
    </row>
    <row r="27" spans="1:10">
      <c r="A27" t="e">
        <f>'OPEN FOREIGN ORDER'!#REF!</f>
        <v>#REF!</v>
      </c>
      <c r="B27" t="e">
        <f>'OPEN FOREIGN ORDER'!#REF!</f>
        <v>#REF!</v>
      </c>
      <c r="C27" t="e">
        <f>'OPEN FOREIGN ORDER'!#REF!</f>
        <v>#REF!</v>
      </c>
      <c r="D27" s="123" t="e">
        <f>'OPEN FOREIGN ORDER'!#REF!</f>
        <v>#REF!</v>
      </c>
      <c r="E27" s="112" t="e">
        <f>'OPEN FOREIGN ORDER'!#REF!</f>
        <v>#REF!</v>
      </c>
      <c r="F27" s="112" t="e">
        <f>'OPEN FOREIGN ORDER'!#REF!</f>
        <v>#REF!</v>
      </c>
      <c r="G27" s="112" t="e">
        <f>'OPEN FOREIGN ORDER'!#REF!</f>
        <v>#REF!</v>
      </c>
      <c r="H27" s="112" t="e">
        <f>'OPEN FOREIGN ORDER'!#REF!</f>
        <v>#REF!</v>
      </c>
      <c r="I27" s="112" t="e">
        <f>'OPEN FOREIGN ORDER'!#REF!</f>
        <v>#REF!</v>
      </c>
      <c r="J27" s="112" t="e">
        <f>'OPEN FOREIGN ORDER'!#REF!</f>
        <v>#REF!</v>
      </c>
    </row>
    <row r="28" spans="1:10">
      <c r="A28" t="e">
        <f>'OPEN FOREIGN ORDER'!#REF!</f>
        <v>#REF!</v>
      </c>
      <c r="B28" t="e">
        <f>'OPEN FOREIGN ORDER'!#REF!</f>
        <v>#REF!</v>
      </c>
      <c r="C28" t="e">
        <f>'OPEN FOREIGN ORDER'!#REF!</f>
        <v>#REF!</v>
      </c>
      <c r="D28" s="123" t="e">
        <f>'OPEN FOREIGN ORDER'!#REF!</f>
        <v>#REF!</v>
      </c>
      <c r="E28" s="112" t="e">
        <f>'OPEN FOREIGN ORDER'!#REF!</f>
        <v>#REF!</v>
      </c>
      <c r="F28" s="112" t="e">
        <f>'OPEN FOREIGN ORDER'!#REF!</f>
        <v>#REF!</v>
      </c>
      <c r="G28" s="112" t="e">
        <f>'OPEN FOREIGN ORDER'!#REF!</f>
        <v>#REF!</v>
      </c>
      <c r="H28" s="112" t="e">
        <f>'OPEN FOREIGN ORDER'!#REF!</f>
        <v>#REF!</v>
      </c>
      <c r="I28" s="112" t="e">
        <f>'OPEN FOREIGN ORDER'!#REF!</f>
        <v>#REF!</v>
      </c>
      <c r="J28" s="112" t="e">
        <f>'OPEN FOREIGN ORDER'!#REF!</f>
        <v>#REF!</v>
      </c>
    </row>
    <row r="29" spans="1:10">
      <c r="A29" t="e">
        <f>'OPEN FOREIGN ORDER'!#REF!</f>
        <v>#REF!</v>
      </c>
      <c r="B29" t="e">
        <f>'OPEN FOREIGN ORDER'!#REF!</f>
        <v>#REF!</v>
      </c>
      <c r="C29" t="e">
        <f>'OPEN FOREIGN ORDER'!#REF!</f>
        <v>#REF!</v>
      </c>
      <c r="D29" s="123" t="e">
        <f>'OPEN FOREIGN ORDER'!#REF!</f>
        <v>#REF!</v>
      </c>
      <c r="E29" s="112" t="e">
        <f>'OPEN FOREIGN ORDER'!#REF!</f>
        <v>#REF!</v>
      </c>
      <c r="F29" s="112" t="e">
        <f>'OPEN FOREIGN ORDER'!#REF!</f>
        <v>#REF!</v>
      </c>
      <c r="G29" s="112" t="e">
        <f>'OPEN FOREIGN ORDER'!#REF!</f>
        <v>#REF!</v>
      </c>
      <c r="H29" s="112" t="e">
        <f>'OPEN FOREIGN ORDER'!#REF!</f>
        <v>#REF!</v>
      </c>
      <c r="I29" s="112" t="e">
        <f>'OPEN FOREIGN ORDER'!#REF!</f>
        <v>#REF!</v>
      </c>
      <c r="J29" s="112" t="e">
        <f>'OPEN FOREIGN ORDER'!#REF!</f>
        <v>#REF!</v>
      </c>
    </row>
    <row r="30" spans="1:10">
      <c r="A30" t="e">
        <f>'OPEN FOREIGN ORDER'!#REF!</f>
        <v>#REF!</v>
      </c>
      <c r="B30" t="e">
        <f>'OPEN FOREIGN ORDER'!#REF!</f>
        <v>#REF!</v>
      </c>
      <c r="C30" t="e">
        <f>'OPEN FOREIGN ORDER'!#REF!</f>
        <v>#REF!</v>
      </c>
      <c r="D30" s="123" t="e">
        <f>'OPEN FOREIGN ORDER'!#REF!</f>
        <v>#REF!</v>
      </c>
      <c r="E30" s="112" t="e">
        <f>'OPEN FOREIGN ORDER'!#REF!</f>
        <v>#REF!</v>
      </c>
      <c r="F30" s="112" t="e">
        <f>'OPEN FOREIGN ORDER'!#REF!</f>
        <v>#REF!</v>
      </c>
      <c r="G30" s="112" t="e">
        <f>'OPEN FOREIGN ORDER'!#REF!</f>
        <v>#REF!</v>
      </c>
      <c r="H30" s="112" t="e">
        <f>'OPEN FOREIGN ORDER'!#REF!</f>
        <v>#REF!</v>
      </c>
      <c r="I30" s="112" t="e">
        <f>'OPEN FOREIGN ORDER'!#REF!</f>
        <v>#REF!</v>
      </c>
      <c r="J30" s="112" t="e">
        <f>'OPEN FOREIGN ORDER'!#REF!</f>
        <v>#REF!</v>
      </c>
    </row>
    <row r="31" spans="1:10">
      <c r="A31" t="e">
        <f>'OPEN FOREIGN ORDER'!#REF!</f>
        <v>#REF!</v>
      </c>
      <c r="B31" t="e">
        <f>'OPEN FOREIGN ORDER'!#REF!</f>
        <v>#REF!</v>
      </c>
      <c r="C31" t="e">
        <f>'OPEN FOREIGN ORDER'!#REF!</f>
        <v>#REF!</v>
      </c>
      <c r="D31" s="123" t="e">
        <f>'OPEN FOREIGN ORDER'!#REF!</f>
        <v>#REF!</v>
      </c>
      <c r="E31" s="112" t="e">
        <f>'OPEN FOREIGN ORDER'!#REF!</f>
        <v>#REF!</v>
      </c>
      <c r="F31" s="112" t="e">
        <f>'OPEN FOREIGN ORDER'!#REF!</f>
        <v>#REF!</v>
      </c>
      <c r="G31" s="112" t="e">
        <f>'OPEN FOREIGN ORDER'!#REF!</f>
        <v>#REF!</v>
      </c>
      <c r="H31" s="112" t="e">
        <f>'OPEN FOREIGN ORDER'!#REF!</f>
        <v>#REF!</v>
      </c>
      <c r="I31" s="112" t="e">
        <f>'OPEN FOREIGN ORDER'!#REF!</f>
        <v>#REF!</v>
      </c>
      <c r="J31" s="112" t="e">
        <f>'OPEN FOREIGN ORDER'!#REF!</f>
        <v>#REF!</v>
      </c>
    </row>
    <row r="32" spans="1:10">
      <c r="A32" t="str">
        <f>'CLOSE FOREIGN ORDER'!D122</f>
        <v>FPO11419</v>
      </c>
      <c r="B32" t="str">
        <f>'CLOSE FOREIGN ORDER'!F122</f>
        <v>Coca Cola Beverages South Africa</v>
      </c>
      <c r="C32" t="str">
        <f>'CLOSE FOREIGN ORDER'!Z122</f>
        <v>60 DAYS INVICE DATE</v>
      </c>
      <c r="D32" s="123">
        <f>'CLOSE FOREIGN ORDER'!AA122</f>
        <v>45807</v>
      </c>
      <c r="E32" s="112">
        <f>'CLOSE FOREIGN ORDER'!AB122</f>
        <v>0</v>
      </c>
      <c r="F32" s="112">
        <f>'CLOSE FOREIGN ORDER'!AC122</f>
        <v>0</v>
      </c>
      <c r="G32" s="112">
        <f>'CLOSE FOREIGN ORDER'!AD122</f>
        <v>0</v>
      </c>
      <c r="H32" s="112">
        <f>'CLOSE FOREIGN ORDER'!AE122</f>
        <v>629096</v>
      </c>
      <c r="I32" s="112">
        <f>'CLOSE FOREIGN ORDER'!AF122</f>
        <v>0</v>
      </c>
      <c r="J32" s="112">
        <f>'CLOSE FOREIGN ORDER'!AG122</f>
        <v>0</v>
      </c>
    </row>
    <row r="33" spans="1:10">
      <c r="A33" t="e">
        <f>'OPEN FOREIGN ORDER'!#REF!</f>
        <v>#REF!</v>
      </c>
      <c r="B33" t="e">
        <f>'OPEN FOREIGN ORDER'!#REF!</f>
        <v>#REF!</v>
      </c>
      <c r="C33" t="e">
        <f>'OPEN FOREIGN ORDER'!#REF!</f>
        <v>#REF!</v>
      </c>
      <c r="D33" s="123" t="e">
        <f>'OPEN FOREIGN ORDER'!#REF!</f>
        <v>#REF!</v>
      </c>
      <c r="E33" s="112" t="e">
        <f>'OPEN FOREIGN ORDER'!#REF!</f>
        <v>#REF!</v>
      </c>
      <c r="F33" s="112" t="e">
        <f>'OPEN FOREIGN ORDER'!#REF!</f>
        <v>#REF!</v>
      </c>
      <c r="G33" s="112" t="e">
        <f>'OPEN FOREIGN ORDER'!#REF!</f>
        <v>#REF!</v>
      </c>
      <c r="H33" s="112" t="e">
        <f>'OPEN FOREIGN ORDER'!#REF!</f>
        <v>#REF!</v>
      </c>
      <c r="I33" s="112" t="e">
        <f>'OPEN FOREIGN ORDER'!#REF!</f>
        <v>#REF!</v>
      </c>
      <c r="J33" s="112" t="e">
        <f>'OPEN FOREIGN ORDER'!#REF!</f>
        <v>#REF!</v>
      </c>
    </row>
    <row r="34" spans="1:10">
      <c r="A34" t="e">
        <f>'OPEN FOREIGN ORDER'!#REF!</f>
        <v>#REF!</v>
      </c>
      <c r="B34" t="e">
        <f>'OPEN FOREIGN ORDER'!#REF!</f>
        <v>#REF!</v>
      </c>
      <c r="C34" t="e">
        <f>'OPEN FOREIGN ORDER'!#REF!</f>
        <v>#REF!</v>
      </c>
      <c r="D34" s="123" t="e">
        <f>'OPEN FOREIGN ORDER'!#REF!</f>
        <v>#REF!</v>
      </c>
      <c r="E34" s="112" t="e">
        <f>'OPEN FOREIGN ORDER'!#REF!</f>
        <v>#REF!</v>
      </c>
      <c r="F34" s="112" t="e">
        <f>'OPEN FOREIGN ORDER'!#REF!</f>
        <v>#REF!</v>
      </c>
      <c r="G34" s="112" t="e">
        <f>'OPEN FOREIGN ORDER'!#REF!</f>
        <v>#REF!</v>
      </c>
      <c r="H34" s="112" t="e">
        <f>'OPEN FOREIGN ORDER'!#REF!</f>
        <v>#REF!</v>
      </c>
      <c r="I34" s="112" t="e">
        <f>'OPEN FOREIGN ORDER'!#REF!</f>
        <v>#REF!</v>
      </c>
      <c r="J34" s="112" t="e">
        <f>'OPEN FOREIGN ORDER'!#REF!</f>
        <v>#REF!</v>
      </c>
    </row>
    <row r="35" spans="1:10">
      <c r="A35" t="e">
        <f>'OPEN FOREIGN ORDER'!#REF!</f>
        <v>#REF!</v>
      </c>
      <c r="B35" t="e">
        <f>'OPEN FOREIGN ORDER'!#REF!</f>
        <v>#REF!</v>
      </c>
      <c r="C35" t="e">
        <f>'OPEN FOREIGN ORDER'!#REF!</f>
        <v>#REF!</v>
      </c>
      <c r="D35" s="123" t="e">
        <f>'OPEN FOREIGN ORDER'!#REF!</f>
        <v>#REF!</v>
      </c>
      <c r="E35" s="112" t="e">
        <f>'OPEN FOREIGN ORDER'!#REF!</f>
        <v>#REF!</v>
      </c>
      <c r="F35" s="112" t="e">
        <f>'OPEN FOREIGN ORDER'!#REF!</f>
        <v>#REF!</v>
      </c>
      <c r="G35" s="112" t="e">
        <f>'OPEN FOREIGN ORDER'!#REF!</f>
        <v>#REF!</v>
      </c>
      <c r="H35" s="112" t="e">
        <f>'OPEN FOREIGN ORDER'!#REF!</f>
        <v>#REF!</v>
      </c>
      <c r="I35" s="112" t="e">
        <f>'OPEN FOREIGN ORDER'!#REF!</f>
        <v>#REF!</v>
      </c>
      <c r="J35" s="112" t="e">
        <f>'OPEN FOREIGN ORDER'!#REF!</f>
        <v>#REF!</v>
      </c>
    </row>
    <row r="36" spans="1:10">
      <c r="A36" t="e">
        <f>'OPEN FOREIGN ORDER'!#REF!</f>
        <v>#REF!</v>
      </c>
      <c r="B36" t="e">
        <f>'OPEN FOREIGN ORDER'!#REF!</f>
        <v>#REF!</v>
      </c>
      <c r="C36" t="e">
        <f>'OPEN FOREIGN ORDER'!#REF!</f>
        <v>#REF!</v>
      </c>
      <c r="D36" s="123" t="e">
        <f>'OPEN FOREIGN ORDER'!#REF!</f>
        <v>#REF!</v>
      </c>
      <c r="E36" s="112" t="e">
        <f>'OPEN FOREIGN ORDER'!#REF!</f>
        <v>#REF!</v>
      </c>
      <c r="F36" s="112" t="e">
        <f>'OPEN FOREIGN ORDER'!#REF!</f>
        <v>#REF!</v>
      </c>
      <c r="G36" s="112" t="e">
        <f>'OPEN FOREIGN ORDER'!#REF!</f>
        <v>#REF!</v>
      </c>
      <c r="H36" s="112" t="e">
        <f>'OPEN FOREIGN ORDER'!#REF!</f>
        <v>#REF!</v>
      </c>
      <c r="I36" s="112" t="e">
        <f>'OPEN FOREIGN ORDER'!#REF!</f>
        <v>#REF!</v>
      </c>
      <c r="J36" s="112" t="e">
        <f>'OPEN FOREIGN ORDER'!#REF!</f>
        <v>#REF!</v>
      </c>
    </row>
    <row r="37" spans="1:10">
      <c r="A37" t="e">
        <f>'OPEN FOREIGN ORDER'!#REF!</f>
        <v>#REF!</v>
      </c>
      <c r="B37" t="e">
        <f>'OPEN FOREIGN ORDER'!#REF!</f>
        <v>#REF!</v>
      </c>
      <c r="C37" t="e">
        <f>'OPEN FOREIGN ORDER'!#REF!</f>
        <v>#REF!</v>
      </c>
      <c r="D37" s="123" t="e">
        <f>'OPEN FOREIGN ORDER'!#REF!</f>
        <v>#REF!</v>
      </c>
      <c r="E37" s="112" t="e">
        <f>'OPEN FOREIGN ORDER'!#REF!</f>
        <v>#REF!</v>
      </c>
      <c r="F37" s="112" t="e">
        <f>'OPEN FOREIGN ORDER'!#REF!</f>
        <v>#REF!</v>
      </c>
      <c r="G37" s="112" t="e">
        <f>'OPEN FOREIGN ORDER'!#REF!</f>
        <v>#REF!</v>
      </c>
      <c r="H37" s="112" t="e">
        <f>'OPEN FOREIGN ORDER'!#REF!</f>
        <v>#REF!</v>
      </c>
      <c r="I37" s="112" t="e">
        <f>'OPEN FOREIGN ORDER'!#REF!</f>
        <v>#REF!</v>
      </c>
      <c r="J37" s="112" t="e">
        <f>'OPEN FOREIGN ORDER'!#REF!</f>
        <v>#REF!</v>
      </c>
    </row>
    <row r="38" spans="1:10">
      <c r="A38" t="e">
        <f>'OPEN FOREIGN ORDER'!#REF!</f>
        <v>#REF!</v>
      </c>
      <c r="B38" t="e">
        <f>'OPEN FOREIGN ORDER'!#REF!</f>
        <v>#REF!</v>
      </c>
      <c r="C38" t="e">
        <f>'OPEN FOREIGN ORDER'!#REF!</f>
        <v>#REF!</v>
      </c>
      <c r="D38" s="123" t="e">
        <f>'OPEN FOREIGN ORDER'!#REF!</f>
        <v>#REF!</v>
      </c>
      <c r="E38" s="112" t="e">
        <f>'OPEN FOREIGN ORDER'!#REF!</f>
        <v>#REF!</v>
      </c>
      <c r="F38" s="112" t="e">
        <f>'OPEN FOREIGN ORDER'!#REF!</f>
        <v>#REF!</v>
      </c>
      <c r="G38" s="112" t="e">
        <f>'OPEN FOREIGN ORDER'!#REF!</f>
        <v>#REF!</v>
      </c>
      <c r="H38" s="112" t="e">
        <f>'OPEN FOREIGN ORDER'!#REF!</f>
        <v>#REF!</v>
      </c>
      <c r="I38" s="112" t="e">
        <f>'OPEN FOREIGN ORDER'!#REF!</f>
        <v>#REF!</v>
      </c>
      <c r="J38" s="112" t="e">
        <f>'OPEN FOREIGN ORDER'!#REF!</f>
        <v>#REF!</v>
      </c>
    </row>
    <row r="39" spans="1:10">
      <c r="A39" t="e">
        <f>'OPEN FOREIGN ORDER'!#REF!</f>
        <v>#REF!</v>
      </c>
      <c r="B39" t="e">
        <f>'OPEN FOREIGN ORDER'!#REF!</f>
        <v>#REF!</v>
      </c>
      <c r="C39" t="e">
        <f>'OPEN FOREIGN ORDER'!#REF!</f>
        <v>#REF!</v>
      </c>
      <c r="D39" s="123" t="e">
        <f>'OPEN FOREIGN ORDER'!#REF!</f>
        <v>#REF!</v>
      </c>
      <c r="E39" s="112" t="e">
        <f>'OPEN FOREIGN ORDER'!#REF!</f>
        <v>#REF!</v>
      </c>
      <c r="F39" s="112" t="e">
        <f>'OPEN FOREIGN ORDER'!#REF!</f>
        <v>#REF!</v>
      </c>
      <c r="G39" s="112" t="e">
        <f>'OPEN FOREIGN ORDER'!#REF!</f>
        <v>#REF!</v>
      </c>
      <c r="H39" s="112" t="e">
        <f>'OPEN FOREIGN ORDER'!#REF!</f>
        <v>#REF!</v>
      </c>
      <c r="I39" s="112" t="e">
        <f>'OPEN FOREIGN ORDER'!#REF!</f>
        <v>#REF!</v>
      </c>
      <c r="J39" s="112" t="e">
        <f>'OPEN FOREIGN ORDER'!#REF!</f>
        <v>#REF!</v>
      </c>
    </row>
    <row r="40" spans="1:10">
      <c r="A40" t="str">
        <f>'CLOSE FOREIGN ORDER'!D333</f>
        <v>FPO11452</v>
      </c>
      <c r="B40" t="str">
        <f>'CLOSE FOREIGN ORDER'!F333</f>
        <v xml:space="preserve">AMMATGLASS (ALTAJIR) - </v>
      </c>
      <c r="C40" t="str">
        <f>'CLOSE FOREIGN ORDER'!Z333</f>
        <v xml:space="preserve">60 DAYS INVOICE DATE </v>
      </c>
      <c r="D40" s="123">
        <f>'CLOSE FOREIGN ORDER'!AA333</f>
        <v>45888</v>
      </c>
      <c r="E40" s="112">
        <f>'CLOSE FOREIGN ORDER'!AB333</f>
        <v>102913.9</v>
      </c>
      <c r="F40" s="112">
        <f>'CLOSE FOREIGN ORDER'!AC333</f>
        <v>0</v>
      </c>
      <c r="G40" s="112">
        <f>'CLOSE FOREIGN ORDER'!AD333</f>
        <v>0</v>
      </c>
      <c r="H40" s="112">
        <f>'CLOSE FOREIGN ORDER'!AE333</f>
        <v>0</v>
      </c>
      <c r="I40" s="112">
        <f>'CLOSE FOREIGN ORDER'!AF333</f>
        <v>0</v>
      </c>
      <c r="J40" s="112">
        <f>'CLOSE FOREIGN ORDER'!AG333</f>
        <v>0</v>
      </c>
    </row>
    <row r="41" spans="1:10">
      <c r="A41" t="e">
        <f>'CLOSE FOREIGN ORDER'!#REF!</f>
        <v>#REF!</v>
      </c>
      <c r="B41" t="e">
        <f>'CLOSE FOREIGN ORDER'!#REF!</f>
        <v>#REF!</v>
      </c>
      <c r="C41" t="e">
        <f>'CLOSE FOREIGN ORDER'!#REF!</f>
        <v>#REF!</v>
      </c>
      <c r="D41" s="123" t="e">
        <f>'CLOSE FOREIGN ORDER'!#REF!</f>
        <v>#REF!</v>
      </c>
      <c r="E41" s="112" t="e">
        <f>'CLOSE FOREIGN ORDER'!#REF!</f>
        <v>#REF!</v>
      </c>
      <c r="F41" s="112" t="e">
        <f>'CLOSE FOREIGN ORDER'!#REF!</f>
        <v>#REF!</v>
      </c>
      <c r="G41" s="112" t="e">
        <f>'CLOSE FOREIGN ORDER'!#REF!</f>
        <v>#REF!</v>
      </c>
      <c r="H41" s="112" t="e">
        <f>'CLOSE FOREIGN ORDER'!#REF!</f>
        <v>#REF!</v>
      </c>
      <c r="I41" s="112" t="e">
        <f>'CLOSE FOREIGN ORDER'!#REF!</f>
        <v>#REF!</v>
      </c>
      <c r="J41" s="112" t="e">
        <f>'CLOSE FOREIGN ORDER'!#REF!</f>
        <v>#REF!</v>
      </c>
    </row>
    <row r="42" spans="1:10">
      <c r="A42" t="str">
        <f>'CLOSE FOREIGN ORDER'!D562</f>
        <v>FPO12361</v>
      </c>
      <c r="B42" t="str">
        <f>'CLOSE FOREIGN ORDER'!F562</f>
        <v>BOORTMALT NV</v>
      </c>
      <c r="C42" t="str">
        <f>'CLOSE FOREIGN ORDER'!Z562</f>
        <v>60 days Bill of Lading</v>
      </c>
      <c r="D42" s="123">
        <f>'CLOSE FOREIGN ORDER'!AA562</f>
        <v>45982</v>
      </c>
      <c r="E42" s="112">
        <f>'CLOSE FOREIGN ORDER'!AB562</f>
        <v>0</v>
      </c>
      <c r="F42" s="112">
        <f>'CLOSE FOREIGN ORDER'!AC562</f>
        <v>203397.74</v>
      </c>
      <c r="G42" s="112">
        <f>'CLOSE FOREIGN ORDER'!AD562</f>
        <v>0</v>
      </c>
      <c r="H42" s="112">
        <f>'CLOSE FOREIGN ORDER'!AE562</f>
        <v>0</v>
      </c>
      <c r="I42" s="112">
        <f>'CLOSE FOREIGN ORDER'!AF562</f>
        <v>0</v>
      </c>
      <c r="J42" s="112">
        <f>'CLOSE FOREIGN ORDER'!AG562</f>
        <v>0</v>
      </c>
    </row>
    <row r="43" spans="1:10">
      <c r="A43" t="e">
        <f>'OPEN FOREIGN ORDER'!#REF!</f>
        <v>#REF!</v>
      </c>
      <c r="B43" t="e">
        <f>'OPEN FOREIGN ORDER'!#REF!</f>
        <v>#REF!</v>
      </c>
      <c r="C43" t="e">
        <f>'OPEN FOREIGN ORDER'!#REF!</f>
        <v>#REF!</v>
      </c>
      <c r="D43" s="123" t="e">
        <f>'OPEN FOREIGN ORDER'!#REF!</f>
        <v>#REF!</v>
      </c>
      <c r="E43" s="112" t="e">
        <f>'OPEN FOREIGN ORDER'!#REF!</f>
        <v>#REF!</v>
      </c>
      <c r="F43" s="112" t="e">
        <f>'OPEN FOREIGN ORDER'!#REF!</f>
        <v>#REF!</v>
      </c>
      <c r="G43" s="112" t="e">
        <f>'OPEN FOREIGN ORDER'!#REF!</f>
        <v>#REF!</v>
      </c>
      <c r="H43" s="112" t="e">
        <f>'OPEN FOREIGN ORDER'!#REF!</f>
        <v>#REF!</v>
      </c>
      <c r="I43" s="112" t="e">
        <f>'OPEN FOREIGN ORDER'!#REF!</f>
        <v>#REF!</v>
      </c>
      <c r="J43" s="112" t="e">
        <f>'OPEN FOREIGN ORDER'!#REF!</f>
        <v>#REF!</v>
      </c>
    </row>
    <row r="44" spans="1:10">
      <c r="A44" t="e">
        <f>'OPEN FOREIGN ORDER'!#REF!</f>
        <v>#REF!</v>
      </c>
      <c r="B44" t="e">
        <f>'OPEN FOREIGN ORDER'!#REF!</f>
        <v>#REF!</v>
      </c>
      <c r="C44" t="e">
        <f>'OPEN FOREIGN ORDER'!#REF!</f>
        <v>#REF!</v>
      </c>
      <c r="D44" s="123" t="e">
        <f>'OPEN FOREIGN ORDER'!#REF!</f>
        <v>#REF!</v>
      </c>
      <c r="E44" s="112" t="e">
        <f>'OPEN FOREIGN ORDER'!#REF!</f>
        <v>#REF!</v>
      </c>
      <c r="F44" s="112" t="e">
        <f>'OPEN FOREIGN ORDER'!#REF!</f>
        <v>#REF!</v>
      </c>
      <c r="G44" s="112" t="e">
        <f>'OPEN FOREIGN ORDER'!#REF!</f>
        <v>#REF!</v>
      </c>
      <c r="H44" s="112" t="e">
        <f>'OPEN FOREIGN ORDER'!#REF!</f>
        <v>#REF!</v>
      </c>
      <c r="I44" s="112" t="e">
        <f>'OPEN FOREIGN ORDER'!#REF!</f>
        <v>#REF!</v>
      </c>
      <c r="J44" s="112" t="e">
        <f>'OPEN FOREIGN ORDER'!#REF!</f>
        <v>#REF!</v>
      </c>
    </row>
    <row r="45" spans="1:10">
      <c r="A45" t="e">
        <f>'OPEN FOREIGN ORDER'!#REF!</f>
        <v>#REF!</v>
      </c>
      <c r="B45" t="e">
        <f>'OPEN FOREIGN ORDER'!#REF!</f>
        <v>#REF!</v>
      </c>
      <c r="C45" t="e">
        <f>'OPEN FOREIGN ORDER'!#REF!</f>
        <v>#REF!</v>
      </c>
      <c r="D45" s="123" t="e">
        <f>'OPEN FOREIGN ORDER'!#REF!</f>
        <v>#REF!</v>
      </c>
      <c r="E45" s="112" t="e">
        <f>'OPEN FOREIGN ORDER'!#REF!</f>
        <v>#REF!</v>
      </c>
      <c r="F45" s="112" t="e">
        <f>'OPEN FOREIGN ORDER'!#REF!</f>
        <v>#REF!</v>
      </c>
      <c r="G45" s="112" t="e">
        <f>'OPEN FOREIGN ORDER'!#REF!</f>
        <v>#REF!</v>
      </c>
      <c r="H45" s="112" t="e">
        <f>'OPEN FOREIGN ORDER'!#REF!</f>
        <v>#REF!</v>
      </c>
      <c r="I45" s="112" t="e">
        <f>'OPEN FOREIGN ORDER'!#REF!</f>
        <v>#REF!</v>
      </c>
      <c r="J45" s="112" t="e">
        <f>'OPEN FOREIGN ORDER'!#REF!</f>
        <v>#REF!</v>
      </c>
    </row>
    <row r="46" spans="1:10">
      <c r="A46" t="e">
        <f>'OPEN FOREIGN ORDER'!#REF!</f>
        <v>#REF!</v>
      </c>
      <c r="B46" t="e">
        <f>'OPEN FOREIGN ORDER'!#REF!</f>
        <v>#REF!</v>
      </c>
      <c r="C46" t="e">
        <f>'OPEN FOREIGN ORDER'!#REF!</f>
        <v>#REF!</v>
      </c>
      <c r="D46" s="123" t="e">
        <f>'OPEN FOREIGN ORDER'!#REF!</f>
        <v>#REF!</v>
      </c>
      <c r="E46" s="112" t="e">
        <f>'OPEN FOREIGN ORDER'!#REF!</f>
        <v>#REF!</v>
      </c>
      <c r="F46" s="112" t="e">
        <f>'OPEN FOREIGN ORDER'!#REF!</f>
        <v>#REF!</v>
      </c>
      <c r="G46" s="112" t="e">
        <f>'OPEN FOREIGN ORDER'!#REF!</f>
        <v>#REF!</v>
      </c>
      <c r="H46" s="112" t="e">
        <f>'OPEN FOREIGN ORDER'!#REF!</f>
        <v>#REF!</v>
      </c>
      <c r="I46" s="112" t="e">
        <f>'OPEN FOREIGN ORDER'!#REF!</f>
        <v>#REF!</v>
      </c>
      <c r="J46" s="112" t="e">
        <f>'OPEN FOREIGN ORDER'!#REF!</f>
        <v>#REF!</v>
      </c>
    </row>
    <row r="47" spans="1:10">
      <c r="A47" t="e">
        <f>'OPEN FOREIGN ORDER'!#REF!</f>
        <v>#REF!</v>
      </c>
      <c r="B47" t="e">
        <f>'OPEN FOREIGN ORDER'!#REF!</f>
        <v>#REF!</v>
      </c>
      <c r="C47" t="e">
        <f>'OPEN FOREIGN ORDER'!#REF!</f>
        <v>#REF!</v>
      </c>
      <c r="D47" s="123" t="e">
        <f>'OPEN FOREIGN ORDER'!#REF!</f>
        <v>#REF!</v>
      </c>
      <c r="E47" s="112" t="e">
        <f>'OPEN FOREIGN ORDER'!#REF!</f>
        <v>#REF!</v>
      </c>
      <c r="F47" s="112" t="e">
        <f>'OPEN FOREIGN ORDER'!#REF!</f>
        <v>#REF!</v>
      </c>
      <c r="G47" s="112" t="e">
        <f>'OPEN FOREIGN ORDER'!#REF!</f>
        <v>#REF!</v>
      </c>
      <c r="H47" s="112" t="e">
        <f>'OPEN FOREIGN ORDER'!#REF!</f>
        <v>#REF!</v>
      </c>
      <c r="I47" s="112" t="e">
        <f>'OPEN FOREIGN ORDER'!#REF!</f>
        <v>#REF!</v>
      </c>
      <c r="J47" s="112" t="e">
        <f>'OPEN FOREIGN ORDER'!#REF!</f>
        <v>#REF!</v>
      </c>
    </row>
    <row r="48" spans="1:10">
      <c r="A48" t="str">
        <f>'CLOSE FOREIGN ORDER'!D33</f>
        <v>FPO11503</v>
      </c>
      <c r="B48" t="str">
        <f>'CLOSE FOREIGN ORDER'!F33</f>
        <v>Blackhawk Molding Co., Inc</v>
      </c>
      <c r="C48" t="str">
        <f>'CLOSE FOREIGN ORDER'!X33</f>
        <v>50% Advance</v>
      </c>
      <c r="D48" s="123">
        <f>'CLOSE FOREIGN ORDER'!Y33</f>
        <v>45569</v>
      </c>
      <c r="E48" s="112">
        <f>'CLOSE FOREIGN ORDER'!Z33</f>
        <v>28315.57</v>
      </c>
      <c r="F48" s="112">
        <f>'CLOSE FOREIGN ORDER'!AA33</f>
        <v>0</v>
      </c>
      <c r="G48" s="112">
        <f>'CLOSE FOREIGN ORDER'!AB33</f>
        <v>0</v>
      </c>
      <c r="H48" s="112">
        <f>'CLOSE FOREIGN ORDER'!AC33</f>
        <v>0</v>
      </c>
      <c r="I48" s="112">
        <f>'CLOSE FOREIGN ORDER'!AD33</f>
        <v>0</v>
      </c>
      <c r="J48" s="112">
        <f>'CLOSE FOREIGN ORDER'!AE33</f>
        <v>0</v>
      </c>
    </row>
    <row r="49" spans="1:10">
      <c r="A49" t="str">
        <f>'CLOSE FOREIGN ORDER'!D34</f>
        <v>FPO11503</v>
      </c>
      <c r="B49" t="str">
        <f>'CLOSE FOREIGN ORDER'!F34</f>
        <v>Blackhawk Molding Co., Inc</v>
      </c>
      <c r="C49" t="str">
        <f>'CLOSE FOREIGN ORDER'!X34</f>
        <v xml:space="preserve">50% net 45 days </v>
      </c>
      <c r="D49" s="123">
        <f>'CLOSE FOREIGN ORDER'!Y34</f>
        <v>45634</v>
      </c>
      <c r="E49" s="112">
        <f>'CLOSE FOREIGN ORDER'!Z34</f>
        <v>28449.74</v>
      </c>
      <c r="F49" s="112">
        <f>'CLOSE FOREIGN ORDER'!AA34</f>
        <v>0</v>
      </c>
      <c r="G49" s="112">
        <f>'CLOSE FOREIGN ORDER'!AB34</f>
        <v>0</v>
      </c>
      <c r="H49" s="112">
        <f>'CLOSE FOREIGN ORDER'!AC34</f>
        <v>0</v>
      </c>
      <c r="I49" s="112">
        <f>'CLOSE FOREIGN ORDER'!AD34</f>
        <v>0</v>
      </c>
      <c r="J49" s="112">
        <f>'CLOSE FOREIGN ORDER'!AE34</f>
        <v>0</v>
      </c>
    </row>
    <row r="50" spans="1:10">
      <c r="A50" t="str">
        <f>'CLOSE FOREIGN ORDER'!D96</f>
        <v>FPO11508</v>
      </c>
      <c r="B50" t="str">
        <f>'CLOSE FOREIGN ORDER'!F96</f>
        <v>Yesman Marketing</v>
      </c>
      <c r="C50" t="str">
        <f>'CLOSE FOREIGN ORDER'!W96</f>
        <v>50% Advance</v>
      </c>
      <c r="D50" s="123">
        <f>'CLOSE FOREIGN ORDER'!X96</f>
        <v>45484</v>
      </c>
      <c r="E50" s="112">
        <f>'CLOSE FOREIGN ORDER'!Y96</f>
        <v>0</v>
      </c>
      <c r="F50" s="112">
        <f>'CLOSE FOREIGN ORDER'!Z96</f>
        <v>0</v>
      </c>
      <c r="G50" s="112">
        <f>'CLOSE FOREIGN ORDER'!AA96</f>
        <v>0</v>
      </c>
      <c r="H50" s="112">
        <f>'CLOSE FOREIGN ORDER'!AB96</f>
        <v>276390</v>
      </c>
      <c r="I50" s="112">
        <f>'CLOSE FOREIGN ORDER'!AC96</f>
        <v>0</v>
      </c>
      <c r="J50" s="112">
        <f>'CLOSE FOREIGN ORDER'!AD96</f>
        <v>0</v>
      </c>
    </row>
    <row r="51" spans="1:10">
      <c r="A51" t="str">
        <f>'CLOSE FOREIGN ORDER'!D97</f>
        <v>FPO11508</v>
      </c>
      <c r="B51" t="str">
        <f>'CLOSE FOREIGN ORDER'!F97</f>
        <v>Yesman Marketing</v>
      </c>
      <c r="C51" t="str">
        <f>'CLOSE FOREIGN ORDER'!W97</f>
        <v>50% shipment</v>
      </c>
      <c r="D51" s="123">
        <f>'CLOSE FOREIGN ORDER'!X97</f>
        <v>45582</v>
      </c>
      <c r="E51" s="112">
        <f>'CLOSE FOREIGN ORDER'!Y97</f>
        <v>0</v>
      </c>
      <c r="F51" s="112">
        <f>'CLOSE FOREIGN ORDER'!Z97</f>
        <v>0</v>
      </c>
      <c r="G51" s="112">
        <f>'CLOSE FOREIGN ORDER'!AA97</f>
        <v>0</v>
      </c>
      <c r="H51" s="112">
        <f>'CLOSE FOREIGN ORDER'!AB97</f>
        <v>276390</v>
      </c>
      <c r="I51" s="112">
        <f>'CLOSE FOREIGN ORDER'!AC97</f>
        <v>0</v>
      </c>
      <c r="J51" s="112">
        <f>'CLOSE FOREIGN ORDER'!AD97</f>
        <v>0</v>
      </c>
    </row>
    <row r="52" spans="1:10">
      <c r="A52" t="e">
        <f>'OPEN FOREIGN ORDER'!#REF!</f>
        <v>#REF!</v>
      </c>
      <c r="B52" t="e">
        <f>'OPEN FOREIGN ORDER'!#REF!</f>
        <v>#REF!</v>
      </c>
      <c r="C52" t="e">
        <f>'OPEN FOREIGN ORDER'!#REF!</f>
        <v>#REF!</v>
      </c>
      <c r="D52" s="123" t="e">
        <f>'OPEN FOREIGN ORDER'!#REF!</f>
        <v>#REF!</v>
      </c>
      <c r="E52" s="112" t="e">
        <f>'OPEN FOREIGN ORDER'!#REF!</f>
        <v>#REF!</v>
      </c>
      <c r="F52" s="112" t="e">
        <f>'OPEN FOREIGN ORDER'!#REF!</f>
        <v>#REF!</v>
      </c>
      <c r="G52" s="112" t="e">
        <f>'OPEN FOREIGN ORDER'!#REF!</f>
        <v>#REF!</v>
      </c>
      <c r="H52" s="112" t="e">
        <f>'OPEN FOREIGN ORDER'!#REF!</f>
        <v>#REF!</v>
      </c>
      <c r="I52" s="112" t="e">
        <f>'OPEN FOREIGN ORDER'!#REF!</f>
        <v>#REF!</v>
      </c>
      <c r="J52" s="112" t="e">
        <f>'OPEN FOREIGN ORDER'!#REF!</f>
        <v>#REF!</v>
      </c>
    </row>
    <row r="53" spans="1:10">
      <c r="A53" t="str">
        <f>'CLOSE FOREIGN ORDER'!D75</f>
        <v>FPO11569</v>
      </c>
      <c r="B53" t="str">
        <f>'CLOSE FOREIGN ORDER'!F75</f>
        <v xml:space="preserve">STASSEN SA </v>
      </c>
      <c r="C53" t="str">
        <f>'CLOSE FOREIGN ORDER'!W75</f>
        <v xml:space="preserve">45 jours fin de mois </v>
      </c>
      <c r="D53" s="123">
        <f>'CLOSE FOREIGN ORDER'!X75</f>
        <v>45687</v>
      </c>
      <c r="E53" s="112">
        <f>'CLOSE FOREIGN ORDER'!Y75</f>
        <v>0</v>
      </c>
      <c r="F53" s="112">
        <f>'CLOSE FOREIGN ORDER'!Z75</f>
        <v>47180</v>
      </c>
      <c r="G53" s="112">
        <f>'CLOSE FOREIGN ORDER'!AA75</f>
        <v>0</v>
      </c>
      <c r="H53" s="112">
        <f>'CLOSE FOREIGN ORDER'!AB75</f>
        <v>0</v>
      </c>
      <c r="I53" s="112">
        <f>'CLOSE FOREIGN ORDER'!AC75</f>
        <v>0</v>
      </c>
      <c r="J53" s="112">
        <f>'CLOSE FOREIGN ORDER'!AD75</f>
        <v>0</v>
      </c>
    </row>
    <row r="54" spans="1:10">
      <c r="A54" t="str">
        <f>'CLOSE FOREIGN ORDER'!D107</f>
        <v>FPO11573</v>
      </c>
      <c r="B54" t="str">
        <f>'CLOSE FOREIGN ORDER'!F107</f>
        <v>DOHLER GMBH</v>
      </c>
      <c r="C54" t="str">
        <f>'CLOSE FOREIGN ORDER'!Z107</f>
        <v>45 DAYS INVOICE DATE</v>
      </c>
      <c r="D54" s="123">
        <f>'CLOSE FOREIGN ORDER'!AA107</f>
        <v>45724</v>
      </c>
      <c r="E54" s="112">
        <f>'CLOSE FOREIGN ORDER'!AB107</f>
        <v>0</v>
      </c>
      <c r="F54" s="112">
        <f>'CLOSE FOREIGN ORDER'!AC107</f>
        <v>1680</v>
      </c>
      <c r="G54" s="112">
        <f>'CLOSE FOREIGN ORDER'!AD107</f>
        <v>0</v>
      </c>
      <c r="H54" s="112">
        <f>'CLOSE FOREIGN ORDER'!AE107</f>
        <v>0</v>
      </c>
      <c r="I54" s="112">
        <f>'CLOSE FOREIGN ORDER'!AF107</f>
        <v>0</v>
      </c>
      <c r="J54" s="112">
        <f>'CLOSE FOREIGN ORDER'!AG107</f>
        <v>0</v>
      </c>
    </row>
    <row r="55" spans="1:10">
      <c r="A55" t="e">
        <f>'OPEN FOREIGN ORDER'!#REF!</f>
        <v>#REF!</v>
      </c>
      <c r="B55" t="e">
        <f>'OPEN FOREIGN ORDER'!#REF!</f>
        <v>#REF!</v>
      </c>
      <c r="C55" t="e">
        <f>'OPEN FOREIGN ORDER'!#REF!</f>
        <v>#REF!</v>
      </c>
      <c r="D55" s="123" t="e">
        <f>'OPEN FOREIGN ORDER'!#REF!</f>
        <v>#REF!</v>
      </c>
      <c r="E55" s="112" t="e">
        <f>'OPEN FOREIGN ORDER'!#REF!</f>
        <v>#REF!</v>
      </c>
      <c r="F55" s="112" t="e">
        <f>'OPEN FOREIGN ORDER'!#REF!</f>
        <v>#REF!</v>
      </c>
      <c r="G55" s="112" t="e">
        <f>'OPEN FOREIGN ORDER'!#REF!</f>
        <v>#REF!</v>
      </c>
      <c r="H55" s="112" t="e">
        <f>'OPEN FOREIGN ORDER'!#REF!</f>
        <v>#REF!</v>
      </c>
      <c r="I55" s="112" t="e">
        <f>'OPEN FOREIGN ORDER'!#REF!</f>
        <v>#REF!</v>
      </c>
      <c r="J55" s="112" t="e">
        <f>'OPEN FOREIGN ORDER'!#REF!</f>
        <v>#REF!</v>
      </c>
    </row>
    <row r="56" spans="1:10">
      <c r="A56" t="str">
        <f>'CLOSE FOREIGN ORDER'!D35</f>
        <v>FPO11576</v>
      </c>
      <c r="B56" t="str">
        <f>'CLOSE FOREIGN ORDER'!F35</f>
        <v xml:space="preserve">STASSEN SA </v>
      </c>
      <c r="C56" t="str">
        <f>'CLOSE FOREIGN ORDER'!X35</f>
        <v>45 jours fin de mois</v>
      </c>
      <c r="D56" s="123">
        <f>'CLOSE FOREIGN ORDER'!Y35</f>
        <v>45695</v>
      </c>
      <c r="E56" s="112">
        <f>'CLOSE FOREIGN ORDER'!Z35</f>
        <v>0</v>
      </c>
      <c r="F56" s="112">
        <f>'CLOSE FOREIGN ORDER'!AA35</f>
        <v>25560</v>
      </c>
      <c r="G56" s="112">
        <f>'CLOSE FOREIGN ORDER'!AB35</f>
        <v>0</v>
      </c>
      <c r="H56" s="112">
        <f>'CLOSE FOREIGN ORDER'!AC35</f>
        <v>0</v>
      </c>
      <c r="I56" s="112">
        <f>'CLOSE FOREIGN ORDER'!AD35</f>
        <v>0</v>
      </c>
      <c r="J56" s="112">
        <f>'CLOSE FOREIGN ORDER'!AE35</f>
        <v>0</v>
      </c>
    </row>
    <row r="57" spans="1:10">
      <c r="A57" t="str">
        <f>'CLOSE FOREIGN ORDER'!D98</f>
        <v>FPO11583</v>
      </c>
      <c r="B57" t="str">
        <f>'CLOSE FOREIGN ORDER'!F98</f>
        <v>BANGKOK CAN MANUFACTURING CO LTD</v>
      </c>
      <c r="C57" t="str">
        <f>'CLOSE FOREIGN ORDER'!W98</f>
        <v>60 days Bill of Lading</v>
      </c>
      <c r="D57" s="123">
        <f>'CLOSE FOREIGN ORDER'!X98</f>
        <v>45720</v>
      </c>
      <c r="E57" s="112">
        <f>'CLOSE FOREIGN ORDER'!Y98</f>
        <v>249635.31</v>
      </c>
      <c r="F57" s="112">
        <f>'CLOSE FOREIGN ORDER'!Z98</f>
        <v>0</v>
      </c>
      <c r="G57" s="112">
        <f>'CLOSE FOREIGN ORDER'!AA98</f>
        <v>0</v>
      </c>
      <c r="H57" s="112">
        <f>'CLOSE FOREIGN ORDER'!AB98</f>
        <v>0</v>
      </c>
      <c r="I57" s="112">
        <f>'CLOSE FOREIGN ORDER'!AC98</f>
        <v>0</v>
      </c>
      <c r="J57" s="112">
        <f>'CLOSE FOREIGN ORDER'!AD98</f>
        <v>0</v>
      </c>
    </row>
    <row r="58" spans="1:10">
      <c r="A58" t="str">
        <f>'CLOSE FOREIGN ORDER'!D130</f>
        <v>FPO11583</v>
      </c>
      <c r="B58" t="str">
        <f>'CLOSE FOREIGN ORDER'!F130</f>
        <v>BANGKOK CAN MANUFACTURING CO LTD</v>
      </c>
      <c r="C58" t="str">
        <f>'CLOSE FOREIGN ORDER'!Z130</f>
        <v>60 days Bill of Lading</v>
      </c>
      <c r="D58" s="123">
        <f>'CLOSE FOREIGN ORDER'!AA130</f>
        <v>45748</v>
      </c>
      <c r="E58" s="112">
        <f>'CLOSE FOREIGN ORDER'!AB130</f>
        <v>144122.79999999999</v>
      </c>
      <c r="F58" s="112">
        <f>'CLOSE FOREIGN ORDER'!AC130</f>
        <v>0</v>
      </c>
      <c r="G58" s="112">
        <f>'CLOSE FOREIGN ORDER'!AD130</f>
        <v>0</v>
      </c>
      <c r="H58" s="112">
        <f>'CLOSE FOREIGN ORDER'!AE130</f>
        <v>0</v>
      </c>
      <c r="I58" s="112">
        <f>'CLOSE FOREIGN ORDER'!AF130</f>
        <v>0</v>
      </c>
      <c r="J58" s="112">
        <f>'CLOSE FOREIGN ORDER'!AG130</f>
        <v>0</v>
      </c>
    </row>
    <row r="59" spans="1:10">
      <c r="A59" t="str">
        <f>'CLOSE FOREIGN ORDER'!D257</f>
        <v>FPO11584</v>
      </c>
      <c r="B59" t="str">
        <f>'CLOSE FOREIGN ORDER'!F257</f>
        <v xml:space="preserve">Greyson Trading LTD </v>
      </c>
      <c r="C59" t="str">
        <f>'CLOSE FOREIGN ORDER'!Z257</f>
        <v>60 days Bill of Lading</v>
      </c>
      <c r="D59" s="123">
        <f>'CLOSE FOREIGN ORDER'!AA257</f>
        <v>45818</v>
      </c>
      <c r="E59" s="112">
        <f>'CLOSE FOREIGN ORDER'!AB257</f>
        <v>194728.91</v>
      </c>
      <c r="F59" s="112">
        <f>'CLOSE FOREIGN ORDER'!AC257</f>
        <v>0</v>
      </c>
      <c r="G59" s="112">
        <f>'CLOSE FOREIGN ORDER'!AD257</f>
        <v>0</v>
      </c>
      <c r="H59" s="112">
        <f>'CLOSE FOREIGN ORDER'!AE257</f>
        <v>0</v>
      </c>
      <c r="I59" s="112">
        <f>'CLOSE FOREIGN ORDER'!AF257</f>
        <v>0</v>
      </c>
      <c r="J59" s="112">
        <f>'CLOSE FOREIGN ORDER'!AG257</f>
        <v>0</v>
      </c>
    </row>
    <row r="60" spans="1:10">
      <c r="A60" t="str">
        <f>'CLOSE FOREIGN ORDER'!D29</f>
        <v>FPO11586</v>
      </c>
      <c r="B60" t="str">
        <f>'CLOSE FOREIGN ORDER'!F29</f>
        <v>Coca-Cola Swaziland</v>
      </c>
      <c r="C60" t="str">
        <f>'CLOSE FOREIGN ORDER'!X29</f>
        <v>45 DAYS INVOICE DATE</v>
      </c>
      <c r="D60" s="123">
        <f>'CLOSE FOREIGN ORDER'!Y29</f>
        <v>45618</v>
      </c>
      <c r="E60" s="112">
        <f>'CLOSE FOREIGN ORDER'!Z29</f>
        <v>943702.41</v>
      </c>
      <c r="F60" s="112">
        <f>'CLOSE FOREIGN ORDER'!AA29</f>
        <v>0</v>
      </c>
      <c r="G60" s="112">
        <f>'CLOSE FOREIGN ORDER'!AB29</f>
        <v>0</v>
      </c>
      <c r="H60" s="112">
        <f>'CLOSE FOREIGN ORDER'!AC29</f>
        <v>0</v>
      </c>
      <c r="I60" s="112">
        <f>'CLOSE FOREIGN ORDER'!AD29</f>
        <v>0</v>
      </c>
      <c r="J60" s="112">
        <f>'CLOSE FOREIGN ORDER'!AE29</f>
        <v>0</v>
      </c>
    </row>
    <row r="61" spans="1:10">
      <c r="A61" t="str">
        <f>'CLOSE FOREIGN ORDER'!D30</f>
        <v>FPO11586</v>
      </c>
      <c r="B61" t="str">
        <f>'CLOSE FOREIGN ORDER'!F30</f>
        <v>Coca-Cola Swaziland</v>
      </c>
      <c r="C61" t="str">
        <f>'CLOSE FOREIGN ORDER'!X30</f>
        <v>45 DAYS INVOICE DATE</v>
      </c>
      <c r="D61" s="123">
        <f>'CLOSE FOREIGN ORDER'!Y30</f>
        <v>45655</v>
      </c>
      <c r="E61" s="112">
        <f>'CLOSE FOREIGN ORDER'!Z30</f>
        <v>97546.81</v>
      </c>
      <c r="F61" s="112">
        <f>'CLOSE FOREIGN ORDER'!AA30</f>
        <v>0</v>
      </c>
      <c r="G61" s="112">
        <f>'CLOSE FOREIGN ORDER'!AB30</f>
        <v>0</v>
      </c>
      <c r="H61" s="112">
        <f>'CLOSE FOREIGN ORDER'!AC30</f>
        <v>0</v>
      </c>
      <c r="I61" s="112">
        <f>'CLOSE FOREIGN ORDER'!AD30</f>
        <v>0</v>
      </c>
      <c r="J61" s="112">
        <f>'CLOSE FOREIGN ORDER'!AE30</f>
        <v>0</v>
      </c>
    </row>
    <row r="62" spans="1:10">
      <c r="A62" t="str">
        <f>'CLOSE FOREIGN ORDER'!D53</f>
        <v>FPO11586</v>
      </c>
      <c r="B62" t="str">
        <f>'CLOSE FOREIGN ORDER'!F53</f>
        <v>Coca-Cola Swaziland</v>
      </c>
      <c r="C62" t="str">
        <f>'CLOSE FOREIGN ORDER'!W53</f>
        <v>45 DAYS INVOICE DATE</v>
      </c>
      <c r="D62" s="123">
        <f>'CLOSE FOREIGN ORDER'!X53</f>
        <v>45698</v>
      </c>
      <c r="E62" s="112">
        <f>'CLOSE FOREIGN ORDER'!Y53</f>
        <v>6275.68</v>
      </c>
      <c r="F62" s="112">
        <f>'CLOSE FOREIGN ORDER'!Z53</f>
        <v>0</v>
      </c>
      <c r="G62" s="112">
        <f>'CLOSE FOREIGN ORDER'!AA53</f>
        <v>0</v>
      </c>
      <c r="H62" s="112">
        <f>'CLOSE FOREIGN ORDER'!AB53</f>
        <v>0</v>
      </c>
      <c r="I62" s="112">
        <f>'CLOSE FOREIGN ORDER'!AC53</f>
        <v>0</v>
      </c>
      <c r="J62" s="112">
        <f>'CLOSE FOREIGN ORDER'!AD53</f>
        <v>0</v>
      </c>
    </row>
    <row r="63" spans="1:10">
      <c r="A63" t="str">
        <f>'CLOSE FOREIGN ORDER'!D31</f>
        <v>FPO11587</v>
      </c>
      <c r="B63" t="str">
        <f>'CLOSE FOREIGN ORDER'!F31</f>
        <v>Coca-Cola Swaziland</v>
      </c>
      <c r="C63" t="str">
        <f>'CLOSE FOREIGN ORDER'!X31</f>
        <v>45 DAYS INVOICE DATE</v>
      </c>
      <c r="D63" s="123">
        <f>'CLOSE FOREIGN ORDER'!Y31</f>
        <v>45655</v>
      </c>
      <c r="E63" s="112">
        <f>'CLOSE FOREIGN ORDER'!Z31</f>
        <v>589617.4</v>
      </c>
      <c r="F63" s="112">
        <f>'CLOSE FOREIGN ORDER'!AA31</f>
        <v>0</v>
      </c>
      <c r="G63" s="112">
        <f>'CLOSE FOREIGN ORDER'!AB31</f>
        <v>0</v>
      </c>
      <c r="H63" s="112">
        <f>'CLOSE FOREIGN ORDER'!AC31</f>
        <v>0</v>
      </c>
      <c r="I63" s="112">
        <f>'CLOSE FOREIGN ORDER'!AD31</f>
        <v>0</v>
      </c>
      <c r="J63" s="112">
        <f>'CLOSE FOREIGN ORDER'!AE31</f>
        <v>0</v>
      </c>
    </row>
    <row r="64" spans="1:10">
      <c r="A64" t="str">
        <f>'CLOSE FOREIGN ORDER'!D54</f>
        <v>FPO11587</v>
      </c>
      <c r="B64" t="str">
        <f>'CLOSE FOREIGN ORDER'!F54</f>
        <v>Coca-Cola Swaziland</v>
      </c>
      <c r="C64" t="str">
        <f>'CLOSE FOREIGN ORDER'!W54</f>
        <v>45 DAYS INVOICE DATE</v>
      </c>
      <c r="D64" s="123">
        <f>'CLOSE FOREIGN ORDER'!X54</f>
        <v>45698</v>
      </c>
      <c r="E64" s="112">
        <f>'CLOSE FOREIGN ORDER'!Y54</f>
        <v>42917.25</v>
      </c>
      <c r="F64" s="112">
        <f>'CLOSE FOREIGN ORDER'!Z54</f>
        <v>0</v>
      </c>
      <c r="G64" s="112">
        <f>'CLOSE FOREIGN ORDER'!AA54</f>
        <v>0</v>
      </c>
      <c r="H64" s="112">
        <f>'CLOSE FOREIGN ORDER'!AB54</f>
        <v>0</v>
      </c>
      <c r="I64" s="112">
        <f>'CLOSE FOREIGN ORDER'!AC54</f>
        <v>0</v>
      </c>
      <c r="J64" s="112">
        <f>'CLOSE FOREIGN ORDER'!AD54</f>
        <v>0</v>
      </c>
    </row>
    <row r="65" spans="1:10">
      <c r="A65" t="str">
        <f>'CLOSE FOREIGN ORDER'!D36</f>
        <v>FPO11589</v>
      </c>
      <c r="B65" t="str">
        <f>'CLOSE FOREIGN ORDER'!F36</f>
        <v>Kerry Food Ingredients &amp; Flavours Ltd</v>
      </c>
      <c r="C65" t="str">
        <f>'CLOSE FOREIGN ORDER'!X36</f>
        <v>90 days Invoice date</v>
      </c>
      <c r="D65" s="123">
        <f>'CLOSE FOREIGN ORDER'!Y36</f>
        <v>45700</v>
      </c>
      <c r="E65" s="112">
        <f>'CLOSE FOREIGN ORDER'!Z36</f>
        <v>0</v>
      </c>
      <c r="F65" s="112">
        <f>'CLOSE FOREIGN ORDER'!AA36</f>
        <v>3878.72</v>
      </c>
      <c r="G65" s="112">
        <f>'CLOSE FOREIGN ORDER'!AB36</f>
        <v>0</v>
      </c>
      <c r="H65" s="112">
        <f>'CLOSE FOREIGN ORDER'!AC36</f>
        <v>0</v>
      </c>
      <c r="I65" s="112">
        <f>'CLOSE FOREIGN ORDER'!AD36</f>
        <v>0</v>
      </c>
      <c r="J65" s="112">
        <f>'CLOSE FOREIGN ORDER'!AE36</f>
        <v>0</v>
      </c>
    </row>
    <row r="66" spans="1:10">
      <c r="A66" t="e">
        <f>'OPEN FOREIGN ORDER'!#REF!</f>
        <v>#REF!</v>
      </c>
      <c r="B66" t="e">
        <f>'OPEN FOREIGN ORDER'!#REF!</f>
        <v>#REF!</v>
      </c>
      <c r="C66" t="e">
        <f>'OPEN FOREIGN ORDER'!#REF!</f>
        <v>#REF!</v>
      </c>
      <c r="D66" s="123" t="e">
        <f>'OPEN FOREIGN ORDER'!#REF!</f>
        <v>#REF!</v>
      </c>
      <c r="E66" s="112" t="e">
        <f>'OPEN FOREIGN ORDER'!#REF!</f>
        <v>#REF!</v>
      </c>
      <c r="F66" s="112" t="e">
        <f>'OPEN FOREIGN ORDER'!#REF!</f>
        <v>#REF!</v>
      </c>
      <c r="G66" s="112" t="e">
        <f>'OPEN FOREIGN ORDER'!#REF!</f>
        <v>#REF!</v>
      </c>
      <c r="H66" s="112" t="e">
        <f>'OPEN FOREIGN ORDER'!#REF!</f>
        <v>#REF!</v>
      </c>
      <c r="I66" s="112" t="e">
        <f>'OPEN FOREIGN ORDER'!#REF!</f>
        <v>#REF!</v>
      </c>
      <c r="J66" s="112" t="e">
        <f>'OPEN FOREIGN ORDER'!#REF!</f>
        <v>#REF!</v>
      </c>
    </row>
    <row r="67" spans="1:10">
      <c r="A67" t="e">
        <f>'OPEN FOREIGN ORDER'!#REF!</f>
        <v>#REF!</v>
      </c>
      <c r="B67" t="e">
        <f>'OPEN FOREIGN ORDER'!#REF!</f>
        <v>#REF!</v>
      </c>
      <c r="C67" t="e">
        <f>'OPEN FOREIGN ORDER'!#REF!</f>
        <v>#REF!</v>
      </c>
      <c r="D67" s="123" t="e">
        <f>'OPEN FOREIGN ORDER'!#REF!</f>
        <v>#REF!</v>
      </c>
      <c r="E67" s="112" t="e">
        <f>'OPEN FOREIGN ORDER'!#REF!</f>
        <v>#REF!</v>
      </c>
      <c r="F67" s="112" t="e">
        <f>'OPEN FOREIGN ORDER'!#REF!</f>
        <v>#REF!</v>
      </c>
      <c r="G67" s="112" t="e">
        <f>'OPEN FOREIGN ORDER'!#REF!</f>
        <v>#REF!</v>
      </c>
      <c r="H67" s="112" t="e">
        <f>'OPEN FOREIGN ORDER'!#REF!</f>
        <v>#REF!</v>
      </c>
      <c r="I67" s="112" t="e">
        <f>'OPEN FOREIGN ORDER'!#REF!</f>
        <v>#REF!</v>
      </c>
      <c r="J67" s="112" t="e">
        <f>'OPEN FOREIGN ORDER'!#REF!</f>
        <v>#REF!</v>
      </c>
    </row>
    <row r="68" spans="1:10">
      <c r="A68" t="e">
        <f>'OPEN FOREIGN ORDER'!#REF!</f>
        <v>#REF!</v>
      </c>
      <c r="B68" t="e">
        <f>'OPEN FOREIGN ORDER'!#REF!</f>
        <v>#REF!</v>
      </c>
      <c r="C68" t="e">
        <f>'OPEN FOREIGN ORDER'!#REF!</f>
        <v>#REF!</v>
      </c>
      <c r="D68" s="123" t="e">
        <f>'OPEN FOREIGN ORDER'!#REF!</f>
        <v>#REF!</v>
      </c>
      <c r="E68" s="112" t="e">
        <f>'OPEN FOREIGN ORDER'!#REF!</f>
        <v>#REF!</v>
      </c>
      <c r="F68" s="112" t="e">
        <f>'OPEN FOREIGN ORDER'!#REF!</f>
        <v>#REF!</v>
      </c>
      <c r="G68" s="112" t="e">
        <f>'OPEN FOREIGN ORDER'!#REF!</f>
        <v>#REF!</v>
      </c>
      <c r="H68" s="112" t="e">
        <f>'OPEN FOREIGN ORDER'!#REF!</f>
        <v>#REF!</v>
      </c>
      <c r="I68" s="112" t="e">
        <f>'OPEN FOREIGN ORDER'!#REF!</f>
        <v>#REF!</v>
      </c>
      <c r="J68" s="112" t="e">
        <f>'OPEN FOREIGN ORDER'!#REF!</f>
        <v>#REF!</v>
      </c>
    </row>
    <row r="69" spans="1:10">
      <c r="A69" t="e">
        <f>'OPEN FOREIGN ORDER'!#REF!</f>
        <v>#REF!</v>
      </c>
      <c r="B69" t="e">
        <f>'OPEN FOREIGN ORDER'!#REF!</f>
        <v>#REF!</v>
      </c>
      <c r="C69" t="e">
        <f>'OPEN FOREIGN ORDER'!#REF!</f>
        <v>#REF!</v>
      </c>
      <c r="D69" s="123" t="e">
        <f>'OPEN FOREIGN ORDER'!#REF!</f>
        <v>#REF!</v>
      </c>
      <c r="E69" s="112" t="e">
        <f>'OPEN FOREIGN ORDER'!#REF!</f>
        <v>#REF!</v>
      </c>
      <c r="F69" s="112" t="e">
        <f>'OPEN FOREIGN ORDER'!#REF!</f>
        <v>#REF!</v>
      </c>
      <c r="G69" s="112" t="e">
        <f>'OPEN FOREIGN ORDER'!#REF!</f>
        <v>#REF!</v>
      </c>
      <c r="H69" s="112" t="e">
        <f>'OPEN FOREIGN ORDER'!#REF!</f>
        <v>#REF!</v>
      </c>
      <c r="I69" s="112" t="e">
        <f>'OPEN FOREIGN ORDER'!#REF!</f>
        <v>#REF!</v>
      </c>
      <c r="J69" s="112" t="e">
        <f>'OPEN FOREIGN ORDER'!#REF!</f>
        <v>#REF!</v>
      </c>
    </row>
    <row r="70" spans="1:10">
      <c r="A70" t="str">
        <f>'CLOSE FOREIGN ORDER'!D37</f>
        <v>FPO11623</v>
      </c>
      <c r="B70" t="str">
        <f>'CLOSE FOREIGN ORDER'!F37</f>
        <v>SCHWEPPES INTERNATIONAL LIMITED</v>
      </c>
      <c r="C70" t="str">
        <f>'CLOSE FOREIGN ORDER'!X37</f>
        <v xml:space="preserve">60 DAYS INVOICE DATE </v>
      </c>
      <c r="D70" s="123">
        <f>'CLOSE FOREIGN ORDER'!Y37</f>
        <v>45699</v>
      </c>
      <c r="E70" s="112">
        <f>'CLOSE FOREIGN ORDER'!Z37</f>
        <v>0</v>
      </c>
      <c r="F70" s="112">
        <f>'CLOSE FOREIGN ORDER'!AA37</f>
        <v>144674.70000000001</v>
      </c>
      <c r="G70" s="112">
        <f>'CLOSE FOREIGN ORDER'!AB37</f>
        <v>0</v>
      </c>
      <c r="H70" s="112">
        <f>'CLOSE FOREIGN ORDER'!AC37</f>
        <v>0</v>
      </c>
      <c r="I70" s="112">
        <f>'CLOSE FOREIGN ORDER'!AD37</f>
        <v>0</v>
      </c>
      <c r="J70" s="112">
        <f>'CLOSE FOREIGN ORDER'!AE37</f>
        <v>0</v>
      </c>
    </row>
    <row r="71" spans="1:10">
      <c r="A71" t="str">
        <f>'CLOSE FOREIGN ORDER'!D38</f>
        <v>FPO11626</v>
      </c>
      <c r="B71" t="str">
        <f>'CLOSE FOREIGN ORDER'!F38</f>
        <v xml:space="preserve">RKW ST FRERES EMBALLAGES </v>
      </c>
      <c r="C71" t="str">
        <f>'CLOSE FOREIGN ORDER'!X38</f>
        <v xml:space="preserve">60 DAYS INVOICE DATE </v>
      </c>
      <c r="D71" s="123">
        <f>'CLOSE FOREIGN ORDER'!Y38</f>
        <v>45688</v>
      </c>
      <c r="E71" s="112">
        <f>'CLOSE FOREIGN ORDER'!Z38</f>
        <v>0</v>
      </c>
      <c r="F71" s="112">
        <f>'CLOSE FOREIGN ORDER'!AA38</f>
        <v>34618.01</v>
      </c>
      <c r="G71" s="112">
        <f>'CLOSE FOREIGN ORDER'!AB38</f>
        <v>0</v>
      </c>
      <c r="H71" s="112">
        <f>'CLOSE FOREIGN ORDER'!AC38</f>
        <v>0</v>
      </c>
      <c r="I71" s="112">
        <f>'CLOSE FOREIGN ORDER'!AD38</f>
        <v>0</v>
      </c>
      <c r="J71" s="112">
        <f>'CLOSE FOREIGN ORDER'!AE38</f>
        <v>0</v>
      </c>
    </row>
    <row r="72" spans="1:10">
      <c r="A72" t="str">
        <f>'CLOSE FOREIGN ORDER'!D39</f>
        <v>FPO11627</v>
      </c>
      <c r="B72" t="str">
        <f>'CLOSE FOREIGN ORDER'!F39</f>
        <v xml:space="preserve">RKW ST FRERES EMBALLAGES </v>
      </c>
      <c r="C72" t="str">
        <f>'CLOSE FOREIGN ORDER'!X39</f>
        <v xml:space="preserve">60 DAYS INVOICE DATE </v>
      </c>
      <c r="D72" s="123">
        <f>'CLOSE FOREIGN ORDER'!Y39</f>
        <v>45688</v>
      </c>
      <c r="E72" s="112">
        <f>'CLOSE FOREIGN ORDER'!Z39</f>
        <v>0</v>
      </c>
      <c r="F72" s="112">
        <f>'CLOSE FOREIGN ORDER'!AA39</f>
        <v>34419.18</v>
      </c>
      <c r="G72" s="112">
        <f>'CLOSE FOREIGN ORDER'!AB39</f>
        <v>0</v>
      </c>
      <c r="H72" s="112">
        <f>'CLOSE FOREIGN ORDER'!AC39</f>
        <v>0</v>
      </c>
      <c r="I72" s="112">
        <f>'CLOSE FOREIGN ORDER'!AD39</f>
        <v>0</v>
      </c>
      <c r="J72" s="112">
        <f>'CLOSE FOREIGN ORDER'!AE39</f>
        <v>0</v>
      </c>
    </row>
    <row r="73" spans="1:10">
      <c r="A73" t="str">
        <f>'CLOSE FOREIGN ORDER'!D94</f>
        <v>FPO11633</v>
      </c>
      <c r="B73" t="str">
        <f>'CLOSE FOREIGN ORDER'!F94</f>
        <v>RESILUX NV</v>
      </c>
      <c r="C73" t="str">
        <f>'CLOSE FOREIGN ORDER'!W94</f>
        <v>60 DAYS INVOICE DATE</v>
      </c>
      <c r="D73" s="123">
        <f>'CLOSE FOREIGN ORDER'!X94</f>
        <v>45706</v>
      </c>
      <c r="E73" s="112">
        <f>'CLOSE FOREIGN ORDER'!Y94</f>
        <v>0</v>
      </c>
      <c r="F73" s="112">
        <f>'CLOSE FOREIGN ORDER'!Z94</f>
        <v>21538</v>
      </c>
      <c r="G73" s="112">
        <f>'CLOSE FOREIGN ORDER'!AA94</f>
        <v>0</v>
      </c>
      <c r="H73" s="112">
        <f>'CLOSE FOREIGN ORDER'!AB94</f>
        <v>0</v>
      </c>
      <c r="I73" s="112">
        <f>'CLOSE FOREIGN ORDER'!AC94</f>
        <v>0</v>
      </c>
      <c r="J73" s="112">
        <f>'CLOSE FOREIGN ORDER'!AD94</f>
        <v>0</v>
      </c>
    </row>
    <row r="74" spans="1:10">
      <c r="A74" t="str">
        <f>'CLOSE FOREIGN ORDER'!D55</f>
        <v>FPO11648</v>
      </c>
      <c r="B74" t="str">
        <f>'CLOSE FOREIGN ORDER'!F55</f>
        <v>Coca-Cola Swaziland</v>
      </c>
      <c r="C74" t="str">
        <f>'CLOSE FOREIGN ORDER'!W55</f>
        <v>45 DAYS INVOICE DATE</v>
      </c>
      <c r="D74" s="123">
        <f>'CLOSE FOREIGN ORDER'!X55</f>
        <v>45698</v>
      </c>
      <c r="E74" s="112">
        <f>'CLOSE FOREIGN ORDER'!Y55</f>
        <v>1323761.8600000001</v>
      </c>
      <c r="F74" s="112">
        <f>'CLOSE FOREIGN ORDER'!Z55</f>
        <v>0</v>
      </c>
      <c r="G74" s="112">
        <f>'CLOSE FOREIGN ORDER'!AA55</f>
        <v>0</v>
      </c>
      <c r="H74" s="112">
        <f>'CLOSE FOREIGN ORDER'!AB55</f>
        <v>0</v>
      </c>
      <c r="I74" s="112">
        <f>'CLOSE FOREIGN ORDER'!AC55</f>
        <v>0</v>
      </c>
      <c r="J74" s="112">
        <f>'CLOSE FOREIGN ORDER'!AD55</f>
        <v>0</v>
      </c>
    </row>
    <row r="75" spans="1:10">
      <c r="A75" t="str">
        <f>'CLOSE FOREIGN ORDER'!D56</f>
        <v>FPO11648</v>
      </c>
      <c r="B75" t="str">
        <f>'CLOSE FOREIGN ORDER'!F56</f>
        <v>Coca-Cola Swaziland</v>
      </c>
      <c r="C75" t="str">
        <f>'CLOSE FOREIGN ORDER'!W56</f>
        <v>45 DAYS INVOICE DATE</v>
      </c>
      <c r="D75" s="123">
        <f>'CLOSE FOREIGN ORDER'!X56</f>
        <v>45698</v>
      </c>
      <c r="E75" s="112">
        <f>'CLOSE FOREIGN ORDER'!Y56</f>
        <v>1201.8699999999999</v>
      </c>
      <c r="F75" s="112">
        <f>'CLOSE FOREIGN ORDER'!Z56</f>
        <v>0</v>
      </c>
      <c r="G75" s="112">
        <f>'CLOSE FOREIGN ORDER'!AA56</f>
        <v>0</v>
      </c>
      <c r="H75" s="112">
        <f>'CLOSE FOREIGN ORDER'!AB56</f>
        <v>0</v>
      </c>
      <c r="I75" s="112">
        <f>'CLOSE FOREIGN ORDER'!AC56</f>
        <v>0</v>
      </c>
      <c r="J75" s="112">
        <f>'CLOSE FOREIGN ORDER'!AD56</f>
        <v>0</v>
      </c>
    </row>
    <row r="76" spans="1:10">
      <c r="A76" t="e">
        <f>'OPEN FOREIGN ORDER'!#REF!</f>
        <v>#REF!</v>
      </c>
      <c r="B76" t="e">
        <f>'OPEN FOREIGN ORDER'!#REF!</f>
        <v>#REF!</v>
      </c>
      <c r="C76" t="e">
        <f>'OPEN FOREIGN ORDER'!#REF!</f>
        <v>#REF!</v>
      </c>
      <c r="D76" s="123" t="e">
        <f>'OPEN FOREIGN ORDER'!#REF!</f>
        <v>#REF!</v>
      </c>
      <c r="E76" s="112" t="e">
        <f>'OPEN FOREIGN ORDER'!#REF!</f>
        <v>#REF!</v>
      </c>
      <c r="F76" s="112" t="e">
        <f>'OPEN FOREIGN ORDER'!#REF!</f>
        <v>#REF!</v>
      </c>
      <c r="G76" s="112" t="e">
        <f>'OPEN FOREIGN ORDER'!#REF!</f>
        <v>#REF!</v>
      </c>
      <c r="H76" s="112" t="e">
        <f>'OPEN FOREIGN ORDER'!#REF!</f>
        <v>#REF!</v>
      </c>
      <c r="I76" s="112" t="e">
        <f>'OPEN FOREIGN ORDER'!#REF!</f>
        <v>#REF!</v>
      </c>
      <c r="J76" s="112" t="e">
        <f>'OPEN FOREIGN ORDER'!#REF!</f>
        <v>#REF!</v>
      </c>
    </row>
    <row r="77" spans="1:10">
      <c r="A77" t="e">
        <f>'OPEN FOREIGN ORDER'!#REF!</f>
        <v>#REF!</v>
      </c>
      <c r="B77" t="e">
        <f>'OPEN FOREIGN ORDER'!#REF!</f>
        <v>#REF!</v>
      </c>
      <c r="C77" t="e">
        <f>'OPEN FOREIGN ORDER'!#REF!</f>
        <v>#REF!</v>
      </c>
      <c r="D77" s="123" t="e">
        <f>'OPEN FOREIGN ORDER'!#REF!</f>
        <v>#REF!</v>
      </c>
      <c r="E77" s="112" t="e">
        <f>'OPEN FOREIGN ORDER'!#REF!</f>
        <v>#REF!</v>
      </c>
      <c r="F77" s="112" t="e">
        <f>'OPEN FOREIGN ORDER'!#REF!</f>
        <v>#REF!</v>
      </c>
      <c r="G77" s="112" t="e">
        <f>'OPEN FOREIGN ORDER'!#REF!</f>
        <v>#REF!</v>
      </c>
      <c r="H77" s="112" t="e">
        <f>'OPEN FOREIGN ORDER'!#REF!</f>
        <v>#REF!</v>
      </c>
      <c r="I77" s="112" t="e">
        <f>'OPEN FOREIGN ORDER'!#REF!</f>
        <v>#REF!</v>
      </c>
      <c r="J77" s="112" t="e">
        <f>'OPEN FOREIGN ORDER'!#REF!</f>
        <v>#REF!</v>
      </c>
    </row>
    <row r="78" spans="1:10">
      <c r="A78" t="e">
        <f>'OPEN FOREIGN ORDER'!#REF!</f>
        <v>#REF!</v>
      </c>
      <c r="B78" t="e">
        <f>'OPEN FOREIGN ORDER'!#REF!</f>
        <v>#REF!</v>
      </c>
      <c r="C78" t="e">
        <f>'OPEN FOREIGN ORDER'!#REF!</f>
        <v>#REF!</v>
      </c>
      <c r="D78" s="123" t="e">
        <f>'OPEN FOREIGN ORDER'!#REF!</f>
        <v>#REF!</v>
      </c>
      <c r="E78" s="112" t="e">
        <f>'OPEN FOREIGN ORDER'!#REF!</f>
        <v>#REF!</v>
      </c>
      <c r="F78" s="112" t="e">
        <f>'OPEN FOREIGN ORDER'!#REF!</f>
        <v>#REF!</v>
      </c>
      <c r="G78" s="112" t="e">
        <f>'OPEN FOREIGN ORDER'!#REF!</f>
        <v>#REF!</v>
      </c>
      <c r="H78" s="112" t="e">
        <f>'OPEN FOREIGN ORDER'!#REF!</f>
        <v>#REF!</v>
      </c>
      <c r="I78" s="112" t="e">
        <f>'OPEN FOREIGN ORDER'!#REF!</f>
        <v>#REF!</v>
      </c>
      <c r="J78" s="112" t="e">
        <f>'OPEN FOREIGN ORDER'!#REF!</f>
        <v>#REF!</v>
      </c>
    </row>
    <row r="79" spans="1:10">
      <c r="A79" t="e">
        <f>'OPEN FOREIGN ORDER'!#REF!</f>
        <v>#REF!</v>
      </c>
      <c r="B79" t="e">
        <f>'OPEN FOREIGN ORDER'!#REF!</f>
        <v>#REF!</v>
      </c>
      <c r="C79" t="e">
        <f>'OPEN FOREIGN ORDER'!#REF!</f>
        <v>#REF!</v>
      </c>
      <c r="D79" s="123" t="e">
        <f>'OPEN FOREIGN ORDER'!#REF!</f>
        <v>#REF!</v>
      </c>
      <c r="E79" s="112" t="e">
        <f>'OPEN FOREIGN ORDER'!#REF!</f>
        <v>#REF!</v>
      </c>
      <c r="F79" s="112" t="e">
        <f>'OPEN FOREIGN ORDER'!#REF!</f>
        <v>#REF!</v>
      </c>
      <c r="G79" s="112" t="e">
        <f>'OPEN FOREIGN ORDER'!#REF!</f>
        <v>#REF!</v>
      </c>
      <c r="H79" s="112" t="e">
        <f>'OPEN FOREIGN ORDER'!#REF!</f>
        <v>#REF!</v>
      </c>
      <c r="I79" s="112" t="e">
        <f>'OPEN FOREIGN ORDER'!#REF!</f>
        <v>#REF!</v>
      </c>
      <c r="J79" s="112" t="e">
        <f>'OPEN FOREIGN ORDER'!#REF!</f>
        <v>#REF!</v>
      </c>
    </row>
    <row r="80" spans="1:10">
      <c r="A80" t="e">
        <f>'CLOSE FOREIGN ORDER'!#REF!</f>
        <v>#REF!</v>
      </c>
      <c r="B80" t="e">
        <f>'CLOSE FOREIGN ORDER'!#REF!</f>
        <v>#REF!</v>
      </c>
      <c r="C80" t="e">
        <f>'CLOSE FOREIGN ORDER'!#REF!</f>
        <v>#REF!</v>
      </c>
      <c r="D80" s="123" t="e">
        <f>'CLOSE FOREIGN ORDER'!#REF!</f>
        <v>#REF!</v>
      </c>
      <c r="E80" s="112" t="e">
        <f>'CLOSE FOREIGN ORDER'!#REF!</f>
        <v>#REF!</v>
      </c>
      <c r="F80" s="112" t="e">
        <f>'CLOSE FOREIGN ORDER'!#REF!</f>
        <v>#REF!</v>
      </c>
      <c r="G80" s="112" t="e">
        <f>'CLOSE FOREIGN ORDER'!#REF!</f>
        <v>#REF!</v>
      </c>
      <c r="H80" s="112" t="e">
        <f>'CLOSE FOREIGN ORDER'!#REF!</f>
        <v>#REF!</v>
      </c>
      <c r="I80" s="112" t="e">
        <f>'CLOSE FOREIGN ORDER'!#REF!</f>
        <v>#REF!</v>
      </c>
      <c r="J80" s="112" t="e">
        <f>'CLOSE FOREIGN ORDER'!#REF!</f>
        <v>#REF!</v>
      </c>
    </row>
    <row r="81" spans="1:10">
      <c r="A81" t="e">
        <f>'OPEN FOREIGN ORDER'!#REF!</f>
        <v>#REF!</v>
      </c>
      <c r="B81" t="e">
        <f>'OPEN FOREIGN ORDER'!#REF!</f>
        <v>#REF!</v>
      </c>
      <c r="C81" t="e">
        <f>'OPEN FOREIGN ORDER'!#REF!</f>
        <v>#REF!</v>
      </c>
      <c r="D81" s="123" t="e">
        <f>'OPEN FOREIGN ORDER'!#REF!</f>
        <v>#REF!</v>
      </c>
      <c r="E81" s="112" t="e">
        <f>'OPEN FOREIGN ORDER'!#REF!</f>
        <v>#REF!</v>
      </c>
      <c r="F81" s="112" t="e">
        <f>'OPEN FOREIGN ORDER'!#REF!</f>
        <v>#REF!</v>
      </c>
      <c r="G81" s="112" t="e">
        <f>'OPEN FOREIGN ORDER'!#REF!</f>
        <v>#REF!</v>
      </c>
      <c r="H81" s="112" t="e">
        <f>'OPEN FOREIGN ORDER'!#REF!</f>
        <v>#REF!</v>
      </c>
      <c r="I81" s="112" t="e">
        <f>'OPEN FOREIGN ORDER'!#REF!</f>
        <v>#REF!</v>
      </c>
      <c r="J81" s="112" t="e">
        <f>'OPEN FOREIGN ORDER'!#REF!</f>
        <v>#REF!</v>
      </c>
    </row>
    <row r="82" spans="1:10">
      <c r="A82" t="e">
        <f>'OPEN FOREIGN ORDER'!#REF!</f>
        <v>#REF!</v>
      </c>
      <c r="B82" t="e">
        <f>'OPEN FOREIGN ORDER'!#REF!</f>
        <v>#REF!</v>
      </c>
      <c r="C82" t="e">
        <f>'OPEN FOREIGN ORDER'!#REF!</f>
        <v>#REF!</v>
      </c>
      <c r="D82" s="123" t="e">
        <f>'OPEN FOREIGN ORDER'!#REF!</f>
        <v>#REF!</v>
      </c>
      <c r="E82" s="112" t="e">
        <f>'OPEN FOREIGN ORDER'!#REF!</f>
        <v>#REF!</v>
      </c>
      <c r="F82" s="112" t="e">
        <f>'OPEN FOREIGN ORDER'!#REF!</f>
        <v>#REF!</v>
      </c>
      <c r="G82" s="112" t="e">
        <f>'OPEN FOREIGN ORDER'!#REF!</f>
        <v>#REF!</v>
      </c>
      <c r="H82" s="112" t="e">
        <f>'OPEN FOREIGN ORDER'!#REF!</f>
        <v>#REF!</v>
      </c>
      <c r="I82" s="112" t="e">
        <f>'OPEN FOREIGN ORDER'!#REF!</f>
        <v>#REF!</v>
      </c>
      <c r="J82" s="112" t="e">
        <f>'OPEN FOREIGN ORDER'!#REF!</f>
        <v>#REF!</v>
      </c>
    </row>
    <row r="83" spans="1:10">
      <c r="A83" t="e">
        <f>'OPEN FOREIGN ORDER'!#REF!</f>
        <v>#REF!</v>
      </c>
      <c r="B83" t="e">
        <f>'OPEN FOREIGN ORDER'!#REF!</f>
        <v>#REF!</v>
      </c>
      <c r="C83" t="e">
        <f>'OPEN FOREIGN ORDER'!#REF!</f>
        <v>#REF!</v>
      </c>
      <c r="D83" s="123" t="e">
        <f>'OPEN FOREIGN ORDER'!#REF!</f>
        <v>#REF!</v>
      </c>
      <c r="E83" s="112" t="e">
        <f>'OPEN FOREIGN ORDER'!#REF!</f>
        <v>#REF!</v>
      </c>
      <c r="F83" s="112" t="e">
        <f>'OPEN FOREIGN ORDER'!#REF!</f>
        <v>#REF!</v>
      </c>
      <c r="G83" s="112" t="e">
        <f>'OPEN FOREIGN ORDER'!#REF!</f>
        <v>#REF!</v>
      </c>
      <c r="H83" s="112" t="e">
        <f>'OPEN FOREIGN ORDER'!#REF!</f>
        <v>#REF!</v>
      </c>
      <c r="I83" s="112" t="e">
        <f>'OPEN FOREIGN ORDER'!#REF!</f>
        <v>#REF!</v>
      </c>
      <c r="J83" s="112" t="e">
        <f>'OPEN FOREIGN ORDER'!#REF!</f>
        <v>#REF!</v>
      </c>
    </row>
    <row r="84" spans="1:10">
      <c r="A84" t="e">
        <f>'OPEN FOREIGN ORDER'!#REF!</f>
        <v>#REF!</v>
      </c>
      <c r="B84" t="e">
        <f>'OPEN FOREIGN ORDER'!#REF!</f>
        <v>#REF!</v>
      </c>
      <c r="C84" t="e">
        <f>'OPEN FOREIGN ORDER'!#REF!</f>
        <v>#REF!</v>
      </c>
      <c r="D84" s="123" t="e">
        <f>'OPEN FOREIGN ORDER'!#REF!</f>
        <v>#REF!</v>
      </c>
      <c r="E84" s="112" t="e">
        <f>'OPEN FOREIGN ORDER'!#REF!</f>
        <v>#REF!</v>
      </c>
      <c r="F84" s="112" t="e">
        <f>'OPEN FOREIGN ORDER'!#REF!</f>
        <v>#REF!</v>
      </c>
      <c r="G84" s="112" t="e">
        <f>'OPEN FOREIGN ORDER'!#REF!</f>
        <v>#REF!</v>
      </c>
      <c r="H84" s="112" t="e">
        <f>'OPEN FOREIGN ORDER'!#REF!</f>
        <v>#REF!</v>
      </c>
      <c r="I84" s="112" t="e">
        <f>'OPEN FOREIGN ORDER'!#REF!</f>
        <v>#REF!</v>
      </c>
      <c r="J84" s="112" t="e">
        <f>'OPEN FOREIGN ORDER'!#REF!</f>
        <v>#REF!</v>
      </c>
    </row>
    <row r="85" spans="1:10">
      <c r="A85" t="str">
        <f>'CLOSE FOREIGN ORDER'!D115</f>
        <v>FPO11668</v>
      </c>
      <c r="B85" t="str">
        <f>'CLOSE FOREIGN ORDER'!F115</f>
        <v>Crown Emirates Co. LTD</v>
      </c>
      <c r="C85" t="str">
        <f>'CLOSE FOREIGN ORDER'!Z115</f>
        <v>100% advance payment</v>
      </c>
      <c r="D85" s="123">
        <f>'CLOSE FOREIGN ORDER'!AA115</f>
        <v>45627</v>
      </c>
      <c r="E85" s="112">
        <f>'CLOSE FOREIGN ORDER'!AB115</f>
        <v>50920.27</v>
      </c>
      <c r="F85" s="112">
        <f>'CLOSE FOREIGN ORDER'!AC115</f>
        <v>0</v>
      </c>
      <c r="G85" s="112">
        <f>'CLOSE FOREIGN ORDER'!AD115</f>
        <v>0</v>
      </c>
      <c r="H85" s="112">
        <f>'CLOSE FOREIGN ORDER'!AE115</f>
        <v>0</v>
      </c>
      <c r="I85" s="112">
        <f>'CLOSE FOREIGN ORDER'!AF115</f>
        <v>0</v>
      </c>
      <c r="J85" s="112">
        <f>'CLOSE FOREIGN ORDER'!AG115</f>
        <v>0</v>
      </c>
    </row>
    <row r="86" spans="1:10">
      <c r="A86" t="str">
        <f>'CLOSE FOREIGN ORDER'!D146</f>
        <v>FPO11685</v>
      </c>
      <c r="B86" t="str">
        <f>'CLOSE FOREIGN ORDER'!F146</f>
        <v xml:space="preserve">STASSEN SA </v>
      </c>
      <c r="C86" t="str">
        <f>'CLOSE FOREIGN ORDER'!Z146</f>
        <v>45 JOURS FIN DE MOIS</v>
      </c>
      <c r="D86" s="123">
        <f>'CLOSE FOREIGN ORDER'!AA146</f>
        <v>45748</v>
      </c>
      <c r="E86" s="112">
        <f>'CLOSE FOREIGN ORDER'!AB146</f>
        <v>0</v>
      </c>
      <c r="F86" s="112">
        <f>'CLOSE FOREIGN ORDER'!AC146</f>
        <v>23040</v>
      </c>
      <c r="G86" s="112">
        <f>'CLOSE FOREIGN ORDER'!AD146</f>
        <v>0</v>
      </c>
      <c r="H86" s="112">
        <f>'CLOSE FOREIGN ORDER'!AE146</f>
        <v>0</v>
      </c>
      <c r="I86" s="112">
        <f>'CLOSE FOREIGN ORDER'!AF146</f>
        <v>0</v>
      </c>
      <c r="J86" s="112">
        <f>'CLOSE FOREIGN ORDER'!AG146</f>
        <v>0</v>
      </c>
    </row>
    <row r="87" spans="1:10">
      <c r="A87" t="str">
        <f>'CLOSE FOREIGN ORDER'!D74</f>
        <v>FPO11690</v>
      </c>
      <c r="B87" t="str">
        <f>'CLOSE FOREIGN ORDER'!F74</f>
        <v>COCA-COLA MIDI FRANCE</v>
      </c>
      <c r="C87" t="str">
        <f>'CLOSE FOREIGN ORDER'!W74</f>
        <v>45 days bill of lading</v>
      </c>
      <c r="D87" s="123">
        <f>'CLOSE FOREIGN ORDER'!X74</f>
        <v>45716</v>
      </c>
      <c r="E87" s="112">
        <f>'CLOSE FOREIGN ORDER'!Y74</f>
        <v>36376.15</v>
      </c>
      <c r="F87" s="112">
        <f>'CLOSE FOREIGN ORDER'!Z74</f>
        <v>0</v>
      </c>
      <c r="G87" s="112">
        <f>'CLOSE FOREIGN ORDER'!AA74</f>
        <v>0</v>
      </c>
      <c r="H87" s="112">
        <f>'CLOSE FOREIGN ORDER'!AB74</f>
        <v>0</v>
      </c>
      <c r="I87" s="112">
        <f>'CLOSE FOREIGN ORDER'!AC74</f>
        <v>0</v>
      </c>
      <c r="J87" s="112">
        <f>'CLOSE FOREIGN ORDER'!AD74</f>
        <v>0</v>
      </c>
    </row>
    <row r="88" spans="1:10">
      <c r="A88" t="e">
        <f>'OPEN FOREIGN ORDER'!#REF!</f>
        <v>#REF!</v>
      </c>
      <c r="B88" t="e">
        <f>'OPEN FOREIGN ORDER'!#REF!</f>
        <v>#REF!</v>
      </c>
      <c r="C88" t="e">
        <f>'OPEN FOREIGN ORDER'!#REF!</f>
        <v>#REF!</v>
      </c>
      <c r="D88" s="123" t="e">
        <f>'OPEN FOREIGN ORDER'!#REF!</f>
        <v>#REF!</v>
      </c>
      <c r="E88" s="112" t="e">
        <f>'OPEN FOREIGN ORDER'!#REF!</f>
        <v>#REF!</v>
      </c>
      <c r="F88" s="112" t="e">
        <f>'OPEN FOREIGN ORDER'!#REF!</f>
        <v>#REF!</v>
      </c>
      <c r="G88" s="112" t="e">
        <f>'OPEN FOREIGN ORDER'!#REF!</f>
        <v>#REF!</v>
      </c>
      <c r="H88" s="112" t="e">
        <f>'OPEN FOREIGN ORDER'!#REF!</f>
        <v>#REF!</v>
      </c>
      <c r="I88" s="112" t="e">
        <f>'OPEN FOREIGN ORDER'!#REF!</f>
        <v>#REF!</v>
      </c>
      <c r="J88" s="112" t="e">
        <f>'OPEN FOREIGN ORDER'!#REF!</f>
        <v>#REF!</v>
      </c>
    </row>
    <row r="89" spans="1:10">
      <c r="A89" t="e">
        <f>'OPEN FOREIGN ORDER'!#REF!</f>
        <v>#REF!</v>
      </c>
      <c r="B89" t="e">
        <f>'OPEN FOREIGN ORDER'!#REF!</f>
        <v>#REF!</v>
      </c>
      <c r="C89" t="e">
        <f>'OPEN FOREIGN ORDER'!#REF!</f>
        <v>#REF!</v>
      </c>
      <c r="D89" s="123" t="e">
        <f>'OPEN FOREIGN ORDER'!#REF!</f>
        <v>#REF!</v>
      </c>
      <c r="E89" s="112" t="e">
        <f>'OPEN FOREIGN ORDER'!#REF!</f>
        <v>#REF!</v>
      </c>
      <c r="F89" s="112" t="e">
        <f>'OPEN FOREIGN ORDER'!#REF!</f>
        <v>#REF!</v>
      </c>
      <c r="G89" s="112" t="e">
        <f>'OPEN FOREIGN ORDER'!#REF!</f>
        <v>#REF!</v>
      </c>
      <c r="H89" s="112" t="e">
        <f>'OPEN FOREIGN ORDER'!#REF!</f>
        <v>#REF!</v>
      </c>
      <c r="I89" s="112" t="e">
        <f>'OPEN FOREIGN ORDER'!#REF!</f>
        <v>#REF!</v>
      </c>
      <c r="J89" s="112" t="e">
        <f>'OPEN FOREIGN ORDER'!#REF!</f>
        <v>#REF!</v>
      </c>
    </row>
    <row r="90" spans="1:10">
      <c r="A90" t="str">
        <f>'CLOSE FOREIGN ORDER'!D108</f>
        <v>FPO11720</v>
      </c>
      <c r="B90" t="str">
        <f>'CLOSE FOREIGN ORDER'!F108</f>
        <v>DRAVIN GLOBAL TRADES PRIVATE LTD</v>
      </c>
      <c r="C90" t="str">
        <f>'CLOSE FOREIGN ORDER'!Z108</f>
        <v>50% ADVANCE</v>
      </c>
      <c r="D90" s="123">
        <f>'CLOSE FOREIGN ORDER'!AA108</f>
        <v>45580</v>
      </c>
      <c r="E90" s="112">
        <f>'CLOSE FOREIGN ORDER'!AB108</f>
        <v>151927.78</v>
      </c>
      <c r="F90" s="112">
        <f>'CLOSE FOREIGN ORDER'!AC108</f>
        <v>0</v>
      </c>
      <c r="G90" s="112">
        <f>'CLOSE FOREIGN ORDER'!AD108</f>
        <v>0</v>
      </c>
      <c r="H90" s="112">
        <f>'CLOSE FOREIGN ORDER'!AE108</f>
        <v>0</v>
      </c>
      <c r="I90" s="112">
        <f>'CLOSE FOREIGN ORDER'!AF108</f>
        <v>0</v>
      </c>
      <c r="J90" s="112">
        <f>'CLOSE FOREIGN ORDER'!AG108</f>
        <v>0</v>
      </c>
    </row>
    <row r="91" spans="1:10">
      <c r="A91" t="str">
        <f>'CLOSE FOREIGN ORDER'!D109</f>
        <v>FPO11720</v>
      </c>
      <c r="B91" t="str">
        <f>'CLOSE FOREIGN ORDER'!F109</f>
        <v>DRAVIN GLOBAL TRADES PRIVATE LTD</v>
      </c>
      <c r="C91" t="str">
        <f>'CLOSE FOREIGN ORDER'!Z109</f>
        <v xml:space="preserve">50% SCAN BL </v>
      </c>
      <c r="D91" s="123">
        <f>'CLOSE FOREIGN ORDER'!AA109</f>
        <v>45641</v>
      </c>
      <c r="E91" s="112">
        <f>'CLOSE FOREIGN ORDER'!AB109</f>
        <v>43407.94</v>
      </c>
      <c r="F91" s="112">
        <f>'CLOSE FOREIGN ORDER'!AC109</f>
        <v>0</v>
      </c>
      <c r="G91" s="112">
        <f>'CLOSE FOREIGN ORDER'!AD109</f>
        <v>0</v>
      </c>
      <c r="H91" s="112">
        <f>'CLOSE FOREIGN ORDER'!AE109</f>
        <v>0</v>
      </c>
      <c r="I91" s="112">
        <f>'CLOSE FOREIGN ORDER'!AF109</f>
        <v>0</v>
      </c>
      <c r="J91" s="112">
        <f>'CLOSE FOREIGN ORDER'!AG109</f>
        <v>0</v>
      </c>
    </row>
    <row r="92" spans="1:10">
      <c r="A92" t="str">
        <f>'CLOSE FOREIGN ORDER'!D110</f>
        <v>FPO11720</v>
      </c>
      <c r="B92" t="str">
        <f>'CLOSE FOREIGN ORDER'!F110</f>
        <v>DRAVIN GLOBAL TRADES PRIVATE LTD</v>
      </c>
      <c r="C92" t="str">
        <f>'CLOSE FOREIGN ORDER'!Z110</f>
        <v xml:space="preserve">50% SCAN BL </v>
      </c>
      <c r="D92" s="123">
        <f>'CLOSE FOREIGN ORDER'!AA110</f>
        <v>45641</v>
      </c>
      <c r="E92" s="112">
        <f>'CLOSE FOREIGN ORDER'!AB110</f>
        <v>32555.95</v>
      </c>
      <c r="F92" s="112">
        <f>'CLOSE FOREIGN ORDER'!AC110</f>
        <v>0</v>
      </c>
      <c r="G92" s="112">
        <f>'CLOSE FOREIGN ORDER'!AD110</f>
        <v>0</v>
      </c>
      <c r="H92" s="112">
        <f>'CLOSE FOREIGN ORDER'!AE110</f>
        <v>0</v>
      </c>
      <c r="I92" s="112">
        <f>'CLOSE FOREIGN ORDER'!AF110</f>
        <v>0</v>
      </c>
      <c r="J92" s="112">
        <f>'CLOSE FOREIGN ORDER'!AG110</f>
        <v>0</v>
      </c>
    </row>
    <row r="93" spans="1:10">
      <c r="A93" t="str">
        <f>'CLOSE FOREIGN ORDER'!D111</f>
        <v>FPO11720</v>
      </c>
      <c r="B93" t="str">
        <f>'CLOSE FOREIGN ORDER'!F111</f>
        <v>DRAVIN GLOBAL TRADES PRIVATE LTD</v>
      </c>
      <c r="C93" t="str">
        <f>'CLOSE FOREIGN ORDER'!Z111</f>
        <v xml:space="preserve">50% SCAN BL </v>
      </c>
      <c r="D93" s="123">
        <f>'CLOSE FOREIGN ORDER'!AA111</f>
        <v>45656</v>
      </c>
      <c r="E93" s="112">
        <f>'CLOSE FOREIGN ORDER'!AB111</f>
        <v>4773.6000000000004</v>
      </c>
      <c r="F93" s="112">
        <f>'CLOSE FOREIGN ORDER'!AC111</f>
        <v>0</v>
      </c>
      <c r="G93" s="112">
        <f>'CLOSE FOREIGN ORDER'!AD111</f>
        <v>0</v>
      </c>
      <c r="H93" s="112">
        <f>'CLOSE FOREIGN ORDER'!AE111</f>
        <v>0</v>
      </c>
      <c r="I93" s="112">
        <f>'CLOSE FOREIGN ORDER'!AF111</f>
        <v>0</v>
      </c>
      <c r="J93" s="112">
        <f>'CLOSE FOREIGN ORDER'!AG111</f>
        <v>0</v>
      </c>
    </row>
    <row r="94" spans="1:10">
      <c r="A94" t="e">
        <f>'OPEN FOREIGN ORDER'!#REF!</f>
        <v>#REF!</v>
      </c>
      <c r="B94" t="e">
        <f>'OPEN FOREIGN ORDER'!#REF!</f>
        <v>#REF!</v>
      </c>
      <c r="C94" t="e">
        <f>'OPEN FOREIGN ORDER'!#REF!</f>
        <v>#REF!</v>
      </c>
      <c r="D94" s="123" t="e">
        <f>'OPEN FOREIGN ORDER'!#REF!</f>
        <v>#REF!</v>
      </c>
      <c r="E94" s="112" t="e">
        <f>'OPEN FOREIGN ORDER'!#REF!</f>
        <v>#REF!</v>
      </c>
      <c r="F94" s="112" t="e">
        <f>'OPEN FOREIGN ORDER'!#REF!</f>
        <v>#REF!</v>
      </c>
      <c r="G94" s="112" t="e">
        <f>'OPEN FOREIGN ORDER'!#REF!</f>
        <v>#REF!</v>
      </c>
      <c r="H94" s="112" t="e">
        <f>'OPEN FOREIGN ORDER'!#REF!</f>
        <v>#REF!</v>
      </c>
      <c r="I94" s="112" t="e">
        <f>'OPEN FOREIGN ORDER'!#REF!</f>
        <v>#REF!</v>
      </c>
      <c r="J94" s="112" t="e">
        <f>'OPEN FOREIGN ORDER'!#REF!</f>
        <v>#REF!</v>
      </c>
    </row>
    <row r="95" spans="1:10">
      <c r="A95" t="e">
        <f>'OPEN FOREIGN ORDER'!#REF!</f>
        <v>#REF!</v>
      </c>
      <c r="B95" t="e">
        <f>'OPEN FOREIGN ORDER'!#REF!</f>
        <v>#REF!</v>
      </c>
      <c r="C95" t="e">
        <f>'OPEN FOREIGN ORDER'!#REF!</f>
        <v>#REF!</v>
      </c>
      <c r="D95" s="123" t="e">
        <f>'OPEN FOREIGN ORDER'!#REF!</f>
        <v>#REF!</v>
      </c>
      <c r="E95" s="112" t="e">
        <f>'OPEN FOREIGN ORDER'!#REF!</f>
        <v>#REF!</v>
      </c>
      <c r="F95" s="112" t="e">
        <f>'OPEN FOREIGN ORDER'!#REF!</f>
        <v>#REF!</v>
      </c>
      <c r="G95" s="112" t="e">
        <f>'OPEN FOREIGN ORDER'!#REF!</f>
        <v>#REF!</v>
      </c>
      <c r="H95" s="112" t="e">
        <f>'OPEN FOREIGN ORDER'!#REF!</f>
        <v>#REF!</v>
      </c>
      <c r="I95" s="112" t="e">
        <f>'OPEN FOREIGN ORDER'!#REF!</f>
        <v>#REF!</v>
      </c>
      <c r="J95" s="112" t="e">
        <f>'OPEN FOREIGN ORDER'!#REF!</f>
        <v>#REF!</v>
      </c>
    </row>
    <row r="96" spans="1:10">
      <c r="A96" t="e">
        <f>'OPEN FOREIGN ORDER'!#REF!</f>
        <v>#REF!</v>
      </c>
      <c r="B96" t="e">
        <f>'OPEN FOREIGN ORDER'!#REF!</f>
        <v>#REF!</v>
      </c>
      <c r="C96" t="e">
        <f>'OPEN FOREIGN ORDER'!#REF!</f>
        <v>#REF!</v>
      </c>
      <c r="D96" s="123" t="e">
        <f>'OPEN FOREIGN ORDER'!#REF!</f>
        <v>#REF!</v>
      </c>
      <c r="E96" s="112" t="e">
        <f>'OPEN FOREIGN ORDER'!#REF!</f>
        <v>#REF!</v>
      </c>
      <c r="F96" s="112" t="e">
        <f>'OPEN FOREIGN ORDER'!#REF!</f>
        <v>#REF!</v>
      </c>
      <c r="G96" s="112" t="e">
        <f>'OPEN FOREIGN ORDER'!#REF!</f>
        <v>#REF!</v>
      </c>
      <c r="H96" s="112" t="e">
        <f>'OPEN FOREIGN ORDER'!#REF!</f>
        <v>#REF!</v>
      </c>
      <c r="I96" s="112" t="e">
        <f>'OPEN FOREIGN ORDER'!#REF!</f>
        <v>#REF!</v>
      </c>
      <c r="J96" s="112" t="e">
        <f>'OPEN FOREIGN ORDER'!#REF!</f>
        <v>#REF!</v>
      </c>
    </row>
    <row r="97" spans="1:10">
      <c r="A97" t="e">
        <f>'OPEN FOREIGN ORDER'!#REF!</f>
        <v>#REF!</v>
      </c>
      <c r="B97" t="e">
        <f>'OPEN FOREIGN ORDER'!#REF!</f>
        <v>#REF!</v>
      </c>
      <c r="C97" t="e">
        <f>'OPEN FOREIGN ORDER'!#REF!</f>
        <v>#REF!</v>
      </c>
      <c r="D97" s="123" t="e">
        <f>'OPEN FOREIGN ORDER'!#REF!</f>
        <v>#REF!</v>
      </c>
      <c r="E97" s="112" t="e">
        <f>'OPEN FOREIGN ORDER'!#REF!</f>
        <v>#REF!</v>
      </c>
      <c r="F97" s="112" t="e">
        <f>'OPEN FOREIGN ORDER'!#REF!</f>
        <v>#REF!</v>
      </c>
      <c r="G97" s="112" t="e">
        <f>'OPEN FOREIGN ORDER'!#REF!</f>
        <v>#REF!</v>
      </c>
      <c r="H97" s="112" t="e">
        <f>'OPEN FOREIGN ORDER'!#REF!</f>
        <v>#REF!</v>
      </c>
      <c r="I97" s="112" t="e">
        <f>'OPEN FOREIGN ORDER'!#REF!</f>
        <v>#REF!</v>
      </c>
      <c r="J97" s="112" t="e">
        <f>'OPEN FOREIGN ORDER'!#REF!</f>
        <v>#REF!</v>
      </c>
    </row>
    <row r="98" spans="1:10">
      <c r="A98" t="e">
        <f>'OPEN FOREIGN ORDER'!#REF!</f>
        <v>#REF!</v>
      </c>
      <c r="B98" t="e">
        <f>'OPEN FOREIGN ORDER'!#REF!</f>
        <v>#REF!</v>
      </c>
      <c r="C98" t="e">
        <f>'OPEN FOREIGN ORDER'!#REF!</f>
        <v>#REF!</v>
      </c>
      <c r="D98" s="123" t="e">
        <f>'OPEN FOREIGN ORDER'!#REF!</f>
        <v>#REF!</v>
      </c>
      <c r="E98" s="112" t="e">
        <f>'OPEN FOREIGN ORDER'!#REF!</f>
        <v>#REF!</v>
      </c>
      <c r="F98" s="112" t="e">
        <f>'OPEN FOREIGN ORDER'!#REF!</f>
        <v>#REF!</v>
      </c>
      <c r="G98" s="112" t="e">
        <f>'OPEN FOREIGN ORDER'!#REF!</f>
        <v>#REF!</v>
      </c>
      <c r="H98" s="112" t="e">
        <f>'OPEN FOREIGN ORDER'!#REF!</f>
        <v>#REF!</v>
      </c>
      <c r="I98" s="112" t="e">
        <f>'OPEN FOREIGN ORDER'!#REF!</f>
        <v>#REF!</v>
      </c>
      <c r="J98" s="112" t="e">
        <f>'OPEN FOREIGN ORDER'!#REF!</f>
        <v>#REF!</v>
      </c>
    </row>
    <row r="99" spans="1:10">
      <c r="A99" t="e">
        <f>'OPEN FOREIGN ORDER'!#REF!</f>
        <v>#REF!</v>
      </c>
      <c r="B99" t="e">
        <f>'OPEN FOREIGN ORDER'!#REF!</f>
        <v>#REF!</v>
      </c>
      <c r="C99" t="e">
        <f>'OPEN FOREIGN ORDER'!#REF!</f>
        <v>#REF!</v>
      </c>
      <c r="D99" s="123" t="e">
        <f>'OPEN FOREIGN ORDER'!#REF!</f>
        <v>#REF!</v>
      </c>
      <c r="E99" s="112" t="e">
        <f>'OPEN FOREIGN ORDER'!#REF!</f>
        <v>#REF!</v>
      </c>
      <c r="F99" s="112" t="e">
        <f>'OPEN FOREIGN ORDER'!#REF!</f>
        <v>#REF!</v>
      </c>
      <c r="G99" s="112" t="e">
        <f>'OPEN FOREIGN ORDER'!#REF!</f>
        <v>#REF!</v>
      </c>
      <c r="H99" s="112" t="e">
        <f>'OPEN FOREIGN ORDER'!#REF!</f>
        <v>#REF!</v>
      </c>
      <c r="I99" s="112" t="e">
        <f>'OPEN FOREIGN ORDER'!#REF!</f>
        <v>#REF!</v>
      </c>
      <c r="J99" s="112" t="e">
        <f>'OPEN FOREIGN ORDER'!#REF!</f>
        <v>#REF!</v>
      </c>
    </row>
    <row r="100" spans="1:10">
      <c r="A100" t="e">
        <f>'OPEN FOREIGN ORDER'!#REF!</f>
        <v>#REF!</v>
      </c>
      <c r="B100" t="e">
        <f>'OPEN FOREIGN ORDER'!#REF!</f>
        <v>#REF!</v>
      </c>
      <c r="C100" t="e">
        <f>'OPEN FOREIGN ORDER'!#REF!</f>
        <v>#REF!</v>
      </c>
      <c r="D100" s="123" t="e">
        <f>'OPEN FOREIGN ORDER'!#REF!</f>
        <v>#REF!</v>
      </c>
      <c r="E100" s="112" t="e">
        <f>'OPEN FOREIGN ORDER'!#REF!</f>
        <v>#REF!</v>
      </c>
      <c r="F100" s="112" t="e">
        <f>'OPEN FOREIGN ORDER'!#REF!</f>
        <v>#REF!</v>
      </c>
      <c r="G100" s="112" t="e">
        <f>'OPEN FOREIGN ORDER'!#REF!</f>
        <v>#REF!</v>
      </c>
      <c r="H100" s="112" t="e">
        <f>'OPEN FOREIGN ORDER'!#REF!</f>
        <v>#REF!</v>
      </c>
      <c r="I100" s="112" t="e">
        <f>'OPEN FOREIGN ORDER'!#REF!</f>
        <v>#REF!</v>
      </c>
      <c r="J100" s="112" t="e">
        <f>'OPEN FOREIGN ORDER'!#REF!</f>
        <v>#REF!</v>
      </c>
    </row>
    <row r="101" spans="1:10">
      <c r="A101" t="e">
        <f>'OUTSTANDING PAYMENT FOLLOW UP'!#REF!</f>
        <v>#REF!</v>
      </c>
      <c r="B101" t="e">
        <f>'OUTSTANDING PAYMENT FOLLOW UP'!#REF!</f>
        <v>#REF!</v>
      </c>
      <c r="C101" t="e">
        <f>'OUTSTANDING PAYMENT FOLLOW UP'!#REF!</f>
        <v>#REF!</v>
      </c>
      <c r="D101" s="123" t="e">
        <f>'OUTSTANDING PAYMENT FOLLOW UP'!#REF!</f>
        <v>#REF!</v>
      </c>
      <c r="E101" s="112" t="e">
        <f>'OUTSTANDING PAYMENT FOLLOW UP'!#REF!</f>
        <v>#REF!</v>
      </c>
      <c r="F101" s="112" t="e">
        <f>'OUTSTANDING PAYMENT FOLLOW UP'!#REF!</f>
        <v>#REF!</v>
      </c>
      <c r="G101" s="112" t="e">
        <f>'OUTSTANDING PAYMENT FOLLOW UP'!#REF!</f>
        <v>#REF!</v>
      </c>
      <c r="H101" s="112" t="e">
        <f>'OUTSTANDING PAYMENT FOLLOW UP'!#REF!</f>
        <v>#REF!</v>
      </c>
      <c r="I101" s="112" t="e">
        <f>'OUTSTANDING PAYMENT FOLLOW UP'!#REF!</f>
        <v>#REF!</v>
      </c>
      <c r="J101" s="112" t="e">
        <f>'OUTSTANDING PAYMENT FOLLOW UP'!#REF!</f>
        <v>#REF!</v>
      </c>
    </row>
    <row r="102" spans="1:10">
      <c r="A102" t="e">
        <f>'OPEN FOREIGN ORDER'!#REF!</f>
        <v>#REF!</v>
      </c>
      <c r="B102" t="e">
        <f>'OPEN FOREIGN ORDER'!#REF!</f>
        <v>#REF!</v>
      </c>
      <c r="C102" t="e">
        <f>'OPEN FOREIGN ORDER'!#REF!</f>
        <v>#REF!</v>
      </c>
      <c r="D102" s="123" t="e">
        <f>'OPEN FOREIGN ORDER'!#REF!</f>
        <v>#REF!</v>
      </c>
      <c r="E102" s="112" t="e">
        <f>'OPEN FOREIGN ORDER'!#REF!</f>
        <v>#REF!</v>
      </c>
      <c r="F102" s="112" t="e">
        <f>'OPEN FOREIGN ORDER'!#REF!</f>
        <v>#REF!</v>
      </c>
      <c r="G102" s="112" t="e">
        <f>'OPEN FOREIGN ORDER'!#REF!</f>
        <v>#REF!</v>
      </c>
      <c r="H102" s="112" t="e">
        <f>'OPEN FOREIGN ORDER'!#REF!</f>
        <v>#REF!</v>
      </c>
      <c r="I102" s="112" t="e">
        <f>'OPEN FOREIGN ORDER'!#REF!</f>
        <v>#REF!</v>
      </c>
      <c r="J102" s="112" t="e">
        <f>'OPEN FOREIGN ORDER'!#REF!</f>
        <v>#REF!</v>
      </c>
    </row>
    <row r="103" spans="1:10">
      <c r="A103" t="str">
        <f>'CLOSE FOREIGN ORDER'!D57</f>
        <v>FPO11740</v>
      </c>
      <c r="B103" t="str">
        <f>'CLOSE FOREIGN ORDER'!F57</f>
        <v>Coca-Cola Swaziland</v>
      </c>
      <c r="C103" t="str">
        <f>'CLOSE FOREIGN ORDER'!W57</f>
        <v xml:space="preserve">45 DAYS INVOICE DATE </v>
      </c>
      <c r="D103" s="123">
        <f>'CLOSE FOREIGN ORDER'!X57</f>
        <v>45726</v>
      </c>
      <c r="E103" s="112">
        <f>'CLOSE FOREIGN ORDER'!Y57</f>
        <v>1054719</v>
      </c>
      <c r="F103" s="112">
        <f>'CLOSE FOREIGN ORDER'!Z57</f>
        <v>0</v>
      </c>
      <c r="G103" s="112">
        <f>'CLOSE FOREIGN ORDER'!AA57</f>
        <v>0</v>
      </c>
      <c r="H103" s="112">
        <f>'CLOSE FOREIGN ORDER'!AB57</f>
        <v>0</v>
      </c>
      <c r="I103" s="112">
        <f>'CLOSE FOREIGN ORDER'!AC57</f>
        <v>0</v>
      </c>
      <c r="J103" s="112">
        <f>'CLOSE FOREIGN ORDER'!AD57</f>
        <v>0</v>
      </c>
    </row>
    <row r="104" spans="1:10">
      <c r="A104" t="str">
        <f>'CLOSE FOREIGN ORDER'!D152</f>
        <v>FPO11741</v>
      </c>
      <c r="B104" t="str">
        <f>'CLOSE FOREIGN ORDER'!F152</f>
        <v>Kerry Food Ingredients &amp; Flavours Ltd</v>
      </c>
      <c r="C104" t="str">
        <f>'CLOSE FOREIGN ORDER'!Z152</f>
        <v>90 DAYS INVOICE DATE</v>
      </c>
      <c r="D104" s="123">
        <f>'CLOSE FOREIGN ORDER'!AA152</f>
        <v>45760</v>
      </c>
      <c r="E104" s="112">
        <f>'CLOSE FOREIGN ORDER'!AB152</f>
        <v>0</v>
      </c>
      <c r="F104" s="112">
        <f>'CLOSE FOREIGN ORDER'!AC152</f>
        <v>3217.57</v>
      </c>
      <c r="G104" s="112">
        <f>'CLOSE FOREIGN ORDER'!AD152</f>
        <v>0</v>
      </c>
      <c r="H104" s="112">
        <f>'CLOSE FOREIGN ORDER'!AE152</f>
        <v>0</v>
      </c>
      <c r="I104" s="112">
        <f>'CLOSE FOREIGN ORDER'!AF152</f>
        <v>0</v>
      </c>
      <c r="J104" s="112">
        <f>'CLOSE FOREIGN ORDER'!AG152</f>
        <v>0</v>
      </c>
    </row>
    <row r="105" spans="1:10">
      <c r="A105" t="e">
        <f>'OPEN FOREIGN ORDER'!#REF!</f>
        <v>#REF!</v>
      </c>
      <c r="B105" t="e">
        <f>'OPEN FOREIGN ORDER'!#REF!</f>
        <v>#REF!</v>
      </c>
      <c r="C105" t="e">
        <f>'OPEN FOREIGN ORDER'!#REF!</f>
        <v>#REF!</v>
      </c>
      <c r="D105" s="123" t="e">
        <f>'OPEN FOREIGN ORDER'!#REF!</f>
        <v>#REF!</v>
      </c>
      <c r="E105" s="112" t="e">
        <f>'OPEN FOREIGN ORDER'!#REF!</f>
        <v>#REF!</v>
      </c>
      <c r="F105" s="112" t="e">
        <f>'OPEN FOREIGN ORDER'!#REF!</f>
        <v>#REF!</v>
      </c>
      <c r="G105" s="112" t="e">
        <f>'OPEN FOREIGN ORDER'!#REF!</f>
        <v>#REF!</v>
      </c>
      <c r="H105" s="112" t="e">
        <f>'OPEN FOREIGN ORDER'!#REF!</f>
        <v>#REF!</v>
      </c>
      <c r="I105" s="112" t="e">
        <f>'OPEN FOREIGN ORDER'!#REF!</f>
        <v>#REF!</v>
      </c>
      <c r="J105" s="112" t="e">
        <f>'OPEN FOREIGN ORDER'!#REF!</f>
        <v>#REF!</v>
      </c>
    </row>
    <row r="106" spans="1:10">
      <c r="A106" t="e">
        <f>'OPEN FOREIGN ORDER'!#REF!</f>
        <v>#REF!</v>
      </c>
      <c r="B106" t="e">
        <f>'OPEN FOREIGN ORDER'!#REF!</f>
        <v>#REF!</v>
      </c>
      <c r="C106" t="e">
        <f>'OPEN FOREIGN ORDER'!#REF!</f>
        <v>#REF!</v>
      </c>
      <c r="D106" s="123" t="e">
        <f>'OPEN FOREIGN ORDER'!#REF!</f>
        <v>#REF!</v>
      </c>
      <c r="E106" s="112" t="e">
        <f>'OPEN FOREIGN ORDER'!#REF!</f>
        <v>#REF!</v>
      </c>
      <c r="F106" s="112" t="e">
        <f>'OPEN FOREIGN ORDER'!#REF!</f>
        <v>#REF!</v>
      </c>
      <c r="G106" s="112" t="e">
        <f>'OPEN FOREIGN ORDER'!#REF!</f>
        <v>#REF!</v>
      </c>
      <c r="H106" s="112" t="e">
        <f>'OPEN FOREIGN ORDER'!#REF!</f>
        <v>#REF!</v>
      </c>
      <c r="I106" s="112" t="e">
        <f>'OPEN FOREIGN ORDER'!#REF!</f>
        <v>#REF!</v>
      </c>
      <c r="J106" s="112" t="e">
        <f>'OPEN FOREIGN ORDER'!#REF!</f>
        <v>#REF!</v>
      </c>
    </row>
    <row r="107" spans="1:10">
      <c r="A107" t="str">
        <f>'CLOSE FOREIGN ORDER'!D118</f>
        <v>FPO11753</v>
      </c>
      <c r="B107" t="str">
        <f>'CLOSE FOREIGN ORDER'!F118</f>
        <v>Blackhawk Molding Co., Inc</v>
      </c>
      <c r="C107" t="str">
        <f>'CLOSE FOREIGN ORDER'!Z118</f>
        <v>50% Advance</v>
      </c>
      <c r="D107" s="123" t="str">
        <f>'CLOSE FOREIGN ORDER'!X118</f>
        <v xml:space="preserve">24/10/2024 : FPO sent to supplier 
04/11/2024 :Acknowledge good receipt .
20/01/2025: PFI received / RFP DONE -  POP SENT OT SUPPLIER - TO FOLLOW UP NEXT LINE
04/02/2025: RFP - Done -To Follow up on POP &amp; NOA
</v>
      </c>
      <c r="E107" s="112">
        <f>'CLOSE FOREIGN ORDER'!AB118</f>
        <v>28382.65</v>
      </c>
      <c r="F107" s="112" t="e">
        <f>'OPEN FOREIGN ORDER'!#REF!</f>
        <v>#REF!</v>
      </c>
      <c r="G107" s="112">
        <f>'CLOSE FOREIGN ORDER'!AA118</f>
        <v>45641</v>
      </c>
      <c r="H107" s="112" t="e">
        <f>'OPEN FOREIGN ORDER'!#REF!</f>
        <v>#REF!</v>
      </c>
      <c r="I107" s="112">
        <f>'CLOSE FOREIGN ORDER'!AC118</f>
        <v>0</v>
      </c>
      <c r="J107" s="112">
        <f>'CLOSE FOREIGN ORDER'!AD118</f>
        <v>0</v>
      </c>
    </row>
    <row r="108" spans="1:10">
      <c r="A108" t="str">
        <f>'CLOSE FOREIGN ORDER'!D119</f>
        <v>FPO11753</v>
      </c>
      <c r="B108" t="str">
        <f>'CLOSE FOREIGN ORDER'!F119</f>
        <v>Blackhawk Molding Co., Inc</v>
      </c>
      <c r="C108" t="str">
        <f>'CLOSE FOREIGN ORDER'!Z119</f>
        <v xml:space="preserve">50% net 45 days </v>
      </c>
      <c r="D108" s="123" t="str">
        <f>'CLOSE FOREIGN ORDER'!X119</f>
        <v xml:space="preserve">24/10/2024 : FPO sent to supplier 
06/01/2025  : order ready  - BOOKING DONE .
20/01/2025 : To follow up loading confirmation and shipping docs 
27/01/2025: SJ - Takeover -  Vessel sailed- To do RFP &amp; to follow ETA
04/02/2025: RFP - Done -To Follow up on POP
13/02/2025 : To follow up on NOA -  ETA 13/03/2025
</v>
      </c>
      <c r="E108" s="112">
        <f>'CLOSE FOREIGN ORDER'!AB119</f>
        <v>28382.65</v>
      </c>
      <c r="F108" s="112" t="e">
        <f>'OPEN FOREIGN ORDER'!#REF!</f>
        <v>#REF!</v>
      </c>
      <c r="G108" s="112">
        <f>'CLOSE FOREIGN ORDER'!AA119</f>
        <v>45721</v>
      </c>
      <c r="H108" s="112" t="e">
        <f>'OPEN FOREIGN ORDER'!#REF!</f>
        <v>#REF!</v>
      </c>
      <c r="I108" s="112">
        <f>'CLOSE FOREIGN ORDER'!AC119</f>
        <v>0</v>
      </c>
      <c r="J108" s="112">
        <f>'CLOSE FOREIGN ORDER'!AD119</f>
        <v>0</v>
      </c>
    </row>
    <row r="109" spans="1:10">
      <c r="A109" t="e">
        <f>'OPEN FOREIGN ORDER'!#REF!</f>
        <v>#REF!</v>
      </c>
      <c r="B109" t="e">
        <f>'OPEN FOREIGN ORDER'!#REF!</f>
        <v>#REF!</v>
      </c>
      <c r="C109" t="e">
        <f>'OPEN FOREIGN ORDER'!#REF!</f>
        <v>#REF!</v>
      </c>
      <c r="D109" s="123" t="e">
        <f>'OPEN FOREIGN ORDER'!#REF!</f>
        <v>#REF!</v>
      </c>
      <c r="E109" s="112" t="e">
        <f>'OPEN FOREIGN ORDER'!#REF!</f>
        <v>#REF!</v>
      </c>
      <c r="F109" s="112" t="e">
        <f>'OPEN FOREIGN ORDER'!#REF!</f>
        <v>#REF!</v>
      </c>
      <c r="G109" s="112" t="e">
        <f>'OPEN FOREIGN ORDER'!#REF!</f>
        <v>#REF!</v>
      </c>
      <c r="H109" s="112" t="e">
        <f>'OPEN FOREIGN ORDER'!#REF!</f>
        <v>#REF!</v>
      </c>
      <c r="I109" s="112" t="e">
        <f>'OPEN FOREIGN ORDER'!#REF!</f>
        <v>#REF!</v>
      </c>
      <c r="J109" s="112" t="e">
        <f>'OPEN FOREIGN ORDER'!#REF!</f>
        <v>#REF!</v>
      </c>
    </row>
    <row r="110" spans="1:10">
      <c r="A110" t="e">
        <f>'OPEN FOREIGN ORDER'!#REF!</f>
        <v>#REF!</v>
      </c>
      <c r="B110" t="e">
        <f>'OPEN FOREIGN ORDER'!#REF!</f>
        <v>#REF!</v>
      </c>
      <c r="C110" t="e">
        <f>'OPEN FOREIGN ORDER'!#REF!</f>
        <v>#REF!</v>
      </c>
      <c r="D110" s="123" t="e">
        <f>'OPEN FOREIGN ORDER'!#REF!</f>
        <v>#REF!</v>
      </c>
      <c r="E110" s="112" t="e">
        <f>'OPEN FOREIGN ORDER'!#REF!</f>
        <v>#REF!</v>
      </c>
      <c r="F110" s="112" t="e">
        <f>'OPEN FOREIGN ORDER'!#REF!</f>
        <v>#REF!</v>
      </c>
      <c r="G110" s="112" t="e">
        <f>'OPEN FOREIGN ORDER'!#REF!</f>
        <v>#REF!</v>
      </c>
      <c r="H110" s="112" t="e">
        <f>'OPEN FOREIGN ORDER'!#REF!</f>
        <v>#REF!</v>
      </c>
      <c r="I110" s="112" t="e">
        <f>'OPEN FOREIGN ORDER'!#REF!</f>
        <v>#REF!</v>
      </c>
      <c r="J110" s="112" t="e">
        <f>'OPEN FOREIGN ORDER'!#REF!</f>
        <v>#REF!</v>
      </c>
    </row>
    <row r="111" spans="1:10">
      <c r="A111" t="e">
        <f>'OPEN FOREIGN ORDER'!#REF!</f>
        <v>#REF!</v>
      </c>
      <c r="B111" t="e">
        <f>'OPEN FOREIGN ORDER'!#REF!</f>
        <v>#REF!</v>
      </c>
      <c r="C111" t="e">
        <f>'OPEN FOREIGN ORDER'!#REF!</f>
        <v>#REF!</v>
      </c>
      <c r="D111" s="123" t="e">
        <f>'OPEN FOREIGN ORDER'!#REF!</f>
        <v>#REF!</v>
      </c>
      <c r="E111" s="112" t="e">
        <f>'OPEN FOREIGN ORDER'!#REF!</f>
        <v>#REF!</v>
      </c>
      <c r="F111" s="112" t="e">
        <f>'OPEN FOREIGN ORDER'!#REF!</f>
        <v>#REF!</v>
      </c>
      <c r="G111" s="112" t="e">
        <f>'OPEN FOREIGN ORDER'!#REF!</f>
        <v>#REF!</v>
      </c>
      <c r="H111" s="112" t="e">
        <f>'OPEN FOREIGN ORDER'!#REF!</f>
        <v>#REF!</v>
      </c>
      <c r="I111" s="112" t="e">
        <f>'OPEN FOREIGN ORDER'!#REF!</f>
        <v>#REF!</v>
      </c>
      <c r="J111" s="112" t="e">
        <f>'OPEN FOREIGN ORDER'!#REF!</f>
        <v>#REF!</v>
      </c>
    </row>
    <row r="112" spans="1:10">
      <c r="A112" t="e">
        <f>'OPEN FOREIGN ORDER'!#REF!</f>
        <v>#REF!</v>
      </c>
      <c r="B112" t="e">
        <f>'OPEN FOREIGN ORDER'!#REF!</f>
        <v>#REF!</v>
      </c>
      <c r="C112" t="e">
        <f>'OPEN FOREIGN ORDER'!#REF!</f>
        <v>#REF!</v>
      </c>
      <c r="D112" s="123" t="e">
        <f>'OPEN FOREIGN ORDER'!#REF!</f>
        <v>#REF!</v>
      </c>
      <c r="E112" s="112" t="e">
        <f>'OPEN FOREIGN ORDER'!#REF!</f>
        <v>#REF!</v>
      </c>
      <c r="F112" s="112" t="e">
        <f>'OPEN FOREIGN ORDER'!#REF!</f>
        <v>#REF!</v>
      </c>
      <c r="G112" s="112" t="e">
        <f>'OPEN FOREIGN ORDER'!#REF!</f>
        <v>#REF!</v>
      </c>
      <c r="H112" s="112" t="e">
        <f>'OPEN FOREIGN ORDER'!#REF!</f>
        <v>#REF!</v>
      </c>
      <c r="I112" s="112" t="e">
        <f>'OPEN FOREIGN ORDER'!#REF!</f>
        <v>#REF!</v>
      </c>
      <c r="J112" s="112" t="e">
        <f>'OPEN FOREIGN ORDER'!#REF!</f>
        <v>#REF!</v>
      </c>
    </row>
    <row r="113" spans="1:10">
      <c r="A113" t="e">
        <f>'OPEN FOREIGN ORDER'!#REF!</f>
        <v>#REF!</v>
      </c>
      <c r="B113" t="e">
        <f>'OPEN FOREIGN ORDER'!#REF!</f>
        <v>#REF!</v>
      </c>
      <c r="C113" t="e">
        <f>'OPEN FOREIGN ORDER'!#REF!</f>
        <v>#REF!</v>
      </c>
      <c r="D113" s="123" t="e">
        <f>'OPEN FOREIGN ORDER'!#REF!</f>
        <v>#REF!</v>
      </c>
      <c r="E113" s="112" t="e">
        <f>'OPEN FOREIGN ORDER'!#REF!</f>
        <v>#REF!</v>
      </c>
      <c r="F113" s="112" t="e">
        <f>'OPEN FOREIGN ORDER'!#REF!</f>
        <v>#REF!</v>
      </c>
      <c r="G113" s="112" t="e">
        <f>'OPEN FOREIGN ORDER'!#REF!</f>
        <v>#REF!</v>
      </c>
      <c r="H113" s="112" t="e">
        <f>'OPEN FOREIGN ORDER'!#REF!</f>
        <v>#REF!</v>
      </c>
      <c r="I113" s="112" t="e">
        <f>'OPEN FOREIGN ORDER'!#REF!</f>
        <v>#REF!</v>
      </c>
      <c r="J113" s="112" t="e">
        <f>'OPEN FOREIGN ORDER'!#REF!</f>
        <v>#REF!</v>
      </c>
    </row>
    <row r="114" spans="1:10">
      <c r="A114" t="str">
        <f>'CLOSE FOREIGN ORDER'!D151</f>
        <v>FPO11760</v>
      </c>
      <c r="B114" t="str">
        <f>'CLOSE FOREIGN ORDER'!F151</f>
        <v>VINS DE FONTENILLE SAS</v>
      </c>
      <c r="C114" t="str">
        <f>'CLOSE FOREIGN ORDER'!Z151</f>
        <v>30% PAIEMENT EN AVANCE EUR 2173.50 DUE 12/11/2024
70% -  60 JOURS DATE D'ENLEVEMENT DUE 15/02/2025</v>
      </c>
      <c r="D114" s="123">
        <f>'CLOSE FOREIGN ORDER'!AA151</f>
        <v>45703</v>
      </c>
      <c r="E114" s="112">
        <f>'CLOSE FOREIGN ORDER'!AB151</f>
        <v>0</v>
      </c>
      <c r="F114" s="112">
        <f>'CLOSE FOREIGN ORDER'!AC151</f>
        <v>7245</v>
      </c>
      <c r="G114" s="112">
        <f>'CLOSE FOREIGN ORDER'!AD151</f>
        <v>0</v>
      </c>
      <c r="H114" s="112">
        <f>'CLOSE FOREIGN ORDER'!AE151</f>
        <v>0</v>
      </c>
      <c r="I114" s="112">
        <f>'CLOSE FOREIGN ORDER'!AF151</f>
        <v>0</v>
      </c>
      <c r="J114" s="112">
        <f>'CLOSE FOREIGN ORDER'!AG151</f>
        <v>0</v>
      </c>
    </row>
    <row r="115" spans="1:10">
      <c r="A115" t="e">
        <f>'OPEN FOREIGN ORDER'!#REF!</f>
        <v>#REF!</v>
      </c>
      <c r="B115" t="e">
        <f>'OPEN FOREIGN ORDER'!#REF!</f>
        <v>#REF!</v>
      </c>
      <c r="C115" t="e">
        <f>'OPEN FOREIGN ORDER'!#REF!</f>
        <v>#REF!</v>
      </c>
      <c r="D115" s="123" t="e">
        <f>'OPEN FOREIGN ORDER'!#REF!</f>
        <v>#REF!</v>
      </c>
      <c r="E115" s="112" t="e">
        <f>'OPEN FOREIGN ORDER'!#REF!</f>
        <v>#REF!</v>
      </c>
      <c r="F115" s="112" t="e">
        <f>'OPEN FOREIGN ORDER'!#REF!</f>
        <v>#REF!</v>
      </c>
      <c r="G115" s="112" t="e">
        <f>'OPEN FOREIGN ORDER'!#REF!</f>
        <v>#REF!</v>
      </c>
      <c r="H115" s="112" t="e">
        <f>'OPEN FOREIGN ORDER'!#REF!</f>
        <v>#REF!</v>
      </c>
      <c r="I115" s="112" t="e">
        <f>'OPEN FOREIGN ORDER'!#REF!</f>
        <v>#REF!</v>
      </c>
      <c r="J115" s="112" t="e">
        <f>'OPEN FOREIGN ORDER'!#REF!</f>
        <v>#REF!</v>
      </c>
    </row>
    <row r="116" spans="1:10">
      <c r="A116" t="str">
        <f>'CLOSE FOREIGN ORDER'!D41</f>
        <v>FPO11766</v>
      </c>
      <c r="B116" t="str">
        <f>'CLOSE FOREIGN ORDER'!F41</f>
        <v>CANPACK FRANCE SAS</v>
      </c>
      <c r="C116" t="str">
        <f>'CLOSE FOREIGN ORDER'!W41</f>
        <v xml:space="preserve">60 DAYS INVOICE DATE </v>
      </c>
      <c r="D116" s="123">
        <f>'CLOSE FOREIGN ORDER'!X41</f>
        <v>45705</v>
      </c>
      <c r="E116" s="112">
        <f>'CLOSE FOREIGN ORDER'!Y41</f>
        <v>0</v>
      </c>
      <c r="F116" s="112">
        <f>'CLOSE FOREIGN ORDER'!Z41</f>
        <v>72639.58</v>
      </c>
      <c r="G116" s="112">
        <f>'CLOSE FOREIGN ORDER'!AA41</f>
        <v>0</v>
      </c>
      <c r="H116" s="112">
        <f>'CLOSE FOREIGN ORDER'!AB41</f>
        <v>0</v>
      </c>
      <c r="I116" s="112">
        <f>'CLOSE FOREIGN ORDER'!AC41</f>
        <v>0</v>
      </c>
      <c r="J116" s="112">
        <f>'CLOSE FOREIGN ORDER'!AD41</f>
        <v>0</v>
      </c>
    </row>
    <row r="117" spans="1:10">
      <c r="A117" t="str">
        <f>'CLOSE FOREIGN ORDER'!D92</f>
        <v>FPO11767</v>
      </c>
      <c r="B117" t="str">
        <f>'CLOSE FOREIGN ORDER'!F92</f>
        <v>MPACT  LIMITED</v>
      </c>
      <c r="C117" t="str">
        <f>'CLOSE FOREIGN ORDER'!W92</f>
        <v xml:space="preserve">30 DAYS INVOICE DATE </v>
      </c>
      <c r="D117" s="123">
        <f>'CLOSE FOREIGN ORDER'!X92</f>
        <v>45716</v>
      </c>
      <c r="E117" s="112">
        <f>'CLOSE FOREIGN ORDER'!Y92</f>
        <v>0</v>
      </c>
      <c r="F117" s="112">
        <f>'CLOSE FOREIGN ORDER'!Z92</f>
        <v>0</v>
      </c>
      <c r="G117" s="112">
        <f>'CLOSE FOREIGN ORDER'!AA92</f>
        <v>0</v>
      </c>
      <c r="H117" s="112">
        <f>'CLOSE FOREIGN ORDER'!AB92</f>
        <v>263880</v>
      </c>
      <c r="I117" s="112">
        <f>'CLOSE FOREIGN ORDER'!AC92</f>
        <v>0</v>
      </c>
      <c r="J117" s="112">
        <f>'CLOSE FOREIGN ORDER'!AD92</f>
        <v>0</v>
      </c>
    </row>
    <row r="118" spans="1:10">
      <c r="A118" t="str">
        <f>'CLOSE FOREIGN ORDER'!D537</f>
        <v>FPO12363</v>
      </c>
      <c r="B118" t="str">
        <f>'CLOSE FOREIGN ORDER'!F537</f>
        <v>STASSEN SA</v>
      </c>
      <c r="C118" t="str">
        <f>'CLOSE FOREIGN ORDER'!Z537</f>
        <v>45 jours fin de mois</v>
      </c>
      <c r="D118" s="123">
        <f>'CLOSE FOREIGN ORDER'!AA537</f>
        <v>45990</v>
      </c>
      <c r="E118" s="112">
        <f>'CLOSE FOREIGN ORDER'!AB537</f>
        <v>0</v>
      </c>
      <c r="F118" s="112">
        <f>'CLOSE FOREIGN ORDER'!AC537</f>
        <v>23040</v>
      </c>
      <c r="G118" s="112">
        <f>'CLOSE FOREIGN ORDER'!AD537</f>
        <v>0</v>
      </c>
      <c r="H118" s="112">
        <f>'CLOSE FOREIGN ORDER'!AE537</f>
        <v>0</v>
      </c>
      <c r="I118" s="112">
        <f>'CLOSE FOREIGN ORDER'!AF537</f>
        <v>0</v>
      </c>
      <c r="J118" s="112">
        <f>'CLOSE FOREIGN ORDER'!AG537</f>
        <v>0</v>
      </c>
    </row>
    <row r="119" spans="1:10">
      <c r="A119" t="e">
        <f>'OPEN FOREIGN ORDER'!#REF!</f>
        <v>#REF!</v>
      </c>
      <c r="B119" t="e">
        <f>'OPEN FOREIGN ORDER'!#REF!</f>
        <v>#REF!</v>
      </c>
      <c r="C119" t="e">
        <f>'OPEN FOREIGN ORDER'!#REF!</f>
        <v>#REF!</v>
      </c>
      <c r="D119" s="123" t="e">
        <f>'OPEN FOREIGN ORDER'!#REF!</f>
        <v>#REF!</v>
      </c>
      <c r="E119" s="112" t="e">
        <f>'OPEN FOREIGN ORDER'!#REF!</f>
        <v>#REF!</v>
      </c>
      <c r="F119" s="112" t="e">
        <f>'OPEN FOREIGN ORDER'!#REF!</f>
        <v>#REF!</v>
      </c>
      <c r="G119" s="112" t="e">
        <f>'OPEN FOREIGN ORDER'!#REF!</f>
        <v>#REF!</v>
      </c>
      <c r="H119" s="112" t="e">
        <f>'OPEN FOREIGN ORDER'!#REF!</f>
        <v>#REF!</v>
      </c>
      <c r="I119" s="112" t="e">
        <f>'OPEN FOREIGN ORDER'!#REF!</f>
        <v>#REF!</v>
      </c>
      <c r="J119" s="112" t="e">
        <f>'OPEN FOREIGN ORDER'!#REF!</f>
        <v>#REF!</v>
      </c>
    </row>
    <row r="120" spans="1:10">
      <c r="A120" t="str">
        <f>'CLOSE FOREIGN ORDER'!D102</f>
        <v>FPO11773</v>
      </c>
      <c r="B120" t="str">
        <f>'CLOSE FOREIGN ORDER'!F102</f>
        <v xml:space="preserve">Greyson Trading LTD </v>
      </c>
      <c r="C120" t="str">
        <f>'CLOSE FOREIGN ORDER'!W102</f>
        <v>60 days Bill of Lading</v>
      </c>
      <c r="D120" s="123">
        <f>'CLOSE FOREIGN ORDER'!X102</f>
        <v>45710</v>
      </c>
      <c r="E120" s="112">
        <f>'CLOSE FOREIGN ORDER'!Y102</f>
        <v>49567.3</v>
      </c>
      <c r="F120" s="112">
        <f>'CLOSE FOREIGN ORDER'!Z102</f>
        <v>0</v>
      </c>
      <c r="G120" s="112">
        <f>'CLOSE FOREIGN ORDER'!AA102</f>
        <v>0</v>
      </c>
      <c r="H120" s="112">
        <f>'CLOSE FOREIGN ORDER'!AB102</f>
        <v>0</v>
      </c>
      <c r="I120" s="112">
        <f>'CLOSE FOREIGN ORDER'!AC102</f>
        <v>0</v>
      </c>
      <c r="J120" s="112">
        <f>'CLOSE FOREIGN ORDER'!AD102</f>
        <v>0</v>
      </c>
    </row>
    <row r="121" spans="1:10">
      <c r="A121" t="str">
        <f>'CLOSE FOREIGN ORDER'!D101</f>
        <v>FPO11775</v>
      </c>
      <c r="B121" t="str">
        <f>'CLOSE FOREIGN ORDER'!F101</f>
        <v xml:space="preserve">Greyson Trading LTD </v>
      </c>
      <c r="C121" t="str">
        <f>'CLOSE FOREIGN ORDER'!W101</f>
        <v>60 days Bill of Lading</v>
      </c>
      <c r="D121" s="123">
        <f>'CLOSE FOREIGN ORDER'!X101</f>
        <v>45699</v>
      </c>
      <c r="E121" s="112">
        <f>'CLOSE FOREIGN ORDER'!Y101</f>
        <v>115018.98</v>
      </c>
      <c r="F121" s="112">
        <f>'CLOSE FOREIGN ORDER'!Z101</f>
        <v>0</v>
      </c>
      <c r="G121" s="112">
        <f>'CLOSE FOREIGN ORDER'!AA101</f>
        <v>0</v>
      </c>
      <c r="H121" s="112">
        <f>'CLOSE FOREIGN ORDER'!AB101</f>
        <v>0</v>
      </c>
      <c r="I121" s="112">
        <f>'CLOSE FOREIGN ORDER'!AC101</f>
        <v>0</v>
      </c>
      <c r="J121" s="112">
        <f>'CLOSE FOREIGN ORDER'!AD101</f>
        <v>0</v>
      </c>
    </row>
    <row r="122" spans="1:10">
      <c r="A122" t="e">
        <f>'OPEN FOREIGN ORDER'!#REF!</f>
        <v>#REF!</v>
      </c>
      <c r="B122" t="e">
        <f>'OPEN FOREIGN ORDER'!#REF!</f>
        <v>#REF!</v>
      </c>
      <c r="C122" t="e">
        <f>'OPEN FOREIGN ORDER'!#REF!</f>
        <v>#REF!</v>
      </c>
      <c r="D122" s="123" t="e">
        <f>'OPEN FOREIGN ORDER'!#REF!</f>
        <v>#REF!</v>
      </c>
      <c r="E122" s="112" t="e">
        <f>'OPEN FOREIGN ORDER'!#REF!</f>
        <v>#REF!</v>
      </c>
      <c r="F122" s="112" t="e">
        <f>'OPEN FOREIGN ORDER'!#REF!</f>
        <v>#REF!</v>
      </c>
      <c r="G122" s="112" t="e">
        <f>'OPEN FOREIGN ORDER'!#REF!</f>
        <v>#REF!</v>
      </c>
      <c r="H122" s="112" t="e">
        <f>'OPEN FOREIGN ORDER'!#REF!</f>
        <v>#REF!</v>
      </c>
      <c r="I122" s="112" t="e">
        <f>'OPEN FOREIGN ORDER'!#REF!</f>
        <v>#REF!</v>
      </c>
      <c r="J122" s="112" t="e">
        <f>'OPEN FOREIGN ORDER'!#REF!</f>
        <v>#REF!</v>
      </c>
    </row>
    <row r="123" spans="1:10">
      <c r="A123" t="e">
        <f>'OPEN FOREIGN ORDER'!#REF!</f>
        <v>#REF!</v>
      </c>
      <c r="B123" t="e">
        <f>'OPEN FOREIGN ORDER'!#REF!</f>
        <v>#REF!</v>
      </c>
      <c r="C123" t="e">
        <f>'OPEN FOREIGN ORDER'!#REF!</f>
        <v>#REF!</v>
      </c>
      <c r="D123" s="123" t="e">
        <f>'OPEN FOREIGN ORDER'!#REF!</f>
        <v>#REF!</v>
      </c>
      <c r="E123" s="112" t="e">
        <f>'OPEN FOREIGN ORDER'!#REF!</f>
        <v>#REF!</v>
      </c>
      <c r="F123" s="112" t="e">
        <f>'OPEN FOREIGN ORDER'!#REF!</f>
        <v>#REF!</v>
      </c>
      <c r="G123" s="112" t="e">
        <f>'OPEN FOREIGN ORDER'!#REF!</f>
        <v>#REF!</v>
      </c>
      <c r="H123" s="112" t="e">
        <f>'OPEN FOREIGN ORDER'!#REF!</f>
        <v>#REF!</v>
      </c>
      <c r="I123" s="112" t="e">
        <f>'OPEN FOREIGN ORDER'!#REF!</f>
        <v>#REF!</v>
      </c>
      <c r="J123" s="112" t="e">
        <f>'OPEN FOREIGN ORDER'!#REF!</f>
        <v>#REF!</v>
      </c>
    </row>
    <row r="124" spans="1:10">
      <c r="A124" t="e">
        <f>'OPEN FOREIGN ORDER'!#REF!</f>
        <v>#REF!</v>
      </c>
      <c r="B124" t="e">
        <f>'OPEN FOREIGN ORDER'!#REF!</f>
        <v>#REF!</v>
      </c>
      <c r="C124" t="e">
        <f>'OPEN FOREIGN ORDER'!#REF!</f>
        <v>#REF!</v>
      </c>
      <c r="D124" s="123" t="e">
        <f>'OPEN FOREIGN ORDER'!#REF!</f>
        <v>#REF!</v>
      </c>
      <c r="E124" s="112" t="e">
        <f>'OPEN FOREIGN ORDER'!#REF!</f>
        <v>#REF!</v>
      </c>
      <c r="F124" s="112" t="e">
        <f>'OPEN FOREIGN ORDER'!#REF!</f>
        <v>#REF!</v>
      </c>
      <c r="G124" s="112" t="e">
        <f>'OPEN FOREIGN ORDER'!#REF!</f>
        <v>#REF!</v>
      </c>
      <c r="H124" s="112" t="e">
        <f>'OPEN FOREIGN ORDER'!#REF!</f>
        <v>#REF!</v>
      </c>
      <c r="I124" s="112" t="e">
        <f>'OPEN FOREIGN ORDER'!#REF!</f>
        <v>#REF!</v>
      </c>
      <c r="J124" s="112" t="e">
        <f>'OPEN FOREIGN ORDER'!#REF!</f>
        <v>#REF!</v>
      </c>
    </row>
    <row r="125" spans="1:10">
      <c r="A125" t="e">
        <f>'OPEN FOREIGN ORDER'!#REF!</f>
        <v>#REF!</v>
      </c>
      <c r="B125" t="e">
        <f>'OPEN FOREIGN ORDER'!#REF!</f>
        <v>#REF!</v>
      </c>
      <c r="C125" t="e">
        <f>'OPEN FOREIGN ORDER'!#REF!</f>
        <v>#REF!</v>
      </c>
      <c r="D125" s="123" t="e">
        <f>'OPEN FOREIGN ORDER'!#REF!</f>
        <v>#REF!</v>
      </c>
      <c r="E125" s="112" t="e">
        <f>'OPEN FOREIGN ORDER'!#REF!</f>
        <v>#REF!</v>
      </c>
      <c r="F125" s="112" t="e">
        <f>'OPEN FOREIGN ORDER'!#REF!</f>
        <v>#REF!</v>
      </c>
      <c r="G125" s="112" t="e">
        <f>'OPEN FOREIGN ORDER'!#REF!</f>
        <v>#REF!</v>
      </c>
      <c r="H125" s="112" t="e">
        <f>'OPEN FOREIGN ORDER'!#REF!</f>
        <v>#REF!</v>
      </c>
      <c r="I125" s="112" t="e">
        <f>'OPEN FOREIGN ORDER'!#REF!</f>
        <v>#REF!</v>
      </c>
      <c r="J125" s="112" t="e">
        <f>'OPEN FOREIGN ORDER'!#REF!</f>
        <v>#REF!</v>
      </c>
    </row>
    <row r="126" spans="1:10">
      <c r="A126" t="e">
        <f>'OPEN FOREIGN ORDER'!#REF!</f>
        <v>#REF!</v>
      </c>
      <c r="B126" t="e">
        <f>'OPEN FOREIGN ORDER'!#REF!</f>
        <v>#REF!</v>
      </c>
      <c r="C126" t="e">
        <f>'OPEN FOREIGN ORDER'!#REF!</f>
        <v>#REF!</v>
      </c>
      <c r="D126" s="123" t="e">
        <f>'OPEN FOREIGN ORDER'!#REF!</f>
        <v>#REF!</v>
      </c>
      <c r="E126" s="112" t="e">
        <f>'OPEN FOREIGN ORDER'!#REF!</f>
        <v>#REF!</v>
      </c>
      <c r="F126" s="112" t="e">
        <f>'OPEN FOREIGN ORDER'!#REF!</f>
        <v>#REF!</v>
      </c>
      <c r="G126" s="112" t="e">
        <f>'OPEN FOREIGN ORDER'!#REF!</f>
        <v>#REF!</v>
      </c>
      <c r="H126" s="112" t="e">
        <f>'OPEN FOREIGN ORDER'!#REF!</f>
        <v>#REF!</v>
      </c>
      <c r="I126" s="112" t="e">
        <f>'OPEN FOREIGN ORDER'!#REF!</f>
        <v>#REF!</v>
      </c>
      <c r="J126" s="112" t="e">
        <f>'OPEN FOREIGN ORDER'!#REF!</f>
        <v>#REF!</v>
      </c>
    </row>
    <row r="127" spans="1:10">
      <c r="A127" t="e">
        <f>'OPEN FOREIGN ORDER'!#REF!</f>
        <v>#REF!</v>
      </c>
      <c r="B127" t="e">
        <f>'OPEN FOREIGN ORDER'!#REF!</f>
        <v>#REF!</v>
      </c>
      <c r="C127" t="e">
        <f>'OPEN FOREIGN ORDER'!#REF!</f>
        <v>#REF!</v>
      </c>
      <c r="D127" s="123" t="e">
        <f>'OPEN FOREIGN ORDER'!#REF!</f>
        <v>#REF!</v>
      </c>
      <c r="E127" s="112" t="e">
        <f>'OPEN FOREIGN ORDER'!#REF!</f>
        <v>#REF!</v>
      </c>
      <c r="F127" s="112" t="e">
        <f>'OPEN FOREIGN ORDER'!#REF!</f>
        <v>#REF!</v>
      </c>
      <c r="G127" s="112" t="e">
        <f>'OPEN FOREIGN ORDER'!#REF!</f>
        <v>#REF!</v>
      </c>
      <c r="H127" s="112" t="e">
        <f>'OPEN FOREIGN ORDER'!#REF!</f>
        <v>#REF!</v>
      </c>
      <c r="I127" s="112" t="e">
        <f>'OPEN FOREIGN ORDER'!#REF!</f>
        <v>#REF!</v>
      </c>
      <c r="J127" s="112" t="e">
        <f>'OPEN FOREIGN ORDER'!#REF!</f>
        <v>#REF!</v>
      </c>
    </row>
    <row r="128" spans="1:10">
      <c r="A128" t="e">
        <f>'OPEN FOREIGN ORDER'!#REF!</f>
        <v>#REF!</v>
      </c>
      <c r="B128" t="e">
        <f>'OPEN FOREIGN ORDER'!#REF!</f>
        <v>#REF!</v>
      </c>
      <c r="C128" t="e">
        <f>'OPEN FOREIGN ORDER'!#REF!</f>
        <v>#REF!</v>
      </c>
      <c r="D128" s="123" t="e">
        <f>'OPEN FOREIGN ORDER'!#REF!</f>
        <v>#REF!</v>
      </c>
      <c r="E128" s="112" t="e">
        <f>'OPEN FOREIGN ORDER'!#REF!</f>
        <v>#REF!</v>
      </c>
      <c r="F128" s="112" t="e">
        <f>'OPEN FOREIGN ORDER'!#REF!</f>
        <v>#REF!</v>
      </c>
      <c r="G128" s="112" t="e">
        <f>'OPEN FOREIGN ORDER'!#REF!</f>
        <v>#REF!</v>
      </c>
      <c r="H128" s="112" t="e">
        <f>'OPEN FOREIGN ORDER'!#REF!</f>
        <v>#REF!</v>
      </c>
      <c r="I128" s="112" t="e">
        <f>'OPEN FOREIGN ORDER'!#REF!</f>
        <v>#REF!</v>
      </c>
      <c r="J128" s="112" t="e">
        <f>'OPEN FOREIGN ORDER'!#REF!</f>
        <v>#REF!</v>
      </c>
    </row>
    <row r="129" spans="1:10">
      <c r="A129" t="e">
        <f>'OPEN FOREIGN ORDER'!#REF!</f>
        <v>#REF!</v>
      </c>
      <c r="B129" t="e">
        <f>'OPEN FOREIGN ORDER'!#REF!</f>
        <v>#REF!</v>
      </c>
      <c r="C129" t="e">
        <f>'OPEN FOREIGN ORDER'!#REF!</f>
        <v>#REF!</v>
      </c>
      <c r="D129" s="123" t="e">
        <f>'OPEN FOREIGN ORDER'!#REF!</f>
        <v>#REF!</v>
      </c>
      <c r="E129" s="112" t="e">
        <f>'OPEN FOREIGN ORDER'!#REF!</f>
        <v>#REF!</v>
      </c>
      <c r="F129" s="112" t="e">
        <f>'OPEN FOREIGN ORDER'!#REF!</f>
        <v>#REF!</v>
      </c>
      <c r="G129" s="112" t="e">
        <f>'OPEN FOREIGN ORDER'!#REF!</f>
        <v>#REF!</v>
      </c>
      <c r="H129" s="112" t="e">
        <f>'OPEN FOREIGN ORDER'!#REF!</f>
        <v>#REF!</v>
      </c>
      <c r="I129" s="112" t="e">
        <f>'OPEN FOREIGN ORDER'!#REF!</f>
        <v>#REF!</v>
      </c>
      <c r="J129" s="112" t="e">
        <f>'OPEN FOREIGN ORDER'!#REF!</f>
        <v>#REF!</v>
      </c>
    </row>
    <row r="130" spans="1:10">
      <c r="A130" t="str">
        <f>'CLOSE FOREIGN ORDER'!D88</f>
        <v>FPO11804</v>
      </c>
      <c r="B130" t="str">
        <f>'CLOSE FOREIGN ORDER'!F88</f>
        <v xml:space="preserve">ORICON ENTERPRISES LTD </v>
      </c>
      <c r="C130" t="str">
        <f>'CLOSE FOREIGN ORDER'!W88</f>
        <v xml:space="preserve">21 DAYS BL DATE </v>
      </c>
      <c r="D130" s="123">
        <f>'CLOSE FOREIGN ORDER'!X88</f>
        <v>45687</v>
      </c>
      <c r="E130" s="112">
        <f>'CLOSE FOREIGN ORDER'!Y88</f>
        <v>9130.01</v>
      </c>
      <c r="F130" s="112">
        <f>'CLOSE FOREIGN ORDER'!Z88</f>
        <v>0</v>
      </c>
      <c r="G130" s="112">
        <f>'CLOSE FOREIGN ORDER'!AA88</f>
        <v>0</v>
      </c>
      <c r="H130" s="112">
        <f>'CLOSE FOREIGN ORDER'!AB88</f>
        <v>0</v>
      </c>
      <c r="I130" s="112">
        <f>'CLOSE FOREIGN ORDER'!AC88</f>
        <v>0</v>
      </c>
      <c r="J130" s="112">
        <f>'CLOSE FOREIGN ORDER'!AD88</f>
        <v>0</v>
      </c>
    </row>
    <row r="131" spans="1:10">
      <c r="A131" t="e">
        <f>'OPEN FOREIGN ORDER'!#REF!</f>
        <v>#REF!</v>
      </c>
      <c r="B131" t="e">
        <f>'OPEN FOREIGN ORDER'!#REF!</f>
        <v>#REF!</v>
      </c>
      <c r="C131" t="e">
        <f>'OPEN FOREIGN ORDER'!#REF!</f>
        <v>#REF!</v>
      </c>
      <c r="D131" s="123" t="e">
        <f>'OPEN FOREIGN ORDER'!#REF!</f>
        <v>#REF!</v>
      </c>
      <c r="E131" s="112" t="e">
        <f>'OPEN FOREIGN ORDER'!#REF!</f>
        <v>#REF!</v>
      </c>
      <c r="F131" s="112" t="e">
        <f>'OPEN FOREIGN ORDER'!#REF!</f>
        <v>#REF!</v>
      </c>
      <c r="G131" s="112" t="e">
        <f>'OPEN FOREIGN ORDER'!#REF!</f>
        <v>#REF!</v>
      </c>
      <c r="H131" s="112" t="e">
        <f>'OPEN FOREIGN ORDER'!#REF!</f>
        <v>#REF!</v>
      </c>
      <c r="I131" s="112" t="e">
        <f>'OPEN FOREIGN ORDER'!#REF!</f>
        <v>#REF!</v>
      </c>
      <c r="J131" s="112" t="e">
        <f>'OPEN FOREIGN ORDER'!#REF!</f>
        <v>#REF!</v>
      </c>
    </row>
    <row r="132" spans="1:10">
      <c r="A132" t="e">
        <f>'OPEN FOREIGN ORDER'!#REF!</f>
        <v>#REF!</v>
      </c>
      <c r="B132" t="e">
        <f>'OPEN FOREIGN ORDER'!#REF!</f>
        <v>#REF!</v>
      </c>
      <c r="C132" t="e">
        <f>'OPEN FOREIGN ORDER'!#REF!</f>
        <v>#REF!</v>
      </c>
      <c r="D132" s="123" t="e">
        <f>'OPEN FOREIGN ORDER'!#REF!</f>
        <v>#REF!</v>
      </c>
      <c r="E132" s="112" t="e">
        <f>'OPEN FOREIGN ORDER'!#REF!</f>
        <v>#REF!</v>
      </c>
      <c r="F132" s="112" t="e">
        <f>'OPEN FOREIGN ORDER'!#REF!</f>
        <v>#REF!</v>
      </c>
      <c r="G132" s="112" t="e">
        <f>'OPEN FOREIGN ORDER'!#REF!</f>
        <v>#REF!</v>
      </c>
      <c r="H132" s="112" t="e">
        <f>'OPEN FOREIGN ORDER'!#REF!</f>
        <v>#REF!</v>
      </c>
      <c r="I132" s="112" t="e">
        <f>'OPEN FOREIGN ORDER'!#REF!</f>
        <v>#REF!</v>
      </c>
      <c r="J132" s="112" t="e">
        <f>'OPEN FOREIGN ORDER'!#REF!</f>
        <v>#REF!</v>
      </c>
    </row>
    <row r="133" spans="1:10">
      <c r="A133" t="e">
        <f>'OPEN FOREIGN ORDER'!#REF!</f>
        <v>#REF!</v>
      </c>
      <c r="B133" t="e">
        <f>'OPEN FOREIGN ORDER'!#REF!</f>
        <v>#REF!</v>
      </c>
      <c r="C133" t="e">
        <f>'OPEN FOREIGN ORDER'!#REF!</f>
        <v>#REF!</v>
      </c>
      <c r="D133" s="123" t="e">
        <f>'OPEN FOREIGN ORDER'!#REF!</f>
        <v>#REF!</v>
      </c>
      <c r="E133" s="112" t="e">
        <f>'OPEN FOREIGN ORDER'!#REF!</f>
        <v>#REF!</v>
      </c>
      <c r="F133" s="112" t="e">
        <f>'OPEN FOREIGN ORDER'!#REF!</f>
        <v>#REF!</v>
      </c>
      <c r="G133" s="112" t="e">
        <f>'OPEN FOREIGN ORDER'!#REF!</f>
        <v>#REF!</v>
      </c>
      <c r="H133" s="112" t="e">
        <f>'OPEN FOREIGN ORDER'!#REF!</f>
        <v>#REF!</v>
      </c>
      <c r="I133" s="112" t="e">
        <f>'OPEN FOREIGN ORDER'!#REF!</f>
        <v>#REF!</v>
      </c>
      <c r="J133" s="112" t="e">
        <f>'OPEN FOREIGN ORDER'!#REF!</f>
        <v>#REF!</v>
      </c>
    </row>
    <row r="134" spans="1:10">
      <c r="A134" t="e">
        <f>'OPEN FOREIGN ORDER'!#REF!</f>
        <v>#REF!</v>
      </c>
      <c r="B134" t="e">
        <f>'OPEN FOREIGN ORDER'!#REF!</f>
        <v>#REF!</v>
      </c>
      <c r="C134" t="e">
        <f>'OPEN FOREIGN ORDER'!#REF!</f>
        <v>#REF!</v>
      </c>
      <c r="D134" s="123" t="e">
        <f>'OPEN FOREIGN ORDER'!#REF!</f>
        <v>#REF!</v>
      </c>
      <c r="E134" s="112" t="e">
        <f>'OPEN FOREIGN ORDER'!#REF!</f>
        <v>#REF!</v>
      </c>
      <c r="F134" s="112" t="e">
        <f>'OPEN FOREIGN ORDER'!#REF!</f>
        <v>#REF!</v>
      </c>
      <c r="G134" s="112" t="e">
        <f>'OPEN FOREIGN ORDER'!#REF!</f>
        <v>#REF!</v>
      </c>
      <c r="H134" s="112" t="e">
        <f>'OPEN FOREIGN ORDER'!#REF!</f>
        <v>#REF!</v>
      </c>
      <c r="I134" s="112" t="e">
        <f>'OPEN FOREIGN ORDER'!#REF!</f>
        <v>#REF!</v>
      </c>
      <c r="J134" s="112" t="e">
        <f>'OPEN FOREIGN ORDER'!#REF!</f>
        <v>#REF!</v>
      </c>
    </row>
    <row r="135" spans="1:10">
      <c r="A135" t="str">
        <f>'CLOSE FOREIGN ORDER'!D95</f>
        <v>FPO11814</v>
      </c>
      <c r="B135" t="str">
        <f>'CLOSE FOREIGN ORDER'!F95</f>
        <v>RESILUX NV</v>
      </c>
      <c r="C135" t="str">
        <f>'CLOSE FOREIGN ORDER'!W95</f>
        <v xml:space="preserve">60 DAYS INVOICE DATE </v>
      </c>
      <c r="D135" s="123">
        <f>'CLOSE FOREIGN ORDER'!X95</f>
        <v>45706</v>
      </c>
      <c r="E135" s="112">
        <f>'CLOSE FOREIGN ORDER'!Y95</f>
        <v>0</v>
      </c>
      <c r="F135" s="112">
        <f>'CLOSE FOREIGN ORDER'!Z95</f>
        <v>39621.120000000003</v>
      </c>
      <c r="G135" s="112">
        <f>'CLOSE FOREIGN ORDER'!AA95</f>
        <v>0</v>
      </c>
      <c r="H135" s="112">
        <f>'CLOSE FOREIGN ORDER'!AB95</f>
        <v>0</v>
      </c>
      <c r="I135" s="112">
        <f>'CLOSE FOREIGN ORDER'!AC95</f>
        <v>0</v>
      </c>
      <c r="J135" s="112">
        <f>'CLOSE FOREIGN ORDER'!AD95</f>
        <v>0</v>
      </c>
    </row>
    <row r="136" spans="1:10">
      <c r="A136" t="str">
        <f>'CLOSE FOREIGN ORDER'!D91</f>
        <v>FPO11815</v>
      </c>
      <c r="B136" t="str">
        <f>'CLOSE FOREIGN ORDER'!F91</f>
        <v xml:space="preserve">MANJUSHREE TECHNOPACK ( Ex Oricon ) </v>
      </c>
      <c r="C136" t="str">
        <f>'CLOSE FOREIGN ORDER'!W91</f>
        <v xml:space="preserve">21 DAYS BL DATE </v>
      </c>
      <c r="D136" s="123">
        <f>'CLOSE FOREIGN ORDER'!X91</f>
        <v>45714</v>
      </c>
      <c r="E136" s="112">
        <f>'CLOSE FOREIGN ORDER'!Y91</f>
        <v>9108</v>
      </c>
      <c r="F136" s="112">
        <f>'CLOSE FOREIGN ORDER'!Z91</f>
        <v>0</v>
      </c>
      <c r="G136" s="112">
        <f>'CLOSE FOREIGN ORDER'!AA91</f>
        <v>0</v>
      </c>
      <c r="H136" s="112">
        <f>'CLOSE FOREIGN ORDER'!AB91</f>
        <v>0</v>
      </c>
      <c r="I136" s="112">
        <f>'CLOSE FOREIGN ORDER'!AC91</f>
        <v>0</v>
      </c>
      <c r="J136" s="112">
        <f>'CLOSE FOREIGN ORDER'!AD91</f>
        <v>0</v>
      </c>
    </row>
    <row r="137" spans="1:10">
      <c r="A137" t="e">
        <f>'OPEN FOREIGN ORDER'!#REF!</f>
        <v>#REF!</v>
      </c>
      <c r="B137" t="e">
        <f>'OPEN FOREIGN ORDER'!#REF!</f>
        <v>#REF!</v>
      </c>
      <c r="C137" t="e">
        <f>'OPEN FOREIGN ORDER'!#REF!</f>
        <v>#REF!</v>
      </c>
      <c r="D137" s="123" t="e">
        <f>'OPEN FOREIGN ORDER'!#REF!</f>
        <v>#REF!</v>
      </c>
      <c r="E137" s="112" t="e">
        <f>'OPEN FOREIGN ORDER'!#REF!</f>
        <v>#REF!</v>
      </c>
      <c r="F137" s="112" t="e">
        <f>'OPEN FOREIGN ORDER'!#REF!</f>
        <v>#REF!</v>
      </c>
      <c r="G137" s="112" t="e">
        <f>'OPEN FOREIGN ORDER'!#REF!</f>
        <v>#REF!</v>
      </c>
      <c r="H137" s="112" t="e">
        <f>'OPEN FOREIGN ORDER'!#REF!</f>
        <v>#REF!</v>
      </c>
      <c r="I137" s="112" t="e">
        <f>'OPEN FOREIGN ORDER'!#REF!</f>
        <v>#REF!</v>
      </c>
      <c r="J137" s="112" t="e">
        <f>'OPEN FOREIGN ORDER'!#REF!</f>
        <v>#REF!</v>
      </c>
    </row>
    <row r="138" spans="1:10">
      <c r="A138" t="str">
        <f>'CLOSE FOREIGN ORDER'!D120</f>
        <v>FPO11816</v>
      </c>
      <c r="B138" t="str">
        <f>'CLOSE FOREIGN ORDER'!F120</f>
        <v>NGOC NGHIA INDUSTRY</v>
      </c>
      <c r="C138" t="str">
        <f>'CLOSE FOREIGN ORDER'!Z120</f>
        <v xml:space="preserve">50%ADV  
50% ON SCAN BL </v>
      </c>
      <c r="D138" s="123">
        <f>'CLOSE FOREIGN ORDER'!AA120</f>
        <v>45705</v>
      </c>
      <c r="E138" s="112">
        <f>'CLOSE FOREIGN ORDER'!AB120</f>
        <v>31832.639999999999</v>
      </c>
      <c r="F138" s="112">
        <f>'CLOSE FOREIGN ORDER'!AC120</f>
        <v>0</v>
      </c>
      <c r="G138" s="112">
        <f>'CLOSE FOREIGN ORDER'!AD120</f>
        <v>0</v>
      </c>
      <c r="H138" s="112">
        <f>'CLOSE FOREIGN ORDER'!AE120</f>
        <v>0</v>
      </c>
      <c r="I138" s="112">
        <f>'CLOSE FOREIGN ORDER'!AF120</f>
        <v>0</v>
      </c>
      <c r="J138" s="112">
        <f>'CLOSE FOREIGN ORDER'!AG120</f>
        <v>0</v>
      </c>
    </row>
    <row r="139" spans="1:10">
      <c r="A139" t="str">
        <f>'CLOSE FOREIGN ORDER'!D163</f>
        <v>FPO11817</v>
      </c>
      <c r="B139" t="str">
        <f>'CLOSE FOREIGN ORDER'!F163</f>
        <v>RESILUX NV</v>
      </c>
      <c r="C139" t="str">
        <f>'CLOSE FOREIGN ORDER'!Z163</f>
        <v xml:space="preserve">60 DAYS INVOICE DATE </v>
      </c>
      <c r="D139" s="123">
        <f>'CLOSE FOREIGN ORDER'!AA163</f>
        <v>45717</v>
      </c>
      <c r="E139" s="112">
        <f>'CLOSE FOREIGN ORDER'!AB163</f>
        <v>0</v>
      </c>
      <c r="F139" s="112">
        <f>'CLOSE FOREIGN ORDER'!AC163</f>
        <v>205661.6</v>
      </c>
      <c r="G139" s="112">
        <f>'CLOSE FOREIGN ORDER'!AD163</f>
        <v>0</v>
      </c>
      <c r="H139" s="112">
        <f>'CLOSE FOREIGN ORDER'!AE163</f>
        <v>0</v>
      </c>
      <c r="I139" s="112">
        <f>'CLOSE FOREIGN ORDER'!AF163</f>
        <v>0</v>
      </c>
      <c r="J139" s="112">
        <f>'CLOSE FOREIGN ORDER'!AG163</f>
        <v>0</v>
      </c>
    </row>
    <row r="140" spans="1:10">
      <c r="A140" t="str">
        <f>'CLOSE FOREIGN ORDER'!D197</f>
        <v>FPO11818</v>
      </c>
      <c r="B140" t="str">
        <f>'CLOSE FOREIGN ORDER'!F197</f>
        <v>COCA-COLA MIDI FRANCE</v>
      </c>
      <c r="C140" t="str">
        <f>'CLOSE FOREIGN ORDER'!Z197</f>
        <v>45 days bill of lading</v>
      </c>
      <c r="D140" s="123">
        <f>'CLOSE FOREIGN ORDER'!AA197</f>
        <v>45789</v>
      </c>
      <c r="E140" s="112">
        <f>'CLOSE FOREIGN ORDER'!AB197</f>
        <v>22922.240000000002</v>
      </c>
      <c r="F140" s="112">
        <f>'CLOSE FOREIGN ORDER'!AC197</f>
        <v>0</v>
      </c>
      <c r="G140" s="112">
        <f>'CLOSE FOREIGN ORDER'!AD197</f>
        <v>0</v>
      </c>
      <c r="H140" s="112">
        <f>'CLOSE FOREIGN ORDER'!AE197</f>
        <v>0</v>
      </c>
      <c r="I140" s="112">
        <f>'CLOSE FOREIGN ORDER'!AF197</f>
        <v>0</v>
      </c>
      <c r="J140" s="112">
        <f>'CLOSE FOREIGN ORDER'!AG197</f>
        <v>0</v>
      </c>
    </row>
    <row r="141" spans="1:10">
      <c r="A141" t="str">
        <f>'CLOSE FOREIGN ORDER'!D147</f>
        <v>FPO11819</v>
      </c>
      <c r="B141" t="str">
        <f>'CLOSE FOREIGN ORDER'!F147</f>
        <v>Coca-Cola Swaziland</v>
      </c>
      <c r="C141" t="str">
        <f>'CLOSE FOREIGN ORDER'!Z147</f>
        <v>45 days invoice date</v>
      </c>
      <c r="D141" s="123">
        <f>'CLOSE FOREIGN ORDER'!AA147</f>
        <v>45744</v>
      </c>
      <c r="E141" s="112">
        <f>'CLOSE FOREIGN ORDER'!AB147</f>
        <v>537561.43999999994</v>
      </c>
      <c r="F141" s="112">
        <f>'CLOSE FOREIGN ORDER'!AC147</f>
        <v>0</v>
      </c>
      <c r="G141" s="112">
        <f>'CLOSE FOREIGN ORDER'!AD147</f>
        <v>0</v>
      </c>
      <c r="H141" s="112">
        <f>'CLOSE FOREIGN ORDER'!AE147</f>
        <v>0</v>
      </c>
      <c r="I141" s="112">
        <f>'CLOSE FOREIGN ORDER'!AF147</f>
        <v>0</v>
      </c>
      <c r="J141" s="112">
        <f>'CLOSE FOREIGN ORDER'!AG147</f>
        <v>0</v>
      </c>
    </row>
    <row r="142" spans="1:10">
      <c r="A142" t="str">
        <f>'CLOSE FOREIGN ORDER'!D132</f>
        <v>FPO11821</v>
      </c>
      <c r="B142" t="str">
        <f>'CLOSE FOREIGN ORDER'!F132</f>
        <v xml:space="preserve">Greyson Trading LTD </v>
      </c>
      <c r="C142" t="str">
        <f>'CLOSE FOREIGN ORDER'!Z132</f>
        <v>60 days Bill of Lading</v>
      </c>
      <c r="D142" s="123">
        <f>'CLOSE FOREIGN ORDER'!AA132</f>
        <v>45752</v>
      </c>
      <c r="E142" s="112">
        <f>'CLOSE FOREIGN ORDER'!AB132</f>
        <v>145304.39000000001</v>
      </c>
      <c r="F142" s="112">
        <f>'CLOSE FOREIGN ORDER'!AC132</f>
        <v>0</v>
      </c>
      <c r="G142" s="112">
        <f>'CLOSE FOREIGN ORDER'!AD132</f>
        <v>0</v>
      </c>
      <c r="H142" s="112">
        <f>'CLOSE FOREIGN ORDER'!AE132</f>
        <v>0</v>
      </c>
      <c r="I142" s="112">
        <f>'CLOSE FOREIGN ORDER'!AF132</f>
        <v>0</v>
      </c>
      <c r="J142" s="112">
        <f>'CLOSE FOREIGN ORDER'!AG132</f>
        <v>0</v>
      </c>
    </row>
    <row r="143" spans="1:10">
      <c r="A143" t="e">
        <f>'OPEN FOREIGN ORDER'!#REF!</f>
        <v>#REF!</v>
      </c>
      <c r="B143" t="e">
        <f>'OPEN FOREIGN ORDER'!#REF!</f>
        <v>#REF!</v>
      </c>
      <c r="C143" t="e">
        <f>'OPEN FOREIGN ORDER'!#REF!</f>
        <v>#REF!</v>
      </c>
      <c r="D143" s="123" t="e">
        <f>'OPEN FOREIGN ORDER'!#REF!</f>
        <v>#REF!</v>
      </c>
      <c r="E143" s="112" t="e">
        <f>'OPEN FOREIGN ORDER'!#REF!</f>
        <v>#REF!</v>
      </c>
      <c r="F143" s="112" t="e">
        <f>'OPEN FOREIGN ORDER'!#REF!</f>
        <v>#REF!</v>
      </c>
      <c r="G143" s="112" t="e">
        <f>'OPEN FOREIGN ORDER'!#REF!</f>
        <v>#REF!</v>
      </c>
      <c r="H143" s="112" t="e">
        <f>'OPEN FOREIGN ORDER'!#REF!</f>
        <v>#REF!</v>
      </c>
      <c r="I143" s="112" t="e">
        <f>'OPEN FOREIGN ORDER'!#REF!</f>
        <v>#REF!</v>
      </c>
      <c r="J143" s="112" t="e">
        <f>'OPEN FOREIGN ORDER'!#REF!</f>
        <v>#REF!</v>
      </c>
    </row>
    <row r="144" spans="1:10">
      <c r="A144" t="e">
        <f>'OPEN FOREIGN ORDER'!#REF!</f>
        <v>#REF!</v>
      </c>
      <c r="B144" t="e">
        <f>'OPEN FOREIGN ORDER'!#REF!</f>
        <v>#REF!</v>
      </c>
      <c r="C144" t="e">
        <f>'OPEN FOREIGN ORDER'!#REF!</f>
        <v>#REF!</v>
      </c>
      <c r="D144" s="123" t="e">
        <f>'OPEN FOREIGN ORDER'!#REF!</f>
        <v>#REF!</v>
      </c>
      <c r="E144" s="112" t="e">
        <f>'OPEN FOREIGN ORDER'!#REF!</f>
        <v>#REF!</v>
      </c>
      <c r="F144" s="112" t="e">
        <f>'OPEN FOREIGN ORDER'!#REF!</f>
        <v>#REF!</v>
      </c>
      <c r="G144" s="112" t="e">
        <f>'OPEN FOREIGN ORDER'!#REF!</f>
        <v>#REF!</v>
      </c>
      <c r="H144" s="112" t="e">
        <f>'OPEN FOREIGN ORDER'!#REF!</f>
        <v>#REF!</v>
      </c>
      <c r="I144" s="112" t="e">
        <f>'OPEN FOREIGN ORDER'!#REF!</f>
        <v>#REF!</v>
      </c>
      <c r="J144" s="112" t="e">
        <f>'OPEN FOREIGN ORDER'!#REF!</f>
        <v>#REF!</v>
      </c>
    </row>
    <row r="145" spans="1:10">
      <c r="A145" t="str">
        <f>'CLOSE FOREIGN ORDER'!D131</f>
        <v>FPO11830</v>
      </c>
      <c r="B145" t="str">
        <f>'CLOSE FOREIGN ORDER'!F131</f>
        <v>CANPACK FRANCE SAS</v>
      </c>
      <c r="C145" t="str">
        <f>'CLOSE FOREIGN ORDER'!Z131</f>
        <v xml:space="preserve">60 DAYS INVOICE DATE </v>
      </c>
      <c r="D145" s="123">
        <f>'CLOSE FOREIGN ORDER'!AA131</f>
        <v>45777</v>
      </c>
      <c r="E145" s="112">
        <f>'CLOSE FOREIGN ORDER'!AB131</f>
        <v>0</v>
      </c>
      <c r="F145" s="112">
        <f>'CLOSE FOREIGN ORDER'!AC131</f>
        <v>40059.360000000001</v>
      </c>
      <c r="G145" s="112">
        <f>'CLOSE FOREIGN ORDER'!AD131</f>
        <v>0</v>
      </c>
      <c r="H145" s="112">
        <f>'CLOSE FOREIGN ORDER'!AE131</f>
        <v>0</v>
      </c>
      <c r="I145" s="112">
        <f>'CLOSE FOREIGN ORDER'!AF131</f>
        <v>0</v>
      </c>
      <c r="J145" s="112">
        <f>'CLOSE FOREIGN ORDER'!AG131</f>
        <v>0</v>
      </c>
    </row>
    <row r="146" spans="1:10">
      <c r="A146" t="str">
        <f>'CLOSE FOREIGN ORDER'!D125</f>
        <v>FPO11833</v>
      </c>
      <c r="B146" t="str">
        <f>'CLOSE FOREIGN ORDER'!F125</f>
        <v>MALTEUROP</v>
      </c>
      <c r="C146" t="str">
        <f>'CLOSE FOREIGN ORDER'!Z125</f>
        <v xml:space="preserve">30 days Invoice </v>
      </c>
      <c r="D146" s="123">
        <f>'CLOSE FOREIGN ORDER'!AA125</f>
        <v>45720</v>
      </c>
      <c r="E146" s="112">
        <f>'CLOSE FOREIGN ORDER'!AB125</f>
        <v>0</v>
      </c>
      <c r="F146" s="112">
        <f>'CLOSE FOREIGN ORDER'!AC125</f>
        <v>31050</v>
      </c>
      <c r="G146" s="112">
        <f>'CLOSE FOREIGN ORDER'!AD125</f>
        <v>0</v>
      </c>
      <c r="H146" s="112">
        <f>'CLOSE FOREIGN ORDER'!AE125</f>
        <v>0</v>
      </c>
      <c r="I146" s="112">
        <f>'CLOSE FOREIGN ORDER'!AF125</f>
        <v>0</v>
      </c>
      <c r="J146" s="112">
        <f>'CLOSE FOREIGN ORDER'!AG125</f>
        <v>0</v>
      </c>
    </row>
    <row r="147" spans="1:10">
      <c r="A147" t="str">
        <f>'CLOSE FOREIGN ORDER'!D105</f>
        <v>FPO11834</v>
      </c>
      <c r="B147" t="str">
        <f>'CLOSE FOREIGN ORDER'!F105</f>
        <v>METAROM FRANCE</v>
      </c>
      <c r="C147" t="str">
        <f>'CLOSE FOREIGN ORDER'!Z105</f>
        <v>60 DAYS INVOICE DATE</v>
      </c>
      <c r="D147" s="123">
        <f>'CLOSE FOREIGN ORDER'!AA105</f>
        <v>45726</v>
      </c>
      <c r="E147" s="112">
        <f>'CLOSE FOREIGN ORDER'!AB105</f>
        <v>0</v>
      </c>
      <c r="F147" s="112">
        <f>'CLOSE FOREIGN ORDER'!AC105</f>
        <v>515</v>
      </c>
      <c r="G147" s="112">
        <f>'CLOSE FOREIGN ORDER'!AD105</f>
        <v>0</v>
      </c>
      <c r="H147" s="112">
        <f>'CLOSE FOREIGN ORDER'!AE105</f>
        <v>0</v>
      </c>
      <c r="I147" s="112">
        <f>'CLOSE FOREIGN ORDER'!AF105</f>
        <v>0</v>
      </c>
      <c r="J147" s="112">
        <f>'CLOSE FOREIGN ORDER'!AG105</f>
        <v>0</v>
      </c>
    </row>
    <row r="148" spans="1:10">
      <c r="A148" t="str">
        <f>'CLOSE FOREIGN ORDER'!D123</f>
        <v>FPO11835</v>
      </c>
      <c r="B148" t="str">
        <f>'CLOSE FOREIGN ORDER'!F123</f>
        <v>SYMRISE AG</v>
      </c>
      <c r="C148" t="str">
        <f>'CLOSE FOREIGN ORDER'!Z123</f>
        <v>30 DAYS INVOICE DATE</v>
      </c>
      <c r="D148" s="123">
        <f>'CLOSE FOREIGN ORDER'!AA123</f>
        <v>45716</v>
      </c>
      <c r="E148" s="112">
        <f>'CLOSE FOREIGN ORDER'!AB123</f>
        <v>0</v>
      </c>
      <c r="F148" s="112">
        <f>'CLOSE FOREIGN ORDER'!AC123</f>
        <v>4360</v>
      </c>
      <c r="G148" s="112">
        <f>'CLOSE FOREIGN ORDER'!AD123</f>
        <v>0</v>
      </c>
      <c r="H148" s="112">
        <f>'CLOSE FOREIGN ORDER'!AE123</f>
        <v>0</v>
      </c>
      <c r="I148" s="112">
        <f>'CLOSE FOREIGN ORDER'!AF123</f>
        <v>0</v>
      </c>
      <c r="J148" s="112">
        <f>'CLOSE FOREIGN ORDER'!AG123</f>
        <v>0</v>
      </c>
    </row>
    <row r="149" spans="1:10">
      <c r="A149" t="str">
        <f>'CLOSE FOREIGN ORDER'!D157</f>
        <v>FPO11836</v>
      </c>
      <c r="B149" t="str">
        <f>'CLOSE FOREIGN ORDER'!F157</f>
        <v>DIAGEO IRELAND</v>
      </c>
      <c r="C149" t="str">
        <f>'CLOSE FOREIGN ORDER'!Z157</f>
        <v>90 DAYS INVOICE DATE</v>
      </c>
      <c r="D149" s="123">
        <f>'CLOSE FOREIGN ORDER'!AA157</f>
        <v>45823</v>
      </c>
      <c r="E149" s="112">
        <f>'CLOSE FOREIGN ORDER'!AB157</f>
        <v>0</v>
      </c>
      <c r="F149" s="112">
        <f>'CLOSE FOREIGN ORDER'!AC157</f>
        <v>0</v>
      </c>
      <c r="G149" s="112">
        <f>'CLOSE FOREIGN ORDER'!AD157</f>
        <v>34485</v>
      </c>
      <c r="H149" s="112">
        <f>'CLOSE FOREIGN ORDER'!AE157</f>
        <v>0</v>
      </c>
      <c r="I149" s="112">
        <f>'CLOSE FOREIGN ORDER'!AF157</f>
        <v>0</v>
      </c>
      <c r="J149" s="112">
        <f>'CLOSE FOREIGN ORDER'!AG157</f>
        <v>0</v>
      </c>
    </row>
    <row r="150" spans="1:10">
      <c r="A150" t="e">
        <f>'OPEN FOREIGN ORDER'!#REF!</f>
        <v>#REF!</v>
      </c>
      <c r="B150" t="e">
        <f>'OPEN FOREIGN ORDER'!#REF!</f>
        <v>#REF!</v>
      </c>
      <c r="C150" t="e">
        <f>'OPEN FOREIGN ORDER'!#REF!</f>
        <v>#REF!</v>
      </c>
      <c r="D150" s="123" t="e">
        <f>'OPEN FOREIGN ORDER'!#REF!</f>
        <v>#REF!</v>
      </c>
      <c r="E150" s="112" t="e">
        <f>'OPEN FOREIGN ORDER'!#REF!</f>
        <v>#REF!</v>
      </c>
      <c r="F150" s="112" t="e">
        <f>'OPEN FOREIGN ORDER'!#REF!</f>
        <v>#REF!</v>
      </c>
      <c r="G150" s="112" t="e">
        <f>'OPEN FOREIGN ORDER'!#REF!</f>
        <v>#REF!</v>
      </c>
      <c r="H150" s="112" t="e">
        <f>'OPEN FOREIGN ORDER'!#REF!</f>
        <v>#REF!</v>
      </c>
      <c r="I150" s="112" t="e">
        <f>'OPEN FOREIGN ORDER'!#REF!</f>
        <v>#REF!</v>
      </c>
      <c r="J150" s="112" t="e">
        <f>'OPEN FOREIGN ORDER'!#REF!</f>
        <v>#REF!</v>
      </c>
    </row>
    <row r="151" spans="1:10">
      <c r="A151" t="e">
        <f>'OPEN FOREIGN ORDER'!#REF!</f>
        <v>#REF!</v>
      </c>
      <c r="B151" t="e">
        <f>'OPEN FOREIGN ORDER'!#REF!</f>
        <v>#REF!</v>
      </c>
      <c r="C151" t="e">
        <f>'OPEN FOREIGN ORDER'!#REF!</f>
        <v>#REF!</v>
      </c>
      <c r="D151" s="123" t="e">
        <f>'OPEN FOREIGN ORDER'!#REF!</f>
        <v>#REF!</v>
      </c>
      <c r="E151" s="112" t="e">
        <f>'OPEN FOREIGN ORDER'!#REF!</f>
        <v>#REF!</v>
      </c>
      <c r="F151" s="112" t="e">
        <f>'OPEN FOREIGN ORDER'!#REF!</f>
        <v>#REF!</v>
      </c>
      <c r="G151" s="112" t="e">
        <f>'OPEN FOREIGN ORDER'!#REF!</f>
        <v>#REF!</v>
      </c>
      <c r="H151" s="112" t="e">
        <f>'OPEN FOREIGN ORDER'!#REF!</f>
        <v>#REF!</v>
      </c>
      <c r="I151" s="112" t="e">
        <f>'OPEN FOREIGN ORDER'!#REF!</f>
        <v>#REF!</v>
      </c>
      <c r="J151" s="112" t="e">
        <f>'OPEN FOREIGN ORDER'!#REF!</f>
        <v>#REF!</v>
      </c>
    </row>
    <row r="152" spans="1:10">
      <c r="A152" t="str">
        <f>'CLOSE FOREIGN ORDER'!D59</f>
        <v>FPO11861</v>
      </c>
      <c r="B152" t="str">
        <f>'CLOSE FOREIGN ORDER'!F59</f>
        <v>Coca-Cola Swaziland</v>
      </c>
      <c r="C152" t="str">
        <f>'CLOSE FOREIGN ORDER'!W59</f>
        <v>45 DAYS INVOICE DATE</v>
      </c>
      <c r="D152" s="123">
        <f>'CLOSE FOREIGN ORDER'!X59</f>
        <v>45695</v>
      </c>
      <c r="E152" s="112">
        <f>'CLOSE FOREIGN ORDER'!Y59</f>
        <v>10776.93</v>
      </c>
      <c r="F152" s="112">
        <f>'CLOSE FOREIGN ORDER'!Z59</f>
        <v>0</v>
      </c>
      <c r="G152" s="112">
        <f>'CLOSE FOREIGN ORDER'!AA59</f>
        <v>0</v>
      </c>
      <c r="H152" s="112">
        <f>'CLOSE FOREIGN ORDER'!AB59</f>
        <v>0</v>
      </c>
      <c r="I152" s="112">
        <f>'CLOSE FOREIGN ORDER'!AC59</f>
        <v>0</v>
      </c>
      <c r="J152" s="112">
        <f>'CLOSE FOREIGN ORDER'!AD59</f>
        <v>0</v>
      </c>
    </row>
    <row r="153" spans="1:10">
      <c r="A153" t="str">
        <f>'CLOSE FOREIGN ORDER'!E178</f>
        <v>FPO11861</v>
      </c>
      <c r="B153" t="str">
        <f>'CLOSE FOREIGN ORDER'!G178</f>
        <v>Coca-Cola Swaziland</v>
      </c>
      <c r="C153" t="str">
        <f>'CLOSE FOREIGN ORDER'!AA178</f>
        <v>45 DAYS INVOICE DATE</v>
      </c>
      <c r="D153" s="123">
        <f>'CLOSE FOREIGN ORDER'!AB178</f>
        <v>45781</v>
      </c>
      <c r="E153" s="112">
        <f>'CLOSE FOREIGN ORDER'!AC178</f>
        <v>643095.93999999994</v>
      </c>
      <c r="F153" s="112">
        <f>'CLOSE FOREIGN ORDER'!AD178</f>
        <v>0</v>
      </c>
      <c r="G153" s="112">
        <f>'CLOSE FOREIGN ORDER'!AE178</f>
        <v>0</v>
      </c>
      <c r="H153" s="112">
        <f>'CLOSE FOREIGN ORDER'!AF178</f>
        <v>0</v>
      </c>
      <c r="I153" s="112">
        <f>'CLOSE FOREIGN ORDER'!AG178</f>
        <v>0</v>
      </c>
      <c r="J153" s="112">
        <f>'CLOSE FOREIGN ORDER'!AH178</f>
        <v>0</v>
      </c>
    </row>
    <row r="154" spans="1:10">
      <c r="A154" t="str">
        <f>'CLOSE FOREIGN ORDER'!D134</f>
        <v>FPO11862</v>
      </c>
      <c r="B154" t="str">
        <f>'CLOSE FOREIGN ORDER'!F134</f>
        <v xml:space="preserve">MANJUSHREE TECHNOPACK ( Ex Oricon ) </v>
      </c>
      <c r="C154" t="str">
        <f>'CLOSE FOREIGN ORDER'!Z134</f>
        <v xml:space="preserve">21 DAYS BL DATE </v>
      </c>
      <c r="D154" s="123">
        <f>'CLOSE FOREIGN ORDER'!AA134</f>
        <v>45762</v>
      </c>
      <c r="E154" s="112">
        <f>'CLOSE FOREIGN ORDER'!AB134</f>
        <v>9108</v>
      </c>
      <c r="F154" s="112">
        <f>'CLOSE FOREIGN ORDER'!AC134</f>
        <v>0</v>
      </c>
      <c r="G154" s="112">
        <f>'CLOSE FOREIGN ORDER'!AD134</f>
        <v>0</v>
      </c>
      <c r="H154" s="112">
        <f>'CLOSE FOREIGN ORDER'!AE134</f>
        <v>0</v>
      </c>
      <c r="I154" s="112">
        <f>'CLOSE FOREIGN ORDER'!AF134</f>
        <v>0</v>
      </c>
      <c r="J154" s="112">
        <f>'CLOSE FOREIGN ORDER'!AG134</f>
        <v>0</v>
      </c>
    </row>
    <row r="155" spans="1:10">
      <c r="A155" t="e">
        <f>'OPEN FOREIGN ORDER'!#REF!</f>
        <v>#REF!</v>
      </c>
      <c r="B155" t="e">
        <f>'OPEN FOREIGN ORDER'!#REF!</f>
        <v>#REF!</v>
      </c>
      <c r="C155" t="e">
        <f>'OPEN FOREIGN ORDER'!#REF!</f>
        <v>#REF!</v>
      </c>
      <c r="D155" s="123" t="e">
        <f>'OPEN FOREIGN ORDER'!#REF!</f>
        <v>#REF!</v>
      </c>
      <c r="E155" s="112" t="e">
        <f>'OPEN FOREIGN ORDER'!#REF!</f>
        <v>#REF!</v>
      </c>
      <c r="F155" s="112" t="e">
        <f>'OPEN FOREIGN ORDER'!#REF!</f>
        <v>#REF!</v>
      </c>
      <c r="G155" s="112" t="e">
        <f>'OPEN FOREIGN ORDER'!#REF!</f>
        <v>#REF!</v>
      </c>
      <c r="H155" s="112" t="e">
        <f>'OPEN FOREIGN ORDER'!#REF!</f>
        <v>#REF!</v>
      </c>
      <c r="I155" s="112" t="e">
        <f>'OPEN FOREIGN ORDER'!#REF!</f>
        <v>#REF!</v>
      </c>
      <c r="J155" s="112" t="e">
        <f>'OPEN FOREIGN ORDER'!#REF!</f>
        <v>#REF!</v>
      </c>
    </row>
    <row r="156" spans="1:10">
      <c r="A156" t="str">
        <f>'CLOSE FOREIGN ORDER'!D114</f>
        <v>FPO11863</v>
      </c>
      <c r="B156" t="str">
        <f>'CLOSE FOREIGN ORDER'!F114</f>
        <v>Crown Emirates Co. LTD</v>
      </c>
      <c r="C156" t="str">
        <f>'CLOSE FOREIGN ORDER'!Z114</f>
        <v>50% Advance - 46,581.35
50% Before shipjment - 46,581.35</v>
      </c>
      <c r="D156" s="123">
        <f>'CLOSE FOREIGN ORDER'!AA114</f>
        <v>45687</v>
      </c>
      <c r="E156" s="112">
        <f>'CLOSE FOREIGN ORDER'!AB114</f>
        <v>93162.701000000001</v>
      </c>
      <c r="F156" s="112">
        <f>'CLOSE FOREIGN ORDER'!AC114</f>
        <v>0</v>
      </c>
      <c r="G156" s="112">
        <f>'CLOSE FOREIGN ORDER'!AD114</f>
        <v>0</v>
      </c>
      <c r="H156" s="112">
        <f>'CLOSE FOREIGN ORDER'!AE114</f>
        <v>0</v>
      </c>
      <c r="I156" s="112">
        <f>'CLOSE FOREIGN ORDER'!AF114</f>
        <v>0</v>
      </c>
      <c r="J156" s="112">
        <f>'CLOSE FOREIGN ORDER'!AG114</f>
        <v>0</v>
      </c>
    </row>
    <row r="157" spans="1:10">
      <c r="A157" t="e">
        <f>'OPEN FOREIGN ORDER'!#REF!</f>
        <v>#REF!</v>
      </c>
      <c r="B157" t="e">
        <f>'OPEN FOREIGN ORDER'!#REF!</f>
        <v>#REF!</v>
      </c>
      <c r="C157" t="e">
        <f>'OPEN FOREIGN ORDER'!#REF!</f>
        <v>#REF!</v>
      </c>
      <c r="D157" s="123" t="e">
        <f>'OPEN FOREIGN ORDER'!#REF!</f>
        <v>#REF!</v>
      </c>
      <c r="E157" s="112" t="e">
        <f>'OPEN FOREIGN ORDER'!#REF!</f>
        <v>#REF!</v>
      </c>
      <c r="F157" s="112" t="e">
        <f>'OPEN FOREIGN ORDER'!#REF!</f>
        <v>#REF!</v>
      </c>
      <c r="G157" s="112" t="e">
        <f>'OPEN FOREIGN ORDER'!#REF!</f>
        <v>#REF!</v>
      </c>
      <c r="H157" s="112" t="e">
        <f>'OPEN FOREIGN ORDER'!#REF!</f>
        <v>#REF!</v>
      </c>
      <c r="I157" s="112" t="e">
        <f>'OPEN FOREIGN ORDER'!#REF!</f>
        <v>#REF!</v>
      </c>
      <c r="J157" s="112" t="e">
        <f>'OPEN FOREIGN ORDER'!#REF!</f>
        <v>#REF!</v>
      </c>
    </row>
    <row r="158" spans="1:10">
      <c r="A158" t="e">
        <f>'OPEN FOREIGN ORDER'!#REF!</f>
        <v>#REF!</v>
      </c>
      <c r="B158" t="e">
        <f>'OPEN FOREIGN ORDER'!#REF!</f>
        <v>#REF!</v>
      </c>
      <c r="C158" t="e">
        <f>'OPEN FOREIGN ORDER'!#REF!</f>
        <v>#REF!</v>
      </c>
      <c r="D158" s="123" t="e">
        <f>'OPEN FOREIGN ORDER'!#REF!</f>
        <v>#REF!</v>
      </c>
      <c r="E158" s="112" t="e">
        <f>'OPEN FOREIGN ORDER'!#REF!</f>
        <v>#REF!</v>
      </c>
      <c r="F158" s="112" t="e">
        <f>'OPEN FOREIGN ORDER'!#REF!</f>
        <v>#REF!</v>
      </c>
      <c r="G158" s="112" t="e">
        <f>'OPEN FOREIGN ORDER'!#REF!</f>
        <v>#REF!</v>
      </c>
      <c r="H158" s="112" t="e">
        <f>'OPEN FOREIGN ORDER'!#REF!</f>
        <v>#REF!</v>
      </c>
      <c r="I158" s="112" t="e">
        <f>'OPEN FOREIGN ORDER'!#REF!</f>
        <v>#REF!</v>
      </c>
      <c r="J158" s="112" t="e">
        <f>'OPEN FOREIGN ORDER'!#REF!</f>
        <v>#REF!</v>
      </c>
    </row>
    <row r="159" spans="1:10">
      <c r="A159" t="e">
        <f>'OPEN FOREIGN ORDER'!#REF!</f>
        <v>#REF!</v>
      </c>
      <c r="B159" t="e">
        <f>'OPEN FOREIGN ORDER'!#REF!</f>
        <v>#REF!</v>
      </c>
      <c r="C159" t="e">
        <f>'OPEN FOREIGN ORDER'!#REF!</f>
        <v>#REF!</v>
      </c>
      <c r="D159" s="123" t="e">
        <f>'OPEN FOREIGN ORDER'!#REF!</f>
        <v>#REF!</v>
      </c>
      <c r="E159" s="112" t="e">
        <f>'OPEN FOREIGN ORDER'!#REF!</f>
        <v>#REF!</v>
      </c>
      <c r="F159" s="112" t="e">
        <f>'OPEN FOREIGN ORDER'!#REF!</f>
        <v>#REF!</v>
      </c>
      <c r="G159" s="112" t="e">
        <f>'OPEN FOREIGN ORDER'!#REF!</f>
        <v>#REF!</v>
      </c>
      <c r="H159" s="112" t="e">
        <f>'OPEN FOREIGN ORDER'!#REF!</f>
        <v>#REF!</v>
      </c>
      <c r="I159" s="112" t="e">
        <f>'OPEN FOREIGN ORDER'!#REF!</f>
        <v>#REF!</v>
      </c>
      <c r="J159" s="112" t="e">
        <f>'OPEN FOREIGN ORDER'!#REF!</f>
        <v>#REF!</v>
      </c>
    </row>
    <row r="160" spans="1:10">
      <c r="A160" t="e">
        <f>'OPEN FOREIGN ORDER'!#REF!</f>
        <v>#REF!</v>
      </c>
      <c r="B160" t="e">
        <f>'OPEN FOREIGN ORDER'!#REF!</f>
        <v>#REF!</v>
      </c>
      <c r="C160" t="e">
        <f>'OPEN FOREIGN ORDER'!#REF!</f>
        <v>#REF!</v>
      </c>
      <c r="D160" s="123" t="e">
        <f>'OPEN FOREIGN ORDER'!#REF!</f>
        <v>#REF!</v>
      </c>
      <c r="E160" s="112" t="e">
        <f>'OPEN FOREIGN ORDER'!#REF!</f>
        <v>#REF!</v>
      </c>
      <c r="F160" s="112" t="e">
        <f>'OPEN FOREIGN ORDER'!#REF!</f>
        <v>#REF!</v>
      </c>
      <c r="G160" s="112" t="e">
        <f>'OPEN FOREIGN ORDER'!#REF!</f>
        <v>#REF!</v>
      </c>
      <c r="H160" s="112" t="e">
        <f>'OPEN FOREIGN ORDER'!#REF!</f>
        <v>#REF!</v>
      </c>
      <c r="I160" s="112" t="e">
        <f>'OPEN FOREIGN ORDER'!#REF!</f>
        <v>#REF!</v>
      </c>
      <c r="J160" s="112" t="e">
        <f>'OPEN FOREIGN ORDER'!#REF!</f>
        <v>#REF!</v>
      </c>
    </row>
    <row r="161" spans="1:10">
      <c r="A161" t="str">
        <f>'CLOSE FOREIGN ORDER'!D60</f>
        <v>FPO11874</v>
      </c>
      <c r="B161" t="str">
        <f>'CLOSE FOREIGN ORDER'!F60</f>
        <v>Holland Malt</v>
      </c>
      <c r="C161" t="str">
        <f>'CLOSE FOREIGN ORDER'!W60</f>
        <v xml:space="preserve">60 days Invoice </v>
      </c>
      <c r="D161" s="123">
        <f>'CLOSE FOREIGN ORDER'!X60</f>
        <v>45674</v>
      </c>
      <c r="E161" s="112">
        <f>'CLOSE FOREIGN ORDER'!Y60</f>
        <v>0</v>
      </c>
      <c r="F161" s="112">
        <f>'CLOSE FOREIGN ORDER'!Z60</f>
        <v>154285.82999999999</v>
      </c>
      <c r="G161" s="112">
        <f>'CLOSE FOREIGN ORDER'!AA60</f>
        <v>0</v>
      </c>
      <c r="H161" s="112">
        <f>'CLOSE FOREIGN ORDER'!AB60</f>
        <v>0</v>
      </c>
      <c r="I161" s="112">
        <f>'CLOSE FOREIGN ORDER'!AC60</f>
        <v>0</v>
      </c>
      <c r="J161" s="112">
        <f>'CLOSE FOREIGN ORDER'!AD60</f>
        <v>0</v>
      </c>
    </row>
    <row r="162" spans="1:10">
      <c r="A162" t="str">
        <f>'CLOSE FOREIGN ORDER'!D221</f>
        <v>FPO11876</v>
      </c>
      <c r="B162" t="str">
        <f>'CLOSE FOREIGN ORDER'!F221</f>
        <v>Kerry Food Ingredients &amp; Flavours Ltd</v>
      </c>
      <c r="C162" t="str">
        <f>'CLOSE FOREIGN ORDER'!Z221</f>
        <v>90 DAYS INVOICE DATE</v>
      </c>
      <c r="D162" s="123">
        <f>'CLOSE FOREIGN ORDER'!AA221</f>
        <v>45801</v>
      </c>
      <c r="E162" s="112">
        <f>'CLOSE FOREIGN ORDER'!AB221</f>
        <v>0</v>
      </c>
      <c r="F162" s="112">
        <f>'CLOSE FOREIGN ORDER'!AC221</f>
        <v>2912.85</v>
      </c>
      <c r="G162" s="112">
        <f>'CLOSE FOREIGN ORDER'!AD221</f>
        <v>0</v>
      </c>
      <c r="H162" s="112">
        <f>'CLOSE FOREIGN ORDER'!AE221</f>
        <v>0</v>
      </c>
      <c r="I162" s="112">
        <f>'CLOSE FOREIGN ORDER'!AF221</f>
        <v>0</v>
      </c>
      <c r="J162" s="112">
        <f>'CLOSE FOREIGN ORDER'!AG221</f>
        <v>0</v>
      </c>
    </row>
    <row r="163" spans="1:10">
      <c r="A163" t="str">
        <f>'CLOSE FOREIGN ORDER'!D222</f>
        <v>FPO11877</v>
      </c>
      <c r="B163" t="str">
        <f>'CLOSE FOREIGN ORDER'!F222</f>
        <v>SCHWEPPES INTERNATIONAL LIMITED</v>
      </c>
      <c r="C163" t="str">
        <f>'CLOSE FOREIGN ORDER'!Z222</f>
        <v>60 DAYS INVOICE DATE</v>
      </c>
      <c r="D163" s="123">
        <f>'CLOSE FOREIGN ORDER'!AA222</f>
        <v>45802</v>
      </c>
      <c r="E163" s="112">
        <f>'CLOSE FOREIGN ORDER'!AB222</f>
        <v>0</v>
      </c>
      <c r="F163" s="112">
        <f>'CLOSE FOREIGN ORDER'!AC222</f>
        <v>149549.94</v>
      </c>
      <c r="G163" s="112">
        <f>'CLOSE FOREIGN ORDER'!AD222</f>
        <v>0</v>
      </c>
      <c r="H163" s="112">
        <f>'CLOSE FOREIGN ORDER'!AE222</f>
        <v>0</v>
      </c>
      <c r="I163" s="112">
        <f>'CLOSE FOREIGN ORDER'!AF222</f>
        <v>0</v>
      </c>
      <c r="J163" s="112">
        <f>'CLOSE FOREIGN ORDER'!AG222</f>
        <v>0</v>
      </c>
    </row>
    <row r="164" spans="1:10">
      <c r="A164" t="str">
        <f>'CLOSE FOREIGN ORDER'!D182</f>
        <v>FPO11879</v>
      </c>
      <c r="B164" t="str">
        <f>'CLOSE FOREIGN ORDER'!F182</f>
        <v>RESILUX NV</v>
      </c>
      <c r="C164" t="str">
        <f>'CLOSE FOREIGN ORDER'!Z182</f>
        <v xml:space="preserve">60 DAYS INVOICE DATE </v>
      </c>
      <c r="D164" s="123">
        <f>'CLOSE FOREIGN ORDER'!AA182</f>
        <v>45770</v>
      </c>
      <c r="E164" s="112">
        <f>'CLOSE FOREIGN ORDER'!AB182</f>
        <v>0</v>
      </c>
      <c r="F164" s="112">
        <f>'CLOSE FOREIGN ORDER'!AC182</f>
        <v>135494.82999999999</v>
      </c>
      <c r="G164" s="112">
        <f>'CLOSE FOREIGN ORDER'!AD182</f>
        <v>0</v>
      </c>
      <c r="H164" s="112">
        <f>'CLOSE FOREIGN ORDER'!AE182</f>
        <v>0</v>
      </c>
      <c r="I164" s="112">
        <f>'CLOSE FOREIGN ORDER'!AF182</f>
        <v>0</v>
      </c>
      <c r="J164" s="112">
        <f>'CLOSE FOREIGN ORDER'!AG182</f>
        <v>0</v>
      </c>
    </row>
    <row r="165" spans="1:10">
      <c r="A165" t="str">
        <f>'CLOSE FOREIGN ORDER'!D148</f>
        <v>FPO11880</v>
      </c>
      <c r="B165" t="str">
        <f>'CLOSE FOREIGN ORDER'!F148</f>
        <v xml:space="preserve">MALAYA GLASS </v>
      </c>
      <c r="C165" t="str">
        <f>'CLOSE FOREIGN ORDER'!Z148</f>
        <v xml:space="preserve">PAYMENT AGAINST BL </v>
      </c>
      <c r="D165" s="123">
        <f>'CLOSE FOREIGN ORDER'!AA148</f>
        <v>45705</v>
      </c>
      <c r="E165" s="112">
        <f>'CLOSE FOREIGN ORDER'!AB148</f>
        <v>103862.28</v>
      </c>
      <c r="F165" s="112">
        <f>'CLOSE FOREIGN ORDER'!AC148</f>
        <v>0</v>
      </c>
      <c r="G165" s="112">
        <f>'CLOSE FOREIGN ORDER'!AD148</f>
        <v>0</v>
      </c>
      <c r="H165" s="112">
        <f>'CLOSE FOREIGN ORDER'!AE148</f>
        <v>0</v>
      </c>
      <c r="I165" s="112">
        <f>'CLOSE FOREIGN ORDER'!AF148</f>
        <v>0</v>
      </c>
      <c r="J165" s="112">
        <f>'CLOSE FOREIGN ORDER'!AG148</f>
        <v>0</v>
      </c>
    </row>
    <row r="166" spans="1:10">
      <c r="A166" t="str">
        <f>'CLOSE FOREIGN ORDER'!D392</f>
        <v>FPO11880</v>
      </c>
      <c r="B166" t="str">
        <f>'CLOSE FOREIGN ORDER'!F392</f>
        <v xml:space="preserve">MALAYA GLASS </v>
      </c>
      <c r="C166" t="str">
        <f>'CLOSE FOREIGN ORDER'!Z392</f>
        <v xml:space="preserve">PAYMENT AGAINST BL </v>
      </c>
      <c r="D166" s="123">
        <f>'CLOSE FOREIGN ORDER'!AA392</f>
        <v>45888</v>
      </c>
      <c r="E166" s="112">
        <f>'CLOSE FOREIGN ORDER'!AB392</f>
        <v>103747.11</v>
      </c>
      <c r="F166" s="112">
        <f>'CLOSE FOREIGN ORDER'!AC392</f>
        <v>0</v>
      </c>
      <c r="G166" s="112">
        <f>'CLOSE FOREIGN ORDER'!AD392</f>
        <v>0</v>
      </c>
      <c r="H166" s="112">
        <f>'CLOSE FOREIGN ORDER'!AE392</f>
        <v>0</v>
      </c>
      <c r="I166" s="112">
        <f>'CLOSE FOREIGN ORDER'!AF392</f>
        <v>0</v>
      </c>
      <c r="J166" s="112">
        <f>'CLOSE FOREIGN ORDER'!AG392</f>
        <v>0</v>
      </c>
    </row>
    <row r="167" spans="1:10">
      <c r="A167" t="str">
        <f>'CLOSE FOREIGN ORDER'!D135</f>
        <v>FPO11881</v>
      </c>
      <c r="B167" t="str">
        <f>'CLOSE FOREIGN ORDER'!F135</f>
        <v xml:space="preserve">METAL CROWN LTD </v>
      </c>
      <c r="C167" t="str">
        <f>'CLOSE FOREIGN ORDER'!Z135</f>
        <v xml:space="preserve">30 DAYS INVOICE DATE </v>
      </c>
      <c r="D167" s="123">
        <f>'CLOSE FOREIGN ORDER'!AA135</f>
        <v>45716</v>
      </c>
      <c r="E167" s="112">
        <f>'CLOSE FOREIGN ORDER'!AB135</f>
        <v>17742.7</v>
      </c>
      <c r="F167" s="112">
        <f>'CLOSE FOREIGN ORDER'!AC135</f>
        <v>0</v>
      </c>
      <c r="G167" s="112">
        <f>'CLOSE FOREIGN ORDER'!AD135</f>
        <v>0</v>
      </c>
      <c r="H167" s="112">
        <f>'CLOSE FOREIGN ORDER'!AE135</f>
        <v>0</v>
      </c>
      <c r="I167" s="112">
        <f>'CLOSE FOREIGN ORDER'!AF135</f>
        <v>0</v>
      </c>
      <c r="J167" s="112">
        <f>'CLOSE FOREIGN ORDER'!AG135</f>
        <v>0</v>
      </c>
    </row>
    <row r="168" spans="1:10">
      <c r="A168" t="e">
        <f>'OPEN FOREIGN ORDER'!#REF!</f>
        <v>#REF!</v>
      </c>
      <c r="B168" t="e">
        <f>'OPEN FOREIGN ORDER'!#REF!</f>
        <v>#REF!</v>
      </c>
      <c r="C168" t="e">
        <f>'OPEN FOREIGN ORDER'!#REF!</f>
        <v>#REF!</v>
      </c>
      <c r="D168" s="123" t="e">
        <f>'OPEN FOREIGN ORDER'!#REF!</f>
        <v>#REF!</v>
      </c>
      <c r="E168" s="112" t="e">
        <f>'OPEN FOREIGN ORDER'!#REF!</f>
        <v>#REF!</v>
      </c>
      <c r="F168" s="112" t="e">
        <f>'OPEN FOREIGN ORDER'!#REF!</f>
        <v>#REF!</v>
      </c>
      <c r="G168" s="112" t="e">
        <f>'OPEN FOREIGN ORDER'!#REF!</f>
        <v>#REF!</v>
      </c>
      <c r="H168" s="112" t="e">
        <f>'OPEN FOREIGN ORDER'!#REF!</f>
        <v>#REF!</v>
      </c>
      <c r="I168" s="112" t="e">
        <f>'OPEN FOREIGN ORDER'!#REF!</f>
        <v>#REF!</v>
      </c>
      <c r="J168" s="112" t="e">
        <f>'OPEN FOREIGN ORDER'!#REF!</f>
        <v>#REF!</v>
      </c>
    </row>
    <row r="169" spans="1:10">
      <c r="A169" t="str">
        <f>'CLOSE FOREIGN ORDER'!D216</f>
        <v>FPO11884</v>
      </c>
      <c r="B169" t="str">
        <f>'CLOSE FOREIGN ORDER'!F216</f>
        <v xml:space="preserve">Greyson Trading LTD </v>
      </c>
      <c r="C169" t="str">
        <f>'CLOSE FOREIGN ORDER'!Z216</f>
        <v>60 days Bill of Lading</v>
      </c>
      <c r="D169" s="123">
        <f>'CLOSE FOREIGN ORDER'!AA216</f>
        <v>45787</v>
      </c>
      <c r="E169" s="112">
        <f>'CLOSE FOREIGN ORDER'!AB216</f>
        <v>86446.75</v>
      </c>
      <c r="F169" s="112">
        <f>'CLOSE FOREIGN ORDER'!AC216</f>
        <v>0</v>
      </c>
      <c r="G169" s="112">
        <f>'CLOSE FOREIGN ORDER'!AD216</f>
        <v>0</v>
      </c>
      <c r="H169" s="112">
        <f>'CLOSE FOREIGN ORDER'!AE216</f>
        <v>0</v>
      </c>
      <c r="I169" s="112">
        <f>'CLOSE FOREIGN ORDER'!AF216</f>
        <v>0</v>
      </c>
      <c r="J169" s="112">
        <f>'CLOSE FOREIGN ORDER'!AG216</f>
        <v>0</v>
      </c>
    </row>
    <row r="170" spans="1:10">
      <c r="A170" t="str">
        <f>'CLOSE FOREIGN ORDER'!D160</f>
        <v>FPO11885</v>
      </c>
      <c r="B170" t="str">
        <f>'CLOSE FOREIGN ORDER'!F160</f>
        <v>CANPACK FRANCE SAS</v>
      </c>
      <c r="C170" t="str">
        <f>'CLOSE FOREIGN ORDER'!Z160</f>
        <v xml:space="preserve">60 DAYS INVOICE DATE </v>
      </c>
      <c r="D170" s="123">
        <f>'CLOSE FOREIGN ORDER'!AA160</f>
        <v>45765</v>
      </c>
      <c r="E170" s="112">
        <f>'CLOSE FOREIGN ORDER'!AB160</f>
        <v>0</v>
      </c>
      <c r="F170" s="112">
        <f>'CLOSE FOREIGN ORDER'!AC160</f>
        <v>38635.46</v>
      </c>
      <c r="G170" s="112">
        <f>'CLOSE FOREIGN ORDER'!AD160</f>
        <v>0</v>
      </c>
      <c r="H170" s="112">
        <f>'CLOSE FOREIGN ORDER'!AE160</f>
        <v>0</v>
      </c>
      <c r="I170" s="112">
        <f>'CLOSE FOREIGN ORDER'!AF160</f>
        <v>0</v>
      </c>
      <c r="J170" s="112">
        <f>'CLOSE FOREIGN ORDER'!AG160</f>
        <v>0</v>
      </c>
    </row>
    <row r="171" spans="1:10">
      <c r="A171" t="str">
        <f>'CLOSE FOREIGN ORDER'!D117</f>
        <v xml:space="preserve">FPO11886 </v>
      </c>
      <c r="B171" t="str">
        <f>'CLOSE FOREIGN ORDER'!F117</f>
        <v xml:space="preserve">SHEET PLASTIC </v>
      </c>
      <c r="C171" t="str">
        <f>'CLOSE FOREIGN ORDER'!Z117</f>
        <v xml:space="preserve">30 DAYS INVOICE DATE </v>
      </c>
      <c r="D171" s="123">
        <f>'CLOSE FOREIGN ORDER'!AA117</f>
        <v>45714</v>
      </c>
      <c r="E171" s="112">
        <f>'CLOSE FOREIGN ORDER'!AB117</f>
        <v>18840</v>
      </c>
      <c r="F171" s="112">
        <f>'CLOSE FOREIGN ORDER'!AC117</f>
        <v>0</v>
      </c>
      <c r="G171" s="112">
        <f>'CLOSE FOREIGN ORDER'!AD117</f>
        <v>0</v>
      </c>
      <c r="H171" s="112">
        <f>'CLOSE FOREIGN ORDER'!AE117</f>
        <v>0</v>
      </c>
      <c r="I171" s="112">
        <f>'CLOSE FOREIGN ORDER'!AF117</f>
        <v>0</v>
      </c>
      <c r="J171" s="112">
        <f>'CLOSE FOREIGN ORDER'!AG117</f>
        <v>0</v>
      </c>
    </row>
    <row r="172" spans="1:10">
      <c r="A172" t="str">
        <f>'CLOSE FOREIGN ORDER'!D133</f>
        <v>FPO11887</v>
      </c>
      <c r="B172" t="str">
        <f>'CLOSE FOREIGN ORDER'!F133</f>
        <v xml:space="preserve">Greyson Trading LTD </v>
      </c>
      <c r="C172" t="str">
        <f>'CLOSE FOREIGN ORDER'!Z133</f>
        <v>60 days Bill of Lading</v>
      </c>
      <c r="D172" s="123">
        <f>'CLOSE FOREIGN ORDER'!AA133</f>
        <v>45752</v>
      </c>
      <c r="E172" s="112">
        <f>'CLOSE FOREIGN ORDER'!AB133</f>
        <v>99244.74</v>
      </c>
      <c r="F172" s="112">
        <f>'CLOSE FOREIGN ORDER'!AC133</f>
        <v>0</v>
      </c>
      <c r="G172" s="112">
        <f>'CLOSE FOREIGN ORDER'!AD133</f>
        <v>0</v>
      </c>
      <c r="H172" s="112">
        <f>'CLOSE FOREIGN ORDER'!AE133</f>
        <v>0</v>
      </c>
      <c r="I172" s="112">
        <f>'CLOSE FOREIGN ORDER'!AF133</f>
        <v>0</v>
      </c>
      <c r="J172" s="112">
        <f>'CLOSE FOREIGN ORDER'!AG133</f>
        <v>0</v>
      </c>
    </row>
    <row r="173" spans="1:10">
      <c r="A173" t="e">
        <f>'OPEN FOREIGN ORDER'!#REF!</f>
        <v>#REF!</v>
      </c>
      <c r="B173" t="e">
        <f>'OPEN FOREIGN ORDER'!#REF!</f>
        <v>#REF!</v>
      </c>
      <c r="C173" t="e">
        <f>'OPEN FOREIGN ORDER'!#REF!</f>
        <v>#REF!</v>
      </c>
      <c r="D173" s="123" t="e">
        <f>'OPEN FOREIGN ORDER'!#REF!</f>
        <v>#REF!</v>
      </c>
      <c r="E173" s="112" t="e">
        <f>'OPEN FOREIGN ORDER'!#REF!</f>
        <v>#REF!</v>
      </c>
      <c r="F173" s="112" t="e">
        <f>'OPEN FOREIGN ORDER'!#REF!</f>
        <v>#REF!</v>
      </c>
      <c r="G173" s="112" t="e">
        <f>'OPEN FOREIGN ORDER'!#REF!</f>
        <v>#REF!</v>
      </c>
      <c r="H173" s="112" t="e">
        <f>'OPEN FOREIGN ORDER'!#REF!</f>
        <v>#REF!</v>
      </c>
      <c r="I173" s="112" t="e">
        <f>'OPEN FOREIGN ORDER'!#REF!</f>
        <v>#REF!</v>
      </c>
      <c r="J173" s="112" t="e">
        <f>'OPEN FOREIGN ORDER'!#REF!</f>
        <v>#REF!</v>
      </c>
    </row>
    <row r="174" spans="1:10">
      <c r="A174" t="str">
        <f>'CLOSE FOREIGN ORDER'!D185</f>
        <v>FPO11889</v>
      </c>
      <c r="B174" t="str">
        <f>'CLOSE FOREIGN ORDER'!F185</f>
        <v>Kerry Food Ingredients &amp; Flavours Ltd</v>
      </c>
      <c r="C174" t="str">
        <f>'CLOSE FOREIGN ORDER'!Z185</f>
        <v>90 DAYS INVOICE DATE</v>
      </c>
      <c r="D174" s="123">
        <f>'CLOSE FOREIGN ORDER'!AA185</f>
        <v>45783</v>
      </c>
      <c r="E174" s="112">
        <f>'CLOSE FOREIGN ORDER'!AB185</f>
        <v>0</v>
      </c>
      <c r="F174" s="112">
        <f>'CLOSE FOREIGN ORDER'!AC185</f>
        <v>19400</v>
      </c>
      <c r="G174" s="112">
        <f>'CLOSE FOREIGN ORDER'!AD185</f>
        <v>0</v>
      </c>
      <c r="H174" s="112">
        <f>'CLOSE FOREIGN ORDER'!AE185</f>
        <v>0</v>
      </c>
      <c r="I174" s="112">
        <f>'CLOSE FOREIGN ORDER'!AF185</f>
        <v>0</v>
      </c>
      <c r="J174" s="112">
        <f>'CLOSE FOREIGN ORDER'!AG185</f>
        <v>0</v>
      </c>
    </row>
    <row r="175" spans="1:10">
      <c r="A175" t="str">
        <f>'CLOSE FOREIGN ORDER'!E174</f>
        <v>FPO11890</v>
      </c>
      <c r="B175" t="str">
        <f>'CLOSE FOREIGN ORDER'!G174</f>
        <v xml:space="preserve">STASSEN SA </v>
      </c>
      <c r="C175" t="str">
        <f>'CLOSE FOREIGN ORDER'!AA174</f>
        <v>45 JOURS FIN DE MOIS</v>
      </c>
      <c r="D175" s="123">
        <f>'CLOSE FOREIGN ORDER'!AB174</f>
        <v>45776</v>
      </c>
      <c r="E175" s="112">
        <f>'CLOSE FOREIGN ORDER'!AC174</f>
        <v>0</v>
      </c>
      <c r="F175" s="112">
        <f>'CLOSE FOREIGN ORDER'!AD174</f>
        <v>25560</v>
      </c>
      <c r="G175" s="112">
        <f>'CLOSE FOREIGN ORDER'!AE174</f>
        <v>0</v>
      </c>
      <c r="H175" s="112">
        <f>'CLOSE FOREIGN ORDER'!AF174</f>
        <v>0</v>
      </c>
      <c r="I175" s="112">
        <f>'CLOSE FOREIGN ORDER'!AG174</f>
        <v>0</v>
      </c>
      <c r="J175" s="112">
        <f>'CLOSE FOREIGN ORDER'!AH174</f>
        <v>0</v>
      </c>
    </row>
    <row r="176" spans="1:10">
      <c r="A176" t="e">
        <f>'OPEN FOREIGN ORDER'!#REF!</f>
        <v>#REF!</v>
      </c>
      <c r="B176" t="e">
        <f>'OPEN FOREIGN ORDER'!#REF!</f>
        <v>#REF!</v>
      </c>
      <c r="C176" t="e">
        <f>'OPEN FOREIGN ORDER'!#REF!</f>
        <v>#REF!</v>
      </c>
      <c r="D176" s="123" t="e">
        <f>'OPEN FOREIGN ORDER'!#REF!</f>
        <v>#REF!</v>
      </c>
      <c r="E176" s="112" t="e">
        <f>'OPEN FOREIGN ORDER'!#REF!</f>
        <v>#REF!</v>
      </c>
      <c r="F176" s="112" t="e">
        <f>'OPEN FOREIGN ORDER'!#REF!</f>
        <v>#REF!</v>
      </c>
      <c r="G176" s="112" t="e">
        <f>'OPEN FOREIGN ORDER'!#REF!</f>
        <v>#REF!</v>
      </c>
      <c r="H176" s="112" t="e">
        <f>'OPEN FOREIGN ORDER'!#REF!</f>
        <v>#REF!</v>
      </c>
      <c r="I176" s="112" t="e">
        <f>'OPEN FOREIGN ORDER'!#REF!</f>
        <v>#REF!</v>
      </c>
      <c r="J176" s="112" t="e">
        <f>'OPEN FOREIGN ORDER'!#REF!</f>
        <v>#REF!</v>
      </c>
    </row>
    <row r="177" spans="1:10">
      <c r="A177" t="e">
        <f>'OPEN FOREIGN ORDER'!#REF!</f>
        <v>#REF!</v>
      </c>
      <c r="B177" t="e">
        <f>'OPEN FOREIGN ORDER'!#REF!</f>
        <v>#REF!</v>
      </c>
      <c r="C177" t="e">
        <f>'OPEN FOREIGN ORDER'!#REF!</f>
        <v>#REF!</v>
      </c>
      <c r="D177" s="123" t="e">
        <f>'OPEN FOREIGN ORDER'!#REF!</f>
        <v>#REF!</v>
      </c>
      <c r="E177" s="112" t="e">
        <f>'OPEN FOREIGN ORDER'!#REF!</f>
        <v>#REF!</v>
      </c>
      <c r="F177" s="112" t="e">
        <f>'OPEN FOREIGN ORDER'!#REF!</f>
        <v>#REF!</v>
      </c>
      <c r="G177" s="112" t="e">
        <f>'OPEN FOREIGN ORDER'!#REF!</f>
        <v>#REF!</v>
      </c>
      <c r="H177" s="112" t="e">
        <f>'OPEN FOREIGN ORDER'!#REF!</f>
        <v>#REF!</v>
      </c>
      <c r="I177" s="112" t="e">
        <f>'OPEN FOREIGN ORDER'!#REF!</f>
        <v>#REF!</v>
      </c>
      <c r="J177" s="112" t="e">
        <f>'OPEN FOREIGN ORDER'!#REF!</f>
        <v>#REF!</v>
      </c>
    </row>
    <row r="178" spans="1:10">
      <c r="A178" t="e">
        <f>'OPEN FOREIGN ORDER'!#REF!</f>
        <v>#REF!</v>
      </c>
      <c r="B178" t="e">
        <f>'OPEN FOREIGN ORDER'!#REF!</f>
        <v>#REF!</v>
      </c>
      <c r="C178" t="e">
        <f>'OPEN FOREIGN ORDER'!#REF!</f>
        <v>#REF!</v>
      </c>
      <c r="D178" s="123" t="e">
        <f>'OPEN FOREIGN ORDER'!#REF!</f>
        <v>#REF!</v>
      </c>
      <c r="E178" s="112" t="e">
        <f>'OPEN FOREIGN ORDER'!#REF!</f>
        <v>#REF!</v>
      </c>
      <c r="F178" s="112" t="e">
        <f>'OPEN FOREIGN ORDER'!#REF!</f>
        <v>#REF!</v>
      </c>
      <c r="G178" s="112" t="e">
        <f>'OPEN FOREIGN ORDER'!#REF!</f>
        <v>#REF!</v>
      </c>
      <c r="H178" s="112" t="e">
        <f>'OPEN FOREIGN ORDER'!#REF!</f>
        <v>#REF!</v>
      </c>
      <c r="I178" s="112" t="e">
        <f>'OPEN FOREIGN ORDER'!#REF!</f>
        <v>#REF!</v>
      </c>
      <c r="J178" s="112" t="e">
        <f>'OPEN FOREIGN ORDER'!#REF!</f>
        <v>#REF!</v>
      </c>
    </row>
    <row r="179" spans="1:10">
      <c r="A179" t="e">
        <f>'OPEN FOREIGN ORDER'!#REF!</f>
        <v>#REF!</v>
      </c>
      <c r="B179" t="e">
        <f>'OPEN FOREIGN ORDER'!#REF!</f>
        <v>#REF!</v>
      </c>
      <c r="C179" t="e">
        <f>'OPEN FOREIGN ORDER'!#REF!</f>
        <v>#REF!</v>
      </c>
      <c r="D179" s="123" t="e">
        <f>'OPEN FOREIGN ORDER'!#REF!</f>
        <v>#REF!</v>
      </c>
      <c r="E179" s="112" t="e">
        <f>'OPEN FOREIGN ORDER'!#REF!</f>
        <v>#REF!</v>
      </c>
      <c r="F179" s="112" t="e">
        <f>'OPEN FOREIGN ORDER'!#REF!</f>
        <v>#REF!</v>
      </c>
      <c r="G179" s="112" t="e">
        <f>'OPEN FOREIGN ORDER'!#REF!</f>
        <v>#REF!</v>
      </c>
      <c r="H179" s="112" t="e">
        <f>'OPEN FOREIGN ORDER'!#REF!</f>
        <v>#REF!</v>
      </c>
      <c r="I179" s="112" t="e">
        <f>'OPEN FOREIGN ORDER'!#REF!</f>
        <v>#REF!</v>
      </c>
      <c r="J179" s="112" t="e">
        <f>'OPEN FOREIGN ORDER'!#REF!</f>
        <v>#REF!</v>
      </c>
    </row>
    <row r="180" spans="1:10">
      <c r="A180" t="str">
        <f>'CLOSE FOREIGN ORDER'!D42</f>
        <v>FPO11903</v>
      </c>
      <c r="B180" t="str">
        <f>'CLOSE FOREIGN ORDER'!F42</f>
        <v>BOORTMALT NV</v>
      </c>
      <c r="C180" t="str">
        <f>'CLOSE FOREIGN ORDER'!W42</f>
        <v>60 days Bill of Lading</v>
      </c>
      <c r="D180" s="123">
        <f>'CLOSE FOREIGN ORDER'!X42</f>
        <v>45705</v>
      </c>
      <c r="E180" s="112">
        <f>'CLOSE FOREIGN ORDER'!Y42</f>
        <v>0</v>
      </c>
      <c r="F180" s="112">
        <f>'CLOSE FOREIGN ORDER'!Z42</f>
        <v>61236</v>
      </c>
      <c r="G180" s="112">
        <f>'CLOSE FOREIGN ORDER'!AA42</f>
        <v>0</v>
      </c>
      <c r="H180" s="112">
        <f>'CLOSE FOREIGN ORDER'!AB42</f>
        <v>0</v>
      </c>
      <c r="I180" s="112">
        <f>'CLOSE FOREIGN ORDER'!AC42</f>
        <v>0</v>
      </c>
      <c r="J180" s="112">
        <f>'CLOSE FOREIGN ORDER'!AD42</f>
        <v>0</v>
      </c>
    </row>
    <row r="181" spans="1:10">
      <c r="A181" t="str">
        <f>'CLOSE FOREIGN ORDER'!D43</f>
        <v>FPO11907</v>
      </c>
      <c r="B181" t="str">
        <f>'CLOSE FOREIGN ORDER'!F43</f>
        <v>BOORTMALT ASIA PACIFIC PTY LTD</v>
      </c>
      <c r="C181" t="str">
        <f>'CLOSE FOREIGN ORDER'!W43</f>
        <v>60 days Invoice date</v>
      </c>
      <c r="D181" s="123">
        <f>'CLOSE FOREIGN ORDER'!X43</f>
        <v>45708</v>
      </c>
      <c r="E181" s="112">
        <f>'CLOSE FOREIGN ORDER'!Y43</f>
        <v>63000</v>
      </c>
      <c r="F181" s="112">
        <f>'CLOSE FOREIGN ORDER'!Z43</f>
        <v>0</v>
      </c>
      <c r="G181" s="112">
        <f>'CLOSE FOREIGN ORDER'!AA43</f>
        <v>0</v>
      </c>
      <c r="H181" s="112">
        <f>'CLOSE FOREIGN ORDER'!AB43</f>
        <v>0</v>
      </c>
      <c r="I181" s="112">
        <f>'CLOSE FOREIGN ORDER'!AC43</f>
        <v>0</v>
      </c>
      <c r="J181" s="112">
        <f>'CLOSE FOREIGN ORDER'!AD43</f>
        <v>0</v>
      </c>
    </row>
    <row r="182" spans="1:10">
      <c r="A182" t="str">
        <f>'CLOSE FOREIGN ORDER'!D227</f>
        <v>FPO11911</v>
      </c>
      <c r="B182" t="str">
        <f>'CLOSE FOREIGN ORDER'!F227</f>
        <v xml:space="preserve">SOCAVER </v>
      </c>
      <c r="C182" t="str">
        <f>'CLOSE FOREIGN ORDER'!Z227</f>
        <v>100% ADVANCE PAYMENT</v>
      </c>
      <c r="D182" s="123">
        <f>'CLOSE FOREIGN ORDER'!AA227</f>
        <v>45674</v>
      </c>
      <c r="E182" s="112">
        <f>'CLOSE FOREIGN ORDER'!AB227</f>
        <v>0</v>
      </c>
      <c r="F182" s="112">
        <f>'CLOSE FOREIGN ORDER'!AC227</f>
        <v>97035.98</v>
      </c>
      <c r="G182" s="112">
        <f>'CLOSE FOREIGN ORDER'!AD227</f>
        <v>0</v>
      </c>
      <c r="H182" s="112">
        <f>'CLOSE FOREIGN ORDER'!AE227</f>
        <v>0</v>
      </c>
      <c r="I182" s="112">
        <f>'CLOSE FOREIGN ORDER'!AF227</f>
        <v>0</v>
      </c>
      <c r="J182" s="112">
        <f>'CLOSE FOREIGN ORDER'!AG227</f>
        <v>0</v>
      </c>
    </row>
    <row r="183" spans="1:10">
      <c r="A183" t="e">
        <f>'OPEN FOREIGN ORDER'!#REF!</f>
        <v>#REF!</v>
      </c>
      <c r="B183" t="e">
        <f>'OPEN FOREIGN ORDER'!#REF!</f>
        <v>#REF!</v>
      </c>
      <c r="C183" t="e">
        <f>'OPEN FOREIGN ORDER'!#REF!</f>
        <v>#REF!</v>
      </c>
      <c r="D183" s="123" t="e">
        <f>'OPEN FOREIGN ORDER'!#REF!</f>
        <v>#REF!</v>
      </c>
      <c r="E183" s="112" t="e">
        <f>'OPEN FOREIGN ORDER'!#REF!</f>
        <v>#REF!</v>
      </c>
      <c r="F183" s="112" t="e">
        <f>'OPEN FOREIGN ORDER'!#REF!</f>
        <v>#REF!</v>
      </c>
      <c r="G183" s="112" t="e">
        <f>'OPEN FOREIGN ORDER'!#REF!</f>
        <v>#REF!</v>
      </c>
      <c r="H183" s="112" t="e">
        <f>'OPEN FOREIGN ORDER'!#REF!</f>
        <v>#REF!</v>
      </c>
      <c r="I183" s="112" t="e">
        <f>'OPEN FOREIGN ORDER'!#REF!</f>
        <v>#REF!</v>
      </c>
      <c r="J183" s="112" t="e">
        <f>'OPEN FOREIGN ORDER'!#REF!</f>
        <v>#REF!</v>
      </c>
    </row>
    <row r="184" spans="1:10">
      <c r="A184" t="str">
        <f>'CLOSE FOREIGN ORDER'!D61</f>
        <v>FPO11918</v>
      </c>
      <c r="B184" t="str">
        <f>'CLOSE FOREIGN ORDER'!F61</f>
        <v>Holland Malt</v>
      </c>
      <c r="C184" t="str">
        <f>'CLOSE FOREIGN ORDER'!W61</f>
        <v>60 DAYS INVOICE DATE</v>
      </c>
      <c r="D184" s="123">
        <f>'CLOSE FOREIGN ORDER'!X61</f>
        <v>45711</v>
      </c>
      <c r="E184" s="112">
        <f>'CLOSE FOREIGN ORDER'!Y61</f>
        <v>0</v>
      </c>
      <c r="F184" s="112">
        <f>'CLOSE FOREIGN ORDER'!Z61</f>
        <v>64914.39</v>
      </c>
      <c r="G184" s="112">
        <f>'CLOSE FOREIGN ORDER'!AA61</f>
        <v>0</v>
      </c>
      <c r="H184" s="112">
        <f>'CLOSE FOREIGN ORDER'!AB61</f>
        <v>0</v>
      </c>
      <c r="I184" s="112">
        <f>'CLOSE FOREIGN ORDER'!AC61</f>
        <v>0</v>
      </c>
      <c r="J184" s="112">
        <f>'CLOSE FOREIGN ORDER'!AD61</f>
        <v>0</v>
      </c>
    </row>
    <row r="185" spans="1:10">
      <c r="A185" t="e">
        <f>'OPEN FOREIGN ORDER'!#REF!</f>
        <v>#REF!</v>
      </c>
      <c r="B185" t="e">
        <f>'OPEN FOREIGN ORDER'!#REF!</f>
        <v>#REF!</v>
      </c>
      <c r="C185" t="e">
        <f>'OPEN FOREIGN ORDER'!#REF!</f>
        <v>#REF!</v>
      </c>
      <c r="D185" s="123" t="e">
        <f>'OPEN FOREIGN ORDER'!#REF!</f>
        <v>#REF!</v>
      </c>
      <c r="E185" s="112" t="e">
        <f>'OPEN FOREIGN ORDER'!#REF!</f>
        <v>#REF!</v>
      </c>
      <c r="F185" s="112" t="e">
        <f>'OPEN FOREIGN ORDER'!#REF!</f>
        <v>#REF!</v>
      </c>
      <c r="G185" s="112" t="e">
        <f>'OPEN FOREIGN ORDER'!#REF!</f>
        <v>#REF!</v>
      </c>
      <c r="H185" s="112" t="e">
        <f>'OPEN FOREIGN ORDER'!#REF!</f>
        <v>#REF!</v>
      </c>
      <c r="I185" s="112" t="e">
        <f>'OPEN FOREIGN ORDER'!#REF!</f>
        <v>#REF!</v>
      </c>
      <c r="J185" s="112" t="e">
        <f>'OPEN FOREIGN ORDER'!#REF!</f>
        <v>#REF!</v>
      </c>
    </row>
    <row r="186" spans="1:10">
      <c r="A186" t="e">
        <f>'OPEN FOREIGN ORDER'!#REF!</f>
        <v>#REF!</v>
      </c>
      <c r="B186" t="e">
        <f>'OPEN FOREIGN ORDER'!#REF!</f>
        <v>#REF!</v>
      </c>
      <c r="C186" t="e">
        <f>'OPEN FOREIGN ORDER'!#REF!</f>
        <v>#REF!</v>
      </c>
      <c r="D186" s="123" t="e">
        <f>'OPEN FOREIGN ORDER'!#REF!</f>
        <v>#REF!</v>
      </c>
      <c r="E186" s="112" t="e">
        <f>'OPEN FOREIGN ORDER'!#REF!</f>
        <v>#REF!</v>
      </c>
      <c r="F186" s="112" t="e">
        <f>'OPEN FOREIGN ORDER'!#REF!</f>
        <v>#REF!</v>
      </c>
      <c r="G186" s="112" t="e">
        <f>'OPEN FOREIGN ORDER'!#REF!</f>
        <v>#REF!</v>
      </c>
      <c r="H186" s="112" t="e">
        <f>'OPEN FOREIGN ORDER'!#REF!</f>
        <v>#REF!</v>
      </c>
      <c r="I186" s="112" t="e">
        <f>'OPEN FOREIGN ORDER'!#REF!</f>
        <v>#REF!</v>
      </c>
      <c r="J186" s="112" t="e">
        <f>'OPEN FOREIGN ORDER'!#REF!</f>
        <v>#REF!</v>
      </c>
    </row>
    <row r="187" spans="1:10">
      <c r="A187" t="e">
        <f>'OPEN FOREIGN ORDER'!#REF!</f>
        <v>#REF!</v>
      </c>
      <c r="B187" t="e">
        <f>'OPEN FOREIGN ORDER'!#REF!</f>
        <v>#REF!</v>
      </c>
      <c r="C187" t="e">
        <f>'OPEN FOREIGN ORDER'!#REF!</f>
        <v>#REF!</v>
      </c>
      <c r="D187" s="123" t="e">
        <f>'OPEN FOREIGN ORDER'!#REF!</f>
        <v>#REF!</v>
      </c>
      <c r="E187" s="112" t="e">
        <f>'OPEN FOREIGN ORDER'!#REF!</f>
        <v>#REF!</v>
      </c>
      <c r="F187" s="112" t="e">
        <f>'OPEN FOREIGN ORDER'!#REF!</f>
        <v>#REF!</v>
      </c>
      <c r="G187" s="112" t="e">
        <f>'OPEN FOREIGN ORDER'!#REF!</f>
        <v>#REF!</v>
      </c>
      <c r="H187" s="112" t="e">
        <f>'OPEN FOREIGN ORDER'!#REF!</f>
        <v>#REF!</v>
      </c>
      <c r="I187" s="112" t="e">
        <f>'OPEN FOREIGN ORDER'!#REF!</f>
        <v>#REF!</v>
      </c>
      <c r="J187" s="112" t="e">
        <f>'OPEN FOREIGN ORDER'!#REF!</f>
        <v>#REF!</v>
      </c>
    </row>
    <row r="188" spans="1:10">
      <c r="A188" t="e">
        <f>'OPEN FOREIGN ORDER'!#REF!</f>
        <v>#REF!</v>
      </c>
      <c r="B188" t="e">
        <f>'OPEN FOREIGN ORDER'!#REF!</f>
        <v>#REF!</v>
      </c>
      <c r="C188" t="e">
        <f>'OPEN FOREIGN ORDER'!#REF!</f>
        <v>#REF!</v>
      </c>
      <c r="D188" s="123" t="e">
        <f>'OPEN FOREIGN ORDER'!#REF!</f>
        <v>#REF!</v>
      </c>
      <c r="E188" s="112" t="e">
        <f>'OPEN FOREIGN ORDER'!#REF!</f>
        <v>#REF!</v>
      </c>
      <c r="F188" s="112" t="e">
        <f>'OPEN FOREIGN ORDER'!#REF!</f>
        <v>#REF!</v>
      </c>
      <c r="G188" s="112" t="e">
        <f>'OPEN FOREIGN ORDER'!#REF!</f>
        <v>#REF!</v>
      </c>
      <c r="H188" s="112" t="e">
        <f>'OPEN FOREIGN ORDER'!#REF!</f>
        <v>#REF!</v>
      </c>
      <c r="I188" s="112" t="e">
        <f>'OPEN FOREIGN ORDER'!#REF!</f>
        <v>#REF!</v>
      </c>
      <c r="J188" s="112" t="e">
        <f>'OPEN FOREIGN ORDER'!#REF!</f>
        <v>#REF!</v>
      </c>
    </row>
    <row r="189" spans="1:10">
      <c r="A189" t="e">
        <f>'OPEN FOREIGN ORDER'!#REF!</f>
        <v>#REF!</v>
      </c>
      <c r="B189" t="e">
        <f>'OPEN FOREIGN ORDER'!#REF!</f>
        <v>#REF!</v>
      </c>
      <c r="C189" t="e">
        <f>'OPEN FOREIGN ORDER'!#REF!</f>
        <v>#REF!</v>
      </c>
      <c r="D189" s="123" t="e">
        <f>'OPEN FOREIGN ORDER'!#REF!</f>
        <v>#REF!</v>
      </c>
      <c r="E189" s="112" t="e">
        <f>'OPEN FOREIGN ORDER'!#REF!</f>
        <v>#REF!</v>
      </c>
      <c r="F189" s="112" t="e">
        <f>'OPEN FOREIGN ORDER'!#REF!</f>
        <v>#REF!</v>
      </c>
      <c r="G189" s="112" t="e">
        <f>'OPEN FOREIGN ORDER'!#REF!</f>
        <v>#REF!</v>
      </c>
      <c r="H189" s="112" t="e">
        <f>'OPEN FOREIGN ORDER'!#REF!</f>
        <v>#REF!</v>
      </c>
      <c r="I189" s="112" t="e">
        <f>'OPEN FOREIGN ORDER'!#REF!</f>
        <v>#REF!</v>
      </c>
      <c r="J189" s="112" t="e">
        <f>'OPEN FOREIGN ORDER'!#REF!</f>
        <v>#REF!</v>
      </c>
    </row>
    <row r="190" spans="1:10">
      <c r="A190" t="str">
        <f>'CLOSE FOREIGN ORDER'!D346</f>
        <v>FPO11928</v>
      </c>
      <c r="B190" t="str">
        <f>'CLOSE FOREIGN ORDER'!F346</f>
        <v>Coca-Cola Beverages South Africa</v>
      </c>
      <c r="C190" t="str">
        <f>'CLOSE FOREIGN ORDER'!Z346</f>
        <v>60 DAYS INVOICE DATE</v>
      </c>
      <c r="D190" s="123">
        <f>'CLOSE FOREIGN ORDER'!AA346</f>
        <v>45860</v>
      </c>
      <c r="E190" s="112">
        <f>'CLOSE FOREIGN ORDER'!AB346</f>
        <v>0</v>
      </c>
      <c r="F190" s="112">
        <f>'CLOSE FOREIGN ORDER'!AC346</f>
        <v>0</v>
      </c>
      <c r="G190" s="112">
        <f>'CLOSE FOREIGN ORDER'!AD346</f>
        <v>0</v>
      </c>
      <c r="H190" s="112">
        <f>'CLOSE FOREIGN ORDER'!AE346</f>
        <v>905305.12</v>
      </c>
      <c r="I190" s="112">
        <f>'CLOSE FOREIGN ORDER'!AF346</f>
        <v>0</v>
      </c>
      <c r="J190" s="112">
        <f>'CLOSE FOREIGN ORDER'!AG346</f>
        <v>0</v>
      </c>
    </row>
    <row r="191" spans="1:10">
      <c r="A191" t="str">
        <f>'CLOSE FOREIGN ORDER'!D63</f>
        <v>FPO11931</v>
      </c>
      <c r="B191" t="str">
        <f>'CLOSE FOREIGN ORDER'!F63</f>
        <v>COCA-COLA MIDI FRANCE</v>
      </c>
      <c r="C191" t="str">
        <f>'CLOSE FOREIGN ORDER'!W63</f>
        <v>45 days bill of lading</v>
      </c>
      <c r="D191" s="123">
        <f>'CLOSE FOREIGN ORDER'!X63</f>
        <v>45796</v>
      </c>
      <c r="E191" s="112">
        <f>'CLOSE FOREIGN ORDER'!Y63</f>
        <v>17664</v>
      </c>
      <c r="F191" s="112">
        <f>'CLOSE FOREIGN ORDER'!Z63</f>
        <v>0</v>
      </c>
      <c r="G191" s="112">
        <f>'CLOSE FOREIGN ORDER'!AA63</f>
        <v>0</v>
      </c>
      <c r="H191" s="112">
        <f>'CLOSE FOREIGN ORDER'!AB63</f>
        <v>0</v>
      </c>
      <c r="I191" s="112">
        <f>'CLOSE FOREIGN ORDER'!AC63</f>
        <v>0</v>
      </c>
      <c r="J191" s="112">
        <f>'CLOSE FOREIGN ORDER'!AD63</f>
        <v>0</v>
      </c>
    </row>
    <row r="192" spans="1:10">
      <c r="A192" t="str">
        <f>'CLOSE FOREIGN ORDER'!D150</f>
        <v>FPO11929</v>
      </c>
      <c r="B192" t="str">
        <f>'CLOSE FOREIGN ORDER'!F150</f>
        <v>Coca-Cola Swaziland</v>
      </c>
      <c r="C192" t="str">
        <f>'CLOSE FOREIGN ORDER'!Z150</f>
        <v>45 days bill of lading</v>
      </c>
      <c r="D192" s="123">
        <f>'CLOSE FOREIGN ORDER'!AA150</f>
        <v>45744</v>
      </c>
      <c r="E192" s="112">
        <f>'CLOSE FOREIGN ORDER'!AB150</f>
        <v>92921.56</v>
      </c>
      <c r="F192" s="112">
        <f>'CLOSE FOREIGN ORDER'!AC150</f>
        <v>0</v>
      </c>
      <c r="G192" s="112">
        <f>'CLOSE FOREIGN ORDER'!AD150</f>
        <v>0</v>
      </c>
      <c r="H192" s="112">
        <f>'CLOSE FOREIGN ORDER'!AE150</f>
        <v>0</v>
      </c>
      <c r="I192" s="112">
        <f>'CLOSE FOREIGN ORDER'!AF150</f>
        <v>0</v>
      </c>
      <c r="J192" s="112">
        <f>'CLOSE FOREIGN ORDER'!AG150</f>
        <v>0</v>
      </c>
    </row>
    <row r="193" spans="1:10">
      <c r="A193" t="str">
        <f>'CLOSE FOREIGN ORDER'!D165</f>
        <v>FPO11932</v>
      </c>
      <c r="B193" t="str">
        <f>'CLOSE FOREIGN ORDER'!F165</f>
        <v xml:space="preserve">MANJUSHREE TECHNOPACK ( Ex Oricon ) </v>
      </c>
      <c r="C193" t="str">
        <f>'CLOSE FOREIGN ORDER'!Z165</f>
        <v xml:space="preserve">21 DAYS BL DATE </v>
      </c>
      <c r="D193" s="123">
        <f>'CLOSE FOREIGN ORDER'!AA165</f>
        <v>45383</v>
      </c>
      <c r="E193" s="112">
        <f>'CLOSE FOREIGN ORDER'!AB165</f>
        <v>20565</v>
      </c>
      <c r="F193" s="112">
        <f>'CLOSE FOREIGN ORDER'!AC165</f>
        <v>0</v>
      </c>
      <c r="G193" s="112">
        <f>'CLOSE FOREIGN ORDER'!AD165</f>
        <v>0</v>
      </c>
      <c r="H193" s="112">
        <f>'CLOSE FOREIGN ORDER'!AE165</f>
        <v>0</v>
      </c>
      <c r="I193" s="112">
        <f>'CLOSE FOREIGN ORDER'!AF165</f>
        <v>0</v>
      </c>
      <c r="J193" s="112">
        <f>'CLOSE FOREIGN ORDER'!AG165</f>
        <v>0</v>
      </c>
    </row>
    <row r="194" spans="1:10">
      <c r="A194" t="str">
        <f>'CLOSE FOREIGN ORDER'!D248</f>
        <v>FPO11933</v>
      </c>
      <c r="B194" t="str">
        <f>'CLOSE FOREIGN ORDER'!F248</f>
        <v>RESILUX NV</v>
      </c>
      <c r="C194" t="str">
        <f>'CLOSE FOREIGN ORDER'!Z248</f>
        <v>60 DAYS INV DATE</v>
      </c>
      <c r="D194" s="123">
        <f>'CLOSE FOREIGN ORDER'!AA248</f>
        <v>45802</v>
      </c>
      <c r="E194" s="112">
        <f>'CLOSE FOREIGN ORDER'!AB248</f>
        <v>0</v>
      </c>
      <c r="F194" s="112">
        <f>'CLOSE FOREIGN ORDER'!AC248</f>
        <v>141099.47</v>
      </c>
      <c r="G194" s="112">
        <f>'CLOSE FOREIGN ORDER'!AD248</f>
        <v>0</v>
      </c>
      <c r="H194" s="112">
        <f>'CLOSE FOREIGN ORDER'!AE248</f>
        <v>0</v>
      </c>
      <c r="I194" s="112">
        <f>'CLOSE FOREIGN ORDER'!AF248</f>
        <v>0</v>
      </c>
      <c r="J194" s="112">
        <f>'CLOSE FOREIGN ORDER'!AG248</f>
        <v>0</v>
      </c>
    </row>
    <row r="195" spans="1:10">
      <c r="A195" t="str">
        <f>'CLOSE FOREIGN ORDER'!E180</f>
        <v>FPO11935</v>
      </c>
      <c r="B195" t="str">
        <f>'CLOSE FOREIGN ORDER'!G180</f>
        <v>DOHLER GMBH</v>
      </c>
      <c r="C195" t="str">
        <f>'CLOSE FOREIGN ORDER'!AA180</f>
        <v>45 days invoice date</v>
      </c>
      <c r="D195" s="123">
        <f>'CLOSE FOREIGN ORDER'!AB180</f>
        <v>45780</v>
      </c>
      <c r="E195" s="112">
        <f>'CLOSE FOREIGN ORDER'!AC180</f>
        <v>0</v>
      </c>
      <c r="F195" s="112">
        <f>'CLOSE FOREIGN ORDER'!AD180</f>
        <v>1760</v>
      </c>
      <c r="G195" s="112">
        <f>'CLOSE FOREIGN ORDER'!AE180</f>
        <v>0</v>
      </c>
      <c r="H195" s="112">
        <f>'CLOSE FOREIGN ORDER'!AF180</f>
        <v>0</v>
      </c>
      <c r="I195" s="112">
        <f>'CLOSE FOREIGN ORDER'!AG180</f>
        <v>0</v>
      </c>
      <c r="J195" s="112">
        <f>'CLOSE FOREIGN ORDER'!AH180</f>
        <v>0</v>
      </c>
    </row>
    <row r="196" spans="1:10">
      <c r="A196" t="str">
        <f>'CLOSE FOREIGN ORDER'!E175</f>
        <v>FPO11936</v>
      </c>
      <c r="B196" t="str">
        <f>'CLOSE FOREIGN ORDER'!G175</f>
        <v>AEB AFRICA</v>
      </c>
      <c r="C196" t="str">
        <f>'CLOSE FOREIGN ORDER'!AA175</f>
        <v>30 days invoice date</v>
      </c>
      <c r="D196" s="123">
        <f>'CLOSE FOREIGN ORDER'!AB175</f>
        <v>45772</v>
      </c>
      <c r="E196" s="112">
        <f>'CLOSE FOREIGN ORDER'!AC175</f>
        <v>0</v>
      </c>
      <c r="F196" s="112">
        <f>'CLOSE FOREIGN ORDER'!AD175</f>
        <v>0</v>
      </c>
      <c r="G196" s="112">
        <f>'CLOSE FOREIGN ORDER'!AE175</f>
        <v>0</v>
      </c>
      <c r="H196" s="112">
        <f>'CLOSE FOREIGN ORDER'!AF175</f>
        <v>195000</v>
      </c>
      <c r="I196" s="112">
        <f>'CLOSE FOREIGN ORDER'!AG175</f>
        <v>0</v>
      </c>
      <c r="J196" s="112">
        <f>'CLOSE FOREIGN ORDER'!AH175</f>
        <v>0</v>
      </c>
    </row>
    <row r="197" spans="1:10">
      <c r="A197" t="str">
        <f>'CLOSE FOREIGN ORDER'!D220</f>
        <v>FPO11937</v>
      </c>
      <c r="B197" t="str">
        <f>'CLOSE FOREIGN ORDER'!F220</f>
        <v xml:space="preserve">RKW ST FRERES EMBALLAGES </v>
      </c>
      <c r="C197" t="str">
        <f>'CLOSE FOREIGN ORDER'!Z220</f>
        <v xml:space="preserve">60 DAYS INVOICE DATE </v>
      </c>
      <c r="D197" s="123">
        <f>'CLOSE FOREIGN ORDER'!AA220</f>
        <v>45778</v>
      </c>
      <c r="E197" s="112">
        <f>'CLOSE FOREIGN ORDER'!AB220</f>
        <v>0</v>
      </c>
      <c r="F197" s="112">
        <f>'CLOSE FOREIGN ORDER'!AC220</f>
        <v>34626.660000000003</v>
      </c>
      <c r="G197" s="112">
        <f>'CLOSE FOREIGN ORDER'!AD220</f>
        <v>0</v>
      </c>
      <c r="H197" s="112">
        <f>'CLOSE FOREIGN ORDER'!AE220</f>
        <v>0</v>
      </c>
      <c r="I197" s="112">
        <f>'CLOSE FOREIGN ORDER'!AF220</f>
        <v>0</v>
      </c>
      <c r="J197" s="112">
        <f>'CLOSE FOREIGN ORDER'!AG220</f>
        <v>0</v>
      </c>
    </row>
    <row r="198" spans="1:10">
      <c r="A198" t="str">
        <f>'CLOSE FOREIGN ORDER'!D155</f>
        <v>FPO11940</v>
      </c>
      <c r="B198" t="str">
        <f>'CLOSE FOREIGN ORDER'!F155</f>
        <v xml:space="preserve">MMP Corporation Ltd </v>
      </c>
      <c r="C198" t="str">
        <f>'CLOSE FOREIGN ORDER'!Z155</f>
        <v xml:space="preserve">7 DAYS BEFORE SHIPMENT </v>
      </c>
      <c r="D198" s="123">
        <f>'CLOSE FOREIGN ORDER'!AA155</f>
        <v>45726</v>
      </c>
      <c r="E198" s="112">
        <f>'CLOSE FOREIGN ORDER'!AB155</f>
        <v>30739.5</v>
      </c>
      <c r="F198" s="112">
        <f>'CLOSE FOREIGN ORDER'!AC155</f>
        <v>0</v>
      </c>
      <c r="G198" s="112">
        <f>'CLOSE FOREIGN ORDER'!AD155</f>
        <v>0</v>
      </c>
      <c r="H198" s="112">
        <f>'CLOSE FOREIGN ORDER'!AE155</f>
        <v>0</v>
      </c>
      <c r="I198" s="112">
        <f>'CLOSE FOREIGN ORDER'!AF155</f>
        <v>0</v>
      </c>
      <c r="J198" s="112">
        <f>'CLOSE FOREIGN ORDER'!AG155</f>
        <v>0</v>
      </c>
    </row>
    <row r="199" spans="1:10">
      <c r="A199" t="str">
        <f>'CLOSE FOREIGN ORDER'!D258</f>
        <v>FPO11942</v>
      </c>
      <c r="B199" t="str">
        <f>'CLOSE FOREIGN ORDER'!F258</f>
        <v xml:space="preserve">Greyson Trading LTD </v>
      </c>
      <c r="C199" t="str">
        <f>'CLOSE FOREIGN ORDER'!Z258</f>
        <v xml:space="preserve">60 DAYS BL DATE </v>
      </c>
      <c r="D199" s="123">
        <f>'CLOSE FOREIGN ORDER'!AA258</f>
        <v>45816</v>
      </c>
      <c r="E199" s="112">
        <f>'CLOSE FOREIGN ORDER'!AB258</f>
        <v>9133.77</v>
      </c>
      <c r="F199" s="112">
        <f>'CLOSE FOREIGN ORDER'!AC258</f>
        <v>0</v>
      </c>
      <c r="G199" s="112">
        <f>'CLOSE FOREIGN ORDER'!AD258</f>
        <v>0</v>
      </c>
      <c r="H199" s="112">
        <f>'CLOSE FOREIGN ORDER'!AE258</f>
        <v>0</v>
      </c>
      <c r="I199" s="112">
        <f>'CLOSE FOREIGN ORDER'!AF258</f>
        <v>0</v>
      </c>
      <c r="J199" s="112">
        <f>'CLOSE FOREIGN ORDER'!AG258</f>
        <v>0</v>
      </c>
    </row>
    <row r="200" spans="1:10">
      <c r="A200" t="str">
        <f>'CLOSE FOREIGN ORDER'!D209</f>
        <v>FPO11943</v>
      </c>
      <c r="B200" t="str">
        <f>'CLOSE FOREIGN ORDER'!F209</f>
        <v xml:space="preserve">STASSEN SA </v>
      </c>
      <c r="C200" t="str">
        <f>'CLOSE FOREIGN ORDER'!Z209</f>
        <v>45 JOURS FIN DE MOIS</v>
      </c>
      <c r="D200" s="123">
        <f>'CLOSE FOREIGN ORDER'!AA209</f>
        <v>45807</v>
      </c>
      <c r="E200" s="112">
        <f>'CLOSE FOREIGN ORDER'!AB209</f>
        <v>0</v>
      </c>
      <c r="F200" s="112">
        <f>'CLOSE FOREIGN ORDER'!AC209</f>
        <v>21900</v>
      </c>
      <c r="G200" s="112">
        <f>'CLOSE FOREIGN ORDER'!AD209</f>
        <v>0</v>
      </c>
      <c r="H200" s="112">
        <f>'CLOSE FOREIGN ORDER'!AE209</f>
        <v>0</v>
      </c>
      <c r="I200" s="112">
        <f>'CLOSE FOREIGN ORDER'!AF209</f>
        <v>0</v>
      </c>
      <c r="J200" s="112">
        <f>'CLOSE FOREIGN ORDER'!AG209</f>
        <v>0</v>
      </c>
    </row>
    <row r="201" spans="1:10">
      <c r="A201" t="str">
        <f>'CLOSE FOREIGN ORDER'!D219</f>
        <v>FPO11949</v>
      </c>
      <c r="B201" t="str">
        <f>'CLOSE FOREIGN ORDER'!F219</f>
        <v xml:space="preserve">ORICON ENTERPRISES LTD </v>
      </c>
      <c r="C201" t="str">
        <f>'CLOSE FOREIGN ORDER'!Z219</f>
        <v xml:space="preserve">21 DAYS BL DATE </v>
      </c>
      <c r="D201" s="123">
        <f>'CLOSE FOREIGN ORDER'!AA219</f>
        <v>45772</v>
      </c>
      <c r="E201" s="112">
        <f>'CLOSE FOREIGN ORDER'!AB219</f>
        <v>33935</v>
      </c>
      <c r="F201" s="112">
        <f>'CLOSE FOREIGN ORDER'!AC219</f>
        <v>0</v>
      </c>
      <c r="G201" s="112">
        <f>'CLOSE FOREIGN ORDER'!AD219</f>
        <v>0</v>
      </c>
      <c r="H201" s="112">
        <f>'CLOSE FOREIGN ORDER'!AE219</f>
        <v>0</v>
      </c>
      <c r="I201" s="112">
        <f>'CLOSE FOREIGN ORDER'!AF219</f>
        <v>0</v>
      </c>
      <c r="J201" s="112">
        <f>'CLOSE FOREIGN ORDER'!AG219</f>
        <v>0</v>
      </c>
    </row>
    <row r="202" spans="1:10">
      <c r="A202" t="str">
        <f>'CLOSE FOREIGN ORDER'!D239</f>
        <v>FPO11947</v>
      </c>
      <c r="B202" t="str">
        <f>'CLOSE FOREIGN ORDER'!F239</f>
        <v>BOORTMALT NV</v>
      </c>
      <c r="C202" t="str">
        <f>'CLOSE FOREIGN ORDER'!Z239</f>
        <v xml:space="preserve">60 DAYS BL DATE </v>
      </c>
      <c r="D202" s="123">
        <f>'CLOSE FOREIGN ORDER'!AA239</f>
        <v>45735</v>
      </c>
      <c r="E202" s="112">
        <f>'CLOSE FOREIGN ORDER'!AB239</f>
        <v>0</v>
      </c>
      <c r="F202" s="112">
        <f>'CLOSE FOREIGN ORDER'!AC239</f>
        <v>61236</v>
      </c>
      <c r="G202" s="112">
        <f>'CLOSE FOREIGN ORDER'!AD239</f>
        <v>0</v>
      </c>
      <c r="H202" s="112">
        <f>'CLOSE FOREIGN ORDER'!AE239</f>
        <v>0</v>
      </c>
      <c r="I202" s="112">
        <f>'CLOSE FOREIGN ORDER'!AF239</f>
        <v>0</v>
      </c>
      <c r="J202" s="112">
        <f>'CLOSE FOREIGN ORDER'!AG239</f>
        <v>0</v>
      </c>
    </row>
    <row r="203" spans="1:10">
      <c r="A203" t="e">
        <f>'OPEN FOREIGN ORDER'!#REF!</f>
        <v>#REF!</v>
      </c>
      <c r="B203" t="e">
        <f>'OPEN FOREIGN ORDER'!#REF!</f>
        <v>#REF!</v>
      </c>
      <c r="C203" t="e">
        <f>'OPEN FOREIGN ORDER'!#REF!</f>
        <v>#REF!</v>
      </c>
      <c r="D203" s="123" t="e">
        <f>'OPEN FOREIGN ORDER'!#REF!</f>
        <v>#REF!</v>
      </c>
      <c r="E203" s="112" t="e">
        <f>'OPEN FOREIGN ORDER'!#REF!</f>
        <v>#REF!</v>
      </c>
      <c r="F203" s="112" t="e">
        <f>'OPEN FOREIGN ORDER'!#REF!</f>
        <v>#REF!</v>
      </c>
      <c r="G203" s="112" t="e">
        <f>'OPEN FOREIGN ORDER'!#REF!</f>
        <v>#REF!</v>
      </c>
      <c r="H203" s="112" t="e">
        <f>'OPEN FOREIGN ORDER'!#REF!</f>
        <v>#REF!</v>
      </c>
      <c r="I203" s="112" t="e">
        <f>'OPEN FOREIGN ORDER'!#REF!</f>
        <v>#REF!</v>
      </c>
      <c r="J203" s="112" t="e">
        <f>'OPEN FOREIGN ORDER'!#REF!</f>
        <v>#REF!</v>
      </c>
    </row>
    <row r="204" spans="1:10">
      <c r="A204" t="str">
        <f>'CLOSE FOREIGN ORDER'!D218</f>
        <v>FPO11948</v>
      </c>
      <c r="B204" t="str">
        <f>'CLOSE FOREIGN ORDER'!F218</f>
        <v>MILCO PLASTIC</v>
      </c>
      <c r="C204">
        <f>'CLOSE FOREIGN ORDER'!Z218</f>
        <v>0</v>
      </c>
      <c r="D204" s="123">
        <f>'CLOSE FOREIGN ORDER'!AA218</f>
        <v>0</v>
      </c>
      <c r="E204" s="112">
        <f>'CLOSE FOREIGN ORDER'!AB218</f>
        <v>0</v>
      </c>
      <c r="F204" s="112">
        <f>'CLOSE FOREIGN ORDER'!AC218</f>
        <v>0</v>
      </c>
      <c r="G204" s="112">
        <f>'CLOSE FOREIGN ORDER'!AD218</f>
        <v>0</v>
      </c>
      <c r="H204" s="112">
        <f>'CLOSE FOREIGN ORDER'!AE218</f>
        <v>0</v>
      </c>
      <c r="I204" s="112">
        <f>'CLOSE FOREIGN ORDER'!AF218</f>
        <v>0</v>
      </c>
      <c r="J204" s="112">
        <f>'CLOSE FOREIGN ORDER'!AG218</f>
        <v>0</v>
      </c>
    </row>
    <row r="205" spans="1:10">
      <c r="A205" t="e">
        <f>'OPEN FOREIGN ORDER'!#REF!</f>
        <v>#REF!</v>
      </c>
      <c r="B205" t="e">
        <f>'OPEN FOREIGN ORDER'!#REF!</f>
        <v>#REF!</v>
      </c>
      <c r="C205" t="e">
        <f>'OPEN FOREIGN ORDER'!#REF!</f>
        <v>#REF!</v>
      </c>
      <c r="D205" s="123" t="e">
        <f>'OPEN FOREIGN ORDER'!#REF!</f>
        <v>#REF!</v>
      </c>
      <c r="E205" s="112" t="e">
        <f>'OPEN FOREIGN ORDER'!#REF!</f>
        <v>#REF!</v>
      </c>
      <c r="F205" s="112" t="e">
        <f>'OPEN FOREIGN ORDER'!#REF!</f>
        <v>#REF!</v>
      </c>
      <c r="G205" s="112" t="e">
        <f>'OPEN FOREIGN ORDER'!#REF!</f>
        <v>#REF!</v>
      </c>
      <c r="H205" s="112" t="e">
        <f>'OPEN FOREIGN ORDER'!#REF!</f>
        <v>#REF!</v>
      </c>
      <c r="I205" s="112" t="e">
        <f>'OPEN FOREIGN ORDER'!#REF!</f>
        <v>#REF!</v>
      </c>
      <c r="J205" s="112" t="e">
        <f>'OPEN FOREIGN ORDER'!#REF!</f>
        <v>#REF!</v>
      </c>
    </row>
    <row r="206" spans="1:10">
      <c r="A206" t="str">
        <f>'CLOSE FOREIGN ORDER'!D247</f>
        <v>FPO11950</v>
      </c>
      <c r="B206" t="str">
        <f>'CLOSE FOREIGN ORDER'!F247</f>
        <v>OP SARL</v>
      </c>
      <c r="C206" t="str">
        <f>'CLOSE FOREIGN ORDER'!Z247</f>
        <v xml:space="preserve">50%ADV - EUR 43,112.60 (12/02/25)
</v>
      </c>
      <c r="D206" s="123">
        <f>'CLOSE FOREIGN ORDER'!AA247</f>
        <v>0</v>
      </c>
      <c r="E206" s="112">
        <f>'CLOSE FOREIGN ORDER'!AB247</f>
        <v>0</v>
      </c>
      <c r="F206" s="112">
        <f>'CLOSE FOREIGN ORDER'!AC247</f>
        <v>43112.6</v>
      </c>
      <c r="G206" s="112">
        <f>'CLOSE FOREIGN ORDER'!AD247</f>
        <v>0</v>
      </c>
      <c r="H206" s="112">
        <f>'CLOSE FOREIGN ORDER'!AE247</f>
        <v>0</v>
      </c>
      <c r="I206" s="112">
        <f>'CLOSE FOREIGN ORDER'!AF247</f>
        <v>0</v>
      </c>
      <c r="J206" s="112">
        <f>'CLOSE FOREIGN ORDER'!AG247</f>
        <v>0</v>
      </c>
    </row>
    <row r="207" spans="1:10">
      <c r="A207" t="str">
        <f>'CLOSE FOREIGN ORDER'!D149</f>
        <v>FPO11958</v>
      </c>
      <c r="B207" t="str">
        <f>'CLOSE FOREIGN ORDER'!F149</f>
        <v>MALTEUROP</v>
      </c>
      <c r="C207" t="str">
        <f>'CLOSE FOREIGN ORDER'!Z149</f>
        <v>30 DAYS AFTER BL</v>
      </c>
      <c r="D207" s="123">
        <f>'CLOSE FOREIGN ORDER'!AA149</f>
        <v>45749</v>
      </c>
      <c r="E207" s="112">
        <f>'CLOSE FOREIGN ORDER'!AB149</f>
        <v>0</v>
      </c>
      <c r="F207" s="112">
        <f>'CLOSE FOREIGN ORDER'!AC149</f>
        <v>30188.65</v>
      </c>
      <c r="G207" s="112">
        <f>'CLOSE FOREIGN ORDER'!AD149</f>
        <v>0</v>
      </c>
      <c r="H207" s="112">
        <f>'CLOSE FOREIGN ORDER'!AE149</f>
        <v>0</v>
      </c>
      <c r="I207" s="112">
        <f>'CLOSE FOREIGN ORDER'!AF149</f>
        <v>0</v>
      </c>
      <c r="J207" s="112">
        <f>'CLOSE FOREIGN ORDER'!AG149</f>
        <v>0</v>
      </c>
    </row>
    <row r="208" spans="1:10">
      <c r="A208" t="str">
        <f>'CLOSE FOREIGN ORDER'!D62</f>
        <v>FPO11959</v>
      </c>
      <c r="B208" t="str">
        <f>'CLOSE FOREIGN ORDER'!F62</f>
        <v>DEMATECH LTD</v>
      </c>
      <c r="C208" t="str">
        <f>'CLOSE FOREIGN ORDER'!W62</f>
        <v>100% ADVANCE PAYMENT</v>
      </c>
      <c r="D208" s="123">
        <f>'CLOSE FOREIGN ORDER'!X62</f>
        <v>45693</v>
      </c>
      <c r="E208" s="112">
        <f>'CLOSE FOREIGN ORDER'!Y62</f>
        <v>0</v>
      </c>
      <c r="F208" s="112">
        <f>'CLOSE FOREIGN ORDER'!Z62</f>
        <v>23950</v>
      </c>
      <c r="G208" s="112">
        <f>'CLOSE FOREIGN ORDER'!AA62</f>
        <v>0</v>
      </c>
      <c r="H208" s="112">
        <f>'CLOSE FOREIGN ORDER'!AB62</f>
        <v>0</v>
      </c>
      <c r="I208" s="112">
        <f>'CLOSE FOREIGN ORDER'!AC62</f>
        <v>0</v>
      </c>
      <c r="J208" s="112">
        <f>'CLOSE FOREIGN ORDER'!AD62</f>
        <v>0</v>
      </c>
    </row>
    <row r="209" spans="1:10">
      <c r="A209" t="str">
        <f>'CLOSE FOREIGN ORDER'!D106</f>
        <v>FPO11972</v>
      </c>
      <c r="B209" t="str">
        <f>'CLOSE FOREIGN ORDER'!F106</f>
        <v>DEMATECH LTD</v>
      </c>
      <c r="C209" t="str">
        <f>'CLOSE FOREIGN ORDER'!Z106</f>
        <v>100% ADVANCE PAYMENT</v>
      </c>
      <c r="D209" s="123">
        <f>'CLOSE FOREIGN ORDER'!AA106</f>
        <v>45700</v>
      </c>
      <c r="E209" s="112">
        <f>'CLOSE FOREIGN ORDER'!AB106</f>
        <v>0</v>
      </c>
      <c r="F209" s="112">
        <f>'CLOSE FOREIGN ORDER'!AC106</f>
        <v>230</v>
      </c>
      <c r="G209" s="112">
        <f>'CLOSE FOREIGN ORDER'!AD106</f>
        <v>0</v>
      </c>
      <c r="H209" s="112">
        <f>'CLOSE FOREIGN ORDER'!AE106</f>
        <v>0</v>
      </c>
      <c r="I209" s="112">
        <f>'CLOSE FOREIGN ORDER'!AF106</f>
        <v>0</v>
      </c>
      <c r="J209" s="112">
        <f>'CLOSE FOREIGN ORDER'!AG106</f>
        <v>0</v>
      </c>
    </row>
    <row r="210" spans="1:10">
      <c r="A210" t="e">
        <f>'OPEN FOREIGN ORDER'!#REF!</f>
        <v>#REF!</v>
      </c>
      <c r="B210" t="e">
        <f>'OPEN FOREIGN ORDER'!#REF!</f>
        <v>#REF!</v>
      </c>
      <c r="C210" t="e">
        <f>'OPEN FOREIGN ORDER'!#REF!</f>
        <v>#REF!</v>
      </c>
      <c r="D210" s="123" t="e">
        <f>'OPEN FOREIGN ORDER'!#REF!</f>
        <v>#REF!</v>
      </c>
      <c r="E210" s="112" t="e">
        <f>'OPEN FOREIGN ORDER'!#REF!</f>
        <v>#REF!</v>
      </c>
      <c r="F210" s="112" t="e">
        <f>'OPEN FOREIGN ORDER'!#REF!</f>
        <v>#REF!</v>
      </c>
      <c r="G210" s="112" t="e">
        <f>'OPEN FOREIGN ORDER'!#REF!</f>
        <v>#REF!</v>
      </c>
      <c r="H210" s="112" t="e">
        <f>'OPEN FOREIGN ORDER'!#REF!</f>
        <v>#REF!</v>
      </c>
      <c r="I210" s="112" t="e">
        <f>'OPEN FOREIGN ORDER'!#REF!</f>
        <v>#REF!</v>
      </c>
      <c r="J210" s="112" t="e">
        <f>'OPEN FOREIGN ORDER'!#REF!</f>
        <v>#REF!</v>
      </c>
    </row>
    <row r="211" spans="1:10">
      <c r="A211" t="str">
        <f>'CLOSE FOREIGN ORDER'!D303</f>
        <v>FPO11973</v>
      </c>
      <c r="B211" t="str">
        <f>'CLOSE FOREIGN ORDER'!F303</f>
        <v xml:space="preserve">KIOO LIMITED </v>
      </c>
      <c r="C211" t="str">
        <f>'CLOSE FOREIGN ORDER'!Z303</f>
        <v>50% ADVANCE - USD 4,187.09 ( 12/02/2025)
50% BL DATE - USD 11,849.20 (09/07/2025)</v>
      </c>
      <c r="D211" s="123">
        <f>'CLOSE FOREIGN ORDER'!AA303</f>
        <v>0</v>
      </c>
      <c r="E211" s="112">
        <f>'CLOSE FOREIGN ORDER'!AB303</f>
        <v>16063.3</v>
      </c>
      <c r="F211" s="112">
        <f>'CLOSE FOREIGN ORDER'!AC303</f>
        <v>0</v>
      </c>
      <c r="G211" s="112">
        <f>'CLOSE FOREIGN ORDER'!AD303</f>
        <v>0</v>
      </c>
      <c r="H211" s="112">
        <f>'CLOSE FOREIGN ORDER'!AE303</f>
        <v>0</v>
      </c>
      <c r="I211" s="112">
        <f>'CLOSE FOREIGN ORDER'!AF303</f>
        <v>0</v>
      </c>
      <c r="J211" s="112">
        <f>'CLOSE FOREIGN ORDER'!AG303</f>
        <v>0</v>
      </c>
    </row>
    <row r="212" spans="1:10">
      <c r="A212" t="str">
        <f>'CLOSE FOREIGN ORDER'!D259</f>
        <v>FPO11974</v>
      </c>
      <c r="B212" t="str">
        <f>'CLOSE FOREIGN ORDER'!F259</f>
        <v xml:space="preserve">Greyson Trading LTD </v>
      </c>
      <c r="C212" t="str">
        <f>'CLOSE FOREIGN ORDER'!Z259</f>
        <v>60 DAYS BL</v>
      </c>
      <c r="D212" s="123">
        <f>'CLOSE FOREIGN ORDER'!AA259</f>
        <v>45818</v>
      </c>
      <c r="E212" s="112">
        <f>'CLOSE FOREIGN ORDER'!AB259</f>
        <v>81898.960000000006</v>
      </c>
      <c r="F212" s="112">
        <f>'CLOSE FOREIGN ORDER'!AC259</f>
        <v>0</v>
      </c>
      <c r="G212" s="112">
        <f>'CLOSE FOREIGN ORDER'!AD259</f>
        <v>0</v>
      </c>
      <c r="H212" s="112">
        <f>'CLOSE FOREIGN ORDER'!AE259</f>
        <v>0</v>
      </c>
      <c r="I212" s="112">
        <f>'CLOSE FOREIGN ORDER'!AF259</f>
        <v>0</v>
      </c>
      <c r="J212" s="112">
        <f>'CLOSE FOREIGN ORDER'!AG259</f>
        <v>0</v>
      </c>
    </row>
    <row r="213" spans="1:10">
      <c r="A213" t="str">
        <f>'CLOSE FOREIGN ORDER'!D162</f>
        <v>FPO11975</v>
      </c>
      <c r="B213" t="str">
        <f>'CLOSE FOREIGN ORDER'!F162</f>
        <v xml:space="preserve">SHEET PLASTIC </v>
      </c>
      <c r="C213" t="str">
        <f>'CLOSE FOREIGN ORDER'!Z162</f>
        <v>30 DAYS INVOICE DATE</v>
      </c>
      <c r="D213" s="123">
        <f>'CLOSE FOREIGN ORDER'!AA162</f>
        <v>45762</v>
      </c>
      <c r="E213" s="112">
        <f>'CLOSE FOREIGN ORDER'!AB162</f>
        <v>37680</v>
      </c>
      <c r="F213" s="112">
        <f>'CLOSE FOREIGN ORDER'!AC162</f>
        <v>0</v>
      </c>
      <c r="G213" s="112">
        <f>'CLOSE FOREIGN ORDER'!AD162</f>
        <v>0</v>
      </c>
      <c r="H213" s="112">
        <f>'CLOSE FOREIGN ORDER'!AE162</f>
        <v>0</v>
      </c>
      <c r="I213" s="112">
        <f>'CLOSE FOREIGN ORDER'!AF162</f>
        <v>0</v>
      </c>
      <c r="J213" s="112">
        <f>'CLOSE FOREIGN ORDER'!AG162</f>
        <v>0</v>
      </c>
    </row>
    <row r="214" spans="1:10">
      <c r="A214" t="str">
        <f>'CLOSE FOREIGN ORDER'!D210</f>
        <v>FPO11978</v>
      </c>
      <c r="B214" t="str">
        <f>'CLOSE FOREIGN ORDER'!F210</f>
        <v>DSM FOOD SPECIALTIES</v>
      </c>
      <c r="C214" t="str">
        <f>'CLOSE FOREIGN ORDER'!Z210</f>
        <v>30 days invoice date</v>
      </c>
      <c r="D214" s="123">
        <f>'CLOSE FOREIGN ORDER'!AA210</f>
        <v>45802</v>
      </c>
      <c r="E214" s="112">
        <f>'CLOSE FOREIGN ORDER'!AB210</f>
        <v>0</v>
      </c>
      <c r="F214" s="112">
        <f>'CLOSE FOREIGN ORDER'!AC210</f>
        <v>14088</v>
      </c>
      <c r="G214" s="112">
        <f>'CLOSE FOREIGN ORDER'!AD210</f>
        <v>0</v>
      </c>
      <c r="H214" s="112">
        <f>'CLOSE FOREIGN ORDER'!AE210</f>
        <v>0</v>
      </c>
      <c r="I214" s="112">
        <f>'CLOSE FOREIGN ORDER'!AF210</f>
        <v>0</v>
      </c>
      <c r="J214" s="112">
        <f>'CLOSE FOREIGN ORDER'!AG210</f>
        <v>0</v>
      </c>
    </row>
    <row r="215" spans="1:10">
      <c r="A215" t="e">
        <f>'OPEN FOREIGN ORDER'!#REF!</f>
        <v>#REF!</v>
      </c>
      <c r="B215" t="e">
        <f>'OPEN FOREIGN ORDER'!#REF!</f>
        <v>#REF!</v>
      </c>
      <c r="C215" t="e">
        <f>'OPEN FOREIGN ORDER'!#REF!</f>
        <v>#REF!</v>
      </c>
      <c r="D215" s="123" t="e">
        <f>'OPEN FOREIGN ORDER'!#REF!</f>
        <v>#REF!</v>
      </c>
      <c r="E215" s="112" t="e">
        <f>'OPEN FOREIGN ORDER'!#REF!</f>
        <v>#REF!</v>
      </c>
      <c r="F215" s="112" t="e">
        <f>'OPEN FOREIGN ORDER'!#REF!</f>
        <v>#REF!</v>
      </c>
      <c r="G215" s="112" t="e">
        <f>'OPEN FOREIGN ORDER'!#REF!</f>
        <v>#REF!</v>
      </c>
      <c r="H215" s="112" t="e">
        <f>'OPEN FOREIGN ORDER'!#REF!</f>
        <v>#REF!</v>
      </c>
      <c r="I215" s="112" t="e">
        <f>'OPEN FOREIGN ORDER'!#REF!</f>
        <v>#REF!</v>
      </c>
      <c r="J215" s="112" t="e">
        <f>'OPEN FOREIGN ORDER'!#REF!</f>
        <v>#REF!</v>
      </c>
    </row>
    <row r="216" spans="1:10">
      <c r="A216" t="str">
        <f>'CLOSE FOREIGN ORDER'!D322</f>
        <v>FPO11996</v>
      </c>
      <c r="B216" t="str">
        <f>'CLOSE FOREIGN ORDER'!F322</f>
        <v>BANGKOK CAN MANUFACTURING CO LTD</v>
      </c>
      <c r="C216" t="str">
        <f>'CLOSE FOREIGN ORDER'!Z322</f>
        <v>60 days BL</v>
      </c>
      <c r="D216" s="123">
        <f>'CLOSE FOREIGN ORDER'!AA322</f>
        <v>45832</v>
      </c>
      <c r="E216" s="112">
        <f>'CLOSE FOREIGN ORDER'!AB322</f>
        <v>276205.40000000002</v>
      </c>
      <c r="F216" s="112">
        <f>'CLOSE FOREIGN ORDER'!AC322</f>
        <v>0</v>
      </c>
      <c r="G216" s="112">
        <f>'CLOSE FOREIGN ORDER'!AD322</f>
        <v>0</v>
      </c>
      <c r="H216" s="112">
        <f>'CLOSE FOREIGN ORDER'!AE322</f>
        <v>0</v>
      </c>
      <c r="I216" s="112">
        <f>'CLOSE FOREIGN ORDER'!AF322</f>
        <v>0</v>
      </c>
      <c r="J216" s="112">
        <f>'CLOSE FOREIGN ORDER'!AG322</f>
        <v>0</v>
      </c>
    </row>
    <row r="217" spans="1:10">
      <c r="A217" t="str">
        <f>'CLOSE FOREIGN ORDER'!D260</f>
        <v>FPO11980</v>
      </c>
      <c r="B217" t="str">
        <f>'CLOSE FOREIGN ORDER'!F260</f>
        <v>BANGKOK CAN MANUFACTURING CO LTD</v>
      </c>
      <c r="C217" t="str">
        <f>'CLOSE FOREIGN ORDER'!Z260</f>
        <v>60 days BL</v>
      </c>
      <c r="D217" s="123">
        <f>'CLOSE FOREIGN ORDER'!AA260</f>
        <v>45818</v>
      </c>
      <c r="E217" s="112">
        <f>'CLOSE FOREIGN ORDER'!AB260</f>
        <v>80795.710000000006</v>
      </c>
      <c r="F217" s="112">
        <f>'CLOSE FOREIGN ORDER'!AC260</f>
        <v>0</v>
      </c>
      <c r="G217" s="112">
        <f>'CLOSE FOREIGN ORDER'!AD260</f>
        <v>0</v>
      </c>
      <c r="H217" s="112">
        <f>'CLOSE FOREIGN ORDER'!AE260</f>
        <v>0</v>
      </c>
      <c r="I217" s="112">
        <f>'CLOSE FOREIGN ORDER'!AF260</f>
        <v>0</v>
      </c>
      <c r="J217" s="112">
        <f>'CLOSE FOREIGN ORDER'!AG260</f>
        <v>0</v>
      </c>
    </row>
    <row r="218" spans="1:10">
      <c r="A218" t="str">
        <f>'CLOSE FOREIGN ORDER'!D249</f>
        <v>FPO12001</v>
      </c>
      <c r="B218" t="str">
        <f>'CLOSE FOREIGN ORDER'!F249</f>
        <v xml:space="preserve">SOCAVER </v>
      </c>
      <c r="C218" t="str">
        <f>'CLOSE FOREIGN ORDER'!Z249</f>
        <v>100% ADVANCE PAYMENT</v>
      </c>
      <c r="D218" s="123">
        <f>'CLOSE FOREIGN ORDER'!AA249</f>
        <v>45674</v>
      </c>
      <c r="E218" s="112">
        <f>'CLOSE FOREIGN ORDER'!AB249</f>
        <v>0</v>
      </c>
      <c r="F218" s="112">
        <f>'CLOSE FOREIGN ORDER'!AC249</f>
        <v>110916.04</v>
      </c>
      <c r="G218" s="112">
        <f>'CLOSE FOREIGN ORDER'!AD249</f>
        <v>0</v>
      </c>
      <c r="H218" s="112">
        <f>'CLOSE FOREIGN ORDER'!AE249</f>
        <v>0</v>
      </c>
      <c r="I218" s="112">
        <f>'CLOSE FOREIGN ORDER'!AF249</f>
        <v>0</v>
      </c>
      <c r="J218" s="112">
        <f>'CLOSE FOREIGN ORDER'!AG249</f>
        <v>0</v>
      </c>
    </row>
    <row r="219" spans="1:10">
      <c r="A219" t="str">
        <f>'CLOSE FOREIGN ORDER'!D272</f>
        <v>FPO12013</v>
      </c>
      <c r="B219" t="str">
        <f>'CLOSE FOREIGN ORDER'!F272</f>
        <v>Kerry Food Ingredients &amp; Flavours Ltd</v>
      </c>
      <c r="C219" t="str">
        <f>'CLOSE FOREIGN ORDER'!Z272</f>
        <v>90 DAYS INVOICE DATE</v>
      </c>
      <c r="D219" s="123">
        <f>'CLOSE FOREIGN ORDER'!AA272</f>
        <v>45825</v>
      </c>
      <c r="E219" s="112">
        <f>'CLOSE FOREIGN ORDER'!AB272</f>
        <v>0</v>
      </c>
      <c r="F219" s="112">
        <f>'CLOSE FOREIGN ORDER'!AC272</f>
        <v>1098.48</v>
      </c>
      <c r="G219" s="112">
        <f>'CLOSE FOREIGN ORDER'!AD272</f>
        <v>0</v>
      </c>
      <c r="H219" s="112">
        <f>'CLOSE FOREIGN ORDER'!AE272</f>
        <v>0</v>
      </c>
      <c r="I219" s="112">
        <f>'CLOSE FOREIGN ORDER'!AF272</f>
        <v>0</v>
      </c>
      <c r="J219" s="112">
        <f>'CLOSE FOREIGN ORDER'!AG272</f>
        <v>0</v>
      </c>
    </row>
    <row r="220" spans="1:10">
      <c r="A220" t="str">
        <f>'CLOSE FOREIGN ORDER'!D294</f>
        <v>FPO12014</v>
      </c>
      <c r="B220" t="str">
        <f>'CLOSE FOREIGN ORDER'!F294</f>
        <v>Givaudan</v>
      </c>
      <c r="C220" t="str">
        <f>'CLOSE FOREIGN ORDER'!Z294</f>
        <v>120 days invoice date</v>
      </c>
      <c r="D220" s="123">
        <f>'CLOSE FOREIGN ORDER'!AA294</f>
        <v>45853</v>
      </c>
      <c r="E220" s="112" t="e">
        <f>'OPEN FOREIGN ORDER'!#REF!</f>
        <v>#REF!</v>
      </c>
      <c r="F220" s="112">
        <f>'CLOSE FOREIGN ORDER'!AB294</f>
        <v>6592</v>
      </c>
      <c r="G220" s="112">
        <f>'CLOSE FOREIGN ORDER'!AD294</f>
        <v>0</v>
      </c>
      <c r="H220" s="112">
        <f>'CLOSE FOREIGN ORDER'!AE294</f>
        <v>0</v>
      </c>
      <c r="I220" s="112">
        <f>'CLOSE FOREIGN ORDER'!AF294</f>
        <v>0</v>
      </c>
      <c r="J220" s="112">
        <f>'CLOSE FOREIGN ORDER'!AG294</f>
        <v>0</v>
      </c>
    </row>
    <row r="221" spans="1:10">
      <c r="A221" t="e">
        <f>'OPEN FOREIGN ORDER'!#REF!</f>
        <v>#REF!</v>
      </c>
      <c r="B221" t="e">
        <f>'OPEN FOREIGN ORDER'!#REF!</f>
        <v>#REF!</v>
      </c>
      <c r="C221" t="e">
        <f>'OPEN FOREIGN ORDER'!#REF!</f>
        <v>#REF!</v>
      </c>
      <c r="D221" s="123" t="e">
        <f>'OPEN FOREIGN ORDER'!#REF!</f>
        <v>#REF!</v>
      </c>
      <c r="E221" s="112" t="e">
        <f>'OPEN FOREIGN ORDER'!#REF!</f>
        <v>#REF!</v>
      </c>
      <c r="F221" s="112" t="e">
        <f>'OPEN FOREIGN ORDER'!#REF!</f>
        <v>#REF!</v>
      </c>
      <c r="G221" s="112" t="e">
        <f>'OPEN FOREIGN ORDER'!#REF!</f>
        <v>#REF!</v>
      </c>
      <c r="H221" s="112" t="e">
        <f>'OPEN FOREIGN ORDER'!#REF!</f>
        <v>#REF!</v>
      </c>
      <c r="I221" s="112" t="e">
        <f>'OPEN FOREIGN ORDER'!#REF!</f>
        <v>#REF!</v>
      </c>
      <c r="J221" s="112" t="e">
        <f>'OPEN FOREIGN ORDER'!#REF!</f>
        <v>#REF!</v>
      </c>
    </row>
    <row r="222" spans="1:10">
      <c r="A222" t="e">
        <f>'OPEN FOREIGN ORDER'!#REF!</f>
        <v>#REF!</v>
      </c>
      <c r="B222" t="e">
        <f>'OPEN FOREIGN ORDER'!#REF!</f>
        <v>#REF!</v>
      </c>
      <c r="C222" t="e">
        <f>'OPEN FOREIGN ORDER'!#REF!</f>
        <v>#REF!</v>
      </c>
      <c r="D222" s="123" t="e">
        <f>'OPEN FOREIGN ORDER'!#REF!</f>
        <v>#REF!</v>
      </c>
      <c r="E222" s="112" t="e">
        <f>'OPEN FOREIGN ORDER'!#REF!</f>
        <v>#REF!</v>
      </c>
      <c r="F222" s="112" t="e">
        <f>'OPEN FOREIGN ORDER'!#REF!</f>
        <v>#REF!</v>
      </c>
      <c r="G222" s="112" t="e">
        <f>'OPEN FOREIGN ORDER'!#REF!</f>
        <v>#REF!</v>
      </c>
      <c r="H222" s="112" t="e">
        <f>'OPEN FOREIGN ORDER'!#REF!</f>
        <v>#REF!</v>
      </c>
      <c r="I222" s="112" t="e">
        <f>'OPEN FOREIGN ORDER'!#REF!</f>
        <v>#REF!</v>
      </c>
      <c r="J222" s="112" t="e">
        <f>'OPEN FOREIGN ORDER'!#REF!</f>
        <v>#REF!</v>
      </c>
    </row>
    <row r="223" spans="1:10">
      <c r="A223" t="e">
        <f>'OPEN FOREIGN ORDER'!#REF!</f>
        <v>#REF!</v>
      </c>
      <c r="B223" t="e">
        <f>'OPEN FOREIGN ORDER'!#REF!</f>
        <v>#REF!</v>
      </c>
      <c r="C223" t="e">
        <f>'OPEN FOREIGN ORDER'!#REF!</f>
        <v>#REF!</v>
      </c>
      <c r="D223" s="123" t="e">
        <f>'OPEN FOREIGN ORDER'!#REF!</f>
        <v>#REF!</v>
      </c>
      <c r="E223" s="112" t="e">
        <f>'OPEN FOREIGN ORDER'!#REF!</f>
        <v>#REF!</v>
      </c>
      <c r="F223" s="112" t="e">
        <f>'OPEN FOREIGN ORDER'!#REF!</f>
        <v>#REF!</v>
      </c>
      <c r="G223" s="112" t="e">
        <f>'OPEN FOREIGN ORDER'!#REF!</f>
        <v>#REF!</v>
      </c>
      <c r="H223" s="112" t="e">
        <f>'OPEN FOREIGN ORDER'!#REF!</f>
        <v>#REF!</v>
      </c>
      <c r="I223" s="112" t="e">
        <f>'OPEN FOREIGN ORDER'!#REF!</f>
        <v>#REF!</v>
      </c>
      <c r="J223" s="112" t="e">
        <f>'OPEN FOREIGN ORDER'!#REF!</f>
        <v>#REF!</v>
      </c>
    </row>
    <row r="224" spans="1:10">
      <c r="A224" t="e">
        <f>'OPEN FOREIGN ORDER'!#REF!</f>
        <v>#REF!</v>
      </c>
      <c r="B224" t="e">
        <f>'OPEN FOREIGN ORDER'!#REF!</f>
        <v>#REF!</v>
      </c>
      <c r="C224" t="e">
        <f>'OPEN FOREIGN ORDER'!#REF!</f>
        <v>#REF!</v>
      </c>
      <c r="D224" s="123" t="e">
        <f>'OPEN FOREIGN ORDER'!#REF!</f>
        <v>#REF!</v>
      </c>
      <c r="E224" s="112" t="e">
        <f>'OPEN FOREIGN ORDER'!#REF!</f>
        <v>#REF!</v>
      </c>
      <c r="F224" s="112" t="e">
        <f>'OPEN FOREIGN ORDER'!#REF!</f>
        <v>#REF!</v>
      </c>
      <c r="G224" s="112" t="e">
        <f>'OPEN FOREIGN ORDER'!#REF!</f>
        <v>#REF!</v>
      </c>
      <c r="H224" s="112" t="e">
        <f>'OPEN FOREIGN ORDER'!#REF!</f>
        <v>#REF!</v>
      </c>
      <c r="I224" s="112" t="e">
        <f>'OPEN FOREIGN ORDER'!#REF!</f>
        <v>#REF!</v>
      </c>
      <c r="J224" s="112" t="e">
        <f>'OPEN FOREIGN ORDER'!#REF!</f>
        <v>#REF!</v>
      </c>
    </row>
    <row r="225" spans="1:10">
      <c r="A225" t="e">
        <f>'OPEN FOREIGN ORDER'!#REF!</f>
        <v>#REF!</v>
      </c>
      <c r="B225" t="e">
        <f>'OPEN FOREIGN ORDER'!#REF!</f>
        <v>#REF!</v>
      </c>
      <c r="C225" t="e">
        <f>'OPEN FOREIGN ORDER'!#REF!</f>
        <v>#REF!</v>
      </c>
      <c r="D225" s="123" t="e">
        <f>'OPEN FOREIGN ORDER'!#REF!</f>
        <v>#REF!</v>
      </c>
      <c r="E225" s="112" t="e">
        <f>'OPEN FOREIGN ORDER'!#REF!</f>
        <v>#REF!</v>
      </c>
      <c r="F225" s="112" t="e">
        <f>'OPEN FOREIGN ORDER'!#REF!</f>
        <v>#REF!</v>
      </c>
      <c r="G225" s="112" t="e">
        <f>'OPEN FOREIGN ORDER'!#REF!</f>
        <v>#REF!</v>
      </c>
      <c r="H225" s="112" t="e">
        <f>'OPEN FOREIGN ORDER'!#REF!</f>
        <v>#REF!</v>
      </c>
      <c r="I225" s="112" t="e">
        <f>'OPEN FOREIGN ORDER'!#REF!</f>
        <v>#REF!</v>
      </c>
      <c r="J225" s="112" t="e">
        <f>'OPEN FOREIGN ORDER'!#REF!</f>
        <v>#REF!</v>
      </c>
    </row>
    <row r="226" spans="1:10">
      <c r="A226" t="e">
        <f>'OPEN FOREIGN ORDER'!#REF!</f>
        <v>#REF!</v>
      </c>
      <c r="B226" t="e">
        <f>'OPEN FOREIGN ORDER'!#REF!</f>
        <v>#REF!</v>
      </c>
      <c r="C226" t="e">
        <f>'OPEN FOREIGN ORDER'!#REF!</f>
        <v>#REF!</v>
      </c>
      <c r="D226" s="123" t="e">
        <f>'OPEN FOREIGN ORDER'!#REF!</f>
        <v>#REF!</v>
      </c>
      <c r="E226" s="112" t="e">
        <f>'OPEN FOREIGN ORDER'!#REF!</f>
        <v>#REF!</v>
      </c>
      <c r="F226" s="112" t="e">
        <f>'OPEN FOREIGN ORDER'!#REF!</f>
        <v>#REF!</v>
      </c>
      <c r="G226" s="112" t="e">
        <f>'OPEN FOREIGN ORDER'!#REF!</f>
        <v>#REF!</v>
      </c>
      <c r="H226" s="112" t="e">
        <f>'OPEN FOREIGN ORDER'!#REF!</f>
        <v>#REF!</v>
      </c>
      <c r="I226" s="112" t="e">
        <f>'OPEN FOREIGN ORDER'!#REF!</f>
        <v>#REF!</v>
      </c>
      <c r="J226" s="112" t="e">
        <f>'OPEN FOREIGN ORDER'!#REF!</f>
        <v>#REF!</v>
      </c>
    </row>
    <row r="227" spans="1:10">
      <c r="A227" t="str">
        <f>'CLOSE FOREIGN ORDER'!D187</f>
        <v>FPO12035</v>
      </c>
      <c r="B227" t="str">
        <f>'CLOSE FOREIGN ORDER'!F187</f>
        <v>MPACT LIMITED</v>
      </c>
      <c r="C227" t="str">
        <f>'CLOSE FOREIGN ORDER'!Z187</f>
        <v>30 DAYS BL</v>
      </c>
      <c r="D227" s="123">
        <f>'CLOSE FOREIGN ORDER'!AA187</f>
        <v>45782</v>
      </c>
      <c r="E227" s="112">
        <f>'CLOSE FOREIGN ORDER'!AB187</f>
        <v>0</v>
      </c>
      <c r="F227" s="112">
        <f>'CLOSE FOREIGN ORDER'!AC187</f>
        <v>0</v>
      </c>
      <c r="G227" s="112">
        <f>'CLOSE FOREIGN ORDER'!AD187</f>
        <v>0</v>
      </c>
      <c r="H227" s="112">
        <f>'CLOSE FOREIGN ORDER'!AE187</f>
        <v>162246</v>
      </c>
      <c r="I227" s="112">
        <f>'CLOSE FOREIGN ORDER'!AF187</f>
        <v>0</v>
      </c>
      <c r="J227" s="112">
        <f>'CLOSE FOREIGN ORDER'!AG187</f>
        <v>0</v>
      </c>
    </row>
    <row r="228" spans="1:10">
      <c r="A228" t="str">
        <f>'CLOSE FOREIGN ORDER'!D166</f>
        <v>FPO12033</v>
      </c>
      <c r="B228" t="str">
        <f>'CLOSE FOREIGN ORDER'!F166</f>
        <v>LABELS PLUS</v>
      </c>
      <c r="C228" t="str">
        <f>'CLOSE FOREIGN ORDER'!Z166</f>
        <v xml:space="preserve">100 % ADVANCE PAYMENT </v>
      </c>
      <c r="D228" s="123">
        <f>'CLOSE FOREIGN ORDER'!AA166</f>
        <v>45727</v>
      </c>
      <c r="E228" s="112">
        <f>'CLOSE FOREIGN ORDER'!AB166</f>
        <v>0</v>
      </c>
      <c r="F228" s="112">
        <f>'CLOSE FOREIGN ORDER'!AC166</f>
        <v>0</v>
      </c>
      <c r="G228" s="112">
        <f>'CLOSE FOREIGN ORDER'!AD166</f>
        <v>8480.5</v>
      </c>
      <c r="H228" s="112">
        <f>'CLOSE FOREIGN ORDER'!AE166</f>
        <v>0</v>
      </c>
      <c r="I228" s="112">
        <f>'CLOSE FOREIGN ORDER'!AF166</f>
        <v>0</v>
      </c>
      <c r="J228" s="112">
        <f>'CLOSE FOREIGN ORDER'!AG166</f>
        <v>0</v>
      </c>
    </row>
    <row r="229" spans="1:10">
      <c r="A229" t="e">
        <f>'OPEN FOREIGN ORDER'!#REF!</f>
        <v>#REF!</v>
      </c>
      <c r="B229" t="e">
        <f>'OPEN FOREIGN ORDER'!#REF!</f>
        <v>#REF!</v>
      </c>
      <c r="C229" t="e">
        <f>'OPEN FOREIGN ORDER'!#REF!</f>
        <v>#REF!</v>
      </c>
      <c r="D229" s="123" t="e">
        <f>'OPEN FOREIGN ORDER'!#REF!</f>
        <v>#REF!</v>
      </c>
      <c r="E229" s="112" t="e">
        <f>'OPEN FOREIGN ORDER'!#REF!</f>
        <v>#REF!</v>
      </c>
      <c r="F229" s="112" t="e">
        <f>'OPEN FOREIGN ORDER'!#REF!</f>
        <v>#REF!</v>
      </c>
      <c r="G229" s="112" t="e">
        <f>'OPEN FOREIGN ORDER'!#REF!</f>
        <v>#REF!</v>
      </c>
      <c r="H229" s="112" t="e">
        <f>'OPEN FOREIGN ORDER'!#REF!</f>
        <v>#REF!</v>
      </c>
      <c r="I229" s="112" t="e">
        <f>'OPEN FOREIGN ORDER'!#REF!</f>
        <v>#REF!</v>
      </c>
      <c r="J229" s="112" t="e">
        <f>'OPEN FOREIGN ORDER'!#REF!</f>
        <v>#REF!</v>
      </c>
    </row>
    <row r="230" spans="1:10">
      <c r="A230" t="str">
        <f>'CLOSE FOREIGN ORDER'!D280</f>
        <v>FPO12050</v>
      </c>
      <c r="B230" t="str">
        <f>'CLOSE FOREIGN ORDER'!F280</f>
        <v>Crown Commercial Italy SRL Co. LTD</v>
      </c>
      <c r="C230" t="str">
        <f>'CLOSE FOREIGN ORDER'!Z280</f>
        <v xml:space="preserve">100 % ADVANCE PAYMENT </v>
      </c>
      <c r="D230" s="123">
        <f>'CLOSE FOREIGN ORDER'!AA280</f>
        <v>45758</v>
      </c>
      <c r="E230" s="112">
        <f>'CLOSE FOREIGN ORDER'!AB280</f>
        <v>0</v>
      </c>
      <c r="F230" s="112">
        <f>'CLOSE FOREIGN ORDER'!AC280</f>
        <v>43018.22</v>
      </c>
      <c r="G230" s="112">
        <f>'CLOSE FOREIGN ORDER'!AD280</f>
        <v>0</v>
      </c>
      <c r="H230" s="112">
        <f>'CLOSE FOREIGN ORDER'!AE280</f>
        <v>0</v>
      </c>
      <c r="I230" s="112">
        <f>'CLOSE FOREIGN ORDER'!AF280</f>
        <v>0</v>
      </c>
      <c r="J230" s="112">
        <f>'CLOSE FOREIGN ORDER'!AG280</f>
        <v>0</v>
      </c>
    </row>
    <row r="231" spans="1:10">
      <c r="A231" t="str">
        <f>'CLOSE FOREIGN ORDER'!D291</f>
        <v>FPO12049</v>
      </c>
      <c r="B231" t="str">
        <f>'CLOSE FOREIGN ORDER'!F291</f>
        <v>Blackhawk Molding Co., Inc</v>
      </c>
      <c r="C231" t="str">
        <f>'CLOSE FOREIGN ORDER'!Z291</f>
        <v>50% Adv - 28,502.36 ( 28/03/2025)
50% Net 45 Days - 28,502.36 - 24/07/2025</v>
      </c>
      <c r="D231" s="123">
        <f>'CLOSE FOREIGN ORDER'!AA291</f>
        <v>0</v>
      </c>
      <c r="E231" s="112">
        <f>'CLOSE FOREIGN ORDER'!AB291</f>
        <v>57004.72</v>
      </c>
      <c r="F231" s="112">
        <f>'CLOSE FOREIGN ORDER'!AC291</f>
        <v>0</v>
      </c>
      <c r="G231" s="112">
        <f>'CLOSE FOREIGN ORDER'!AD291</f>
        <v>0</v>
      </c>
      <c r="H231" s="112">
        <f>'CLOSE FOREIGN ORDER'!AE291</f>
        <v>0</v>
      </c>
      <c r="I231" s="112">
        <f>'CLOSE FOREIGN ORDER'!AF291</f>
        <v>0</v>
      </c>
      <c r="J231" s="112">
        <f>'CLOSE FOREIGN ORDER'!AG291</f>
        <v>0</v>
      </c>
    </row>
    <row r="232" spans="1:10">
      <c r="A232" t="str">
        <f>'CLOSE FOREIGN ORDER'!D389</f>
        <v>FPO12051</v>
      </c>
      <c r="B232" t="str">
        <f>'CLOSE FOREIGN ORDER'!F389</f>
        <v xml:space="preserve">Greyson Trading LTD </v>
      </c>
      <c r="C232" t="str">
        <f>'CLOSE FOREIGN ORDER'!Z389</f>
        <v>60 DAYS BL</v>
      </c>
      <c r="D232" s="123">
        <f>'CLOSE FOREIGN ORDER'!AA389</f>
        <v>45844</v>
      </c>
      <c r="E232" s="112">
        <f>'CLOSE FOREIGN ORDER'!AB389</f>
        <v>192260.03</v>
      </c>
      <c r="F232" s="112">
        <f>'CLOSE FOREIGN ORDER'!AC389</f>
        <v>0</v>
      </c>
      <c r="G232" s="112">
        <f>'CLOSE FOREIGN ORDER'!AD389</f>
        <v>0</v>
      </c>
      <c r="H232" s="112">
        <f>'CLOSE FOREIGN ORDER'!AE389</f>
        <v>0</v>
      </c>
      <c r="I232" s="112">
        <f>'CLOSE FOREIGN ORDER'!AF389</f>
        <v>0</v>
      </c>
      <c r="J232" s="112">
        <f>'CLOSE FOREIGN ORDER'!AG389</f>
        <v>0</v>
      </c>
    </row>
    <row r="233" spans="1:10">
      <c r="A233" t="str">
        <f>'CLOSE FOREIGN ORDER'!D472</f>
        <v>FPO12385</v>
      </c>
      <c r="B233" t="str">
        <f>'CLOSE FOREIGN ORDER'!F472</f>
        <v>CANPACK FRANCE SAS</v>
      </c>
      <c r="C233" t="str">
        <f>'CLOSE FOREIGN ORDER'!Z472</f>
        <v>60 DAYS INVOICE DATE</v>
      </c>
      <c r="D233" s="123">
        <f>'CLOSE FOREIGN ORDER'!AA472</f>
        <v>45961</v>
      </c>
      <c r="E233" s="112">
        <f>'CLOSE FOREIGN ORDER'!AB472</f>
        <v>0</v>
      </c>
      <c r="F233" s="112">
        <f>'CLOSE FOREIGN ORDER'!AC472</f>
        <v>41244.980000000003</v>
      </c>
      <c r="G233" s="112">
        <f>'CLOSE FOREIGN ORDER'!AD472</f>
        <v>0</v>
      </c>
      <c r="H233" s="112">
        <f>'CLOSE FOREIGN ORDER'!AE472</f>
        <v>0</v>
      </c>
      <c r="I233" s="112">
        <f>'CLOSE FOREIGN ORDER'!AF472</f>
        <v>0</v>
      </c>
      <c r="J233" s="112">
        <f>'CLOSE FOREIGN ORDER'!AG472</f>
        <v>0</v>
      </c>
    </row>
    <row r="234" spans="1:10">
      <c r="A234" t="str">
        <f>'CLOSE FOREIGN ORDER'!D340</f>
        <v>FPO12073</v>
      </c>
      <c r="B234" t="str">
        <f>'CLOSE FOREIGN ORDER'!F340</f>
        <v>ADVINI SA</v>
      </c>
      <c r="C234" t="str">
        <f>'CLOSE FOREIGN ORDER'!Z340</f>
        <v xml:space="preserve">90 DAYS INV DATE </v>
      </c>
      <c r="D234" s="123">
        <f>'CLOSE FOREIGN ORDER'!AA340</f>
        <v>45866</v>
      </c>
      <c r="E234" s="112">
        <f>'CLOSE FOREIGN ORDER'!AB340</f>
        <v>0</v>
      </c>
      <c r="F234" s="112">
        <f>'CLOSE FOREIGN ORDER'!AC340</f>
        <v>2595.6</v>
      </c>
      <c r="G234" s="112">
        <f>'CLOSE FOREIGN ORDER'!AD340</f>
        <v>0</v>
      </c>
      <c r="H234" s="112">
        <f>'CLOSE FOREIGN ORDER'!AE340</f>
        <v>0</v>
      </c>
      <c r="I234" s="112">
        <f>'CLOSE FOREIGN ORDER'!AF340</f>
        <v>0</v>
      </c>
      <c r="J234" s="112">
        <f>'CLOSE FOREIGN ORDER'!AG340</f>
        <v>0</v>
      </c>
    </row>
    <row r="235" spans="1:10">
      <c r="A235" t="str">
        <f>'CLOSE FOREIGN ORDER'!D329</f>
        <v>FPO12071</v>
      </c>
      <c r="B235" t="str">
        <f>'CLOSE FOREIGN ORDER'!F329</f>
        <v>RESILUX NV</v>
      </c>
      <c r="C235" t="str">
        <f>'CLOSE FOREIGN ORDER'!Z329</f>
        <v xml:space="preserve">60 DAYS INVOICE DATE </v>
      </c>
      <c r="D235" s="123">
        <f>'CLOSE FOREIGN ORDER'!AA329</f>
        <v>45863</v>
      </c>
      <c r="E235" s="112">
        <f>'CLOSE FOREIGN ORDER'!AB329</f>
        <v>0</v>
      </c>
      <c r="F235" s="112">
        <f>'CLOSE FOREIGN ORDER'!AC329</f>
        <v>136741.76000000001</v>
      </c>
      <c r="G235" s="112">
        <f>'CLOSE FOREIGN ORDER'!AD329</f>
        <v>0</v>
      </c>
      <c r="H235" s="112">
        <f>'CLOSE FOREIGN ORDER'!AE329</f>
        <v>0</v>
      </c>
      <c r="I235" s="112">
        <f>'CLOSE FOREIGN ORDER'!AF329</f>
        <v>0</v>
      </c>
      <c r="J235" s="112">
        <f>'CLOSE FOREIGN ORDER'!AG329</f>
        <v>0</v>
      </c>
    </row>
    <row r="236" spans="1:10">
      <c r="A236" t="str">
        <f>'CLOSE FOREIGN ORDER'!D279</f>
        <v>FPO12053</v>
      </c>
      <c r="B236" t="str">
        <f>'CLOSE FOREIGN ORDER'!F279</f>
        <v>Crown Emirates Co. LTD</v>
      </c>
      <c r="C236" t="str">
        <f>'CLOSE FOREIGN ORDER'!Z279</f>
        <v xml:space="preserve">100% ADV  236,362.70
</v>
      </c>
      <c r="D236" s="123">
        <f>'CLOSE FOREIGN ORDER'!AA279</f>
        <v>45761</v>
      </c>
      <c r="E236" s="112">
        <f>'CLOSE FOREIGN ORDER'!AB279</f>
        <v>247430.57</v>
      </c>
      <c r="F236" s="112">
        <f>'CLOSE FOREIGN ORDER'!AC279</f>
        <v>0</v>
      </c>
      <c r="G236" s="112">
        <f>'CLOSE FOREIGN ORDER'!AD279</f>
        <v>0</v>
      </c>
      <c r="H236" s="112">
        <f>'CLOSE FOREIGN ORDER'!AE279</f>
        <v>0</v>
      </c>
      <c r="I236" s="112">
        <f>'CLOSE FOREIGN ORDER'!AF279</f>
        <v>0</v>
      </c>
      <c r="J236" s="112">
        <f>'CLOSE FOREIGN ORDER'!AG279</f>
        <v>0</v>
      </c>
    </row>
    <row r="237" spans="1:10">
      <c r="A237" t="str">
        <f>'CLOSE FOREIGN ORDER'!D271</f>
        <v>FPO12072</v>
      </c>
      <c r="B237" t="str">
        <f>'CLOSE FOREIGN ORDER'!F271</f>
        <v xml:space="preserve">MANJUSHREE TECHNOPACK ( Ex Oricon ) </v>
      </c>
      <c r="C237" t="str">
        <f>'CLOSE FOREIGN ORDER'!Z271</f>
        <v xml:space="preserve">21 DAYS BL DATE </v>
      </c>
      <c r="D237" s="123">
        <f>'CLOSE FOREIGN ORDER'!AA271</f>
        <v>45817</v>
      </c>
      <c r="E237" s="112">
        <f>'CLOSE FOREIGN ORDER'!AB271</f>
        <v>20565</v>
      </c>
      <c r="F237" s="112">
        <f>'CLOSE FOREIGN ORDER'!AC271</f>
        <v>0</v>
      </c>
      <c r="G237" s="112">
        <f>'CLOSE FOREIGN ORDER'!AD271</f>
        <v>0</v>
      </c>
      <c r="H237" s="112">
        <f>'CLOSE FOREIGN ORDER'!AE271</f>
        <v>0</v>
      </c>
      <c r="I237" s="112">
        <f>'CLOSE FOREIGN ORDER'!AF271</f>
        <v>0</v>
      </c>
      <c r="J237" s="112">
        <f>'CLOSE FOREIGN ORDER'!AG271</f>
        <v>0</v>
      </c>
    </row>
    <row r="238" spans="1:10">
      <c r="A238" t="str">
        <f>'CLOSE FOREIGN ORDER'!D241</f>
        <v>FPO12074</v>
      </c>
      <c r="B238" t="str">
        <f>'CLOSE FOREIGN ORDER'!F241</f>
        <v>DEMATECH (PTY) LTD</v>
      </c>
      <c r="C238" t="str">
        <f>'CLOSE FOREIGN ORDER'!Z241</f>
        <v>100% ADVANCE PAYMENT</v>
      </c>
      <c r="D238" s="123">
        <f>'CLOSE FOREIGN ORDER'!AA241</f>
        <v>45749</v>
      </c>
      <c r="E238" s="112">
        <f>'CLOSE FOREIGN ORDER'!AB241</f>
        <v>0</v>
      </c>
      <c r="F238" s="112">
        <f>'CLOSE FOREIGN ORDER'!AC241</f>
        <v>2080</v>
      </c>
      <c r="G238" s="112">
        <f>'CLOSE FOREIGN ORDER'!AD241</f>
        <v>0</v>
      </c>
      <c r="H238" s="112">
        <f>'CLOSE FOREIGN ORDER'!AE241</f>
        <v>0</v>
      </c>
      <c r="I238" s="112">
        <f>'CLOSE FOREIGN ORDER'!AF241</f>
        <v>0</v>
      </c>
      <c r="J238" s="112">
        <f>'CLOSE FOREIGN ORDER'!AG241</f>
        <v>0</v>
      </c>
    </row>
    <row r="239" spans="1:10">
      <c r="A239" t="str">
        <f>'CLOSE FOREIGN ORDER'!D446</f>
        <v>FPO12075</v>
      </c>
      <c r="B239" t="str">
        <f>'CLOSE FOREIGN ORDER'!F446</f>
        <v>Givaudan</v>
      </c>
      <c r="C239" t="str">
        <f>'CLOSE FOREIGN ORDER'!Z446</f>
        <v>120 days invoice date</v>
      </c>
      <c r="D239" s="123">
        <f>'CLOSE FOREIGN ORDER'!AA446</f>
        <v>45956</v>
      </c>
      <c r="E239" s="112">
        <f>'CLOSE FOREIGN ORDER'!AB446</f>
        <v>2409</v>
      </c>
      <c r="F239" s="112">
        <f>'CLOSE FOREIGN ORDER'!AC446</f>
        <v>0</v>
      </c>
      <c r="G239" s="112">
        <f>'CLOSE FOREIGN ORDER'!AD446</f>
        <v>0</v>
      </c>
      <c r="H239" s="112">
        <f>'CLOSE FOREIGN ORDER'!AE446</f>
        <v>0</v>
      </c>
      <c r="I239" s="112">
        <f>'CLOSE FOREIGN ORDER'!AF446</f>
        <v>0</v>
      </c>
      <c r="J239" s="112">
        <f>'CLOSE FOREIGN ORDER'!AG446</f>
        <v>0</v>
      </c>
    </row>
    <row r="240" spans="1:10">
      <c r="A240" t="str">
        <f>'CLOSE FOREIGN ORDER'!D299</f>
        <v>FPO12078</v>
      </c>
      <c r="B240" t="str">
        <f>'CLOSE FOREIGN ORDER'!F299</f>
        <v>Coca-Cola Swaziland</v>
      </c>
      <c r="C240" t="str">
        <f>'CLOSE FOREIGN ORDER'!Z299</f>
        <v>45 days invoice date</v>
      </c>
      <c r="D240" s="123">
        <f>'CLOSE FOREIGN ORDER'!AA299</f>
        <v>45864</v>
      </c>
      <c r="E240" s="112">
        <f>'CLOSE FOREIGN ORDER'!AB299</f>
        <v>604722.53</v>
      </c>
      <c r="F240" s="112">
        <f>'CLOSE FOREIGN ORDER'!AC299</f>
        <v>0</v>
      </c>
      <c r="G240" s="112">
        <f>'CLOSE FOREIGN ORDER'!AD299</f>
        <v>0</v>
      </c>
      <c r="H240" s="112">
        <f>'CLOSE FOREIGN ORDER'!AE299</f>
        <v>0</v>
      </c>
      <c r="I240" s="112">
        <f>'CLOSE FOREIGN ORDER'!AF299</f>
        <v>0</v>
      </c>
      <c r="J240" s="112">
        <f>'CLOSE FOREIGN ORDER'!AG299</f>
        <v>0</v>
      </c>
    </row>
    <row r="241" spans="1:10">
      <c r="A241" t="str">
        <f>'CLOSE FOREIGN ORDER'!D184</f>
        <v>FPO12079</v>
      </c>
      <c r="B241" t="str">
        <f>'CLOSE FOREIGN ORDER'!F184</f>
        <v>BOORTMALT NV</v>
      </c>
      <c r="C241" t="str">
        <f>'CLOSE FOREIGN ORDER'!Z184</f>
        <v>60 days Bill of Lading</v>
      </c>
      <c r="D241" s="123">
        <f>'CLOSE FOREIGN ORDER'!AA184</f>
        <v>45784</v>
      </c>
      <c r="E241" s="112">
        <f>'CLOSE FOREIGN ORDER'!AC184</f>
        <v>91855.13</v>
      </c>
      <c r="F241" s="112" t="e">
        <f>'OPEN FOREIGN ORDER'!#REF!</f>
        <v>#REF!</v>
      </c>
      <c r="G241" s="112">
        <f>'CLOSE FOREIGN ORDER'!AD184</f>
        <v>0</v>
      </c>
      <c r="H241" s="112">
        <f>'CLOSE FOREIGN ORDER'!AE184</f>
        <v>0</v>
      </c>
      <c r="I241" s="112">
        <f>'CLOSE FOREIGN ORDER'!AF184</f>
        <v>0</v>
      </c>
      <c r="J241" s="112">
        <f>'CLOSE FOREIGN ORDER'!AG184</f>
        <v>0</v>
      </c>
    </row>
    <row r="242" spans="1:10">
      <c r="A242" t="str">
        <f>'CLOSE FOREIGN ORDER'!D265</f>
        <v>FPO12087</v>
      </c>
      <c r="B242" t="str">
        <f>'CLOSE FOREIGN ORDER'!F265</f>
        <v xml:space="preserve">GUALA CLOSURES SOUTH AFRICA </v>
      </c>
      <c r="C242" t="str">
        <f>'CLOSE FOREIGN ORDER'!Z265</f>
        <v xml:space="preserve">30 DAYS INVOICE DATE </v>
      </c>
      <c r="D242" s="123">
        <f>'CLOSE FOREIGN ORDER'!AA265</f>
        <v>45814</v>
      </c>
      <c r="E242" s="112">
        <f>'CLOSE FOREIGN ORDER'!AB265</f>
        <v>0</v>
      </c>
      <c r="F242" s="112">
        <f>'CLOSE FOREIGN ORDER'!AC265</f>
        <v>0</v>
      </c>
      <c r="G242" s="112">
        <f>'CLOSE FOREIGN ORDER'!AD265</f>
        <v>0</v>
      </c>
      <c r="H242" s="112">
        <f>'CLOSE FOREIGN ORDER'!AE265</f>
        <v>3070.84</v>
      </c>
      <c r="I242" s="112">
        <f>'CLOSE FOREIGN ORDER'!AF265</f>
        <v>0</v>
      </c>
      <c r="J242" s="112">
        <f>'CLOSE FOREIGN ORDER'!AG265</f>
        <v>0</v>
      </c>
    </row>
    <row r="243" spans="1:10">
      <c r="A243" t="str">
        <f>'CLOSE FOREIGN ORDER'!D270</f>
        <v>FPO12088</v>
      </c>
      <c r="B243" t="str">
        <f>'CLOSE FOREIGN ORDER'!F270</f>
        <v xml:space="preserve">GUALA CLOSURES SOUTH AFRICA </v>
      </c>
      <c r="C243" t="str">
        <f>'CLOSE FOREIGN ORDER'!Z270</f>
        <v xml:space="preserve">30 DAYS INVOICE DATE </v>
      </c>
      <c r="D243" s="123">
        <f>'CLOSE FOREIGN ORDER'!AA270</f>
        <v>45835</v>
      </c>
      <c r="E243" s="112">
        <f>'CLOSE FOREIGN ORDER'!AB270</f>
        <v>0</v>
      </c>
      <c r="F243" s="112">
        <f>'CLOSE FOREIGN ORDER'!AC270</f>
        <v>0</v>
      </c>
      <c r="G243" s="112">
        <f>'CLOSE FOREIGN ORDER'!AD270</f>
        <v>0</v>
      </c>
      <c r="H243" s="112">
        <f>'CLOSE FOREIGN ORDER'!AE270</f>
        <v>105943.98</v>
      </c>
      <c r="I243" s="112">
        <f>'CLOSE FOREIGN ORDER'!AF270</f>
        <v>0</v>
      </c>
      <c r="J243" s="112">
        <f>'CLOSE FOREIGN ORDER'!AG270</f>
        <v>0</v>
      </c>
    </row>
    <row r="244" spans="1:10">
      <c r="A244" t="str">
        <f>'CLOSE FOREIGN ORDER'!D324</f>
        <v>FPO12090</v>
      </c>
      <c r="B244" t="str">
        <f>'CLOSE FOREIGN ORDER'!F324</f>
        <v>UNIVERRE SAS</v>
      </c>
      <c r="C244" t="str">
        <f>'CLOSE FOREIGN ORDER'!Z324</f>
        <v>50% ADV  - EUR 21,990.585 - 28.03.2025
50% 60 DAYS INV - 15,291.58- 27/07/2025</v>
      </c>
      <c r="D244" s="123">
        <f>'CLOSE FOREIGN ORDER'!AA324</f>
        <v>0</v>
      </c>
      <c r="E244" s="112">
        <f>'CLOSE FOREIGN ORDER'!AB324</f>
        <v>0</v>
      </c>
      <c r="F244" s="112">
        <f>'CLOSE FOREIGN ORDER'!AC324</f>
        <v>43981.18</v>
      </c>
      <c r="G244" s="112">
        <f>'CLOSE FOREIGN ORDER'!AD324</f>
        <v>0</v>
      </c>
      <c r="H244" s="112">
        <f>'CLOSE FOREIGN ORDER'!AE324</f>
        <v>0</v>
      </c>
      <c r="I244" s="112">
        <f>'CLOSE FOREIGN ORDER'!AF324</f>
        <v>0</v>
      </c>
      <c r="J244" s="112">
        <f>'CLOSE FOREIGN ORDER'!AG324</f>
        <v>0</v>
      </c>
    </row>
    <row r="245" spans="1:10">
      <c r="A245" t="str">
        <f>'CLOSE FOREIGN ORDER'!D494</f>
        <v>FPO12412</v>
      </c>
      <c r="B245" t="str">
        <f>'CLOSE FOREIGN ORDER'!F494</f>
        <v xml:space="preserve">KERRY FOOD INGREDIENTS </v>
      </c>
      <c r="C245" t="str">
        <f>'CLOSE FOREIGN ORDER'!Z494</f>
        <v>90 DAYS INVOICE DATE</v>
      </c>
      <c r="D245" s="123">
        <f>'CLOSE FOREIGN ORDER'!AA494</f>
        <v>45975</v>
      </c>
      <c r="E245" s="112">
        <f>'CLOSE FOREIGN ORDER'!AB494</f>
        <v>0</v>
      </c>
      <c r="F245" s="112">
        <f>'CLOSE FOREIGN ORDER'!AC494</f>
        <v>4175.7299999999996</v>
      </c>
      <c r="G245" s="112">
        <f>'CLOSE FOREIGN ORDER'!AD494</f>
        <v>0</v>
      </c>
      <c r="H245" s="112">
        <f>'CLOSE FOREIGN ORDER'!AE494</f>
        <v>0</v>
      </c>
      <c r="I245" s="112">
        <f>'CLOSE FOREIGN ORDER'!AF494</f>
        <v>0</v>
      </c>
      <c r="J245" s="112">
        <f>'CLOSE FOREIGN ORDER'!AG494</f>
        <v>0</v>
      </c>
    </row>
    <row r="246" spans="1:10">
      <c r="A246" t="str">
        <f>'CLOSE FOREIGN ORDER'!D413</f>
        <v>FPO12099</v>
      </c>
      <c r="B246" t="str">
        <f>'CLOSE FOREIGN ORDER'!F413</f>
        <v>DD WILLIAMSON</v>
      </c>
      <c r="C246" t="str">
        <f>'CLOSE FOREIGN ORDER'!Z413</f>
        <v xml:space="preserve">60 DAYS BL DATE </v>
      </c>
      <c r="D246" s="123">
        <f>'CLOSE FOREIGN ORDER'!AA413</f>
        <v>45891</v>
      </c>
      <c r="E246" s="112">
        <f>'CLOSE FOREIGN ORDER'!AB413</f>
        <v>0</v>
      </c>
      <c r="F246" s="112">
        <f>'CLOSE FOREIGN ORDER'!AC413</f>
        <v>0</v>
      </c>
      <c r="G246" s="112">
        <f>'CLOSE FOREIGN ORDER'!AD413</f>
        <v>2225</v>
      </c>
      <c r="H246" s="112">
        <f>'CLOSE FOREIGN ORDER'!AE413</f>
        <v>0</v>
      </c>
      <c r="I246" s="112">
        <f>'CLOSE FOREIGN ORDER'!AF413</f>
        <v>0</v>
      </c>
      <c r="J246" s="112">
        <f>'CLOSE FOREIGN ORDER'!AG413</f>
        <v>0</v>
      </c>
    </row>
    <row r="247" spans="1:10">
      <c r="A247" t="str">
        <f>'CLOSE FOREIGN ORDER'!D405</f>
        <v>FPO12098</v>
      </c>
      <c r="B247" t="str">
        <f>'CLOSE FOREIGN ORDER'!F405</f>
        <v>SYMRISE AG</v>
      </c>
      <c r="C247" t="str">
        <f>'CLOSE FOREIGN ORDER'!Z405</f>
        <v xml:space="preserve">30 DAYS INVOICE </v>
      </c>
      <c r="D247" s="123">
        <f>'CLOSE FOREIGN ORDER'!AA405</f>
        <v>45925</v>
      </c>
      <c r="E247" s="112">
        <f>'CLOSE FOREIGN ORDER'!AB405</f>
        <v>0</v>
      </c>
      <c r="F247" s="112">
        <f>'CLOSE FOREIGN ORDER'!AC405</f>
        <v>2180</v>
      </c>
      <c r="G247" s="112">
        <f>'CLOSE FOREIGN ORDER'!AD405</f>
        <v>0</v>
      </c>
      <c r="H247" s="112">
        <f>'CLOSE FOREIGN ORDER'!AE405</f>
        <v>0</v>
      </c>
      <c r="I247" s="112">
        <f>'CLOSE FOREIGN ORDER'!AF405</f>
        <v>0</v>
      </c>
      <c r="J247" s="112">
        <f>'CLOSE FOREIGN ORDER'!AG405</f>
        <v>0</v>
      </c>
    </row>
    <row r="248" spans="1:10">
      <c r="A248" t="str">
        <f>'CLOSE FOREIGN ORDER'!D208</f>
        <v>FPO12115</v>
      </c>
      <c r="B248" t="str">
        <f>'CLOSE FOREIGN ORDER'!F208</f>
        <v>BOORTMALT ASIA PACIFIC PTY LTD</v>
      </c>
      <c r="C248" t="str">
        <f>'CLOSE FOREIGN ORDER'!Z208</f>
        <v>60 DAYS INVOICE DATE</v>
      </c>
      <c r="D248" s="123">
        <f>'CLOSE FOREIGN ORDER'!AA208</f>
        <v>45791</v>
      </c>
      <c r="E248" s="112">
        <f>'CLOSE FOREIGN ORDER'!AB208</f>
        <v>187944</v>
      </c>
      <c r="F248" s="112">
        <f>'CLOSE FOREIGN ORDER'!AC208</f>
        <v>0</v>
      </c>
      <c r="G248" s="112">
        <f>'CLOSE FOREIGN ORDER'!AD208</f>
        <v>0</v>
      </c>
      <c r="H248" s="112">
        <f>'CLOSE FOREIGN ORDER'!AE208</f>
        <v>0</v>
      </c>
      <c r="I248" s="112">
        <f>'CLOSE FOREIGN ORDER'!AF208</f>
        <v>0</v>
      </c>
      <c r="J248" s="112">
        <f>'CLOSE FOREIGN ORDER'!AG208</f>
        <v>0</v>
      </c>
    </row>
    <row r="249" spans="1:10">
      <c r="A249" t="str">
        <f>'CLOSE FOREIGN ORDER'!D292</f>
        <v>FPO12123</v>
      </c>
      <c r="B249" t="str">
        <f>'CLOSE FOREIGN ORDER'!F292</f>
        <v>Crown Emirates Co. LTD</v>
      </c>
      <c r="C249" t="str">
        <f>'CLOSE FOREIGN ORDER'!Z292</f>
        <v xml:space="preserve">100% ADVANCE PAYMENT </v>
      </c>
      <c r="D249" s="123">
        <f>'CLOSE FOREIGN ORDER'!AA292</f>
        <v>45818</v>
      </c>
      <c r="E249" s="112">
        <f>'CLOSE FOREIGN ORDER'!AB292</f>
        <v>124499.14</v>
      </c>
      <c r="F249" s="112">
        <f>'CLOSE FOREIGN ORDER'!AC292</f>
        <v>0</v>
      </c>
      <c r="G249" s="112">
        <f>'CLOSE FOREIGN ORDER'!AD292</f>
        <v>0</v>
      </c>
      <c r="H249" s="112">
        <f>'CLOSE FOREIGN ORDER'!AE292</f>
        <v>0</v>
      </c>
      <c r="I249" s="112">
        <f>'CLOSE FOREIGN ORDER'!AF292</f>
        <v>0</v>
      </c>
      <c r="J249" s="112">
        <f>'CLOSE FOREIGN ORDER'!AG292</f>
        <v>0</v>
      </c>
    </row>
    <row r="250" spans="1:10">
      <c r="A250" t="str">
        <f>'CLOSE FOREIGN ORDER'!D246</f>
        <v>FPO12125</v>
      </c>
      <c r="B250" t="str">
        <f>'CLOSE FOREIGN ORDER'!F246</f>
        <v xml:space="preserve">MMP Corporation Ltd </v>
      </c>
      <c r="C250" t="str">
        <f>'CLOSE FOREIGN ORDER'!Z246</f>
        <v xml:space="preserve">7 DAYS BEFORE SHIPMENT </v>
      </c>
      <c r="D250" s="123">
        <f>'CLOSE FOREIGN ORDER'!AA246</f>
        <v>45785</v>
      </c>
      <c r="E250" s="112">
        <f>'CLOSE FOREIGN ORDER'!AB246</f>
        <v>30056.400000000001</v>
      </c>
      <c r="F250" s="112">
        <f>'CLOSE FOREIGN ORDER'!AC246</f>
        <v>0</v>
      </c>
      <c r="G250" s="112">
        <f>'CLOSE FOREIGN ORDER'!AD246</f>
        <v>0</v>
      </c>
      <c r="H250" s="112">
        <f>'CLOSE FOREIGN ORDER'!AE246</f>
        <v>0</v>
      </c>
      <c r="I250" s="112">
        <f>'CLOSE FOREIGN ORDER'!AF246</f>
        <v>0</v>
      </c>
      <c r="J250" s="112">
        <f>'CLOSE FOREIGN ORDER'!AG246</f>
        <v>0</v>
      </c>
    </row>
    <row r="251" spans="1:10">
      <c r="A251" t="e">
        <f>'OPEN FOREIGN ORDER'!#REF!</f>
        <v>#REF!</v>
      </c>
      <c r="B251" t="e">
        <f>'OPEN FOREIGN ORDER'!#REF!</f>
        <v>#REF!</v>
      </c>
      <c r="C251" t="e">
        <f>'OPEN FOREIGN ORDER'!#REF!</f>
        <v>#REF!</v>
      </c>
      <c r="D251" s="123" t="e">
        <f>'OPEN FOREIGN ORDER'!#REF!</f>
        <v>#REF!</v>
      </c>
      <c r="E251" s="112" t="e">
        <f>'OPEN FOREIGN ORDER'!#REF!</f>
        <v>#REF!</v>
      </c>
      <c r="F251" s="112" t="e">
        <f>'OPEN FOREIGN ORDER'!#REF!</f>
        <v>#REF!</v>
      </c>
      <c r="G251" s="112" t="e">
        <f>'OPEN FOREIGN ORDER'!#REF!</f>
        <v>#REF!</v>
      </c>
      <c r="H251" s="112" t="e">
        <f>'OPEN FOREIGN ORDER'!#REF!</f>
        <v>#REF!</v>
      </c>
      <c r="I251" s="112" t="e">
        <f>'OPEN FOREIGN ORDER'!#REF!</f>
        <v>#REF!</v>
      </c>
      <c r="J251" s="112" t="e">
        <f>'OPEN FOREIGN ORDER'!#REF!</f>
        <v>#REF!</v>
      </c>
    </row>
    <row r="252" spans="1:10">
      <c r="A252" t="str">
        <f>'CLOSE FOREIGN ORDER'!D325</f>
        <v>FPO12128</v>
      </c>
      <c r="B252" t="str">
        <f>'CLOSE FOREIGN ORDER'!F325</f>
        <v xml:space="preserve">Greyson Trading LTD </v>
      </c>
      <c r="C252" t="str">
        <f>'CLOSE FOREIGN ORDER'!Z325</f>
        <v xml:space="preserve">60 DAYS BL </v>
      </c>
      <c r="D252" s="123">
        <f>'CLOSE FOREIGN ORDER'!AA325</f>
        <v>45853</v>
      </c>
      <c r="E252" s="112">
        <f>'CLOSE FOREIGN ORDER'!AB325</f>
        <v>187465.46</v>
      </c>
      <c r="F252" s="112">
        <f>'CLOSE FOREIGN ORDER'!AC325</f>
        <v>0</v>
      </c>
      <c r="G252" s="112">
        <f>'CLOSE FOREIGN ORDER'!AD325</f>
        <v>0</v>
      </c>
      <c r="H252" s="112">
        <f>'CLOSE FOREIGN ORDER'!AE325</f>
        <v>0</v>
      </c>
      <c r="I252" s="112">
        <f>'CLOSE FOREIGN ORDER'!AF325</f>
        <v>0</v>
      </c>
      <c r="J252" s="112">
        <f>'CLOSE FOREIGN ORDER'!AG325</f>
        <v>0</v>
      </c>
    </row>
    <row r="253" spans="1:10">
      <c r="A253" t="str">
        <f>'CLOSE FOREIGN ORDER'!D242</f>
        <v>FPO12142</v>
      </c>
      <c r="B253" t="str">
        <f>'CLOSE FOREIGN ORDER'!F242</f>
        <v>Holland Malt</v>
      </c>
      <c r="C253" t="str">
        <f>'CLOSE FOREIGN ORDER'!Z242</f>
        <v>60 DAYS INVOICE DATE</v>
      </c>
      <c r="D253" s="123">
        <f>'CLOSE FOREIGN ORDER'!AA242</f>
        <v>45805</v>
      </c>
      <c r="E253" s="112">
        <f>'CLOSE FOREIGN ORDER'!AB242</f>
        <v>149856.48000000001</v>
      </c>
      <c r="F253" s="112">
        <f>'CLOSE FOREIGN ORDER'!AC242</f>
        <v>0</v>
      </c>
      <c r="G253" s="112">
        <f>'CLOSE FOREIGN ORDER'!AD242</f>
        <v>0</v>
      </c>
      <c r="H253" s="112">
        <f>'CLOSE FOREIGN ORDER'!AE242</f>
        <v>0</v>
      </c>
      <c r="I253" s="112">
        <f>'CLOSE FOREIGN ORDER'!AF242</f>
        <v>0</v>
      </c>
      <c r="J253" s="112">
        <f>'CLOSE FOREIGN ORDER'!AG242</f>
        <v>0</v>
      </c>
    </row>
    <row r="254" spans="1:10">
      <c r="A254" t="str">
        <f>'CLOSE FOREIGN ORDER'!D278</f>
        <v>FPO12161</v>
      </c>
      <c r="B254" t="str">
        <f>'CLOSE FOREIGN ORDER'!F278</f>
        <v>MALTEUROP</v>
      </c>
      <c r="C254" t="str">
        <f>'CLOSE FOREIGN ORDER'!Z278</f>
        <v>30 DAYS AFTER BL</v>
      </c>
      <c r="D254" s="123">
        <f>'CLOSE FOREIGN ORDER'!AA278</f>
        <v>45843</v>
      </c>
      <c r="E254" s="112">
        <f>'CLOSE FOREIGN ORDER'!AB278</f>
        <v>0</v>
      </c>
      <c r="F254" s="112">
        <f>'CLOSE FOREIGN ORDER'!AC278</f>
        <v>30072.5</v>
      </c>
      <c r="G254" s="112">
        <f>'CLOSE FOREIGN ORDER'!AD278</f>
        <v>0</v>
      </c>
      <c r="H254" s="112">
        <f>'CLOSE FOREIGN ORDER'!AE278</f>
        <v>0</v>
      </c>
      <c r="I254" s="112">
        <f>'CLOSE FOREIGN ORDER'!AF278</f>
        <v>0</v>
      </c>
      <c r="J254" s="112">
        <f>'CLOSE FOREIGN ORDER'!AG278</f>
        <v>0</v>
      </c>
    </row>
    <row r="255" spans="1:10">
      <c r="A255" t="str">
        <f>'CLOSE FOREIGN ORDER'!D386</f>
        <v>FPO12171</v>
      </c>
      <c r="B255" t="str">
        <f>'CLOSE FOREIGN ORDER'!F386</f>
        <v>BETA GLASS PLC</v>
      </c>
      <c r="C255" t="str">
        <f>'CLOSE FOREIGN ORDER'!Z386</f>
        <v>30 DAYS BL DATE</v>
      </c>
      <c r="D255" s="123">
        <f>'CLOSE FOREIGN ORDER'!AA386</f>
        <v>45867</v>
      </c>
      <c r="E255" s="112">
        <f>'CLOSE FOREIGN ORDER'!AB386</f>
        <v>41515.980000000003</v>
      </c>
      <c r="F255" s="112">
        <f>'CLOSE FOREIGN ORDER'!AC386</f>
        <v>0</v>
      </c>
      <c r="G255" s="112">
        <f>'CLOSE FOREIGN ORDER'!AD386</f>
        <v>0</v>
      </c>
      <c r="H255" s="112">
        <f>'CLOSE FOREIGN ORDER'!AE386</f>
        <v>0</v>
      </c>
      <c r="I255" s="112">
        <f>'CLOSE FOREIGN ORDER'!AF386</f>
        <v>0</v>
      </c>
      <c r="J255" s="112">
        <f>'CLOSE FOREIGN ORDER'!AG386</f>
        <v>0</v>
      </c>
    </row>
    <row r="256" spans="1:10">
      <c r="A256" t="str">
        <f>'CLOSE FOREIGN ORDER'!D269</f>
        <v>FPO12163</v>
      </c>
      <c r="B256" t="str">
        <f>'CLOSE FOREIGN ORDER'!F269</f>
        <v>SCEA BERNARD BAUDRY</v>
      </c>
      <c r="C256" t="str">
        <f>'CLOSE FOREIGN ORDER'!Z269</f>
        <v xml:space="preserve">100% ADVANCE </v>
      </c>
      <c r="D256" s="123">
        <f>'CLOSE FOREIGN ORDER'!AA269</f>
        <v>45775</v>
      </c>
      <c r="E256" s="112">
        <f>'CLOSE FOREIGN ORDER'!AB269</f>
        <v>0</v>
      </c>
      <c r="F256" s="112">
        <f>'CLOSE FOREIGN ORDER'!AC269</f>
        <v>7974</v>
      </c>
      <c r="G256" s="112">
        <f>'CLOSE FOREIGN ORDER'!AD269</f>
        <v>0</v>
      </c>
      <c r="H256" s="112">
        <f>'CLOSE FOREIGN ORDER'!AE269</f>
        <v>0</v>
      </c>
      <c r="I256" s="112">
        <f>'CLOSE FOREIGN ORDER'!AF269</f>
        <v>0</v>
      </c>
      <c r="J256" s="112">
        <f>'CLOSE FOREIGN ORDER'!AG269</f>
        <v>0</v>
      </c>
    </row>
    <row r="257" spans="1:10">
      <c r="A257" t="e">
        <f>'OPEN FOREIGN ORDER'!#REF!</f>
        <v>#REF!</v>
      </c>
      <c r="B257" t="e">
        <f>'OPEN FOREIGN ORDER'!#REF!</f>
        <v>#REF!</v>
      </c>
      <c r="C257" t="e">
        <f>'OPEN FOREIGN ORDER'!#REF!</f>
        <v>#REF!</v>
      </c>
      <c r="D257" s="123" t="e">
        <f>'OPEN FOREIGN ORDER'!#REF!</f>
        <v>#REF!</v>
      </c>
      <c r="E257" s="112" t="e">
        <f>'OPEN FOREIGN ORDER'!#REF!</f>
        <v>#REF!</v>
      </c>
      <c r="F257" s="112" t="e">
        <f>'OPEN FOREIGN ORDER'!#REF!</f>
        <v>#REF!</v>
      </c>
      <c r="G257" s="112" t="e">
        <f>'OPEN FOREIGN ORDER'!#REF!</f>
        <v>#REF!</v>
      </c>
      <c r="H257" s="112" t="e">
        <f>'OPEN FOREIGN ORDER'!#REF!</f>
        <v>#REF!</v>
      </c>
      <c r="I257" s="112" t="e">
        <f>'OPEN FOREIGN ORDER'!#REF!</f>
        <v>#REF!</v>
      </c>
      <c r="J257" s="112" t="e">
        <f>'OPEN FOREIGN ORDER'!#REF!</f>
        <v>#REF!</v>
      </c>
    </row>
    <row r="258" spans="1:10">
      <c r="A258" t="str">
        <f>'CLOSE FOREIGN ORDER'!D411</f>
        <v>FPO12191</v>
      </c>
      <c r="B258" t="str">
        <f>'CLOSE FOREIGN ORDER'!F411</f>
        <v xml:space="preserve">Greyson Trading LTD </v>
      </c>
      <c r="C258" t="str">
        <f>'CLOSE FOREIGN ORDER'!Z411</f>
        <v>60 DAYS BL</v>
      </c>
      <c r="D258" s="123">
        <f>'CLOSE FOREIGN ORDER'!AA411</f>
        <v>45896</v>
      </c>
      <c r="E258" s="112">
        <f>'CLOSE FOREIGN ORDER'!AB411</f>
        <v>233135.65</v>
      </c>
      <c r="F258" s="112">
        <f>'CLOSE FOREIGN ORDER'!AC411</f>
        <v>0</v>
      </c>
      <c r="G258" s="112">
        <f>'CLOSE FOREIGN ORDER'!AD411</f>
        <v>0</v>
      </c>
      <c r="H258" s="112">
        <f>'CLOSE FOREIGN ORDER'!AE411</f>
        <v>0</v>
      </c>
      <c r="I258" s="112">
        <f>'CLOSE FOREIGN ORDER'!AF411</f>
        <v>0</v>
      </c>
      <c r="J258" s="112">
        <f>'CLOSE FOREIGN ORDER'!AG411</f>
        <v>0</v>
      </c>
    </row>
    <row r="259" spans="1:10">
      <c r="A259" t="str">
        <f>'CLOSE FOREIGN ORDER'!D373</f>
        <v>FPO12192</v>
      </c>
      <c r="B259" t="str">
        <f>'CLOSE FOREIGN ORDER'!F373</f>
        <v>MPACT LIMITED</v>
      </c>
      <c r="C259" t="str">
        <f>'CLOSE FOREIGN ORDER'!Z373</f>
        <v>30 DAYS BL DATE</v>
      </c>
      <c r="D259" s="123">
        <f>'CLOSE FOREIGN ORDER'!AA373</f>
        <v>45890</v>
      </c>
      <c r="E259" s="112">
        <f>'CLOSE FOREIGN ORDER'!AB373</f>
        <v>0</v>
      </c>
      <c r="F259" s="112">
        <f>'CLOSE FOREIGN ORDER'!AC373</f>
        <v>0</v>
      </c>
      <c r="G259" s="112">
        <f>'CLOSE FOREIGN ORDER'!AD373</f>
        <v>0</v>
      </c>
      <c r="H259" s="112">
        <f>'CLOSE FOREIGN ORDER'!AE373</f>
        <v>136500</v>
      </c>
      <c r="I259" s="112">
        <f>'CLOSE FOREIGN ORDER'!AF373</f>
        <v>0</v>
      </c>
      <c r="J259" s="112">
        <f>'CLOSE FOREIGN ORDER'!AG373</f>
        <v>0</v>
      </c>
    </row>
    <row r="260" spans="1:10">
      <c r="A260" t="str">
        <f>'CLOSE FOREIGN ORDER'!D351</f>
        <v>FPO12198</v>
      </c>
      <c r="B260" t="str">
        <f>'CLOSE FOREIGN ORDER'!F351</f>
        <v>RESILUX NV</v>
      </c>
      <c r="C260" t="str">
        <f>'CLOSE FOREIGN ORDER'!Z351</f>
        <v>60 DAYS INVOICE DATE</v>
      </c>
      <c r="D260" s="123">
        <f>'CLOSE FOREIGN ORDER'!AA351</f>
        <v>45884</v>
      </c>
      <c r="E260" s="112">
        <f>'CLOSE FOREIGN ORDER'!AB351</f>
        <v>0</v>
      </c>
      <c r="F260" s="112">
        <f>'CLOSE FOREIGN ORDER'!AC351</f>
        <v>63335.17</v>
      </c>
      <c r="G260" s="112">
        <f>'CLOSE FOREIGN ORDER'!AD351</f>
        <v>0</v>
      </c>
      <c r="H260" s="112">
        <f>'CLOSE FOREIGN ORDER'!AE351</f>
        <v>0</v>
      </c>
      <c r="I260" s="112">
        <f>'CLOSE FOREIGN ORDER'!AF351</f>
        <v>0</v>
      </c>
      <c r="J260" s="112">
        <f>'CLOSE FOREIGN ORDER'!AG351</f>
        <v>0</v>
      </c>
    </row>
    <row r="261" spans="1:10">
      <c r="A261" t="str">
        <f>'CLOSE FOREIGN ORDER'!D401</f>
        <v>FPO12229</v>
      </c>
      <c r="B261" t="str">
        <f>'CLOSE FOREIGN ORDER'!F401</f>
        <v>OP SARL</v>
      </c>
      <c r="C261" t="str">
        <f>'CLOSE FOREIGN ORDER'!Z401</f>
        <v>50% ADV -  EUR 42,910.60( 29/05/2025)
50% 45 DAYS INVOICE DATE -  EUR 42,910.60 (08/08/2025)</v>
      </c>
      <c r="D261" s="123">
        <f>'CLOSE FOREIGN ORDER'!AA401</f>
        <v>0</v>
      </c>
      <c r="E261" s="112">
        <f>'CLOSE FOREIGN ORDER'!AB401</f>
        <v>0</v>
      </c>
      <c r="F261" s="112">
        <f>'CLOSE FOREIGN ORDER'!AC401</f>
        <v>89375.2</v>
      </c>
      <c r="G261" s="112">
        <f>'CLOSE FOREIGN ORDER'!AD401</f>
        <v>0</v>
      </c>
      <c r="H261" s="112">
        <f>'CLOSE FOREIGN ORDER'!AE401</f>
        <v>0</v>
      </c>
      <c r="I261" s="112">
        <f>'CLOSE FOREIGN ORDER'!AF401</f>
        <v>0</v>
      </c>
      <c r="J261" s="112">
        <f>'CLOSE FOREIGN ORDER'!AG401</f>
        <v>0</v>
      </c>
    </row>
    <row r="262" spans="1:10">
      <c r="A262" t="str">
        <f>'CLOSE FOREIGN ORDER'!D398</f>
        <v>FPO12230</v>
      </c>
      <c r="B262" t="str">
        <f>'CLOSE FOREIGN ORDER'!F398</f>
        <v>OP SARL</v>
      </c>
      <c r="C262" t="str">
        <f>'CLOSE FOREIGN ORDER'!Z398</f>
        <v>50% ADV -  EUR 42,910.60 ( 16/06/2025)
50% 45 DAYS INVOICE DATE -  EUR 42910.60 (01.09.2025)</v>
      </c>
      <c r="D262" s="123">
        <f>'CLOSE FOREIGN ORDER'!AA398</f>
        <v>0</v>
      </c>
      <c r="E262" s="112">
        <f>'CLOSE FOREIGN ORDER'!AB398</f>
        <v>0</v>
      </c>
      <c r="F262" s="112">
        <f>'CLOSE FOREIGN ORDER'!AC398</f>
        <v>85821.2</v>
      </c>
      <c r="G262" s="112">
        <f>'CLOSE FOREIGN ORDER'!AD398</f>
        <v>0</v>
      </c>
      <c r="H262" s="112">
        <f>'CLOSE FOREIGN ORDER'!AE398</f>
        <v>0</v>
      </c>
      <c r="I262" s="112">
        <f>'CLOSE FOREIGN ORDER'!AF398</f>
        <v>0</v>
      </c>
      <c r="J262" s="112">
        <f>'CLOSE FOREIGN ORDER'!AG398</f>
        <v>0</v>
      </c>
    </row>
    <row r="263" spans="1:10">
      <c r="A263" t="e">
        <f>'OPEN FOREIGN ORDER'!#REF!</f>
        <v>#REF!</v>
      </c>
      <c r="B263" t="e">
        <f>'OPEN FOREIGN ORDER'!#REF!</f>
        <v>#REF!</v>
      </c>
      <c r="C263" t="e">
        <f>'OPEN FOREIGN ORDER'!#REF!</f>
        <v>#REF!</v>
      </c>
      <c r="D263" s="123" t="e">
        <f>'OPEN FOREIGN ORDER'!#REF!</f>
        <v>#REF!</v>
      </c>
      <c r="E263" s="112" t="e">
        <f>'OPEN FOREIGN ORDER'!#REF!</f>
        <v>#REF!</v>
      </c>
      <c r="F263" s="112" t="e">
        <f>'OPEN FOREIGN ORDER'!#REF!</f>
        <v>#REF!</v>
      </c>
      <c r="G263" s="112" t="e">
        <f>'OPEN FOREIGN ORDER'!#REF!</f>
        <v>#REF!</v>
      </c>
      <c r="H263" s="112" t="e">
        <f>'OPEN FOREIGN ORDER'!#REF!</f>
        <v>#REF!</v>
      </c>
      <c r="I263" s="112" t="e">
        <f>'OPEN FOREIGN ORDER'!#REF!</f>
        <v>#REF!</v>
      </c>
      <c r="J263" s="112" t="e">
        <f>'OPEN FOREIGN ORDER'!#REF!</f>
        <v>#REF!</v>
      </c>
    </row>
    <row r="264" spans="1:10">
      <c r="A264" t="e">
        <f>'OPEN FOREIGN ORDER'!#REF!</f>
        <v>#REF!</v>
      </c>
      <c r="B264" t="e">
        <f>'OPEN FOREIGN ORDER'!#REF!</f>
        <v>#REF!</v>
      </c>
      <c r="C264" t="e">
        <f>'OPEN FOREIGN ORDER'!#REF!</f>
        <v>#REF!</v>
      </c>
      <c r="D264" s="123" t="e">
        <f>'OPEN FOREIGN ORDER'!#REF!</f>
        <v>#REF!</v>
      </c>
      <c r="E264" s="112" t="e">
        <f>'OPEN FOREIGN ORDER'!#REF!</f>
        <v>#REF!</v>
      </c>
      <c r="F264" s="112" t="e">
        <f>'OPEN FOREIGN ORDER'!#REF!</f>
        <v>#REF!</v>
      </c>
      <c r="G264" s="112" t="e">
        <f>'OPEN FOREIGN ORDER'!#REF!</f>
        <v>#REF!</v>
      </c>
      <c r="H264" s="112" t="e">
        <f>'OPEN FOREIGN ORDER'!#REF!</f>
        <v>#REF!</v>
      </c>
      <c r="I264" s="112" t="e">
        <f>'OPEN FOREIGN ORDER'!#REF!</f>
        <v>#REF!</v>
      </c>
      <c r="J264" s="112" t="e">
        <f>'OPEN FOREIGN ORDER'!#REF!</f>
        <v>#REF!</v>
      </c>
    </row>
    <row r="265" spans="1:10">
      <c r="A265" t="str">
        <f>'CLOSE FOREIGN ORDER'!D328</f>
        <v>FPO12233</v>
      </c>
      <c r="B265" t="str">
        <f>'CLOSE FOREIGN ORDER'!F328</f>
        <v>MILCO PLASTIC</v>
      </c>
      <c r="C265" t="str">
        <f>'CLOSE FOREIGN ORDER'!Z328</f>
        <v>50% ADV -  EUR 58,905.00
50% ON DEL  -  EUR 58,905.00 ( 28/07/2025)</v>
      </c>
      <c r="D265" s="123">
        <f>'CLOSE FOREIGN ORDER'!AA328</f>
        <v>0</v>
      </c>
      <c r="E265" s="112">
        <f>'CLOSE FOREIGN ORDER'!AB328</f>
        <v>117810</v>
      </c>
      <c r="F265" s="112">
        <f>'CLOSE FOREIGN ORDER'!AC328</f>
        <v>0</v>
      </c>
      <c r="G265" s="112">
        <f>'CLOSE FOREIGN ORDER'!AD328</f>
        <v>0</v>
      </c>
      <c r="H265" s="112">
        <f>'CLOSE FOREIGN ORDER'!AE328</f>
        <v>0</v>
      </c>
      <c r="I265" s="112">
        <f>'CLOSE FOREIGN ORDER'!AF328</f>
        <v>0</v>
      </c>
      <c r="J265" s="112">
        <f>'CLOSE FOREIGN ORDER'!AG328</f>
        <v>0</v>
      </c>
    </row>
    <row r="266" spans="1:10">
      <c r="A266" t="e">
        <f>'OPEN FOREIGN ORDER'!#REF!</f>
        <v>#REF!</v>
      </c>
      <c r="B266" t="e">
        <f>'OPEN FOREIGN ORDER'!#REF!</f>
        <v>#REF!</v>
      </c>
      <c r="C266" t="e">
        <f>'OPEN FOREIGN ORDER'!#REF!</f>
        <v>#REF!</v>
      </c>
      <c r="D266" s="123" t="e">
        <f>'OPEN FOREIGN ORDER'!#REF!</f>
        <v>#REF!</v>
      </c>
      <c r="E266" s="112" t="e">
        <f>'OPEN FOREIGN ORDER'!#REF!</f>
        <v>#REF!</v>
      </c>
      <c r="F266" s="112" t="e">
        <f>'OPEN FOREIGN ORDER'!#REF!</f>
        <v>#REF!</v>
      </c>
      <c r="G266" s="112" t="e">
        <f>'OPEN FOREIGN ORDER'!#REF!</f>
        <v>#REF!</v>
      </c>
      <c r="H266" s="112" t="e">
        <f>'OPEN FOREIGN ORDER'!#REF!</f>
        <v>#REF!</v>
      </c>
      <c r="I266" s="112" t="e">
        <f>'OPEN FOREIGN ORDER'!#REF!</f>
        <v>#REF!</v>
      </c>
      <c r="J266" s="112" t="e">
        <f>'OPEN FOREIGN ORDER'!#REF!</f>
        <v>#REF!</v>
      </c>
    </row>
    <row r="267" spans="1:10">
      <c r="A267" t="str">
        <f>'PO CLOSED 2024'!D2</f>
        <v>FPO09520</v>
      </c>
      <c r="B267" t="str">
        <f>'PO CLOSED 2024'!F2</f>
        <v>Della Toffola SPA</v>
      </c>
      <c r="C267" t="str">
        <f>'PO CLOSED 2024'!Z2</f>
        <v>50% Advance payment before shipment</v>
      </c>
      <c r="D267" s="123">
        <f>'PO CLOSED 2024'!AA2</f>
        <v>45320</v>
      </c>
      <c r="E267" s="112">
        <f>'PO CLOSED 2024'!AB2</f>
        <v>0</v>
      </c>
      <c r="F267" s="112">
        <f>'PO CLOSED 2024'!AC2</f>
        <v>51792</v>
      </c>
      <c r="G267" s="112">
        <f>'PO CLOSED 2024'!AD2</f>
        <v>0</v>
      </c>
      <c r="H267" s="112">
        <f>'PO CLOSED 2024'!AE2</f>
        <v>0</v>
      </c>
      <c r="I267" s="112">
        <f>'PO CLOSED 2024'!AF2</f>
        <v>0</v>
      </c>
      <c r="J267" s="112">
        <f>'PO CLOSED 2024'!AG2</f>
        <v>0</v>
      </c>
    </row>
    <row r="268" spans="1:10">
      <c r="A268" t="str">
        <f>'OPEN FOREIGN ORDER'!D3</f>
        <v>FPO12599</v>
      </c>
      <c r="B268" t="str">
        <f>'OPEN FOREIGN ORDER'!F3</f>
        <v>Coca-Cola Beverages South Africa</v>
      </c>
      <c r="C268" t="str">
        <f>'OPEN FOREIGN ORDER'!Z3</f>
        <v>60 Days invoice date</v>
      </c>
      <c r="D268" s="123">
        <f>'OPEN FOREIGN ORDER'!AA3</f>
        <v>46145</v>
      </c>
      <c r="E268" s="112">
        <f>'OPEN FOREIGN ORDER'!AB3</f>
        <v>0</v>
      </c>
      <c r="F268" s="112">
        <f>'OPEN FOREIGN ORDER'!AC3</f>
        <v>0</v>
      </c>
      <c r="G268" s="112">
        <f>'OPEN FOREIGN ORDER'!AD3</f>
        <v>0</v>
      </c>
      <c r="H268" s="112">
        <f>'OPEN FOREIGN ORDER'!AE3</f>
        <v>1243651.8999999999</v>
      </c>
      <c r="I268" s="112">
        <f>'OPEN FOREIGN ORDER'!AF3</f>
        <v>0</v>
      </c>
      <c r="J268" s="112">
        <f>'OPEN FOREIGN ORDER'!AG3</f>
        <v>0</v>
      </c>
    </row>
    <row r="269" spans="1:10">
      <c r="A269" t="e">
        <f>'OPEN FOREIGN ORDER'!#REF!</f>
        <v>#REF!</v>
      </c>
      <c r="B269" t="e">
        <f>'OPEN FOREIGN ORDER'!#REF!</f>
        <v>#REF!</v>
      </c>
      <c r="C269" t="e">
        <f>'OPEN FOREIGN ORDER'!#REF!</f>
        <v>#REF!</v>
      </c>
      <c r="D269" s="123" t="e">
        <f>'OPEN FOREIGN ORDER'!#REF!</f>
        <v>#REF!</v>
      </c>
      <c r="E269" s="112" t="e">
        <f>'OPEN FOREIGN ORDER'!#REF!</f>
        <v>#REF!</v>
      </c>
      <c r="F269" s="112" t="e">
        <f>'OPEN FOREIGN ORDER'!#REF!</f>
        <v>#REF!</v>
      </c>
      <c r="G269" s="112" t="e">
        <f>'OPEN FOREIGN ORDER'!#REF!</f>
        <v>#REF!</v>
      </c>
      <c r="H269" s="112" t="e">
        <f>'OPEN FOREIGN ORDER'!#REF!</f>
        <v>#REF!</v>
      </c>
      <c r="I269" s="112" t="e">
        <f>'OPEN FOREIGN ORDER'!#REF!</f>
        <v>#REF!</v>
      </c>
      <c r="J269" s="112" t="e">
        <f>'OPEN FOREIGN ORDER'!#REF!</f>
        <v>#REF!</v>
      </c>
    </row>
    <row r="270" spans="1:10">
      <c r="A270" t="str">
        <f>'PO CLOSED 2024'!D3</f>
        <v>FPO09835</v>
      </c>
      <c r="B270" t="str">
        <f>'PO CLOSED 2024'!F3</f>
        <v>Partners Makine TIC</v>
      </c>
      <c r="C270" t="str">
        <f>'PO CLOSED 2024'!Z3</f>
        <v>50% Advance payment</v>
      </c>
      <c r="D270" s="123">
        <f>'PO CLOSED 2024'!AA3</f>
        <v>44819</v>
      </c>
      <c r="E270" s="112">
        <f>'PO CLOSED 2024'!AB3</f>
        <v>0</v>
      </c>
      <c r="F270" s="112">
        <f>'PO CLOSED 2024'!AC3</f>
        <v>31847.5</v>
      </c>
      <c r="G270" s="112">
        <f>'PO CLOSED 2024'!AD3</f>
        <v>0</v>
      </c>
      <c r="H270" s="112">
        <f>'PO CLOSED 2024'!AE3</f>
        <v>0</v>
      </c>
      <c r="I270" s="112">
        <f>'PO CLOSED 2024'!AF3</f>
        <v>0</v>
      </c>
      <c r="J270" s="112">
        <f>'PO CLOSED 2024'!AG3</f>
        <v>0</v>
      </c>
    </row>
    <row r="271" spans="1:10">
      <c r="A271" t="str">
        <f>'PO CLOSED 2024'!D4</f>
        <v>FPO09835</v>
      </c>
      <c r="B271" t="str">
        <f>'PO CLOSED 2024'!F4</f>
        <v>Partners Makine TIC</v>
      </c>
      <c r="C271" t="str">
        <f>'PO CLOSED 2024'!Z4</f>
        <v>50% remaining</v>
      </c>
      <c r="D271" s="123">
        <f>'PO CLOSED 2024'!AA4</f>
        <v>0</v>
      </c>
      <c r="E271" s="112">
        <f>'PO CLOSED 2024'!AB4</f>
        <v>0</v>
      </c>
      <c r="F271" s="112">
        <f>'PO CLOSED 2024'!AC4</f>
        <v>31847.5</v>
      </c>
      <c r="G271" s="112">
        <f>'PO CLOSED 2024'!AD4</f>
        <v>0</v>
      </c>
      <c r="H271" s="112">
        <f>'PO CLOSED 2024'!AE4</f>
        <v>0</v>
      </c>
      <c r="I271" s="112">
        <f>'PO CLOSED 2024'!AF4</f>
        <v>0</v>
      </c>
      <c r="J271" s="112">
        <f>'PO CLOSED 2024'!AG4</f>
        <v>0</v>
      </c>
    </row>
    <row r="272" spans="1:10">
      <c r="A272" t="str">
        <f>'OPEN FOREIGN ORDER'!D4</f>
        <v>FPO12598</v>
      </c>
      <c r="B272" t="str">
        <f>'OPEN FOREIGN ORDER'!F4</f>
        <v>APPLETISER SA PTY LTD</v>
      </c>
      <c r="C272" t="str">
        <f>'OPEN FOREIGN ORDER'!Z4</f>
        <v>60 Days invoice date</v>
      </c>
      <c r="D272" s="123">
        <f>'OPEN FOREIGN ORDER'!AA4</f>
        <v>46174</v>
      </c>
      <c r="E272" s="112">
        <f>'OPEN FOREIGN ORDER'!AB4</f>
        <v>0</v>
      </c>
      <c r="F272" s="112">
        <f>'OPEN FOREIGN ORDER'!AC4</f>
        <v>0</v>
      </c>
      <c r="G272" s="112">
        <f>'OPEN FOREIGN ORDER'!AD4</f>
        <v>0</v>
      </c>
      <c r="H272" s="112">
        <f>'OPEN FOREIGN ORDER'!AE4</f>
        <v>26615600</v>
      </c>
      <c r="I272" s="112">
        <f>'OPEN FOREIGN ORDER'!AF4</f>
        <v>0</v>
      </c>
      <c r="J272" s="112">
        <f>'OPEN FOREIGN ORDER'!AG4</f>
        <v>0</v>
      </c>
    </row>
    <row r="273" spans="1:10">
      <c r="A273" t="e">
        <f>'OPEN FOREIGN ORDER'!#REF!</f>
        <v>#REF!</v>
      </c>
      <c r="B273" t="e">
        <f>'OPEN FOREIGN ORDER'!#REF!</f>
        <v>#REF!</v>
      </c>
      <c r="C273" t="e">
        <f>'OPEN FOREIGN ORDER'!#REF!</f>
        <v>#REF!</v>
      </c>
      <c r="D273" s="123" t="e">
        <f>'OPEN FOREIGN ORDER'!#REF!</f>
        <v>#REF!</v>
      </c>
      <c r="E273" s="112" t="e">
        <f>'OPEN FOREIGN ORDER'!#REF!</f>
        <v>#REF!</v>
      </c>
      <c r="F273" s="112" t="e">
        <f>'OPEN FOREIGN ORDER'!#REF!</f>
        <v>#REF!</v>
      </c>
      <c r="G273" s="112" t="e">
        <f>'OPEN FOREIGN ORDER'!#REF!</f>
        <v>#REF!</v>
      </c>
      <c r="H273" s="112" t="e">
        <f>'OPEN FOREIGN ORDER'!#REF!</f>
        <v>#REF!</v>
      </c>
      <c r="I273" s="112" t="e">
        <f>'OPEN FOREIGN ORDER'!#REF!</f>
        <v>#REF!</v>
      </c>
      <c r="J273" s="112" t="e">
        <f>'OPEN FOREIGN ORDER'!#REF!</f>
        <v>#REF!</v>
      </c>
    </row>
    <row r="274" spans="1:10">
      <c r="A274" t="e">
        <f>'OPEN FOREIGN ORDER'!#REF!</f>
        <v>#REF!</v>
      </c>
      <c r="B274" t="e">
        <f>'OPEN FOREIGN ORDER'!#REF!</f>
        <v>#REF!</v>
      </c>
      <c r="C274" t="e">
        <f>'OPEN FOREIGN ORDER'!#REF!</f>
        <v>#REF!</v>
      </c>
      <c r="D274" s="123" t="e">
        <f>'OPEN FOREIGN ORDER'!#REF!</f>
        <v>#REF!</v>
      </c>
      <c r="E274" s="112" t="e">
        <f>'OPEN FOREIGN ORDER'!#REF!</f>
        <v>#REF!</v>
      </c>
      <c r="F274" s="112" t="e">
        <f>'OPEN FOREIGN ORDER'!#REF!</f>
        <v>#REF!</v>
      </c>
      <c r="G274" s="112" t="e">
        <f>'OPEN FOREIGN ORDER'!#REF!</f>
        <v>#REF!</v>
      </c>
      <c r="H274" s="112" t="e">
        <f>'OPEN FOREIGN ORDER'!#REF!</f>
        <v>#REF!</v>
      </c>
      <c r="I274" s="112" t="e">
        <f>'OPEN FOREIGN ORDER'!#REF!</f>
        <v>#REF!</v>
      </c>
      <c r="J274" s="112" t="e">
        <f>'OPEN FOREIGN ORDER'!#REF!</f>
        <v>#REF!</v>
      </c>
    </row>
    <row r="275" spans="1:10">
      <c r="A275" t="str">
        <f>'CLOSE FOREIGN ORDER'!D281</f>
        <v>FPO12258</v>
      </c>
      <c r="B275" t="str">
        <f>'CLOSE FOREIGN ORDER'!F281</f>
        <v>Holland Malt</v>
      </c>
      <c r="C275" t="str">
        <f>'CLOSE FOREIGN ORDER'!Z281</f>
        <v xml:space="preserve">60 DAYS INVOICE DATE </v>
      </c>
      <c r="D275" s="123">
        <f>'CLOSE FOREIGN ORDER'!AA281</f>
        <v>45839</v>
      </c>
      <c r="E275" s="112">
        <f>'CLOSE FOREIGN ORDER'!AB281</f>
        <v>147334.32</v>
      </c>
      <c r="F275" s="112">
        <f>'CLOSE FOREIGN ORDER'!AC281</f>
        <v>0</v>
      </c>
      <c r="G275" s="112">
        <f>'CLOSE FOREIGN ORDER'!AD281</f>
        <v>0</v>
      </c>
      <c r="H275" s="112">
        <f>'CLOSE FOREIGN ORDER'!AE281</f>
        <v>0</v>
      </c>
      <c r="I275" s="112">
        <f>'CLOSE FOREIGN ORDER'!AF281</f>
        <v>0</v>
      </c>
      <c r="J275" s="112">
        <f>'CLOSE FOREIGN ORDER'!AG281</f>
        <v>0</v>
      </c>
    </row>
    <row r="276" spans="1:10">
      <c r="A276" t="str">
        <f>'CLOSE FOREIGN ORDER'!D319</f>
        <v>FPO12259</v>
      </c>
      <c r="B276" t="str">
        <f>'CLOSE FOREIGN ORDER'!F319</f>
        <v>Holland Malt</v>
      </c>
      <c r="C276" t="str">
        <f>'CLOSE FOREIGN ORDER'!Z319</f>
        <v xml:space="preserve">60 DAYS INVOICE DATE </v>
      </c>
      <c r="D276" s="123">
        <f>'CLOSE FOREIGN ORDER'!AA319</f>
        <v>45877</v>
      </c>
      <c r="E276" s="112">
        <f>'CLOSE FOREIGN ORDER'!AC319</f>
        <v>146486.16</v>
      </c>
      <c r="F276" s="112" t="e">
        <f>'OPEN FOREIGN ORDER'!#REF!</f>
        <v>#REF!</v>
      </c>
      <c r="G276" s="112">
        <f>'CLOSE FOREIGN ORDER'!AD319</f>
        <v>0</v>
      </c>
      <c r="H276" s="112">
        <f>'CLOSE FOREIGN ORDER'!AE319</f>
        <v>0</v>
      </c>
      <c r="I276" s="112">
        <f>'CLOSE FOREIGN ORDER'!AF319</f>
        <v>0</v>
      </c>
      <c r="J276" s="112">
        <f>'CLOSE FOREIGN ORDER'!AG319</f>
        <v>0</v>
      </c>
    </row>
    <row r="277" spans="1:10">
      <c r="A277" t="str">
        <f>'CLOSE FOREIGN ORDER'!D375</f>
        <v>FPO12260</v>
      </c>
      <c r="B277" t="str">
        <f>'CLOSE FOREIGN ORDER'!F375</f>
        <v>Holland Malt</v>
      </c>
      <c r="C277" t="str">
        <f>'CLOSE FOREIGN ORDER'!Z375</f>
        <v xml:space="preserve">60 DAYS INVOICE DATE </v>
      </c>
      <c r="D277" s="123">
        <f>'CLOSE FOREIGN ORDER'!AA375</f>
        <v>45892</v>
      </c>
      <c r="E277" s="112">
        <f>'CLOSE FOREIGN ORDER'!AB375</f>
        <v>0</v>
      </c>
      <c r="F277" s="112">
        <f>'CLOSE FOREIGN ORDER'!AC375</f>
        <v>146106.72</v>
      </c>
      <c r="G277" s="112">
        <f>'CLOSE FOREIGN ORDER'!AD375</f>
        <v>0</v>
      </c>
      <c r="H277" s="112">
        <f>'CLOSE FOREIGN ORDER'!AE375</f>
        <v>0</v>
      </c>
      <c r="I277" s="112">
        <f>'CLOSE FOREIGN ORDER'!AF375</f>
        <v>0</v>
      </c>
      <c r="J277" s="112">
        <f>'CLOSE FOREIGN ORDER'!AG375</f>
        <v>0</v>
      </c>
    </row>
    <row r="278" spans="1:10">
      <c r="A278" t="str">
        <f>'CLOSE FOREIGN ORDER'!D415</f>
        <v>FPO12261</v>
      </c>
      <c r="B278" t="str">
        <f>'CLOSE FOREIGN ORDER'!F415</f>
        <v>Holland Malt</v>
      </c>
      <c r="C278" t="str">
        <f>'CLOSE FOREIGN ORDER'!Z415</f>
        <v xml:space="preserve">60 DAYS INVOICE DATE </v>
      </c>
      <c r="D278" s="123">
        <f>'CLOSE FOREIGN ORDER'!AA415</f>
        <v>45933</v>
      </c>
      <c r="E278" s="112">
        <f>'CLOSE FOREIGN ORDER'!AB415</f>
        <v>0</v>
      </c>
      <c r="F278" s="112">
        <f>'CLOSE FOREIGN ORDER'!AC415</f>
        <v>168225.84</v>
      </c>
      <c r="G278" s="112">
        <f>'CLOSE FOREIGN ORDER'!AD415</f>
        <v>0</v>
      </c>
      <c r="H278" s="112">
        <f>'CLOSE FOREIGN ORDER'!AE415</f>
        <v>0</v>
      </c>
      <c r="I278" s="112">
        <f>'CLOSE FOREIGN ORDER'!AF415</f>
        <v>0</v>
      </c>
      <c r="J278" s="112">
        <f>'CLOSE FOREIGN ORDER'!AG415</f>
        <v>0</v>
      </c>
    </row>
    <row r="279" spans="1:10">
      <c r="A279" t="e">
        <f>'OPEN FOREIGN ORDER'!#REF!</f>
        <v>#REF!</v>
      </c>
      <c r="B279" t="e">
        <f>'OPEN FOREIGN ORDER'!#REF!</f>
        <v>#REF!</v>
      </c>
      <c r="C279" t="e">
        <f>'OPEN FOREIGN ORDER'!#REF!</f>
        <v>#REF!</v>
      </c>
      <c r="D279" s="123" t="e">
        <f>'OPEN FOREIGN ORDER'!#REF!</f>
        <v>#REF!</v>
      </c>
      <c r="E279" s="112" t="e">
        <f>'OPEN FOREIGN ORDER'!#REF!</f>
        <v>#REF!</v>
      </c>
      <c r="F279" s="112" t="e">
        <f>'OPEN FOREIGN ORDER'!#REF!</f>
        <v>#REF!</v>
      </c>
      <c r="G279" s="112" t="e">
        <f>'OPEN FOREIGN ORDER'!#REF!</f>
        <v>#REF!</v>
      </c>
      <c r="H279" s="112" t="e">
        <f>'OPEN FOREIGN ORDER'!#REF!</f>
        <v>#REF!</v>
      </c>
      <c r="I279" s="112" t="e">
        <f>'OPEN FOREIGN ORDER'!#REF!</f>
        <v>#REF!</v>
      </c>
      <c r="J279" s="112" t="e">
        <f>'OPEN FOREIGN ORDER'!#REF!</f>
        <v>#REF!</v>
      </c>
    </row>
    <row r="280" spans="1:10">
      <c r="A280" t="str">
        <f>'CLOSE FOREIGN ORDER'!D397</f>
        <v>FPO12263</v>
      </c>
      <c r="B280" t="str">
        <f>'CLOSE FOREIGN ORDER'!F397</f>
        <v>BARTHHASS GMBH</v>
      </c>
      <c r="C280" t="str">
        <f>'CLOSE FOREIGN ORDER'!Z397</f>
        <v>90 DAYS INVOICE DATE</v>
      </c>
      <c r="D280" s="123">
        <f>'CLOSE FOREIGN ORDER'!AA397</f>
        <v>45918</v>
      </c>
      <c r="E280" s="112">
        <f>'CLOSE FOREIGN ORDER'!AB397</f>
        <v>203895</v>
      </c>
      <c r="F280" s="112">
        <f>'CLOSE FOREIGN ORDER'!AC397</f>
        <v>0</v>
      </c>
      <c r="G280" s="112">
        <f>'CLOSE FOREIGN ORDER'!AD397</f>
        <v>0</v>
      </c>
      <c r="H280" s="112">
        <f>'CLOSE FOREIGN ORDER'!AE397</f>
        <v>0</v>
      </c>
      <c r="I280" s="112">
        <f>'CLOSE FOREIGN ORDER'!AF397</f>
        <v>0</v>
      </c>
      <c r="J280" s="112">
        <f>'CLOSE FOREIGN ORDER'!AG397</f>
        <v>0</v>
      </c>
    </row>
    <row r="281" spans="1:10">
      <c r="A281" t="str">
        <f>'CLOSE FOREIGN ORDER'!D455</f>
        <v>FPO12264</v>
      </c>
      <c r="B281" t="str">
        <f>'CLOSE FOREIGN ORDER'!F455</f>
        <v>SIMON HOPS STEINER HOPFEN</v>
      </c>
      <c r="C281" t="str">
        <f>'CLOSE FOREIGN ORDER'!Z455</f>
        <v>90 DAYS INVOICE DATE</v>
      </c>
      <c r="D281" s="123">
        <f>'CLOSE FOREIGN ORDER'!AA455</f>
        <v>45945</v>
      </c>
      <c r="E281" s="112">
        <f>'CLOSE FOREIGN ORDER'!AB455</f>
        <v>250900</v>
      </c>
      <c r="F281" s="112">
        <f>'CLOSE FOREIGN ORDER'!AC455</f>
        <v>0</v>
      </c>
      <c r="G281" s="112">
        <f>'CLOSE FOREIGN ORDER'!AD455</f>
        <v>0</v>
      </c>
      <c r="H281" s="112">
        <f>'CLOSE FOREIGN ORDER'!AE455</f>
        <v>0</v>
      </c>
      <c r="I281" s="112">
        <f>'CLOSE FOREIGN ORDER'!AF455</f>
        <v>0</v>
      </c>
      <c r="J281" s="112">
        <f>'CLOSE FOREIGN ORDER'!AG455</f>
        <v>0</v>
      </c>
    </row>
    <row r="282" spans="1:10">
      <c r="A282" t="e">
        <f>'OPEN FOREIGN ORDER'!#REF!</f>
        <v>#REF!</v>
      </c>
      <c r="B282" t="e">
        <f>'OPEN FOREIGN ORDER'!#REF!</f>
        <v>#REF!</v>
      </c>
      <c r="C282" t="e">
        <f>'OPEN FOREIGN ORDER'!#REF!</f>
        <v>#REF!</v>
      </c>
      <c r="D282" s="123" t="e">
        <f>'OPEN FOREIGN ORDER'!#REF!</f>
        <v>#REF!</v>
      </c>
      <c r="E282" s="112" t="e">
        <f>'OPEN FOREIGN ORDER'!#REF!</f>
        <v>#REF!</v>
      </c>
      <c r="F282" s="112" t="e">
        <f>'OPEN FOREIGN ORDER'!#REF!</f>
        <v>#REF!</v>
      </c>
      <c r="G282" s="112" t="e">
        <f>'OPEN FOREIGN ORDER'!#REF!</f>
        <v>#REF!</v>
      </c>
      <c r="H282" s="112" t="e">
        <f>'OPEN FOREIGN ORDER'!#REF!</f>
        <v>#REF!</v>
      </c>
      <c r="I282" s="112" t="e">
        <f>'OPEN FOREIGN ORDER'!#REF!</f>
        <v>#REF!</v>
      </c>
      <c r="J282" s="112" t="e">
        <f>'OPEN FOREIGN ORDER'!#REF!</f>
        <v>#REF!</v>
      </c>
    </row>
    <row r="283" spans="1:10">
      <c r="A283" t="e">
        <f>'OPEN FOREIGN ORDER'!#REF!</f>
        <v>#REF!</v>
      </c>
      <c r="B283" t="e">
        <f>'OPEN FOREIGN ORDER'!#REF!</f>
        <v>#REF!</v>
      </c>
      <c r="C283" t="e">
        <f>'OPEN FOREIGN ORDER'!#REF!</f>
        <v>#REF!</v>
      </c>
      <c r="D283" s="123" t="e">
        <f>'OPEN FOREIGN ORDER'!#REF!</f>
        <v>#REF!</v>
      </c>
      <c r="E283" s="112" t="e">
        <f>'OPEN FOREIGN ORDER'!#REF!</f>
        <v>#REF!</v>
      </c>
      <c r="F283" s="112" t="e">
        <f>'OPEN FOREIGN ORDER'!#REF!</f>
        <v>#REF!</v>
      </c>
      <c r="G283" s="112" t="e">
        <f>'OPEN FOREIGN ORDER'!#REF!</f>
        <v>#REF!</v>
      </c>
      <c r="H283" s="112" t="e">
        <f>'OPEN FOREIGN ORDER'!#REF!</f>
        <v>#REF!</v>
      </c>
      <c r="I283" s="112" t="e">
        <f>'OPEN FOREIGN ORDER'!#REF!</f>
        <v>#REF!</v>
      </c>
      <c r="J283" s="112" t="e">
        <f>'OPEN FOREIGN ORDER'!#REF!</f>
        <v>#REF!</v>
      </c>
    </row>
    <row r="284" spans="1:10">
      <c r="A284" t="str">
        <f>'CLOSE FOREIGN ORDER'!D510</f>
        <v>FPO12126</v>
      </c>
      <c r="B284" t="str">
        <f>'CLOSE FOREIGN ORDER'!F510</f>
        <v>ARDAGH GLASS</v>
      </c>
      <c r="C284" t="str">
        <f>'CLOSE FOREIGN ORDER'!Z510</f>
        <v>30 DAYS BL DATE</v>
      </c>
      <c r="D284" s="123">
        <f>'CLOSE FOREIGN ORDER'!AA510</f>
        <v>45954</v>
      </c>
      <c r="E284" s="112">
        <f>'CLOSE FOREIGN ORDER'!AB510</f>
        <v>112537.94</v>
      </c>
      <c r="F284" s="112">
        <f>'CLOSE FOREIGN ORDER'!AC510</f>
        <v>0</v>
      </c>
      <c r="G284" s="112">
        <f>'CLOSE FOREIGN ORDER'!AD510</f>
        <v>0</v>
      </c>
      <c r="H284" s="112">
        <f>'CLOSE FOREIGN ORDER'!AE510</f>
        <v>0</v>
      </c>
      <c r="I284" s="112">
        <f>'CLOSE FOREIGN ORDER'!AF510</f>
        <v>0</v>
      </c>
      <c r="J284" s="112">
        <f>'CLOSE FOREIGN ORDER'!AG510</f>
        <v>0</v>
      </c>
    </row>
    <row r="285" spans="1:10">
      <c r="A285" t="str">
        <f>'CLOSE FOREIGN ORDER'!D571</f>
        <v>FPO12127</v>
      </c>
      <c r="B285" t="str">
        <f>'CLOSE FOREIGN ORDER'!F571</f>
        <v>BANGKOK CAN MANUFACTURING CO LTD</v>
      </c>
      <c r="C285" t="str">
        <f>'CLOSE FOREIGN ORDER'!Z571</f>
        <v xml:space="preserve">60 DAYS BL DATE </v>
      </c>
      <c r="D285" s="123">
        <f>'CLOSE FOREIGN ORDER'!AA571</f>
        <v>46009</v>
      </c>
      <c r="E285" s="112">
        <f>'CLOSE FOREIGN ORDER'!AB571</f>
        <v>162961.18</v>
      </c>
      <c r="F285" s="112">
        <f>'CLOSE FOREIGN ORDER'!AC571</f>
        <v>0</v>
      </c>
      <c r="G285" s="112">
        <f>'CLOSE FOREIGN ORDER'!AD571</f>
        <v>0</v>
      </c>
      <c r="H285" s="112">
        <f>'CLOSE FOREIGN ORDER'!AE571</f>
        <v>0</v>
      </c>
      <c r="I285" s="112">
        <f>'CLOSE FOREIGN ORDER'!AF571</f>
        <v>0</v>
      </c>
      <c r="J285" s="112">
        <f>'CLOSE FOREIGN ORDER'!AG571</f>
        <v>0</v>
      </c>
    </row>
    <row r="286" spans="1:10">
      <c r="A286" t="str">
        <f>'CLOSE FOREIGN ORDER'!D418</f>
        <v>FPO12124</v>
      </c>
      <c r="B286" t="str">
        <f>'CLOSE FOREIGN ORDER'!F418</f>
        <v xml:space="preserve">KIOO LIMITED </v>
      </c>
      <c r="C286" t="str">
        <f>'CLOSE FOREIGN ORDER'!Z418</f>
        <v>50% ADV  - USD 75,928.47 - 15.04.2025
50% BL DATE  - USD 75,928.43 - 01/08/2025</v>
      </c>
      <c r="D286" s="123">
        <f>'CLOSE FOREIGN ORDER'!AA418</f>
        <v>0</v>
      </c>
      <c r="E286" s="112">
        <f>'CLOSE FOREIGN ORDER'!AB418</f>
        <v>151856.9</v>
      </c>
      <c r="F286" s="112">
        <f>'CLOSE FOREIGN ORDER'!AC418</f>
        <v>0</v>
      </c>
      <c r="G286" s="112">
        <f>'CLOSE FOREIGN ORDER'!AD418</f>
        <v>0</v>
      </c>
      <c r="H286" s="112">
        <f>'CLOSE FOREIGN ORDER'!AE418</f>
        <v>0</v>
      </c>
      <c r="I286" s="112">
        <f>'CLOSE FOREIGN ORDER'!AF418</f>
        <v>0</v>
      </c>
      <c r="J286" s="112">
        <f>'CLOSE FOREIGN ORDER'!AG418</f>
        <v>0</v>
      </c>
    </row>
    <row r="287" spans="1:10">
      <c r="A287" t="str">
        <f>'CLOSE FOREIGN ORDER'!D387</f>
        <v>FPO12267</v>
      </c>
      <c r="B287" t="str">
        <f>'CLOSE FOREIGN ORDER'!F387</f>
        <v>RESILUX NV</v>
      </c>
      <c r="C287" t="str">
        <f>'CLOSE FOREIGN ORDER'!Z387</f>
        <v>60 DAYS INVOICE DATE</v>
      </c>
      <c r="D287" s="123">
        <f>'CLOSE FOREIGN ORDER'!AA387</f>
        <v>45895</v>
      </c>
      <c r="E287" s="112">
        <f>'CLOSE FOREIGN ORDER'!AB387</f>
        <v>0</v>
      </c>
      <c r="F287" s="112">
        <f>'CLOSE FOREIGN ORDER'!AC387</f>
        <v>162585.85</v>
      </c>
      <c r="G287" s="112">
        <f>'CLOSE FOREIGN ORDER'!AD387</f>
        <v>0</v>
      </c>
      <c r="H287" s="112">
        <f>'CLOSE FOREIGN ORDER'!AE387</f>
        <v>0</v>
      </c>
      <c r="I287" s="112">
        <f>'CLOSE FOREIGN ORDER'!AF387</f>
        <v>0</v>
      </c>
      <c r="J287" s="112">
        <f>'CLOSE FOREIGN ORDER'!AG387</f>
        <v>0</v>
      </c>
    </row>
    <row r="288" spans="1:10">
      <c r="A288" t="e">
        <f>'OPEN FOREIGN ORDER'!#REF!</f>
        <v>#REF!</v>
      </c>
      <c r="B288" t="e">
        <f>'OPEN FOREIGN ORDER'!#REF!</f>
        <v>#REF!</v>
      </c>
      <c r="C288" t="e">
        <f>'OPEN FOREIGN ORDER'!#REF!</f>
        <v>#REF!</v>
      </c>
      <c r="D288" s="123" t="e">
        <f>'OPEN FOREIGN ORDER'!#REF!</f>
        <v>#REF!</v>
      </c>
      <c r="E288" s="112" t="e">
        <f>'OPEN FOREIGN ORDER'!#REF!</f>
        <v>#REF!</v>
      </c>
      <c r="F288" s="112" t="e">
        <f>'OPEN FOREIGN ORDER'!#REF!</f>
        <v>#REF!</v>
      </c>
      <c r="G288" s="112" t="e">
        <f>'OPEN FOREIGN ORDER'!#REF!</f>
        <v>#REF!</v>
      </c>
      <c r="H288" s="112" t="e">
        <f>'OPEN FOREIGN ORDER'!#REF!</f>
        <v>#REF!</v>
      </c>
      <c r="I288" s="112" t="e">
        <f>'OPEN FOREIGN ORDER'!#REF!</f>
        <v>#REF!</v>
      </c>
      <c r="J288" s="112" t="e">
        <f>'OPEN FOREIGN ORDER'!#REF!</f>
        <v>#REF!</v>
      </c>
    </row>
    <row r="289" spans="1:10">
      <c r="A289" t="e">
        <f>'OPEN FOREIGN ORDER'!#REF!</f>
        <v>#REF!</v>
      </c>
      <c r="B289" t="e">
        <f>'OPEN FOREIGN ORDER'!#REF!</f>
        <v>#REF!</v>
      </c>
      <c r="C289" t="e">
        <f>'OPEN FOREIGN ORDER'!#REF!</f>
        <v>#REF!</v>
      </c>
      <c r="D289" s="123" t="e">
        <f>'OPEN FOREIGN ORDER'!#REF!</f>
        <v>#REF!</v>
      </c>
      <c r="E289" s="112" t="e">
        <f>'OPEN FOREIGN ORDER'!#REF!</f>
        <v>#REF!</v>
      </c>
      <c r="F289" s="112" t="e">
        <f>'OPEN FOREIGN ORDER'!#REF!</f>
        <v>#REF!</v>
      </c>
      <c r="G289" s="112" t="e">
        <f>'OPEN FOREIGN ORDER'!#REF!</f>
        <v>#REF!</v>
      </c>
      <c r="H289" s="112" t="e">
        <f>'OPEN FOREIGN ORDER'!#REF!</f>
        <v>#REF!</v>
      </c>
      <c r="I289" s="112" t="e">
        <f>'OPEN FOREIGN ORDER'!#REF!</f>
        <v>#REF!</v>
      </c>
      <c r="J289" s="112" t="e">
        <f>'OPEN FOREIGN ORDER'!#REF!</f>
        <v>#REF!</v>
      </c>
    </row>
    <row r="290" spans="1:10">
      <c r="A290" t="e">
        <f>'OPEN FOREIGN ORDER'!#REF!</f>
        <v>#REF!</v>
      </c>
      <c r="B290" t="e">
        <f>'OPEN FOREIGN ORDER'!#REF!</f>
        <v>#REF!</v>
      </c>
      <c r="C290" t="e">
        <f>'OPEN FOREIGN ORDER'!#REF!</f>
        <v>#REF!</v>
      </c>
      <c r="D290" s="123" t="e">
        <f>'OPEN FOREIGN ORDER'!#REF!</f>
        <v>#REF!</v>
      </c>
      <c r="E290" s="112" t="e">
        <f>'OPEN FOREIGN ORDER'!#REF!</f>
        <v>#REF!</v>
      </c>
      <c r="F290" s="112" t="e">
        <f>'OPEN FOREIGN ORDER'!#REF!</f>
        <v>#REF!</v>
      </c>
      <c r="G290" s="112" t="e">
        <f>'OPEN FOREIGN ORDER'!#REF!</f>
        <v>#REF!</v>
      </c>
      <c r="H290" s="112" t="e">
        <f>'OPEN FOREIGN ORDER'!#REF!</f>
        <v>#REF!</v>
      </c>
      <c r="I290" s="112" t="e">
        <f>'OPEN FOREIGN ORDER'!#REF!</f>
        <v>#REF!</v>
      </c>
      <c r="J290" s="112" t="e">
        <f>'OPEN FOREIGN ORDER'!#REF!</f>
        <v>#REF!</v>
      </c>
    </row>
    <row r="291" spans="1:10">
      <c r="A291" t="str">
        <f>'CLOSE FOREIGN ORDER'!D350</f>
        <v>FPO12284</v>
      </c>
      <c r="B291" t="str">
        <f>'CLOSE FOREIGN ORDER'!F350</f>
        <v xml:space="preserve">ORICON ENTERPRISES LTD </v>
      </c>
      <c r="C291" t="str">
        <f>'CLOSE FOREIGN ORDER'!Z350</f>
        <v xml:space="preserve">21 DAYS BL DATE </v>
      </c>
      <c r="D291" s="123">
        <f>'CLOSE FOREIGN ORDER'!AA350</f>
        <v>45856</v>
      </c>
      <c r="E291" s="112">
        <f>'CLOSE FOREIGN ORDER'!AB350</f>
        <v>33769.94</v>
      </c>
      <c r="F291" s="112">
        <f>'CLOSE FOREIGN ORDER'!AC350</f>
        <v>0</v>
      </c>
      <c r="G291" s="112">
        <f>'CLOSE FOREIGN ORDER'!AD350</f>
        <v>0</v>
      </c>
      <c r="H291" s="112">
        <f>'CLOSE FOREIGN ORDER'!AE350</f>
        <v>0</v>
      </c>
      <c r="I291" s="112">
        <f>'CLOSE FOREIGN ORDER'!AF350</f>
        <v>0</v>
      </c>
      <c r="J291" s="112">
        <f>'CLOSE FOREIGN ORDER'!AG350</f>
        <v>0</v>
      </c>
    </row>
    <row r="292" spans="1:10">
      <c r="A292" t="e">
        <f>'OPEN FOREIGN ORDER'!#REF!</f>
        <v>#REF!</v>
      </c>
      <c r="B292" t="e">
        <f>'OPEN FOREIGN ORDER'!#REF!</f>
        <v>#REF!</v>
      </c>
      <c r="C292" t="e">
        <f>'OPEN FOREIGN ORDER'!#REF!</f>
        <v>#REF!</v>
      </c>
      <c r="D292" s="123" t="e">
        <f>'OPEN FOREIGN ORDER'!#REF!</f>
        <v>#REF!</v>
      </c>
      <c r="E292" s="112" t="e">
        <f>'OPEN FOREIGN ORDER'!#REF!</f>
        <v>#REF!</v>
      </c>
      <c r="F292" s="112" t="e">
        <f>'OPEN FOREIGN ORDER'!#REF!</f>
        <v>#REF!</v>
      </c>
      <c r="G292" s="112" t="e">
        <f>'OPEN FOREIGN ORDER'!#REF!</f>
        <v>#REF!</v>
      </c>
      <c r="H292" s="112" t="e">
        <f>'OPEN FOREIGN ORDER'!#REF!</f>
        <v>#REF!</v>
      </c>
      <c r="I292" s="112" t="e">
        <f>'OPEN FOREIGN ORDER'!#REF!</f>
        <v>#REF!</v>
      </c>
      <c r="J292" s="112" t="e">
        <f>'OPEN FOREIGN ORDER'!#REF!</f>
        <v>#REF!</v>
      </c>
    </row>
    <row r="293" spans="1:10">
      <c r="A293" t="e">
        <f>'OPEN FOREIGN ORDER'!#REF!</f>
        <v>#REF!</v>
      </c>
      <c r="B293" t="e">
        <f>'OPEN FOREIGN ORDER'!#REF!</f>
        <v>#REF!</v>
      </c>
      <c r="C293" t="e">
        <f>'OPEN FOREIGN ORDER'!#REF!</f>
        <v>#REF!</v>
      </c>
      <c r="D293" s="123" t="e">
        <f>'OPEN FOREIGN ORDER'!#REF!</f>
        <v>#REF!</v>
      </c>
      <c r="E293" s="112" t="e">
        <f>'OPEN FOREIGN ORDER'!#REF!</f>
        <v>#REF!</v>
      </c>
      <c r="F293" s="112" t="e">
        <f>'OPEN FOREIGN ORDER'!#REF!</f>
        <v>#REF!</v>
      </c>
      <c r="G293" s="112" t="e">
        <f>'OPEN FOREIGN ORDER'!#REF!</f>
        <v>#REF!</v>
      </c>
      <c r="H293" s="112" t="e">
        <f>'OPEN FOREIGN ORDER'!#REF!</f>
        <v>#REF!</v>
      </c>
      <c r="I293" s="112" t="e">
        <f>'OPEN FOREIGN ORDER'!#REF!</f>
        <v>#REF!</v>
      </c>
      <c r="J293" s="112" t="e">
        <f>'OPEN FOREIGN ORDER'!#REF!</f>
        <v>#REF!</v>
      </c>
    </row>
    <row r="294" spans="1:10">
      <c r="A294" t="e">
        <f>'OPEN FOREIGN ORDER'!#REF!</f>
        <v>#REF!</v>
      </c>
      <c r="B294" t="e">
        <f>'OPEN FOREIGN ORDER'!#REF!</f>
        <v>#REF!</v>
      </c>
      <c r="C294" t="e">
        <f>'OPEN FOREIGN ORDER'!#REF!</f>
        <v>#REF!</v>
      </c>
      <c r="D294" s="123" t="e">
        <f>'OPEN FOREIGN ORDER'!#REF!</f>
        <v>#REF!</v>
      </c>
      <c r="E294" s="112" t="e">
        <f>'OPEN FOREIGN ORDER'!#REF!</f>
        <v>#REF!</v>
      </c>
      <c r="F294" s="112" t="e">
        <f>'OPEN FOREIGN ORDER'!#REF!</f>
        <v>#REF!</v>
      </c>
      <c r="G294" s="112" t="e">
        <f>'OPEN FOREIGN ORDER'!#REF!</f>
        <v>#REF!</v>
      </c>
      <c r="H294" s="112" t="e">
        <f>'OPEN FOREIGN ORDER'!#REF!</f>
        <v>#REF!</v>
      </c>
      <c r="I294" s="112" t="e">
        <f>'OPEN FOREIGN ORDER'!#REF!</f>
        <v>#REF!</v>
      </c>
      <c r="J294" s="112" t="e">
        <f>'OPEN FOREIGN ORDER'!#REF!</f>
        <v>#REF!</v>
      </c>
    </row>
    <row r="295" spans="1:10">
      <c r="A295" t="str">
        <f>'CLOSE FOREIGN ORDER'!D546</f>
        <v>FPO12232</v>
      </c>
      <c r="B295" t="str">
        <f>'CLOSE FOREIGN ORDER'!F546</f>
        <v>AQUA PYRENEES</v>
      </c>
      <c r="C295" t="str">
        <f>'CLOSE FOREIGN ORDER'!Z546</f>
        <v>50% ADV -  EUR 44,687.60 ( 16/07/2025)
50% 45 DAYS INVOICE DATE -  EUR 42,910.60 (DUE- 22/11/25)</v>
      </c>
      <c r="D295" s="123">
        <f>'CLOSE FOREIGN ORDER'!AA546</f>
        <v>45952</v>
      </c>
      <c r="E295" s="112">
        <f>'CLOSE FOREIGN ORDER'!AB546</f>
        <v>0</v>
      </c>
      <c r="F295" s="112">
        <f>'CLOSE FOREIGN ORDER'!AC546</f>
        <v>87598.2</v>
      </c>
      <c r="G295" s="112">
        <f>'CLOSE FOREIGN ORDER'!AD546</f>
        <v>0</v>
      </c>
      <c r="H295" s="112">
        <f>'CLOSE FOREIGN ORDER'!AE546</f>
        <v>0</v>
      </c>
      <c r="I295" s="112">
        <f>'CLOSE FOREIGN ORDER'!AF546</f>
        <v>0</v>
      </c>
      <c r="J295" s="112">
        <f>'CLOSE FOREIGN ORDER'!AG546</f>
        <v>0</v>
      </c>
    </row>
    <row r="296" spans="1:10">
      <c r="A296" t="str">
        <f>'CLOSE FOREIGN ORDER'!D321</f>
        <v>FPO12313</v>
      </c>
      <c r="B296" t="str">
        <f>'CLOSE FOREIGN ORDER'!F321</f>
        <v xml:space="preserve">MMP Corporation Ltd </v>
      </c>
      <c r="C296" t="str">
        <f>'CLOSE FOREIGN ORDER'!Z321</f>
        <v xml:space="preserve">7 DAYS BEFORE SHIPMENT </v>
      </c>
      <c r="D296" s="123">
        <f>'CLOSE FOREIGN ORDER'!AA321</f>
        <v>45901</v>
      </c>
      <c r="E296" s="112">
        <f>'CLOSE FOREIGN ORDER'!AB321</f>
        <v>1966.5</v>
      </c>
      <c r="F296" s="112">
        <f>'CLOSE FOREIGN ORDER'!AC321</f>
        <v>0</v>
      </c>
      <c r="G296" s="112">
        <f>'CLOSE FOREIGN ORDER'!AD321</f>
        <v>0</v>
      </c>
      <c r="H296" s="112">
        <f>'CLOSE FOREIGN ORDER'!AE321</f>
        <v>0</v>
      </c>
      <c r="I296" s="112">
        <f>'CLOSE FOREIGN ORDER'!AF321</f>
        <v>0</v>
      </c>
      <c r="J296" s="112">
        <f>'CLOSE FOREIGN ORDER'!AG321</f>
        <v>0</v>
      </c>
    </row>
    <row r="297" spans="1:10">
      <c r="A297" t="str">
        <f>'CLOSE FOREIGN ORDER'!D437</f>
        <v>FPO12236</v>
      </c>
      <c r="B297" t="str">
        <f>'CLOSE FOREIGN ORDER'!F437</f>
        <v>COCA-COLA MIDI FRANCE</v>
      </c>
      <c r="C297" t="str">
        <f>'CLOSE FOREIGN ORDER'!Z437</f>
        <v>45 DAYS INVOICE DATE</v>
      </c>
      <c r="D297" s="123">
        <f>'CLOSE FOREIGN ORDER'!AA437</f>
        <v>45927</v>
      </c>
      <c r="E297" s="112">
        <f>'CLOSE FOREIGN ORDER'!AB437</f>
        <v>42221.760000000002</v>
      </c>
      <c r="F297" s="112">
        <f>'CLOSE FOREIGN ORDER'!AC437</f>
        <v>0</v>
      </c>
      <c r="G297" s="112">
        <f>'CLOSE FOREIGN ORDER'!AD437</f>
        <v>0</v>
      </c>
      <c r="H297" s="112">
        <f>'CLOSE FOREIGN ORDER'!AE437</f>
        <v>0</v>
      </c>
      <c r="I297" s="112">
        <f>'CLOSE FOREIGN ORDER'!AF437</f>
        <v>0</v>
      </c>
      <c r="J297" s="112">
        <f>'CLOSE FOREIGN ORDER'!AG437</f>
        <v>0</v>
      </c>
    </row>
    <row r="298" spans="1:10">
      <c r="A298" t="str">
        <f>'CLOSE FOREIGN ORDER'!D353</f>
        <v>FPO12314</v>
      </c>
      <c r="B298" t="str">
        <f>'CLOSE FOREIGN ORDER'!F353</f>
        <v>MPACT LIMITED</v>
      </c>
      <c r="C298" t="str">
        <f>'CLOSE FOREIGN ORDER'!Z353</f>
        <v>30 DAYS FROM BL DATE</v>
      </c>
      <c r="D298" s="123">
        <f>'CLOSE FOREIGN ORDER'!AA353</f>
        <v>45908</v>
      </c>
      <c r="E298" s="112">
        <f>'CLOSE FOREIGN ORDER'!AB353</f>
        <v>0</v>
      </c>
      <c r="F298" s="112">
        <f>'CLOSE FOREIGN ORDER'!AC353</f>
        <v>0</v>
      </c>
      <c r="G298" s="112">
        <f>'CLOSE FOREIGN ORDER'!AD353</f>
        <v>0</v>
      </c>
      <c r="H298" s="112">
        <f>'CLOSE FOREIGN ORDER'!AE353</f>
        <v>144561</v>
      </c>
      <c r="I298" s="112">
        <f>'CLOSE FOREIGN ORDER'!AF353</f>
        <v>0</v>
      </c>
      <c r="J298" s="112">
        <f>'CLOSE FOREIGN ORDER'!AG353</f>
        <v>0</v>
      </c>
    </row>
    <row r="299" spans="1:10">
      <c r="A299" t="str">
        <f>'CLOSE FOREIGN ORDER'!D304</f>
        <v>FPO12323</v>
      </c>
      <c r="B299" t="str">
        <f>'CLOSE FOREIGN ORDER'!F304</f>
        <v xml:space="preserve">MMP Corporation Ltd </v>
      </c>
      <c r="C299" t="str">
        <f>'CLOSE FOREIGN ORDER'!Z304</f>
        <v xml:space="preserve">7 DAYS BEFORE SHIPMENT </v>
      </c>
      <c r="D299" s="123">
        <f>'CLOSE FOREIGN ORDER'!AA304</f>
        <v>45848</v>
      </c>
      <c r="E299" s="112">
        <f>'CLOSE FOREIGN ORDER'!AB304</f>
        <v>29544.080000000002</v>
      </c>
      <c r="F299" s="112">
        <f>'CLOSE FOREIGN ORDER'!AC304</f>
        <v>0</v>
      </c>
      <c r="G299" s="112">
        <f>'CLOSE FOREIGN ORDER'!AD304</f>
        <v>0</v>
      </c>
      <c r="H299" s="112">
        <f>'CLOSE FOREIGN ORDER'!AE304</f>
        <v>0</v>
      </c>
      <c r="I299" s="112">
        <f>'CLOSE FOREIGN ORDER'!AF304</f>
        <v>0</v>
      </c>
      <c r="J299" s="112">
        <f>'CLOSE FOREIGN ORDER'!AG304</f>
        <v>0</v>
      </c>
    </row>
    <row r="300" spans="1:10">
      <c r="A300" t="str">
        <f>'CLOSE FOREIGN ORDER'!D466</f>
        <v>FPO12244</v>
      </c>
      <c r="B300" t="str">
        <f>'CLOSE FOREIGN ORDER'!F466</f>
        <v xml:space="preserve">GLASTECH </v>
      </c>
      <c r="C300" t="str">
        <f>'CLOSE FOREIGN ORDER'!Z466</f>
        <v xml:space="preserve">60 DAYS BL DATE </v>
      </c>
      <c r="D300" s="123">
        <f>'CLOSE FOREIGN ORDER'!AA466</f>
        <v>45959</v>
      </c>
      <c r="E300" s="112">
        <f>'CLOSE FOREIGN ORDER'!AB466</f>
        <v>142602.76699999999</v>
      </c>
      <c r="F300" s="112">
        <f>'CLOSE FOREIGN ORDER'!AC466</f>
        <v>0</v>
      </c>
      <c r="G300" s="112">
        <f>'CLOSE FOREIGN ORDER'!AD466</f>
        <v>0</v>
      </c>
      <c r="H300" s="112">
        <f>'CLOSE FOREIGN ORDER'!AE466</f>
        <v>0</v>
      </c>
      <c r="I300" s="112">
        <f>'CLOSE FOREIGN ORDER'!AF466</f>
        <v>0</v>
      </c>
      <c r="J300" s="112">
        <f>'CLOSE FOREIGN ORDER'!AG466</f>
        <v>0</v>
      </c>
    </row>
    <row r="301" spans="1:10">
      <c r="A301" t="str">
        <f>'CLOSE FOREIGN ORDER'!D513</f>
        <v>FPO12244</v>
      </c>
      <c r="B301" t="str">
        <f>'CLOSE FOREIGN ORDER'!F513</f>
        <v xml:space="preserve">GLASTECH </v>
      </c>
      <c r="C301" t="str">
        <f>'CLOSE FOREIGN ORDER'!Z513</f>
        <v xml:space="preserve">60 DAYS BL DATE </v>
      </c>
      <c r="D301" s="123">
        <f>'CLOSE FOREIGN ORDER'!AA513</f>
        <v>45968</v>
      </c>
      <c r="E301" s="112">
        <f>'CLOSE FOREIGN ORDER'!AB513</f>
        <v>142602.76699999999</v>
      </c>
      <c r="F301" s="112">
        <f>'CLOSE FOREIGN ORDER'!AC513</f>
        <v>0</v>
      </c>
      <c r="G301" s="112">
        <f>'CLOSE FOREIGN ORDER'!AD513</f>
        <v>0</v>
      </c>
      <c r="H301" s="112">
        <f>'CLOSE FOREIGN ORDER'!AE513</f>
        <v>0</v>
      </c>
      <c r="I301" s="112">
        <f>'CLOSE FOREIGN ORDER'!AF513</f>
        <v>0</v>
      </c>
      <c r="J301" s="112">
        <f>'CLOSE FOREIGN ORDER'!AG513</f>
        <v>0</v>
      </c>
    </row>
    <row r="302" spans="1:10">
      <c r="A302" t="str">
        <f>'CLOSE FOREIGN ORDER'!D566</f>
        <v>FPO12244</v>
      </c>
      <c r="B302" t="str">
        <f>'CLOSE FOREIGN ORDER'!F566</f>
        <v xml:space="preserve">GLASTECH </v>
      </c>
      <c r="C302" t="str">
        <f>'CLOSE FOREIGN ORDER'!Z566</f>
        <v xml:space="preserve">60 DAYS BL DATE </v>
      </c>
      <c r="D302" s="123">
        <f>'CLOSE FOREIGN ORDER'!AA566</f>
        <v>46008</v>
      </c>
      <c r="E302" s="112">
        <f>'CLOSE FOREIGN ORDER'!AB566</f>
        <v>163653.65</v>
      </c>
      <c r="F302" s="112">
        <f>'CLOSE FOREIGN ORDER'!AC566</f>
        <v>0</v>
      </c>
      <c r="G302" s="112">
        <f>'CLOSE FOREIGN ORDER'!AD566</f>
        <v>0</v>
      </c>
      <c r="H302" s="112">
        <f>'CLOSE FOREIGN ORDER'!AE566</f>
        <v>0</v>
      </c>
      <c r="I302" s="112">
        <f>'CLOSE FOREIGN ORDER'!AF566</f>
        <v>0</v>
      </c>
      <c r="J302" s="112">
        <f>'CLOSE FOREIGN ORDER'!AG566</f>
        <v>0</v>
      </c>
    </row>
    <row r="303" spans="1:10">
      <c r="A303" t="str">
        <f>'CLOSE FOREIGN ORDER'!D404</f>
        <v>FPO12327</v>
      </c>
      <c r="B303" t="str">
        <f>'CLOSE FOREIGN ORDER'!F404</f>
        <v>RKW SAINT FRERES</v>
      </c>
      <c r="C303" t="str">
        <f>'CLOSE FOREIGN ORDER'!Z404</f>
        <v xml:space="preserve">60 DAYS INVOICE DATE </v>
      </c>
      <c r="D303" s="123">
        <f>'CLOSE FOREIGN ORDER'!AA404</f>
        <v>45918</v>
      </c>
      <c r="E303" s="112">
        <f>'CLOSE FOREIGN ORDER'!AB404</f>
        <v>0</v>
      </c>
      <c r="F303" s="112">
        <f>'CLOSE FOREIGN ORDER'!AC404</f>
        <v>35531.15</v>
      </c>
      <c r="G303" s="112">
        <f>'CLOSE FOREIGN ORDER'!AD404</f>
        <v>0</v>
      </c>
      <c r="H303" s="112">
        <f>'CLOSE FOREIGN ORDER'!AE404</f>
        <v>0</v>
      </c>
      <c r="I303" s="112">
        <f>'CLOSE FOREIGN ORDER'!AF404</f>
        <v>0</v>
      </c>
      <c r="J303" s="112">
        <f>'CLOSE FOREIGN ORDER'!AG404</f>
        <v>0</v>
      </c>
    </row>
    <row r="304" spans="1:10">
      <c r="A304" t="str">
        <f>'CLOSE FOREIGN ORDER'!D400</f>
        <v>FPO12328</v>
      </c>
      <c r="B304" t="str">
        <f>'CLOSE FOREIGN ORDER'!F400</f>
        <v xml:space="preserve">ORICON ENTERPRISES LTD </v>
      </c>
      <c r="C304" t="str">
        <f>'CLOSE FOREIGN ORDER'!Z400</f>
        <v xml:space="preserve">21 DAYS BL DATE </v>
      </c>
      <c r="D304" s="123">
        <f>'CLOSE FOREIGN ORDER'!AA400</f>
        <v>45890</v>
      </c>
      <c r="E304" s="112" t="e">
        <f>'OPEN FOREIGN ORDER'!#REF!</f>
        <v>#REF!</v>
      </c>
      <c r="F304" s="112">
        <f>'CLOSE FOREIGN ORDER'!AC400</f>
        <v>0</v>
      </c>
      <c r="G304" s="112">
        <f>'CLOSE FOREIGN ORDER'!AD400</f>
        <v>0</v>
      </c>
      <c r="H304" s="112">
        <f>'CLOSE FOREIGN ORDER'!AE400</f>
        <v>0</v>
      </c>
      <c r="I304" s="112">
        <f>'CLOSE FOREIGN ORDER'!AF400</f>
        <v>0</v>
      </c>
      <c r="J304" s="112">
        <f>'CLOSE FOREIGN ORDER'!AG400</f>
        <v>0</v>
      </c>
    </row>
    <row r="305" spans="1:10">
      <c r="A305" t="str">
        <f>'CLOSE FOREIGN ORDER'!D465</f>
        <v>FPO12245</v>
      </c>
      <c r="B305" t="str">
        <f>'CLOSE FOREIGN ORDER'!F465</f>
        <v xml:space="preserve">GLASTECH </v>
      </c>
      <c r="C305" t="str">
        <f>'CLOSE FOREIGN ORDER'!Z465</f>
        <v xml:space="preserve">60 DAYS BL DATE </v>
      </c>
      <c r="D305" s="123">
        <f>'CLOSE FOREIGN ORDER'!AA465</f>
        <v>45935</v>
      </c>
      <c r="E305" s="112">
        <f>'CLOSE FOREIGN ORDER'!AB400</f>
        <v>34375</v>
      </c>
      <c r="F305" s="112">
        <f>'CLOSE FOREIGN ORDER'!AC465</f>
        <v>0</v>
      </c>
      <c r="G305" s="112">
        <f>'CLOSE FOREIGN ORDER'!AD465</f>
        <v>0</v>
      </c>
      <c r="H305" s="112">
        <f>'CLOSE FOREIGN ORDER'!AE465</f>
        <v>0</v>
      </c>
      <c r="I305" s="112">
        <f>'CLOSE FOREIGN ORDER'!AF465</f>
        <v>0</v>
      </c>
      <c r="J305" s="112">
        <f>'CLOSE FOREIGN ORDER'!AG465</f>
        <v>0</v>
      </c>
    </row>
    <row r="306" spans="1:10">
      <c r="A306" t="e">
        <f>'OPEN FOREIGN ORDER'!#REF!</f>
        <v>#REF!</v>
      </c>
      <c r="B306" t="e">
        <f>'OPEN FOREIGN ORDER'!#REF!</f>
        <v>#REF!</v>
      </c>
      <c r="C306" t="e">
        <f>'OPEN FOREIGN ORDER'!#REF!</f>
        <v>#REF!</v>
      </c>
      <c r="D306" s="123" t="e">
        <f>'OPEN FOREIGN ORDER'!#REF!</f>
        <v>#REF!</v>
      </c>
      <c r="E306" s="112" t="e">
        <f>'OPEN FOREIGN ORDER'!#REF!</f>
        <v>#REF!</v>
      </c>
      <c r="F306" s="112" t="e">
        <f>'OPEN FOREIGN ORDER'!#REF!</f>
        <v>#REF!</v>
      </c>
      <c r="G306" s="112" t="e">
        <f>'OPEN FOREIGN ORDER'!#REF!</f>
        <v>#REF!</v>
      </c>
      <c r="H306" s="112" t="e">
        <f>'OPEN FOREIGN ORDER'!#REF!</f>
        <v>#REF!</v>
      </c>
      <c r="I306" s="112" t="e">
        <f>'OPEN FOREIGN ORDER'!#REF!</f>
        <v>#REF!</v>
      </c>
      <c r="J306" s="112" t="e">
        <f>'OPEN FOREIGN ORDER'!#REF!</f>
        <v>#REF!</v>
      </c>
    </row>
    <row r="307" spans="1:10">
      <c r="A307" t="e">
        <f>'OPEN FOREIGN ORDER'!#REF!</f>
        <v>#REF!</v>
      </c>
      <c r="B307" t="e">
        <f>'OPEN FOREIGN ORDER'!#REF!</f>
        <v>#REF!</v>
      </c>
      <c r="C307" t="e">
        <f>'OPEN FOREIGN ORDER'!#REF!</f>
        <v>#REF!</v>
      </c>
      <c r="D307" s="123" t="e">
        <f>'OPEN FOREIGN ORDER'!#REF!</f>
        <v>#REF!</v>
      </c>
      <c r="E307" s="112" t="e">
        <f>'OPEN FOREIGN ORDER'!#REF!</f>
        <v>#REF!</v>
      </c>
      <c r="F307" s="112" t="e">
        <f>'OPEN FOREIGN ORDER'!#REF!</f>
        <v>#REF!</v>
      </c>
      <c r="G307" s="112" t="e">
        <f>'OPEN FOREIGN ORDER'!#REF!</f>
        <v>#REF!</v>
      </c>
      <c r="H307" s="112" t="e">
        <f>'OPEN FOREIGN ORDER'!#REF!</f>
        <v>#REF!</v>
      </c>
      <c r="I307" s="112" t="e">
        <f>'OPEN FOREIGN ORDER'!#REF!</f>
        <v>#REF!</v>
      </c>
      <c r="J307" s="112" t="e">
        <f>'OPEN FOREIGN ORDER'!#REF!</f>
        <v>#REF!</v>
      </c>
    </row>
    <row r="308" spans="1:10">
      <c r="A308" t="e">
        <f>'OPEN FOREIGN ORDER'!#REF!</f>
        <v>#REF!</v>
      </c>
      <c r="B308" t="e">
        <f>'OPEN FOREIGN ORDER'!#REF!</f>
        <v>#REF!</v>
      </c>
      <c r="C308" t="e">
        <f>'OPEN FOREIGN ORDER'!#REF!</f>
        <v>#REF!</v>
      </c>
      <c r="D308" s="123" t="e">
        <f>'OPEN FOREIGN ORDER'!#REF!</f>
        <v>#REF!</v>
      </c>
      <c r="E308" s="112" t="e">
        <f>'OPEN FOREIGN ORDER'!#REF!</f>
        <v>#REF!</v>
      </c>
      <c r="F308" s="112" t="e">
        <f>'OPEN FOREIGN ORDER'!#REF!</f>
        <v>#REF!</v>
      </c>
      <c r="G308" s="112" t="e">
        <f>'OPEN FOREIGN ORDER'!#REF!</f>
        <v>#REF!</v>
      </c>
      <c r="H308" s="112" t="e">
        <f>'OPEN FOREIGN ORDER'!#REF!</f>
        <v>#REF!</v>
      </c>
      <c r="I308" s="112" t="e">
        <f>'OPEN FOREIGN ORDER'!#REF!</f>
        <v>#REF!</v>
      </c>
      <c r="J308" s="112" t="e">
        <f>'OPEN FOREIGN ORDER'!#REF!</f>
        <v>#REF!</v>
      </c>
    </row>
    <row r="309" spans="1:10">
      <c r="A309" t="e">
        <f>'OPEN FOREIGN ORDER'!#REF!</f>
        <v>#REF!</v>
      </c>
      <c r="B309" t="e">
        <f>'OPEN FOREIGN ORDER'!#REF!</f>
        <v>#REF!</v>
      </c>
      <c r="C309" t="e">
        <f>'OPEN FOREIGN ORDER'!#REF!</f>
        <v>#REF!</v>
      </c>
      <c r="D309" s="123" t="e">
        <f>'OPEN FOREIGN ORDER'!#REF!</f>
        <v>#REF!</v>
      </c>
      <c r="E309" s="112" t="e">
        <f>'OPEN FOREIGN ORDER'!#REF!</f>
        <v>#REF!</v>
      </c>
      <c r="F309" s="112" t="e">
        <f>'OPEN FOREIGN ORDER'!#REF!</f>
        <v>#REF!</v>
      </c>
      <c r="G309" s="112" t="e">
        <f>'OPEN FOREIGN ORDER'!#REF!</f>
        <v>#REF!</v>
      </c>
      <c r="H309" s="112" t="e">
        <f>'OPEN FOREIGN ORDER'!#REF!</f>
        <v>#REF!</v>
      </c>
      <c r="I309" s="112" t="e">
        <f>'OPEN FOREIGN ORDER'!#REF!</f>
        <v>#REF!</v>
      </c>
      <c r="J309" s="112" t="e">
        <f>'OPEN FOREIGN ORDER'!#REF!</f>
        <v>#REF!</v>
      </c>
    </row>
    <row r="310" spans="1:10">
      <c r="A310" t="e">
        <f>'OPEN FOREIGN ORDER'!#REF!</f>
        <v>#REF!</v>
      </c>
      <c r="B310" t="e">
        <f>'OPEN FOREIGN ORDER'!#REF!</f>
        <v>#REF!</v>
      </c>
      <c r="C310" t="e">
        <f>'OPEN FOREIGN ORDER'!#REF!</f>
        <v>#REF!</v>
      </c>
      <c r="D310" s="123" t="e">
        <f>'OPEN FOREIGN ORDER'!#REF!</f>
        <v>#REF!</v>
      </c>
      <c r="E310" s="112" t="e">
        <f>'OPEN FOREIGN ORDER'!#REF!</f>
        <v>#REF!</v>
      </c>
      <c r="F310" s="112" t="e">
        <f>'OPEN FOREIGN ORDER'!#REF!</f>
        <v>#REF!</v>
      </c>
      <c r="G310" s="112" t="e">
        <f>'OPEN FOREIGN ORDER'!#REF!</f>
        <v>#REF!</v>
      </c>
      <c r="H310" s="112" t="e">
        <f>'OPEN FOREIGN ORDER'!#REF!</f>
        <v>#REF!</v>
      </c>
      <c r="I310" s="112" t="e">
        <f>'OPEN FOREIGN ORDER'!#REF!</f>
        <v>#REF!</v>
      </c>
      <c r="J310" s="112" t="e">
        <f>'OPEN FOREIGN ORDER'!#REF!</f>
        <v>#REF!</v>
      </c>
    </row>
    <row r="311" spans="1:10">
      <c r="A311" t="e">
        <f>'OPEN FOREIGN ORDER'!#REF!</f>
        <v>#REF!</v>
      </c>
      <c r="B311" t="e">
        <f>'OPEN FOREIGN ORDER'!#REF!</f>
        <v>#REF!</v>
      </c>
      <c r="C311" t="e">
        <f>'OPEN FOREIGN ORDER'!#REF!</f>
        <v>#REF!</v>
      </c>
      <c r="D311" s="123" t="e">
        <f>'OPEN FOREIGN ORDER'!#REF!</f>
        <v>#REF!</v>
      </c>
      <c r="E311" s="112" t="e">
        <f>'OPEN FOREIGN ORDER'!#REF!</f>
        <v>#REF!</v>
      </c>
      <c r="F311" s="112" t="e">
        <f>'OPEN FOREIGN ORDER'!#REF!</f>
        <v>#REF!</v>
      </c>
      <c r="G311" s="112" t="e">
        <f>'OPEN FOREIGN ORDER'!#REF!</f>
        <v>#REF!</v>
      </c>
      <c r="H311" s="112" t="e">
        <f>'OPEN FOREIGN ORDER'!#REF!</f>
        <v>#REF!</v>
      </c>
      <c r="I311" s="112" t="e">
        <f>'OPEN FOREIGN ORDER'!#REF!</f>
        <v>#REF!</v>
      </c>
      <c r="J311" s="112" t="e">
        <f>'OPEN FOREIGN ORDER'!#REF!</f>
        <v>#REF!</v>
      </c>
    </row>
    <row r="312" spans="1:10">
      <c r="A312" t="str">
        <f>'CLOSE FOREIGN ORDER'!D620</f>
        <v>FPO12245</v>
      </c>
      <c r="B312" t="str">
        <f>'CLOSE FOREIGN ORDER'!F620</f>
        <v xml:space="preserve">GLASTECH </v>
      </c>
      <c r="C312" t="str">
        <f>'CLOSE FOREIGN ORDER'!Z620</f>
        <v xml:space="preserve">60 DAYS BL DATE </v>
      </c>
      <c r="D312" s="123">
        <f>'CLOSE FOREIGN ORDER'!AA620</f>
        <v>46041</v>
      </c>
      <c r="E312" s="112">
        <f>'CLOSE FOREIGN ORDER'!AB620</f>
        <v>315733.95</v>
      </c>
      <c r="F312" s="112">
        <f>'CLOSE FOREIGN ORDER'!AC620</f>
        <v>0</v>
      </c>
      <c r="G312" s="112">
        <f>'CLOSE FOREIGN ORDER'!AD620</f>
        <v>0</v>
      </c>
      <c r="H312" s="112">
        <f>'CLOSE FOREIGN ORDER'!AE620</f>
        <v>0</v>
      </c>
      <c r="I312" s="112">
        <f>'CLOSE FOREIGN ORDER'!AF620</f>
        <v>0</v>
      </c>
      <c r="J312" s="112">
        <f>'CLOSE FOREIGN ORDER'!AG620</f>
        <v>0</v>
      </c>
    </row>
    <row r="313" spans="1:10">
      <c r="A313" t="str">
        <f>'CLOSE FOREIGN ORDER'!D469</f>
        <v>FPO12309</v>
      </c>
      <c r="B313" t="str">
        <f>'CLOSE FOREIGN ORDER'!F469</f>
        <v>BOORTMALT ASIA PACIFIC PTY LTD</v>
      </c>
      <c r="C313" t="str">
        <f>'CLOSE FOREIGN ORDER'!Z469</f>
        <v xml:space="preserve">60 DAYS INVOICE DATE </v>
      </c>
      <c r="D313" s="123">
        <f>'CLOSE FOREIGN ORDER'!AA469</f>
        <v>45962</v>
      </c>
      <c r="E313" s="112">
        <f>'CLOSE FOREIGN ORDER'!AB469</f>
        <v>84704.4</v>
      </c>
      <c r="F313" s="112">
        <f>'CLOSE FOREIGN ORDER'!AC469</f>
        <v>0</v>
      </c>
      <c r="G313" s="112">
        <f>'CLOSE FOREIGN ORDER'!AD469</f>
        <v>0</v>
      </c>
      <c r="H313" s="112">
        <f>'CLOSE FOREIGN ORDER'!AE469</f>
        <v>0</v>
      </c>
      <c r="I313" s="112">
        <f>'CLOSE FOREIGN ORDER'!AF469</f>
        <v>0</v>
      </c>
      <c r="J313" s="112">
        <f>'CLOSE FOREIGN ORDER'!AG469</f>
        <v>0</v>
      </c>
    </row>
    <row r="314" spans="1:10">
      <c r="A314" t="str">
        <f>'CLOSE FOREIGN ORDER'!D474</f>
        <v>FPO12312</v>
      </c>
      <c r="B314" t="str">
        <f>'CLOSE FOREIGN ORDER'!F474</f>
        <v>Blackhawk Molding Co., Inc</v>
      </c>
      <c r="C314" t="str">
        <f>'CLOSE FOREIGN ORDER'!Z474</f>
        <v>50 % ADVANCE - 28,203.11 - 17/06/2025
50 % NET 45 DAYS-  28,203.10- 07/08/2025</v>
      </c>
      <c r="D314" s="123">
        <f>'CLOSE FOREIGN ORDER'!AA474</f>
        <v>45912</v>
      </c>
      <c r="E314" s="112">
        <f>'CLOSE FOREIGN ORDER'!AB474</f>
        <v>56406.21</v>
      </c>
      <c r="F314" s="112">
        <f>'CLOSE FOREIGN ORDER'!AC474</f>
        <v>0</v>
      </c>
      <c r="G314" s="112">
        <f>'CLOSE FOREIGN ORDER'!AD474</f>
        <v>0</v>
      </c>
      <c r="H314" s="112">
        <f>'CLOSE FOREIGN ORDER'!AE474</f>
        <v>0</v>
      </c>
      <c r="I314" s="112">
        <f>'CLOSE FOREIGN ORDER'!AF474</f>
        <v>0</v>
      </c>
      <c r="J314" s="112">
        <f>'CLOSE FOREIGN ORDER'!AG474</f>
        <v>0</v>
      </c>
    </row>
    <row r="315" spans="1:10">
      <c r="A315" t="str">
        <f>'CLOSE FOREIGN ORDER'!D421</f>
        <v>FPO12324</v>
      </c>
      <c r="B315" t="str">
        <f>'CLOSE FOREIGN ORDER'!F421</f>
        <v xml:space="preserve">METAL CROWNS LTD </v>
      </c>
      <c r="C315" t="str">
        <f>'CLOSE FOREIGN ORDER'!Z421</f>
        <v xml:space="preserve">30 DAYS INVOICE DATE </v>
      </c>
      <c r="D315" s="123">
        <f>'CLOSE FOREIGN ORDER'!AA421</f>
        <v>45901</v>
      </c>
      <c r="E315" s="112">
        <f>'CLOSE FOREIGN ORDER'!AB421</f>
        <v>17742.7</v>
      </c>
      <c r="F315" s="112">
        <f>'CLOSE FOREIGN ORDER'!AC421</f>
        <v>0</v>
      </c>
      <c r="G315" s="112">
        <f>'CLOSE FOREIGN ORDER'!AD421</f>
        <v>0</v>
      </c>
      <c r="H315" s="112">
        <f>'CLOSE FOREIGN ORDER'!AE421</f>
        <v>0</v>
      </c>
      <c r="I315" s="112">
        <f>'CLOSE FOREIGN ORDER'!AF421</f>
        <v>0</v>
      </c>
      <c r="J315" s="112">
        <f>'CLOSE FOREIGN ORDER'!AG421</f>
        <v>0</v>
      </c>
    </row>
    <row r="316" spans="1:10">
      <c r="A316" t="str">
        <f>'CLOSE FOREIGN ORDER'!D422</f>
        <v>FPO12325</v>
      </c>
      <c r="B316" t="str">
        <f>'CLOSE FOREIGN ORDER'!F422</f>
        <v>CANPACK FRANCE SAS</v>
      </c>
      <c r="C316" t="str">
        <f>'CLOSE FOREIGN ORDER'!Z422</f>
        <v xml:space="preserve">60 DAYS INVOICE DATE </v>
      </c>
      <c r="D316" s="123">
        <f>'CLOSE FOREIGN ORDER'!AA422</f>
        <v>45927</v>
      </c>
      <c r="E316" s="112">
        <f>'CLOSE FOREIGN ORDER'!AB422</f>
        <v>0</v>
      </c>
      <c r="F316" s="112">
        <f>'CLOSE FOREIGN ORDER'!AC422</f>
        <v>38407.760000000002</v>
      </c>
      <c r="G316" s="112">
        <f>'CLOSE FOREIGN ORDER'!AD422</f>
        <v>0</v>
      </c>
      <c r="H316" s="112">
        <f>'CLOSE FOREIGN ORDER'!AE422</f>
        <v>0</v>
      </c>
      <c r="I316" s="112">
        <f>'CLOSE FOREIGN ORDER'!AF422</f>
        <v>0</v>
      </c>
      <c r="J316" s="112">
        <f>'CLOSE FOREIGN ORDER'!AG422</f>
        <v>0</v>
      </c>
    </row>
    <row r="317" spans="1:10">
      <c r="A317" t="str">
        <f>'CLOSE FOREIGN ORDER'!D445</f>
        <v>FPO12326</v>
      </c>
      <c r="B317" t="str">
        <f>'CLOSE FOREIGN ORDER'!F445</f>
        <v>RESILUX NV</v>
      </c>
      <c r="C317" t="str">
        <f>'CLOSE FOREIGN ORDER'!Z445</f>
        <v xml:space="preserve">60 DAYS INVOICE DATE </v>
      </c>
      <c r="D317" s="123">
        <f>'CLOSE FOREIGN ORDER'!AA445</f>
        <v>45930</v>
      </c>
      <c r="E317" s="112">
        <f>'CLOSE FOREIGN ORDER'!AB445</f>
        <v>0</v>
      </c>
      <c r="F317" s="112">
        <f>'CLOSE FOREIGN ORDER'!AC445</f>
        <v>306367.59999999998</v>
      </c>
      <c r="G317" s="112">
        <f>'CLOSE FOREIGN ORDER'!AD445</f>
        <v>0</v>
      </c>
      <c r="H317" s="112">
        <f>'CLOSE FOREIGN ORDER'!AE445</f>
        <v>0</v>
      </c>
      <c r="I317" s="112">
        <f>'CLOSE FOREIGN ORDER'!AF445</f>
        <v>0</v>
      </c>
      <c r="J317" s="112">
        <f>'CLOSE FOREIGN ORDER'!AG445</f>
        <v>0</v>
      </c>
    </row>
    <row r="318" spans="1:10">
      <c r="A318" t="e">
        <f>'OPEN FOREIGN ORDER'!#REF!</f>
        <v>#REF!</v>
      </c>
      <c r="B318" t="e">
        <f>'OPEN FOREIGN ORDER'!#REF!</f>
        <v>#REF!</v>
      </c>
      <c r="C318" t="e">
        <f>'OPEN FOREIGN ORDER'!#REF!</f>
        <v>#REF!</v>
      </c>
      <c r="D318" s="123" t="e">
        <f>'OPEN FOREIGN ORDER'!#REF!</f>
        <v>#REF!</v>
      </c>
      <c r="E318" s="112" t="e">
        <f>'OPEN FOREIGN ORDER'!#REF!</f>
        <v>#REF!</v>
      </c>
      <c r="F318" s="112" t="e">
        <f>'OPEN FOREIGN ORDER'!#REF!</f>
        <v>#REF!</v>
      </c>
      <c r="G318" s="112" t="e">
        <f>'OPEN FOREIGN ORDER'!#REF!</f>
        <v>#REF!</v>
      </c>
      <c r="H318" s="112" t="e">
        <f>'OPEN FOREIGN ORDER'!#REF!</f>
        <v>#REF!</v>
      </c>
      <c r="I318" s="112" t="e">
        <f>'OPEN FOREIGN ORDER'!#REF!</f>
        <v>#REF!</v>
      </c>
      <c r="J318" s="112" t="e">
        <f>'OPEN FOREIGN ORDER'!#REF!</f>
        <v>#REF!</v>
      </c>
    </row>
    <row r="319" spans="1:10">
      <c r="A319" t="str">
        <f>'CLOSE FOREIGN ORDER'!D480</f>
        <v>FPO12333</v>
      </c>
      <c r="B319" t="str">
        <f>'CLOSE FOREIGN ORDER'!F480</f>
        <v>Coca-Cola Swaziland</v>
      </c>
      <c r="C319" t="str">
        <f>'CLOSE FOREIGN ORDER'!Z480</f>
        <v>45 DAYS INVOICE DATE</v>
      </c>
      <c r="D319" s="123">
        <f>'CLOSE FOREIGN ORDER'!AA480</f>
        <v>45962</v>
      </c>
      <c r="E319" s="112">
        <f>'CLOSE FOREIGN ORDER'!AB480</f>
        <v>1255998.8799999999</v>
      </c>
      <c r="F319" s="112">
        <f>'CLOSE FOREIGN ORDER'!AC480</f>
        <v>0</v>
      </c>
      <c r="G319" s="112">
        <f>'CLOSE FOREIGN ORDER'!AD480</f>
        <v>0</v>
      </c>
      <c r="H319" s="112">
        <f>'CLOSE FOREIGN ORDER'!AE480</f>
        <v>0</v>
      </c>
      <c r="I319" s="112">
        <f>'CLOSE FOREIGN ORDER'!AF480</f>
        <v>0</v>
      </c>
      <c r="J319" s="112">
        <f>'CLOSE FOREIGN ORDER'!AG480</f>
        <v>0</v>
      </c>
    </row>
    <row r="320" spans="1:10">
      <c r="A320" t="str">
        <f>'CLOSE FOREIGN ORDER'!D475</f>
        <v>FPO12340</v>
      </c>
      <c r="B320" t="str">
        <f>'CLOSE FOREIGN ORDER'!F475</f>
        <v xml:space="preserve">NGOC NGHIA INDUSTRY </v>
      </c>
      <c r="C320" t="str">
        <f>'CLOSE FOREIGN ORDER'!Z475</f>
        <v>50 % ADVANCE  - 24,038.68
50 % ON SCAN BL - USD 7748.96- 15/10/2025</v>
      </c>
      <c r="D320" s="123">
        <f>'CLOSE FOREIGN ORDER'!AA475</f>
        <v>45945</v>
      </c>
      <c r="E320" s="112">
        <f>'CLOSE FOREIGN ORDER'!AB475</f>
        <v>31832.639999999999</v>
      </c>
      <c r="F320" s="112">
        <f>'CLOSE FOREIGN ORDER'!AC475</f>
        <v>0</v>
      </c>
      <c r="G320" s="112">
        <f>'CLOSE FOREIGN ORDER'!AD475</f>
        <v>0</v>
      </c>
      <c r="H320" s="112">
        <f>'CLOSE FOREIGN ORDER'!AE475</f>
        <v>0</v>
      </c>
      <c r="I320" s="112">
        <f>'CLOSE FOREIGN ORDER'!AF475</f>
        <v>0</v>
      </c>
      <c r="J320" s="112">
        <f>'CLOSE FOREIGN ORDER'!AG475</f>
        <v>0</v>
      </c>
    </row>
    <row r="321" spans="1:10">
      <c r="A321" t="str">
        <f>'CLOSE FOREIGN ORDER'!D448</f>
        <v>FPO12373</v>
      </c>
      <c r="B321" t="str">
        <f>'CLOSE FOREIGN ORDER'!F448</f>
        <v xml:space="preserve">KERRY FOOD INGREDIENTS </v>
      </c>
      <c r="C321" t="str">
        <f>'CLOSE FOREIGN ORDER'!Z448</f>
        <v>90 DAYS INVOICE DATE</v>
      </c>
      <c r="D321" s="123">
        <f>'CLOSE FOREIGN ORDER'!AA448</f>
        <v>45957</v>
      </c>
      <c r="E321" s="112">
        <f>'CLOSE FOREIGN ORDER'!AB448</f>
        <v>0</v>
      </c>
      <c r="F321" s="112">
        <f>'CLOSE FOREIGN ORDER'!AC448</f>
        <v>5306</v>
      </c>
      <c r="G321" s="112">
        <f>'CLOSE FOREIGN ORDER'!AD448</f>
        <v>0</v>
      </c>
      <c r="H321" s="112">
        <f>'CLOSE FOREIGN ORDER'!AE448</f>
        <v>0</v>
      </c>
      <c r="I321" s="112">
        <f>'CLOSE FOREIGN ORDER'!AF448</f>
        <v>0</v>
      </c>
      <c r="J321" s="112">
        <f>'CLOSE FOREIGN ORDER'!AG448</f>
        <v>0</v>
      </c>
    </row>
    <row r="322" spans="1:10">
      <c r="A322" t="e">
        <f>'OPEN FOREIGN ORDER'!#REF!</f>
        <v>#REF!</v>
      </c>
      <c r="B322" t="e">
        <f>'OPEN FOREIGN ORDER'!#REF!</f>
        <v>#REF!</v>
      </c>
      <c r="C322" t="e">
        <f>'OPEN FOREIGN ORDER'!#REF!</f>
        <v>#REF!</v>
      </c>
      <c r="D322" s="123" t="e">
        <f>'OPEN FOREIGN ORDER'!#REF!</f>
        <v>#REF!</v>
      </c>
      <c r="E322" s="112" t="e">
        <f>'OPEN FOREIGN ORDER'!#REF!</f>
        <v>#REF!</v>
      </c>
      <c r="F322" s="112" t="e">
        <f>'OPEN FOREIGN ORDER'!#REF!</f>
        <v>#REF!</v>
      </c>
      <c r="G322" s="112" t="e">
        <f>'OPEN FOREIGN ORDER'!#REF!</f>
        <v>#REF!</v>
      </c>
      <c r="H322" s="112" t="e">
        <f>'OPEN FOREIGN ORDER'!#REF!</f>
        <v>#REF!</v>
      </c>
      <c r="I322" s="112" t="e">
        <f>'OPEN FOREIGN ORDER'!#REF!</f>
        <v>#REF!</v>
      </c>
      <c r="J322" s="112" t="e">
        <f>'OPEN FOREIGN ORDER'!#REF!</f>
        <v>#REF!</v>
      </c>
    </row>
    <row r="323" spans="1:10">
      <c r="A323" t="e">
        <f>'OPEN FOREIGN ORDER'!#REF!</f>
        <v>#REF!</v>
      </c>
      <c r="B323" t="e">
        <f>'OPEN FOREIGN ORDER'!#REF!</f>
        <v>#REF!</v>
      </c>
      <c r="C323" t="e">
        <f>'OPEN FOREIGN ORDER'!#REF!</f>
        <v>#REF!</v>
      </c>
      <c r="D323" s="123" t="e">
        <f>'OPEN FOREIGN ORDER'!#REF!</f>
        <v>#REF!</v>
      </c>
      <c r="E323" s="112" t="e">
        <f>'OPEN FOREIGN ORDER'!#REF!</f>
        <v>#REF!</v>
      </c>
      <c r="F323" s="112" t="e">
        <f>'OPEN FOREIGN ORDER'!#REF!</f>
        <v>#REF!</v>
      </c>
      <c r="G323" s="112" t="e">
        <f>'OPEN FOREIGN ORDER'!#REF!</f>
        <v>#REF!</v>
      </c>
      <c r="H323" s="112" t="e">
        <f>'OPEN FOREIGN ORDER'!#REF!</f>
        <v>#REF!</v>
      </c>
      <c r="I323" s="112" t="e">
        <f>'OPEN FOREIGN ORDER'!#REF!</f>
        <v>#REF!</v>
      </c>
      <c r="J323" s="112" t="e">
        <f>'OPEN FOREIGN ORDER'!#REF!</f>
        <v>#REF!</v>
      </c>
    </row>
    <row r="324" spans="1:10">
      <c r="A324" t="e">
        <f>'OPEN FOREIGN ORDER'!#REF!</f>
        <v>#REF!</v>
      </c>
      <c r="B324" t="e">
        <f>'OPEN FOREIGN ORDER'!#REF!</f>
        <v>#REF!</v>
      </c>
      <c r="C324" t="e">
        <f>'OPEN FOREIGN ORDER'!#REF!</f>
        <v>#REF!</v>
      </c>
      <c r="D324" s="123" t="e">
        <f>'OPEN FOREIGN ORDER'!#REF!</f>
        <v>#REF!</v>
      </c>
      <c r="E324" s="112" t="e">
        <f>'OPEN FOREIGN ORDER'!#REF!</f>
        <v>#REF!</v>
      </c>
      <c r="F324" s="112" t="e">
        <f>'OPEN FOREIGN ORDER'!#REF!</f>
        <v>#REF!</v>
      </c>
      <c r="G324" s="112" t="e">
        <f>'OPEN FOREIGN ORDER'!#REF!</f>
        <v>#REF!</v>
      </c>
      <c r="H324" s="112" t="e">
        <f>'OPEN FOREIGN ORDER'!#REF!</f>
        <v>#REF!</v>
      </c>
      <c r="I324" s="112" t="e">
        <f>'OPEN FOREIGN ORDER'!#REF!</f>
        <v>#REF!</v>
      </c>
      <c r="J324" s="112" t="e">
        <f>'OPEN FOREIGN ORDER'!#REF!</f>
        <v>#REF!</v>
      </c>
    </row>
    <row r="325" spans="1:10">
      <c r="A325" t="str">
        <f>'CLOSE FOREIGN ORDER'!D628</f>
        <v>FPO12357</v>
      </c>
      <c r="B325" t="str">
        <f>'CLOSE FOREIGN ORDER'!F628</f>
        <v>MILCO PLASTIC</v>
      </c>
      <c r="C325" t="str">
        <f>'CLOSE FOREIGN ORDER'!Z628</f>
        <v>50 % ADVANCE  - 321,300 ( 03/07/2025)
50 % ON SCAN BL - 116,100 (Due date: 23/12/2025)</v>
      </c>
      <c r="D325" s="123">
        <f>'CLOSE FOREIGN ORDER'!AA628</f>
        <v>46014</v>
      </c>
      <c r="E325" s="112">
        <f>'CLOSE FOREIGN ORDER'!AB628</f>
        <v>437400</v>
      </c>
      <c r="F325" s="112">
        <f>'CLOSE FOREIGN ORDER'!AE628</f>
        <v>0</v>
      </c>
      <c r="G325" s="112">
        <f>'CLOSE FOREIGN ORDER'!AD628</f>
        <v>0</v>
      </c>
      <c r="H325" s="112" t="e">
        <f>'OPEN FOREIGN ORDER'!#REF!</f>
        <v>#REF!</v>
      </c>
      <c r="I325" s="112">
        <f>'CLOSE FOREIGN ORDER'!AF628</f>
        <v>0</v>
      </c>
      <c r="J325" s="112">
        <f>'CLOSE FOREIGN ORDER'!AG628</f>
        <v>0</v>
      </c>
    </row>
    <row r="326" spans="1:10">
      <c r="A326" t="e">
        <f>'OPEN FOREIGN ORDER'!#REF!</f>
        <v>#REF!</v>
      </c>
      <c r="B326" t="e">
        <f>'OPEN FOREIGN ORDER'!#REF!</f>
        <v>#REF!</v>
      </c>
      <c r="C326" t="e">
        <f>'OPEN FOREIGN ORDER'!#REF!</f>
        <v>#REF!</v>
      </c>
      <c r="D326" s="123" t="e">
        <f>'OPEN FOREIGN ORDER'!#REF!</f>
        <v>#REF!</v>
      </c>
      <c r="E326" s="112" t="e">
        <f>'OPEN FOREIGN ORDER'!#REF!</f>
        <v>#REF!</v>
      </c>
      <c r="F326" s="112" t="e">
        <f>'OPEN FOREIGN ORDER'!#REF!</f>
        <v>#REF!</v>
      </c>
      <c r="G326" s="112" t="e">
        <f>'OPEN FOREIGN ORDER'!#REF!</f>
        <v>#REF!</v>
      </c>
      <c r="H326" s="112" t="e">
        <f>'OPEN FOREIGN ORDER'!#REF!</f>
        <v>#REF!</v>
      </c>
      <c r="I326" s="112" t="e">
        <f>'OPEN FOREIGN ORDER'!#REF!</f>
        <v>#REF!</v>
      </c>
      <c r="J326" s="112" t="e">
        <f>'OPEN FOREIGN ORDER'!#REF!</f>
        <v>#REF!</v>
      </c>
    </row>
    <row r="327" spans="1:10">
      <c r="A327" t="str">
        <f>'CLOSE FOREIGN ORDER'!D579</f>
        <v>FPO12360</v>
      </c>
      <c r="B327" t="str">
        <f>'CLOSE FOREIGN ORDER'!F579</f>
        <v>BOORTMALT ASIA PACIFIC PTY LTD</v>
      </c>
      <c r="C327" t="str">
        <f>'CLOSE FOREIGN ORDER'!Z579</f>
        <v>60 days Invoice date</v>
      </c>
      <c r="D327" s="123">
        <f>'CLOSE FOREIGN ORDER'!AA579</f>
        <v>45983</v>
      </c>
      <c r="E327" s="112">
        <f>'CLOSE FOREIGN ORDER'!AB579</f>
        <v>83964.6</v>
      </c>
      <c r="F327" s="112">
        <f>'CLOSE FOREIGN ORDER'!AE579</f>
        <v>0</v>
      </c>
      <c r="G327" s="112">
        <f>'CLOSE FOREIGN ORDER'!AD579</f>
        <v>0</v>
      </c>
      <c r="H327" s="112" t="e">
        <f>'OPEN FOREIGN ORDER'!#REF!</f>
        <v>#REF!</v>
      </c>
      <c r="I327" s="112">
        <f>'CLOSE FOREIGN ORDER'!AF579</f>
        <v>0</v>
      </c>
      <c r="J327" s="112">
        <f>'CLOSE FOREIGN ORDER'!AG579</f>
        <v>0</v>
      </c>
    </row>
    <row r="328" spans="1:10">
      <c r="A328" t="str">
        <f>'CLOSE FOREIGN ORDER'!D533</f>
        <v>FPO12362</v>
      </c>
      <c r="B328" t="str">
        <f>'CLOSE FOREIGN ORDER'!F533</f>
        <v>DIAGEO IRELAND</v>
      </c>
      <c r="C328" t="str">
        <f>'CLOSE FOREIGN ORDER'!Z533</f>
        <v>90 days invoice date</v>
      </c>
      <c r="D328" s="123">
        <f>'CLOSE FOREIGN ORDER'!AA533</f>
        <v>45996</v>
      </c>
      <c r="E328" s="112">
        <f>'CLOSE FOREIGN ORDER'!AB533</f>
        <v>0</v>
      </c>
      <c r="F328" s="112">
        <f>'CLOSE FOREIGN ORDER'!AE533</f>
        <v>0</v>
      </c>
      <c r="G328" s="112">
        <f>'CLOSE FOREIGN ORDER'!AD533</f>
        <v>57683.49</v>
      </c>
      <c r="H328" s="112" t="e">
        <f>'OPEN FOREIGN ORDER'!#REF!</f>
        <v>#REF!</v>
      </c>
      <c r="I328" s="112">
        <f>'CLOSE FOREIGN ORDER'!AF533</f>
        <v>0</v>
      </c>
      <c r="J328" s="112">
        <f>'CLOSE FOREIGN ORDER'!AG533</f>
        <v>0</v>
      </c>
    </row>
    <row r="329" spans="1:10">
      <c r="A329" t="e">
        <f>'OPEN FOREIGN ORDER'!#REF!</f>
        <v>#REF!</v>
      </c>
      <c r="B329" t="e">
        <f>'OPEN FOREIGN ORDER'!#REF!</f>
        <v>#REF!</v>
      </c>
      <c r="C329" t="e">
        <f>'OPEN FOREIGN ORDER'!#REF!</f>
        <v>#REF!</v>
      </c>
      <c r="D329" s="123" t="e">
        <f>'OPEN FOREIGN ORDER'!#REF!</f>
        <v>#REF!</v>
      </c>
      <c r="E329" s="112" t="e">
        <f>'OPEN FOREIGN ORDER'!#REF!</f>
        <v>#REF!</v>
      </c>
      <c r="F329" s="112" t="e">
        <f>'OPEN FOREIGN ORDER'!#REF!</f>
        <v>#REF!</v>
      </c>
      <c r="G329" s="112" t="e">
        <f>'OPEN FOREIGN ORDER'!#REF!</f>
        <v>#REF!</v>
      </c>
      <c r="H329" s="112" t="e">
        <f>'OPEN FOREIGN ORDER'!#REF!</f>
        <v>#REF!</v>
      </c>
      <c r="I329" s="112" t="e">
        <f>'OPEN FOREIGN ORDER'!#REF!</f>
        <v>#REF!</v>
      </c>
      <c r="J329" s="112" t="e">
        <f>'OPEN FOREIGN ORDER'!#REF!</f>
        <v>#REF!</v>
      </c>
    </row>
    <row r="330" spans="1:10">
      <c r="A330" t="e">
        <f>'OPEN FOREIGN ORDER'!#REF!</f>
        <v>#REF!</v>
      </c>
      <c r="B330" t="e">
        <f>'OPEN FOREIGN ORDER'!#REF!</f>
        <v>#REF!</v>
      </c>
      <c r="C330" t="e">
        <f>'OPEN FOREIGN ORDER'!#REF!</f>
        <v>#REF!</v>
      </c>
      <c r="D330" s="123" t="e">
        <f>'OPEN FOREIGN ORDER'!#REF!</f>
        <v>#REF!</v>
      </c>
      <c r="E330" s="112" t="e">
        <f>'OPEN FOREIGN ORDER'!#REF!</f>
        <v>#REF!</v>
      </c>
      <c r="F330" s="112" t="e">
        <f>'OPEN FOREIGN ORDER'!#REF!</f>
        <v>#REF!</v>
      </c>
      <c r="G330" s="112" t="e">
        <f>'OPEN FOREIGN ORDER'!#REF!</f>
        <v>#REF!</v>
      </c>
      <c r="H330" s="112" t="e">
        <f>'OPEN FOREIGN ORDER'!#REF!</f>
        <v>#REF!</v>
      </c>
      <c r="I330" s="112" t="e">
        <f>'OPEN FOREIGN ORDER'!#REF!</f>
        <v>#REF!</v>
      </c>
      <c r="J330" s="112" t="e">
        <f>'OPEN FOREIGN ORDER'!#REF!</f>
        <v>#REF!</v>
      </c>
    </row>
    <row r="331" spans="1:10">
      <c r="A331" t="str">
        <f>'CLOSE FOREIGN ORDER'!D517</f>
        <v>FPO12386</v>
      </c>
      <c r="B331" t="str">
        <f>'CLOSE FOREIGN ORDER'!F517</f>
        <v xml:space="preserve">Greyson Trading LTD </v>
      </c>
      <c r="C331" t="str">
        <f>'CLOSE FOREIGN ORDER'!Z517</f>
        <v xml:space="preserve">60 DAYS BL DATE </v>
      </c>
      <c r="D331" s="123">
        <f>'CLOSE FOREIGN ORDER'!AA517</f>
        <v>45976</v>
      </c>
      <c r="E331" s="112">
        <f>'CLOSE FOREIGN ORDER'!AB517</f>
        <v>252830.52</v>
      </c>
      <c r="F331" s="112">
        <f>'CLOSE FOREIGN ORDER'!AC517</f>
        <v>0</v>
      </c>
      <c r="G331" s="112">
        <f>'CLOSE FOREIGN ORDER'!AD517</f>
        <v>0</v>
      </c>
      <c r="H331" s="112">
        <f>'CLOSE FOREIGN ORDER'!AE517</f>
        <v>0</v>
      </c>
      <c r="I331" s="112">
        <f>'CLOSE FOREIGN ORDER'!AF517</f>
        <v>0</v>
      </c>
      <c r="J331" s="112">
        <f>'CLOSE FOREIGN ORDER'!AG517</f>
        <v>0</v>
      </c>
    </row>
    <row r="332" spans="1:10">
      <c r="A332" t="e">
        <f>'OPEN FOREIGN ORDER'!#REF!</f>
        <v>#REF!</v>
      </c>
      <c r="B332" t="e">
        <f>'OPEN FOREIGN ORDER'!#REF!</f>
        <v>#REF!</v>
      </c>
      <c r="C332" t="e">
        <f>'OPEN FOREIGN ORDER'!#REF!</f>
        <v>#REF!</v>
      </c>
      <c r="D332" s="123" t="e">
        <f>'OPEN FOREIGN ORDER'!#REF!</f>
        <v>#REF!</v>
      </c>
      <c r="E332" s="112" t="e">
        <f>'OPEN FOREIGN ORDER'!#REF!</f>
        <v>#REF!</v>
      </c>
      <c r="F332" s="112" t="e">
        <f>'OPEN FOREIGN ORDER'!#REF!</f>
        <v>#REF!</v>
      </c>
      <c r="G332" s="112" t="e">
        <f>'OPEN FOREIGN ORDER'!#REF!</f>
        <v>#REF!</v>
      </c>
      <c r="H332" s="112" t="e">
        <f>'OPEN FOREIGN ORDER'!#REF!</f>
        <v>#REF!</v>
      </c>
      <c r="I332" s="112" t="e">
        <f>'OPEN FOREIGN ORDER'!#REF!</f>
        <v>#REF!</v>
      </c>
      <c r="J332" s="112" t="e">
        <f>'OPEN FOREIGN ORDER'!#REF!</f>
        <v>#REF!</v>
      </c>
    </row>
    <row r="333" spans="1:10">
      <c r="A333" t="str">
        <f>'CLOSE FOREIGN ORDER'!D378</f>
        <v>FPO12405</v>
      </c>
      <c r="B333" t="str">
        <f>'CLOSE FOREIGN ORDER'!F378</f>
        <v>LABELS PLUS</v>
      </c>
      <c r="C333" t="str">
        <f>'CLOSE FOREIGN ORDER'!Z378</f>
        <v>100% ADVANCE PAYMENT</v>
      </c>
      <c r="D333" s="123">
        <f>'CLOSE FOREIGN ORDER'!AA378</f>
        <v>45856</v>
      </c>
      <c r="E333" s="112">
        <f>'CLOSE FOREIGN ORDER'!AB378</f>
        <v>0</v>
      </c>
      <c r="F333" s="112">
        <f>'CLOSE FOREIGN ORDER'!AC378</f>
        <v>0</v>
      </c>
      <c r="G333" s="112">
        <f>'CLOSE FOREIGN ORDER'!AD378</f>
        <v>19933.75</v>
      </c>
      <c r="H333" s="112">
        <f>'CLOSE FOREIGN ORDER'!AE378</f>
        <v>0</v>
      </c>
      <c r="I333" s="112">
        <f>'CLOSE FOREIGN ORDER'!AF378</f>
        <v>0</v>
      </c>
      <c r="J333" s="112">
        <f>'CLOSE FOREIGN ORDER'!AG378</f>
        <v>0</v>
      </c>
    </row>
    <row r="334" spans="1:10">
      <c r="A334" t="str">
        <f>'CLOSE FOREIGN ORDER'!D531</f>
        <v>FPO12401</v>
      </c>
      <c r="B334" t="str">
        <f>'CLOSE FOREIGN ORDER'!F531</f>
        <v>Coca-Cola Swaziland</v>
      </c>
      <c r="C334" t="str">
        <f>'CLOSE FOREIGN ORDER'!Z531</f>
        <v>45 DAYS INVOICE DATE</v>
      </c>
      <c r="D334" s="123">
        <f>'CLOSE FOREIGN ORDER'!AA531</f>
        <v>45990</v>
      </c>
      <c r="E334" s="112">
        <f>'CLOSE FOREIGN ORDER'!AB531</f>
        <v>831628.53</v>
      </c>
      <c r="F334" s="112">
        <f>'CLOSE FOREIGN ORDER'!AC531</f>
        <v>0</v>
      </c>
      <c r="G334" s="112">
        <f>'CLOSE FOREIGN ORDER'!AD531</f>
        <v>0</v>
      </c>
      <c r="H334" s="112">
        <f>'CLOSE FOREIGN ORDER'!AE531</f>
        <v>0</v>
      </c>
      <c r="I334" s="112">
        <f>'CLOSE FOREIGN ORDER'!AF531</f>
        <v>0</v>
      </c>
      <c r="J334" s="112">
        <f>'CLOSE FOREIGN ORDER'!AG531</f>
        <v>0</v>
      </c>
    </row>
    <row r="335" spans="1:10">
      <c r="A335" t="e">
        <f>'OPEN FOREIGN ORDER'!#REF!</f>
        <v>#REF!</v>
      </c>
      <c r="B335" t="e">
        <f>'OPEN FOREIGN ORDER'!#REF!</f>
        <v>#REF!</v>
      </c>
      <c r="C335" t="e">
        <f>'OPEN FOREIGN ORDER'!#REF!</f>
        <v>#REF!</v>
      </c>
      <c r="D335" s="123" t="e">
        <f>'OPEN FOREIGN ORDER'!#REF!</f>
        <v>#REF!</v>
      </c>
      <c r="E335" s="112" t="e">
        <f>'OPEN FOREIGN ORDER'!#REF!</f>
        <v>#REF!</v>
      </c>
      <c r="F335" s="112" t="e">
        <f>'OPEN FOREIGN ORDER'!#REF!</f>
        <v>#REF!</v>
      </c>
      <c r="G335" s="112" t="e">
        <f>'OPEN FOREIGN ORDER'!#REF!</f>
        <v>#REF!</v>
      </c>
      <c r="H335" s="112" t="e">
        <f>'OPEN FOREIGN ORDER'!#REF!</f>
        <v>#REF!</v>
      </c>
      <c r="I335" s="112" t="e">
        <f>'OPEN FOREIGN ORDER'!#REF!</f>
        <v>#REF!</v>
      </c>
      <c r="J335" s="112" t="e">
        <f>'OPEN FOREIGN ORDER'!#REF!</f>
        <v>#REF!</v>
      </c>
    </row>
    <row r="336" spans="1:10">
      <c r="A336" t="e">
        <f>'OPEN FOREIGN ORDER'!#REF!</f>
        <v>#REF!</v>
      </c>
      <c r="B336" t="e">
        <f>'OPEN FOREIGN ORDER'!#REF!</f>
        <v>#REF!</v>
      </c>
      <c r="C336" t="e">
        <f>'OPEN FOREIGN ORDER'!#REF!</f>
        <v>#REF!</v>
      </c>
      <c r="D336" s="123" t="e">
        <f>'OPEN FOREIGN ORDER'!#REF!</f>
        <v>#REF!</v>
      </c>
      <c r="E336" s="112" t="e">
        <f>'OPEN FOREIGN ORDER'!#REF!</f>
        <v>#REF!</v>
      </c>
      <c r="F336" s="112" t="e">
        <f>'OPEN FOREIGN ORDER'!#REF!</f>
        <v>#REF!</v>
      </c>
      <c r="G336" s="112" t="e">
        <f>'OPEN FOREIGN ORDER'!#REF!</f>
        <v>#REF!</v>
      </c>
      <c r="H336" s="112" t="e">
        <f>'OPEN FOREIGN ORDER'!#REF!</f>
        <v>#REF!</v>
      </c>
      <c r="I336" s="112" t="e">
        <f>'OPEN FOREIGN ORDER'!#REF!</f>
        <v>#REF!</v>
      </c>
      <c r="J336" s="112" t="e">
        <f>'OPEN FOREIGN ORDER'!#REF!</f>
        <v>#REF!</v>
      </c>
    </row>
    <row r="337" spans="1:10">
      <c r="A337" t="e">
        <f>'OPEN FOREIGN ORDER'!#REF!</f>
        <v>#REF!</v>
      </c>
      <c r="B337" t="e">
        <f>'OPEN FOREIGN ORDER'!#REF!</f>
        <v>#REF!</v>
      </c>
      <c r="C337" t="e">
        <f>'OPEN FOREIGN ORDER'!#REF!</f>
        <v>#REF!</v>
      </c>
      <c r="D337" s="123" t="e">
        <f>'OPEN FOREIGN ORDER'!#REF!</f>
        <v>#REF!</v>
      </c>
      <c r="E337" s="112" t="e">
        <f>'OPEN FOREIGN ORDER'!#REF!</f>
        <v>#REF!</v>
      </c>
      <c r="F337" s="112" t="e">
        <f>'OPEN FOREIGN ORDER'!#REF!</f>
        <v>#REF!</v>
      </c>
      <c r="G337" s="112" t="e">
        <f>'OPEN FOREIGN ORDER'!#REF!</f>
        <v>#REF!</v>
      </c>
      <c r="H337" s="112" t="e">
        <f>'OPEN FOREIGN ORDER'!#REF!</f>
        <v>#REF!</v>
      </c>
      <c r="I337" s="112" t="e">
        <f>'OPEN FOREIGN ORDER'!#REF!</f>
        <v>#REF!</v>
      </c>
      <c r="J337" s="112" t="e">
        <f>'OPEN FOREIGN ORDER'!#REF!</f>
        <v>#REF!</v>
      </c>
    </row>
    <row r="338" spans="1:10">
      <c r="A338" t="e">
        <f>'OPEN FOREIGN ORDER'!#REF!</f>
        <v>#REF!</v>
      </c>
      <c r="B338" t="e">
        <f>'OPEN FOREIGN ORDER'!#REF!</f>
        <v>#REF!</v>
      </c>
      <c r="C338" t="e">
        <f>'OPEN FOREIGN ORDER'!#REF!</f>
        <v>#REF!</v>
      </c>
      <c r="D338" s="123" t="e">
        <f>'OPEN FOREIGN ORDER'!#REF!</f>
        <v>#REF!</v>
      </c>
      <c r="E338" s="112" t="e">
        <f>'OPEN FOREIGN ORDER'!#REF!</f>
        <v>#REF!</v>
      </c>
      <c r="F338" s="112" t="e">
        <f>'OPEN FOREIGN ORDER'!#REF!</f>
        <v>#REF!</v>
      </c>
      <c r="G338" s="112" t="e">
        <f>'OPEN FOREIGN ORDER'!#REF!</f>
        <v>#REF!</v>
      </c>
      <c r="H338" s="112" t="e">
        <f>'OPEN FOREIGN ORDER'!#REF!</f>
        <v>#REF!</v>
      </c>
      <c r="I338" s="112" t="e">
        <f>'OPEN FOREIGN ORDER'!#REF!</f>
        <v>#REF!</v>
      </c>
      <c r="J338" s="112" t="e">
        <f>'OPEN FOREIGN ORDER'!#REF!</f>
        <v>#REF!</v>
      </c>
    </row>
    <row r="339" spans="1:10">
      <c r="A339" t="e">
        <f>'OPEN FOREIGN ORDER'!#REF!</f>
        <v>#REF!</v>
      </c>
      <c r="B339" t="e">
        <f>'OPEN FOREIGN ORDER'!#REF!</f>
        <v>#REF!</v>
      </c>
      <c r="C339" t="e">
        <f>'OPEN FOREIGN ORDER'!#REF!</f>
        <v>#REF!</v>
      </c>
      <c r="D339" s="123" t="e">
        <f>'OPEN FOREIGN ORDER'!#REF!</f>
        <v>#REF!</v>
      </c>
      <c r="E339" s="112" t="e">
        <f>'OPEN FOREIGN ORDER'!#REF!</f>
        <v>#REF!</v>
      </c>
      <c r="F339" s="112" t="e">
        <f>'OPEN FOREIGN ORDER'!#REF!</f>
        <v>#REF!</v>
      </c>
      <c r="G339" s="112" t="e">
        <f>'OPEN FOREIGN ORDER'!#REF!</f>
        <v>#REF!</v>
      </c>
      <c r="H339" s="112" t="e">
        <f>'OPEN FOREIGN ORDER'!#REF!</f>
        <v>#REF!</v>
      </c>
      <c r="I339" s="112" t="e">
        <f>'OPEN FOREIGN ORDER'!#REF!</f>
        <v>#REF!</v>
      </c>
      <c r="J339" s="112" t="e">
        <f>'OPEN FOREIGN ORDER'!#REF!</f>
        <v>#REF!</v>
      </c>
    </row>
    <row r="340" spans="1:10">
      <c r="A340" t="str">
        <f>'CLOSE FOREIGN ORDER'!D539</f>
        <v>FPO12467</v>
      </c>
      <c r="B340" t="str">
        <f>'CLOSE FOREIGN ORDER'!F539</f>
        <v>CANPACK FRANCE SAS</v>
      </c>
      <c r="C340" t="str">
        <f>'CLOSE FOREIGN ORDER'!Z539</f>
        <v>60 DAYS INVOICE DATE</v>
      </c>
      <c r="D340" s="123">
        <f>'CLOSE FOREIGN ORDER'!AA539</f>
        <v>45989</v>
      </c>
      <c r="E340" s="112">
        <f>'CLOSE FOREIGN ORDER'!AB539</f>
        <v>0</v>
      </c>
      <c r="F340" s="112">
        <f>'CLOSE FOREIGN ORDER'!AC539</f>
        <v>38707.42</v>
      </c>
      <c r="G340" s="112">
        <f>'CLOSE FOREIGN ORDER'!AD539</f>
        <v>0</v>
      </c>
      <c r="H340" s="112">
        <f>'CLOSE FOREIGN ORDER'!AE539</f>
        <v>0</v>
      </c>
      <c r="I340" s="112">
        <f>'CLOSE FOREIGN ORDER'!AF539</f>
        <v>0</v>
      </c>
      <c r="J340" s="112">
        <f>'CLOSE FOREIGN ORDER'!AG539</f>
        <v>0</v>
      </c>
    </row>
    <row r="341" spans="1:10">
      <c r="A341" t="str">
        <f>'CLOSE FOREIGN ORDER'!D501</f>
        <v>FPO12468</v>
      </c>
      <c r="B341" t="str">
        <f>'CLOSE FOREIGN ORDER'!F501</f>
        <v xml:space="preserve">ORICON ENTERPRISES LTD </v>
      </c>
      <c r="C341" t="str">
        <f>'CLOSE FOREIGN ORDER'!Z501</f>
        <v xml:space="preserve">21 DAYS BL DATE </v>
      </c>
      <c r="D341" s="123">
        <f>'CLOSE FOREIGN ORDER'!AA501</f>
        <v>45946</v>
      </c>
      <c r="E341" s="112">
        <f>'CLOSE FOREIGN ORDER'!AB501</f>
        <v>34265</v>
      </c>
      <c r="F341" s="112">
        <f>'CLOSE FOREIGN ORDER'!AC501</f>
        <v>0</v>
      </c>
      <c r="G341" s="112">
        <f>'CLOSE FOREIGN ORDER'!AD501</f>
        <v>0</v>
      </c>
      <c r="H341" s="112">
        <f>'CLOSE FOREIGN ORDER'!AE501</f>
        <v>0</v>
      </c>
      <c r="I341" s="112">
        <f>'CLOSE FOREIGN ORDER'!AF501</f>
        <v>0</v>
      </c>
      <c r="J341" s="112">
        <f>'CLOSE FOREIGN ORDER'!AG501</f>
        <v>0</v>
      </c>
    </row>
    <row r="342" spans="1:10">
      <c r="A342" t="str">
        <f>'CLOSE FOREIGN ORDER'!D468</f>
        <v>FPO12473</v>
      </c>
      <c r="B342" t="str">
        <f>'CLOSE FOREIGN ORDER'!F468</f>
        <v>SYMRISE AG</v>
      </c>
      <c r="C342" t="str">
        <f>'CLOSE FOREIGN ORDER'!Z468</f>
        <v>30 DAYS INVOICE DATE</v>
      </c>
      <c r="D342" s="123">
        <f>'CLOSE FOREIGN ORDER'!AA468</f>
        <v>45958</v>
      </c>
      <c r="E342" s="112">
        <f>'CLOSE FOREIGN ORDER'!AB468</f>
        <v>0</v>
      </c>
      <c r="F342" s="112">
        <f>'CLOSE FOREIGN ORDER'!AC468</f>
        <v>8390</v>
      </c>
      <c r="G342" s="112">
        <f>'CLOSE FOREIGN ORDER'!AD468</f>
        <v>0</v>
      </c>
      <c r="H342" s="112">
        <f>'CLOSE FOREIGN ORDER'!AE468</f>
        <v>0</v>
      </c>
      <c r="I342" s="112">
        <f>'CLOSE FOREIGN ORDER'!AF468</f>
        <v>0</v>
      </c>
      <c r="J342" s="112">
        <f>'CLOSE FOREIGN ORDER'!AG468</f>
        <v>0</v>
      </c>
    </row>
    <row r="343" spans="1:10">
      <c r="A343" t="str">
        <f>'CLOSE FOREIGN ORDER'!D534</f>
        <v>FPO12475</v>
      </c>
      <c r="B343" t="str">
        <f>'CLOSE FOREIGN ORDER'!F534</f>
        <v>METAROM FRANCE</v>
      </c>
      <c r="C343" t="str">
        <f>'CLOSE FOREIGN ORDER'!Z534</f>
        <v>60 DAYS INVOICE DATE</v>
      </c>
      <c r="D343" s="123">
        <f>'CLOSE FOREIGN ORDER'!AA534</f>
        <v>45999</v>
      </c>
      <c r="E343" s="112">
        <f>'CLOSE FOREIGN ORDER'!AB534</f>
        <v>0</v>
      </c>
      <c r="F343" s="112">
        <f>'CLOSE FOREIGN ORDER'!AC534</f>
        <v>515</v>
      </c>
      <c r="G343" s="112">
        <f>'CLOSE FOREIGN ORDER'!AD534</f>
        <v>0</v>
      </c>
      <c r="H343" s="112">
        <f>'CLOSE FOREIGN ORDER'!AE534</f>
        <v>0</v>
      </c>
      <c r="I343" s="112">
        <f>'CLOSE FOREIGN ORDER'!AF534</f>
        <v>0</v>
      </c>
      <c r="J343" s="112">
        <f>'CLOSE FOREIGN ORDER'!AG534</f>
        <v>0</v>
      </c>
    </row>
    <row r="344" spans="1:10">
      <c r="A344" t="e">
        <f>'OPEN FOREIGN ORDER'!#REF!</f>
        <v>#REF!</v>
      </c>
      <c r="B344" t="e">
        <f>'OPEN FOREIGN ORDER'!#REF!</f>
        <v>#REF!</v>
      </c>
      <c r="C344" t="e">
        <f>'OPEN FOREIGN ORDER'!#REF!</f>
        <v>#REF!</v>
      </c>
      <c r="D344" s="123" t="e">
        <f>'OPEN FOREIGN ORDER'!#REF!</f>
        <v>#REF!</v>
      </c>
      <c r="E344" s="112" t="e">
        <f>'OPEN FOREIGN ORDER'!#REF!</f>
        <v>#REF!</v>
      </c>
      <c r="F344" s="112" t="e">
        <f>'OPEN FOREIGN ORDER'!#REF!</f>
        <v>#REF!</v>
      </c>
      <c r="G344" s="112" t="e">
        <f>'OPEN FOREIGN ORDER'!#REF!</f>
        <v>#REF!</v>
      </c>
      <c r="H344" s="112" t="e">
        <f>'OPEN FOREIGN ORDER'!#REF!</f>
        <v>#REF!</v>
      </c>
      <c r="I344" s="112" t="e">
        <f>'OPEN FOREIGN ORDER'!#REF!</f>
        <v>#REF!</v>
      </c>
      <c r="J344" s="112" t="e">
        <f>'OPEN FOREIGN ORDER'!#REF!</f>
        <v>#REF!</v>
      </c>
    </row>
    <row r="345" spans="1:10">
      <c r="A345" t="e">
        <f>'OPEN FOREIGN ORDER'!#REF!</f>
        <v>#REF!</v>
      </c>
      <c r="B345" t="e">
        <f>'OPEN FOREIGN ORDER'!#REF!</f>
        <v>#REF!</v>
      </c>
      <c r="C345" t="e">
        <f>'OPEN FOREIGN ORDER'!#REF!</f>
        <v>#REF!</v>
      </c>
      <c r="D345" s="123" t="e">
        <f>'OPEN FOREIGN ORDER'!#REF!</f>
        <v>#REF!</v>
      </c>
      <c r="E345" s="112" t="e">
        <f>'OPEN FOREIGN ORDER'!#REF!</f>
        <v>#REF!</v>
      </c>
      <c r="F345" s="112" t="e">
        <f>'OPEN FOREIGN ORDER'!#REF!</f>
        <v>#REF!</v>
      </c>
      <c r="G345" s="112" t="e">
        <f>'OPEN FOREIGN ORDER'!#REF!</f>
        <v>#REF!</v>
      </c>
      <c r="H345" s="112" t="e">
        <f>'OPEN FOREIGN ORDER'!#REF!</f>
        <v>#REF!</v>
      </c>
      <c r="I345" s="112" t="e">
        <f>'OPEN FOREIGN ORDER'!#REF!</f>
        <v>#REF!</v>
      </c>
      <c r="J345" s="112" t="e">
        <f>'OPEN FOREIGN ORDER'!#REF!</f>
        <v>#REF!</v>
      </c>
    </row>
    <row r="346" spans="1:10">
      <c r="A346" t="str">
        <f>'CLOSE FOREIGN ORDER'!D479</f>
        <v>FPO12488</v>
      </c>
      <c r="B346" t="str">
        <f>'CLOSE FOREIGN ORDER'!F479</f>
        <v xml:space="preserve">MMP Corporation Ltd </v>
      </c>
      <c r="C346" t="str">
        <f>'CLOSE FOREIGN ORDER'!Z479</f>
        <v xml:space="preserve">7 DAYS BEFORE SHIPMENT </v>
      </c>
      <c r="D346" s="123">
        <f>'CLOSE FOREIGN ORDER'!AA479</f>
        <v>45931</v>
      </c>
      <c r="E346" s="112">
        <f>'CLOSE FOREIGN ORDER'!AB479</f>
        <v>29544.080000000002</v>
      </c>
      <c r="F346" s="112">
        <f>'CLOSE FOREIGN ORDER'!AC479</f>
        <v>0</v>
      </c>
      <c r="G346" s="112">
        <f>'CLOSE FOREIGN ORDER'!AD479</f>
        <v>0</v>
      </c>
      <c r="H346" s="112">
        <f>'CLOSE FOREIGN ORDER'!AE479</f>
        <v>0</v>
      </c>
      <c r="I346" s="112">
        <f>'CLOSE FOREIGN ORDER'!AF479</f>
        <v>0</v>
      </c>
      <c r="J346" s="112">
        <f>'CLOSE FOREIGN ORDER'!AG479</f>
        <v>0</v>
      </c>
    </row>
    <row r="347" spans="1:10">
      <c r="A347" t="e">
        <f>'OPEN FOREIGN ORDER'!#REF!</f>
        <v>#REF!</v>
      </c>
      <c r="B347" t="e">
        <f>'OPEN FOREIGN ORDER'!#REF!</f>
        <v>#REF!</v>
      </c>
      <c r="C347" t="e">
        <f>'OPEN FOREIGN ORDER'!#REF!</f>
        <v>#REF!</v>
      </c>
      <c r="D347" s="123" t="e">
        <f>'OPEN FOREIGN ORDER'!#REF!</f>
        <v>#REF!</v>
      </c>
      <c r="E347" s="112" t="e">
        <f>'OPEN FOREIGN ORDER'!#REF!</f>
        <v>#REF!</v>
      </c>
      <c r="F347" s="112" t="e">
        <f>'OPEN FOREIGN ORDER'!#REF!</f>
        <v>#REF!</v>
      </c>
      <c r="G347" s="112" t="e">
        <f>'OPEN FOREIGN ORDER'!#REF!</f>
        <v>#REF!</v>
      </c>
      <c r="H347" s="112" t="e">
        <f>'OPEN FOREIGN ORDER'!#REF!</f>
        <v>#REF!</v>
      </c>
      <c r="I347" s="112" t="e">
        <f>'OPEN FOREIGN ORDER'!#REF!</f>
        <v>#REF!</v>
      </c>
      <c r="J347" s="112" t="e">
        <f>'OPEN FOREIGN ORDER'!#REF!</f>
        <v>#REF!</v>
      </c>
    </row>
    <row r="348" spans="1:10">
      <c r="A348" t="str">
        <f>'CLOSE FOREIGN ORDER'!D563</f>
        <v>FPO12494</v>
      </c>
      <c r="B348" t="str">
        <f>'CLOSE FOREIGN ORDER'!F563</f>
        <v>Coca-Cola Swaziland</v>
      </c>
      <c r="C348" t="str">
        <f>'CLOSE FOREIGN ORDER'!Z563</f>
        <v>45 DAYS INVOICE DATE</v>
      </c>
      <c r="D348" s="123">
        <f>'CLOSE FOREIGN ORDER'!AA563</f>
        <v>46010</v>
      </c>
      <c r="E348" s="112">
        <f>'CLOSE FOREIGN ORDER'!AB563</f>
        <v>628070.53</v>
      </c>
      <c r="F348" s="112">
        <f>'CLOSE FOREIGN ORDER'!AC563</f>
        <v>0</v>
      </c>
      <c r="G348" s="112">
        <f>'CLOSE FOREIGN ORDER'!AD563</f>
        <v>0</v>
      </c>
      <c r="H348" s="112">
        <f>'CLOSE FOREIGN ORDER'!AE563</f>
        <v>0</v>
      </c>
      <c r="I348" s="112">
        <f>'CLOSE FOREIGN ORDER'!AF563</f>
        <v>0</v>
      </c>
      <c r="J348" s="112">
        <f>'CLOSE FOREIGN ORDER'!AG563</f>
        <v>0</v>
      </c>
    </row>
    <row r="349" spans="1:10">
      <c r="A349" t="e">
        <f>'OPEN FOREIGN ORDER'!#REF!</f>
        <v>#REF!</v>
      </c>
      <c r="B349" t="e">
        <f>'OPEN FOREIGN ORDER'!#REF!</f>
        <v>#REF!</v>
      </c>
      <c r="C349" t="e">
        <f>'OPEN FOREIGN ORDER'!#REF!</f>
        <v>#REF!</v>
      </c>
      <c r="D349" s="123" t="e">
        <f>'OPEN FOREIGN ORDER'!#REF!</f>
        <v>#REF!</v>
      </c>
      <c r="E349" s="112" t="e">
        <f>'OPEN FOREIGN ORDER'!#REF!</f>
        <v>#REF!</v>
      </c>
      <c r="F349" s="112" t="e">
        <f>'OPEN FOREIGN ORDER'!#REF!</f>
        <v>#REF!</v>
      </c>
      <c r="G349" s="112" t="e">
        <f>'OPEN FOREIGN ORDER'!#REF!</f>
        <v>#REF!</v>
      </c>
      <c r="H349" s="112" t="e">
        <f>'OPEN FOREIGN ORDER'!#REF!</f>
        <v>#REF!</v>
      </c>
      <c r="I349" s="112" t="e">
        <f>'OPEN FOREIGN ORDER'!#REF!</f>
        <v>#REF!</v>
      </c>
      <c r="J349" s="112" t="e">
        <f>'OPEN FOREIGN ORDER'!#REF!</f>
        <v>#REF!</v>
      </c>
    </row>
    <row r="350" spans="1:10">
      <c r="A350" t="e">
        <f>'OPEN FOREIGN ORDER'!#REF!</f>
        <v>#REF!</v>
      </c>
      <c r="B350" t="e">
        <f>'OPEN FOREIGN ORDER'!#REF!</f>
        <v>#REF!</v>
      </c>
      <c r="C350" t="e">
        <f>'OPEN FOREIGN ORDER'!#REF!</f>
        <v>#REF!</v>
      </c>
      <c r="D350" s="123" t="e">
        <f>'OPEN FOREIGN ORDER'!#REF!</f>
        <v>#REF!</v>
      </c>
      <c r="E350" s="112" t="e">
        <f>'OPEN FOREIGN ORDER'!#REF!</f>
        <v>#REF!</v>
      </c>
      <c r="F350" s="112" t="e">
        <f>'OPEN FOREIGN ORDER'!#REF!</f>
        <v>#REF!</v>
      </c>
      <c r="G350" s="112" t="e">
        <f>'OPEN FOREIGN ORDER'!#REF!</f>
        <v>#REF!</v>
      </c>
      <c r="H350" s="112" t="e">
        <f>'OPEN FOREIGN ORDER'!#REF!</f>
        <v>#REF!</v>
      </c>
      <c r="I350" s="112" t="e">
        <f>'OPEN FOREIGN ORDER'!#REF!</f>
        <v>#REF!</v>
      </c>
      <c r="J350" s="112" t="e">
        <f>'OPEN FOREIGN ORDER'!#REF!</f>
        <v>#REF!</v>
      </c>
    </row>
    <row r="351" spans="1:10">
      <c r="A351" t="str">
        <f>'CLOSE FOREIGN ORDER'!D544</f>
        <v>FPO12509</v>
      </c>
      <c r="B351" t="str">
        <f>'CLOSE FOREIGN ORDER'!F544</f>
        <v>BANGKOK CAN MANUFACTURING CO LTD</v>
      </c>
      <c r="C351" t="str">
        <f>'CLOSE FOREIGN ORDER'!Z544</f>
        <v>60 days Bill of Lading</v>
      </c>
      <c r="D351" s="123">
        <f>'CLOSE FOREIGN ORDER'!AA544</f>
        <v>45988</v>
      </c>
      <c r="E351" s="112">
        <f>'CLOSE FOREIGN ORDER'!AB544</f>
        <v>45303.87</v>
      </c>
      <c r="F351" s="112">
        <f>'CLOSE FOREIGN ORDER'!AC544</f>
        <v>0</v>
      </c>
      <c r="G351" s="112">
        <f>'CLOSE FOREIGN ORDER'!AD544</f>
        <v>0</v>
      </c>
      <c r="H351" s="112">
        <f>'CLOSE FOREIGN ORDER'!AE544</f>
        <v>0</v>
      </c>
      <c r="I351" s="112">
        <f>'CLOSE FOREIGN ORDER'!AF544</f>
        <v>0</v>
      </c>
      <c r="J351" s="112">
        <f>'CLOSE FOREIGN ORDER'!AG544</f>
        <v>0</v>
      </c>
    </row>
    <row r="352" spans="1:10">
      <c r="A352" t="str">
        <f>'CLOSE FOREIGN ORDER'!D606</f>
        <v>FPO12511</v>
      </c>
      <c r="B352" t="str">
        <f>'CLOSE FOREIGN ORDER'!F606</f>
        <v>Blackhawk Molding Co., Inc</v>
      </c>
      <c r="C352" t="str">
        <f>'CLOSE FOREIGN ORDER'!Z606</f>
        <v>50% Advance payment-USD 28,482.66- due 09/10/2025
50% NET 45 DAYS- USD 28,482.66 - 05/12/2025</v>
      </c>
      <c r="D352" s="123">
        <f>'CLOSE FOREIGN ORDER'!AA606</f>
        <v>45996</v>
      </c>
      <c r="E352" s="112">
        <f>'CLOSE FOREIGN ORDER'!AB606</f>
        <v>56965.32</v>
      </c>
      <c r="F352" s="112">
        <f>'CLOSE FOREIGN ORDER'!AC606</f>
        <v>0</v>
      </c>
      <c r="G352" s="112">
        <f>'CLOSE FOREIGN ORDER'!AD606</f>
        <v>0</v>
      </c>
      <c r="H352" s="112">
        <f>'CLOSE FOREIGN ORDER'!AE606</f>
        <v>0</v>
      </c>
      <c r="I352" s="112">
        <f>'CLOSE FOREIGN ORDER'!AF606</f>
        <v>0</v>
      </c>
      <c r="J352" s="112">
        <f>'CLOSE FOREIGN ORDER'!AG606</f>
        <v>0</v>
      </c>
    </row>
    <row r="353" spans="1:10">
      <c r="A353" t="str">
        <f>'CLOSE FOREIGN ORDER'!D599</f>
        <v>FPO12512</v>
      </c>
      <c r="B353" t="str">
        <f>'CLOSE FOREIGN ORDER'!F599</f>
        <v>USINAS ITAMARATI S/A</v>
      </c>
      <c r="C353" t="str">
        <f>'CLOSE FOREIGN ORDER'!Z599</f>
        <v>100% ADVANCE PAYMENT</v>
      </c>
      <c r="D353" s="123">
        <f>'CLOSE FOREIGN ORDER'!AA599</f>
        <v>45908</v>
      </c>
      <c r="E353" s="112">
        <f>'CLOSE FOREIGN ORDER'!AB599</f>
        <v>139050</v>
      </c>
      <c r="F353" s="112">
        <f>'CLOSE FOREIGN ORDER'!AC599</f>
        <v>0</v>
      </c>
      <c r="G353" s="112">
        <f>'CLOSE FOREIGN ORDER'!AD599</f>
        <v>0</v>
      </c>
      <c r="H353" s="112">
        <f>'CLOSE FOREIGN ORDER'!AE599</f>
        <v>0</v>
      </c>
      <c r="I353" s="112">
        <f>'CLOSE FOREIGN ORDER'!AF599</f>
        <v>0</v>
      </c>
      <c r="J353" s="112">
        <f>'CLOSE FOREIGN ORDER'!AG599</f>
        <v>0</v>
      </c>
    </row>
    <row r="354" spans="1:10">
      <c r="A354" t="str">
        <f>'CLOSE FOREIGN ORDER'!D593</f>
        <v>FPO12513</v>
      </c>
      <c r="B354" t="str">
        <f>'CLOSE FOREIGN ORDER'!F593</f>
        <v>RETAL IBERIA SLU</v>
      </c>
      <c r="C354" t="str">
        <f>'CLOSE FOREIGN ORDER'!Z593</f>
        <v>60 DAYS FORM INVOICE DATE</v>
      </c>
      <c r="D354" s="123">
        <f>'CLOSE FOREIGN ORDER'!AA593</f>
        <v>45996</v>
      </c>
      <c r="E354" s="112">
        <f>'CLOSE FOREIGN ORDER'!AB593</f>
        <v>0</v>
      </c>
      <c r="F354" s="112">
        <f>'CLOSE FOREIGN ORDER'!AC593</f>
        <v>5007.97</v>
      </c>
      <c r="G354" s="112">
        <f>'CLOSE FOREIGN ORDER'!AD593</f>
        <v>0</v>
      </c>
      <c r="H354" s="112">
        <f>'CLOSE FOREIGN ORDER'!AE593</f>
        <v>0</v>
      </c>
      <c r="I354" s="112">
        <f>'CLOSE FOREIGN ORDER'!AF593</f>
        <v>0</v>
      </c>
      <c r="J354" s="112">
        <f>'CLOSE FOREIGN ORDER'!AG593</f>
        <v>0</v>
      </c>
    </row>
    <row r="355" spans="1:10">
      <c r="A355" t="e">
        <f>'OPEN FOREIGN ORDER'!#REF!</f>
        <v>#REF!</v>
      </c>
      <c r="B355" t="e">
        <f>'OPEN FOREIGN ORDER'!#REF!</f>
        <v>#REF!</v>
      </c>
      <c r="C355" t="e">
        <f>'OPEN FOREIGN ORDER'!#REF!</f>
        <v>#REF!</v>
      </c>
      <c r="D355" s="123" t="e">
        <f>'OPEN FOREIGN ORDER'!#REF!</f>
        <v>#REF!</v>
      </c>
      <c r="E355" s="112" t="e">
        <f>'OPEN FOREIGN ORDER'!#REF!</f>
        <v>#REF!</v>
      </c>
      <c r="F355" s="112" t="e">
        <f>'OPEN FOREIGN ORDER'!#REF!</f>
        <v>#REF!</v>
      </c>
      <c r="G355" s="112" t="e">
        <f>'OPEN FOREIGN ORDER'!#REF!</f>
        <v>#REF!</v>
      </c>
      <c r="H355" s="112" t="e">
        <f>'OPEN FOREIGN ORDER'!#REF!</f>
        <v>#REF!</v>
      </c>
      <c r="I355" s="112" t="e">
        <f>'OPEN FOREIGN ORDER'!#REF!</f>
        <v>#REF!</v>
      </c>
      <c r="J355" s="112" t="e">
        <f>'OPEN FOREIGN ORDER'!#REF!</f>
        <v>#REF!</v>
      </c>
    </row>
    <row r="356" spans="1:10">
      <c r="A356" t="e">
        <f>'OPEN FOREIGN ORDER'!#REF!</f>
        <v>#REF!</v>
      </c>
      <c r="B356" t="e">
        <f>'OPEN FOREIGN ORDER'!#REF!</f>
        <v>#REF!</v>
      </c>
      <c r="C356" t="e">
        <f>'OPEN FOREIGN ORDER'!#REF!</f>
        <v>#REF!</v>
      </c>
      <c r="D356" s="123" t="e">
        <f>'OPEN FOREIGN ORDER'!#REF!</f>
        <v>#REF!</v>
      </c>
      <c r="E356" s="112" t="e">
        <f>'OPEN FOREIGN ORDER'!#REF!</f>
        <v>#REF!</v>
      </c>
      <c r="F356" s="112" t="e">
        <f>'OPEN FOREIGN ORDER'!#REF!</f>
        <v>#REF!</v>
      </c>
      <c r="G356" s="112" t="e">
        <f>'OPEN FOREIGN ORDER'!#REF!</f>
        <v>#REF!</v>
      </c>
      <c r="H356" s="112" t="e">
        <f>'OPEN FOREIGN ORDER'!#REF!</f>
        <v>#REF!</v>
      </c>
      <c r="I356" s="112" t="e">
        <f>'OPEN FOREIGN ORDER'!#REF!</f>
        <v>#REF!</v>
      </c>
      <c r="J356" s="112" t="e">
        <f>'OPEN FOREIGN ORDER'!#REF!</f>
        <v>#REF!</v>
      </c>
    </row>
    <row r="357" spans="1:10">
      <c r="A357" t="e">
        <f>'OPEN FOREIGN ORDER'!#REF!</f>
        <v>#REF!</v>
      </c>
      <c r="B357" t="e">
        <f>'OPEN FOREIGN ORDER'!#REF!</f>
        <v>#REF!</v>
      </c>
      <c r="C357" t="e">
        <f>'OPEN FOREIGN ORDER'!#REF!</f>
        <v>#REF!</v>
      </c>
      <c r="D357" s="123" t="e">
        <f>'OPEN FOREIGN ORDER'!#REF!</f>
        <v>#REF!</v>
      </c>
      <c r="E357" s="112" t="e">
        <f>'OPEN FOREIGN ORDER'!#REF!</f>
        <v>#REF!</v>
      </c>
      <c r="F357" s="112" t="e">
        <f>'OPEN FOREIGN ORDER'!#REF!</f>
        <v>#REF!</v>
      </c>
      <c r="G357" s="112" t="e">
        <f>'OPEN FOREIGN ORDER'!#REF!</f>
        <v>#REF!</v>
      </c>
      <c r="H357" s="112" t="e">
        <f>'OPEN FOREIGN ORDER'!#REF!</f>
        <v>#REF!</v>
      </c>
      <c r="I357" s="112" t="e">
        <f>'OPEN FOREIGN ORDER'!#REF!</f>
        <v>#REF!</v>
      </c>
      <c r="J357" s="112" t="e">
        <f>'OPEN FOREIGN ORDER'!#REF!</f>
        <v>#REF!</v>
      </c>
    </row>
    <row r="358" spans="1:10">
      <c r="A358" t="e">
        <f>'OPEN FOREIGN ORDER'!#REF!</f>
        <v>#REF!</v>
      </c>
      <c r="B358" t="e">
        <f>'OPEN FOREIGN ORDER'!#REF!</f>
        <v>#REF!</v>
      </c>
      <c r="C358" t="e">
        <f>'OPEN FOREIGN ORDER'!#REF!</f>
        <v>#REF!</v>
      </c>
      <c r="D358" s="123" t="e">
        <f>'OPEN FOREIGN ORDER'!#REF!</f>
        <v>#REF!</v>
      </c>
      <c r="E358" s="112" t="e">
        <f>'OPEN FOREIGN ORDER'!#REF!</f>
        <v>#REF!</v>
      </c>
      <c r="F358" s="112" t="e">
        <f>'OPEN FOREIGN ORDER'!#REF!</f>
        <v>#REF!</v>
      </c>
      <c r="G358" s="112" t="e">
        <f>'OPEN FOREIGN ORDER'!#REF!</f>
        <v>#REF!</v>
      </c>
      <c r="H358" s="112" t="e">
        <f>'OPEN FOREIGN ORDER'!#REF!</f>
        <v>#REF!</v>
      </c>
      <c r="I358" s="112" t="e">
        <f>'OPEN FOREIGN ORDER'!#REF!</f>
        <v>#REF!</v>
      </c>
      <c r="J358" s="112" t="e">
        <f>'OPEN FOREIGN ORDER'!#REF!</f>
        <v>#REF!</v>
      </c>
    </row>
    <row r="359" spans="1:10">
      <c r="A359" t="e">
        <f>'OPEN FOREIGN ORDER'!#REF!</f>
        <v>#REF!</v>
      </c>
      <c r="B359" t="e">
        <f>'OPEN FOREIGN ORDER'!#REF!</f>
        <v>#REF!</v>
      </c>
      <c r="C359" t="e">
        <f>'OPEN FOREIGN ORDER'!#REF!</f>
        <v>#REF!</v>
      </c>
      <c r="D359" s="123" t="e">
        <f>'OPEN FOREIGN ORDER'!#REF!</f>
        <v>#REF!</v>
      </c>
      <c r="E359" s="112" t="e">
        <f>'OPEN FOREIGN ORDER'!#REF!</f>
        <v>#REF!</v>
      </c>
      <c r="F359" s="112" t="e">
        <f>'OPEN FOREIGN ORDER'!#REF!</f>
        <v>#REF!</v>
      </c>
      <c r="G359" s="112" t="e">
        <f>'OPEN FOREIGN ORDER'!#REF!</f>
        <v>#REF!</v>
      </c>
      <c r="H359" s="112" t="e">
        <f>'OPEN FOREIGN ORDER'!#REF!</f>
        <v>#REF!</v>
      </c>
      <c r="I359" s="112" t="e">
        <f>'OPEN FOREIGN ORDER'!#REF!</f>
        <v>#REF!</v>
      </c>
      <c r="J359" s="112" t="e">
        <f>'OPEN FOREIGN ORDER'!#REF!</f>
        <v>#REF!</v>
      </c>
    </row>
    <row r="360" spans="1:10">
      <c r="A360" t="str">
        <f>'CLOSE FOREIGN ORDER'!D473</f>
        <v>FPO12393</v>
      </c>
      <c r="B360" t="str">
        <f>'CLOSE FOREIGN ORDER'!F473</f>
        <v>RKW SAINT FRERES</v>
      </c>
      <c r="C360" t="str">
        <f>'CLOSE FOREIGN ORDER'!Z473</f>
        <v>60 DAYS INVOICE DATE</v>
      </c>
      <c r="D360" s="123">
        <f>'CLOSE FOREIGN ORDER'!AA473</f>
        <v>45950</v>
      </c>
      <c r="E360" s="112">
        <f>'CLOSE FOREIGN ORDER'!AB473</f>
        <v>0</v>
      </c>
      <c r="F360" s="112">
        <f>'CLOSE FOREIGN ORDER'!AC473</f>
        <v>25512.959999999999</v>
      </c>
      <c r="G360" s="112">
        <f>'CLOSE FOREIGN ORDER'!AD473</f>
        <v>0</v>
      </c>
      <c r="H360" s="112">
        <f>'CLOSE FOREIGN ORDER'!AE473</f>
        <v>0</v>
      </c>
      <c r="I360" s="112">
        <f>'CLOSE FOREIGN ORDER'!AF473</f>
        <v>0</v>
      </c>
      <c r="J360" s="112">
        <f>'CLOSE FOREIGN ORDER'!AG473</f>
        <v>0</v>
      </c>
    </row>
    <row r="361" spans="1:10">
      <c r="A361" t="str">
        <f>'CLOSE FOREIGN ORDER'!D619</f>
        <v>FPO12584</v>
      </c>
      <c r="B361" t="str">
        <f>'CLOSE FOREIGN ORDER'!F619</f>
        <v>STASSEN SA</v>
      </c>
      <c r="C361" t="str">
        <f>'CLOSE FOREIGN ORDER'!Z619</f>
        <v>45 jours fin de mois</v>
      </c>
      <c r="D361" s="123">
        <f>'CLOSE FOREIGN ORDER'!AA619</f>
        <v>46051</v>
      </c>
      <c r="E361" s="112">
        <f>'CLOSE FOREIGN ORDER'!AB619</f>
        <v>0</v>
      </c>
      <c r="F361" s="112">
        <f>'CLOSE FOREIGN ORDER'!AC619</f>
        <v>23040</v>
      </c>
      <c r="G361" s="112">
        <f>'CLOSE FOREIGN ORDER'!AD619</f>
        <v>0</v>
      </c>
      <c r="H361" s="112">
        <f>'CLOSE FOREIGN ORDER'!AE619</f>
        <v>0</v>
      </c>
      <c r="I361" s="112">
        <f>'CLOSE FOREIGN ORDER'!AF619</f>
        <v>0</v>
      </c>
      <c r="J361" s="112">
        <f>'CLOSE FOREIGN ORDER'!AG619</f>
        <v>0</v>
      </c>
    </row>
    <row r="362" spans="1:10">
      <c r="A362" t="str">
        <f>'CLOSE FOREIGN ORDER'!D649</f>
        <v>FPO12586</v>
      </c>
      <c r="B362" t="str">
        <f>'CLOSE FOREIGN ORDER'!F649</f>
        <v>MALAYA GLASS PRODUCTS</v>
      </c>
      <c r="C362" t="str">
        <f>'CLOSE FOREIGN ORDER'!Z649</f>
        <v>PAYMENT AGAINST BL</v>
      </c>
      <c r="D362" s="123">
        <f>'CLOSE FOREIGN ORDER'!AA649</f>
        <v>46010</v>
      </c>
      <c r="E362" s="112">
        <f>'CLOSE FOREIGN ORDER'!AB649</f>
        <v>190139.41</v>
      </c>
      <c r="F362" s="112">
        <f>'CLOSE FOREIGN ORDER'!AC649</f>
        <v>0</v>
      </c>
      <c r="G362" s="112">
        <f>'CLOSE FOREIGN ORDER'!AD649</f>
        <v>0</v>
      </c>
      <c r="H362" s="112">
        <f>'CLOSE FOREIGN ORDER'!AE649</f>
        <v>0</v>
      </c>
      <c r="I362" s="112">
        <f>'CLOSE FOREIGN ORDER'!AF649</f>
        <v>0</v>
      </c>
      <c r="J362" s="112">
        <f>'CLOSE FOREIGN ORDER'!AG649</f>
        <v>0</v>
      </c>
    </row>
    <row r="363" spans="1:10">
      <c r="A363" t="str">
        <f>'CLOSE FOREIGN ORDER'!D528</f>
        <v>FPO12585</v>
      </c>
      <c r="B363" t="e">
        <f>'OPEN FOREIGN ORDER'!#REF!</f>
        <v>#REF!</v>
      </c>
      <c r="C363" t="e">
        <f>'OPEN FOREIGN ORDER'!#REF!</f>
        <v>#REF!</v>
      </c>
      <c r="D363" s="123" t="e">
        <f>'OPEN FOREIGN ORDER'!#REF!</f>
        <v>#REF!</v>
      </c>
      <c r="E363" s="112" t="e">
        <f>'OPEN FOREIGN ORDER'!#REF!</f>
        <v>#REF!</v>
      </c>
      <c r="F363" s="112" t="e">
        <f>'OPEN FOREIGN ORDER'!#REF!</f>
        <v>#REF!</v>
      </c>
      <c r="G363" s="112" t="e">
        <f>'OPEN FOREIGN ORDER'!#REF!</f>
        <v>#REF!</v>
      </c>
      <c r="H363" s="112" t="e">
        <f>'OPEN FOREIGN ORDER'!#REF!</f>
        <v>#REF!</v>
      </c>
      <c r="I363" s="112" t="e">
        <f>'OPEN FOREIGN ORDER'!#REF!</f>
        <v>#REF!</v>
      </c>
      <c r="J363" s="112" t="e">
        <f>'OPEN FOREIGN ORDER'!#REF!</f>
        <v>#REF!</v>
      </c>
    </row>
    <row r="364" spans="1:10">
      <c r="A364" t="str">
        <f>'CLOSE FOREIGN ORDER'!D570</f>
        <v>FPO12587</v>
      </c>
      <c r="B364" t="str">
        <f>'CLOSE FOREIGN ORDER'!F570</f>
        <v>CACTUS CRAFT (PTY) LTD</v>
      </c>
      <c r="C364" t="str">
        <f>'CLOSE FOREIGN ORDER'!Z570</f>
        <v>100% ADVANCE PAYMENT</v>
      </c>
      <c r="D364" s="123">
        <f>'CLOSE FOREIGN ORDER'!AA570</f>
        <v>45943</v>
      </c>
      <c r="E364" s="112">
        <f>'CLOSE FOREIGN ORDER'!AB570</f>
        <v>0</v>
      </c>
      <c r="F364" s="112">
        <f>'CLOSE FOREIGN ORDER'!AC570</f>
        <v>0</v>
      </c>
      <c r="G364" s="112">
        <f>'CLOSE FOREIGN ORDER'!AD570</f>
        <v>0</v>
      </c>
      <c r="H364" s="112">
        <f>'CLOSE FOREIGN ORDER'!AE570</f>
        <v>31114.41</v>
      </c>
      <c r="I364" s="112">
        <f>'CLOSE FOREIGN ORDER'!AF570</f>
        <v>0</v>
      </c>
      <c r="J364" s="112">
        <f>'CLOSE FOREIGN ORDER'!AG570</f>
        <v>0</v>
      </c>
    </row>
    <row r="365" spans="1:10">
      <c r="A365" t="str">
        <f>'CLOSE FOREIGN ORDER'!D503</f>
        <v>FPO12601</v>
      </c>
      <c r="B365" t="str">
        <f>'CLOSE FOREIGN ORDER'!F503</f>
        <v>DEMATECH (PTY) LTD</v>
      </c>
      <c r="C365" t="str">
        <f>'CLOSE FOREIGN ORDER'!Z503</f>
        <v>100% ADVANCE PAYMENT</v>
      </c>
      <c r="D365" s="123">
        <f>'CLOSE FOREIGN ORDER'!AA503</f>
        <v>45946</v>
      </c>
      <c r="E365" s="112">
        <f>'CLOSE FOREIGN ORDER'!AB503</f>
        <v>0</v>
      </c>
      <c r="F365" s="112" t="e">
        <f>'OPEN FOREIGN ORDER'!#REF!</f>
        <v>#REF!</v>
      </c>
      <c r="G365" s="112">
        <f>'CLOSE FOREIGN ORDER'!AD503</f>
        <v>0</v>
      </c>
      <c r="H365" s="112">
        <f>'CLOSE FOREIGN ORDER'!AC503</f>
        <v>1450</v>
      </c>
      <c r="I365" s="112">
        <f>'CLOSE FOREIGN ORDER'!AF503</f>
        <v>0</v>
      </c>
      <c r="J365" s="112">
        <f>'CLOSE FOREIGN ORDER'!AG503</f>
        <v>0</v>
      </c>
    </row>
    <row r="366" spans="1:10">
      <c r="A366" t="e">
        <f>'OPEN FOREIGN ORDER'!#REF!</f>
        <v>#REF!</v>
      </c>
      <c r="B366" t="e">
        <f>'OPEN FOREIGN ORDER'!#REF!</f>
        <v>#REF!</v>
      </c>
      <c r="C366" t="e">
        <f>'OPEN FOREIGN ORDER'!#REF!</f>
        <v>#REF!</v>
      </c>
      <c r="D366" s="123" t="e">
        <f>'OPEN FOREIGN ORDER'!#REF!</f>
        <v>#REF!</v>
      </c>
      <c r="E366" s="112" t="e">
        <f>'OPEN FOREIGN ORDER'!#REF!</f>
        <v>#REF!</v>
      </c>
      <c r="F366" s="112" t="e">
        <f>'OPEN FOREIGN ORDER'!#REF!</f>
        <v>#REF!</v>
      </c>
      <c r="G366" s="112" t="e">
        <f>'OPEN FOREIGN ORDER'!#REF!</f>
        <v>#REF!</v>
      </c>
      <c r="H366" s="112" t="e">
        <f>'OPEN FOREIGN ORDER'!#REF!</f>
        <v>#REF!</v>
      </c>
      <c r="I366" s="112" t="e">
        <f>'OPEN FOREIGN ORDER'!#REF!</f>
        <v>#REF!</v>
      </c>
      <c r="J366" s="112" t="e">
        <f>'OPEN FOREIGN ORDER'!#REF!</f>
        <v>#REF!</v>
      </c>
    </row>
    <row r="367" spans="1:10">
      <c r="A367" t="e">
        <f>'OPEN FOREIGN ORDER'!#REF!</f>
        <v>#REF!</v>
      </c>
      <c r="B367" t="e">
        <f>'OPEN FOREIGN ORDER'!#REF!</f>
        <v>#REF!</v>
      </c>
      <c r="C367" t="e">
        <f>'OPEN FOREIGN ORDER'!#REF!</f>
        <v>#REF!</v>
      </c>
      <c r="D367" s="123" t="e">
        <f>'OPEN FOREIGN ORDER'!#REF!</f>
        <v>#REF!</v>
      </c>
      <c r="E367" s="112" t="e">
        <f>'OPEN FOREIGN ORDER'!#REF!</f>
        <v>#REF!</v>
      </c>
      <c r="F367" s="112" t="e">
        <f>'OPEN FOREIGN ORDER'!#REF!</f>
        <v>#REF!</v>
      </c>
      <c r="G367" s="112" t="e">
        <f>'OPEN FOREIGN ORDER'!#REF!</f>
        <v>#REF!</v>
      </c>
      <c r="H367" s="112" t="e">
        <f>'OPEN FOREIGN ORDER'!#REF!</f>
        <v>#REF!</v>
      </c>
      <c r="I367" s="112" t="e">
        <f>'OPEN FOREIGN ORDER'!#REF!</f>
        <v>#REF!</v>
      </c>
      <c r="J367" s="112" t="e">
        <f>'OPEN FOREIGN ORDER'!#REF!</f>
        <v>#REF!</v>
      </c>
    </row>
    <row r="368" spans="1:10">
      <c r="A368" t="e">
        <f>'OPEN FOREIGN ORDER'!#REF!</f>
        <v>#REF!</v>
      </c>
      <c r="B368" t="e">
        <f>'OPEN FOREIGN ORDER'!#REF!</f>
        <v>#REF!</v>
      </c>
      <c r="C368" t="e">
        <f>'OPEN FOREIGN ORDER'!#REF!</f>
        <v>#REF!</v>
      </c>
      <c r="D368" s="123" t="e">
        <f>'OPEN FOREIGN ORDER'!#REF!</f>
        <v>#REF!</v>
      </c>
      <c r="E368" s="112" t="e">
        <f>'OPEN FOREIGN ORDER'!#REF!</f>
        <v>#REF!</v>
      </c>
      <c r="F368" s="112" t="e">
        <f>'OPEN FOREIGN ORDER'!#REF!</f>
        <v>#REF!</v>
      </c>
      <c r="G368" s="112" t="e">
        <f>'OPEN FOREIGN ORDER'!#REF!</f>
        <v>#REF!</v>
      </c>
      <c r="H368" s="112" t="e">
        <f>'OPEN FOREIGN ORDER'!#REF!</f>
        <v>#REF!</v>
      </c>
      <c r="I368" s="112" t="e">
        <f>'OPEN FOREIGN ORDER'!#REF!</f>
        <v>#REF!</v>
      </c>
      <c r="J368" s="112" t="e">
        <f>'OPEN FOREIGN ORDER'!#REF!</f>
        <v>#REF!</v>
      </c>
    </row>
    <row r="369" spans="1:10">
      <c r="A369" t="e">
        <f>'OPEN FOREIGN ORDER'!#REF!</f>
        <v>#REF!</v>
      </c>
      <c r="B369" t="e">
        <f>'OPEN FOREIGN ORDER'!#REF!</f>
        <v>#REF!</v>
      </c>
      <c r="C369" t="e">
        <f>'OPEN FOREIGN ORDER'!#REF!</f>
        <v>#REF!</v>
      </c>
      <c r="D369" s="123" t="e">
        <f>'OPEN FOREIGN ORDER'!#REF!</f>
        <v>#REF!</v>
      </c>
      <c r="E369" s="112" t="e">
        <f>'OPEN FOREIGN ORDER'!#REF!</f>
        <v>#REF!</v>
      </c>
      <c r="F369" s="112" t="e">
        <f>'OPEN FOREIGN ORDER'!#REF!</f>
        <v>#REF!</v>
      </c>
      <c r="G369" s="112" t="e">
        <f>'OPEN FOREIGN ORDER'!#REF!</f>
        <v>#REF!</v>
      </c>
      <c r="H369" s="112" t="e">
        <f>'OPEN FOREIGN ORDER'!#REF!</f>
        <v>#REF!</v>
      </c>
      <c r="I369" s="112" t="e">
        <f>'OPEN FOREIGN ORDER'!#REF!</f>
        <v>#REF!</v>
      </c>
      <c r="J369" s="112" t="e">
        <f>'OPEN FOREIGN ORDER'!#REF!</f>
        <v>#REF!</v>
      </c>
    </row>
    <row r="370" spans="1:10">
      <c r="A370" t="e">
        <f>'OPEN FOREIGN ORDER'!#REF!</f>
        <v>#REF!</v>
      </c>
      <c r="B370" t="e">
        <f>'OPEN FOREIGN ORDER'!#REF!</f>
        <v>#REF!</v>
      </c>
      <c r="C370" t="e">
        <f>'OPEN FOREIGN ORDER'!#REF!</f>
        <v>#REF!</v>
      </c>
      <c r="D370" s="123" t="e">
        <f>'OPEN FOREIGN ORDER'!#REF!</f>
        <v>#REF!</v>
      </c>
      <c r="E370" s="112" t="e">
        <f>'OPEN FOREIGN ORDER'!#REF!</f>
        <v>#REF!</v>
      </c>
      <c r="F370" s="112" t="e">
        <f>'OPEN FOREIGN ORDER'!#REF!</f>
        <v>#REF!</v>
      </c>
      <c r="G370" s="112" t="e">
        <f>'OPEN FOREIGN ORDER'!#REF!</f>
        <v>#REF!</v>
      </c>
      <c r="H370" s="112" t="e">
        <f>'OPEN FOREIGN ORDER'!#REF!</f>
        <v>#REF!</v>
      </c>
      <c r="I370" s="112" t="e">
        <f>'OPEN FOREIGN ORDER'!#REF!</f>
        <v>#REF!</v>
      </c>
      <c r="J370" s="112" t="e">
        <f>'OPEN FOREIGN ORDER'!#REF!</f>
        <v>#REF!</v>
      </c>
    </row>
    <row r="371" spans="1:10">
      <c r="A371" t="e">
        <f>'OPEN FOREIGN ORDER'!#REF!</f>
        <v>#REF!</v>
      </c>
      <c r="B371" t="e">
        <f>'OPEN FOREIGN ORDER'!#REF!</f>
        <v>#REF!</v>
      </c>
      <c r="C371" t="e">
        <f>'OPEN FOREIGN ORDER'!#REF!</f>
        <v>#REF!</v>
      </c>
      <c r="D371" s="123" t="e">
        <f>'OPEN FOREIGN ORDER'!#REF!</f>
        <v>#REF!</v>
      </c>
      <c r="E371" s="112" t="e">
        <f>'OPEN FOREIGN ORDER'!#REF!</f>
        <v>#REF!</v>
      </c>
      <c r="F371" s="112" t="e">
        <f>'OPEN FOREIGN ORDER'!#REF!</f>
        <v>#REF!</v>
      </c>
      <c r="G371" s="112" t="e">
        <f>'OPEN FOREIGN ORDER'!#REF!</f>
        <v>#REF!</v>
      </c>
      <c r="H371" s="112" t="e">
        <f>'OPEN FOREIGN ORDER'!#REF!</f>
        <v>#REF!</v>
      </c>
      <c r="I371" s="112" t="e">
        <f>'OPEN FOREIGN ORDER'!#REF!</f>
        <v>#REF!</v>
      </c>
      <c r="J371" s="112" t="e">
        <f>'OPEN FOREIGN ORDER'!#REF!</f>
        <v>#REF!</v>
      </c>
    </row>
    <row r="372" spans="1:10">
      <c r="A372" t="e">
        <f>'OPEN FOREIGN ORDER'!#REF!</f>
        <v>#REF!</v>
      </c>
      <c r="B372" t="e">
        <f>'OPEN FOREIGN ORDER'!#REF!</f>
        <v>#REF!</v>
      </c>
      <c r="C372" t="e">
        <f>'OPEN FOREIGN ORDER'!#REF!</f>
        <v>#REF!</v>
      </c>
      <c r="D372" s="123" t="e">
        <f>'OPEN FOREIGN ORDER'!#REF!</f>
        <v>#REF!</v>
      </c>
      <c r="E372" s="112" t="e">
        <f>'OPEN FOREIGN ORDER'!#REF!</f>
        <v>#REF!</v>
      </c>
      <c r="F372" s="112" t="e">
        <f>'OPEN FOREIGN ORDER'!#REF!</f>
        <v>#REF!</v>
      </c>
      <c r="G372" s="112" t="e">
        <f>'OPEN FOREIGN ORDER'!#REF!</f>
        <v>#REF!</v>
      </c>
      <c r="H372" s="112" t="e">
        <f>'OPEN FOREIGN ORDER'!#REF!</f>
        <v>#REF!</v>
      </c>
      <c r="I372" s="112" t="e">
        <f>'OPEN FOREIGN ORDER'!#REF!</f>
        <v>#REF!</v>
      </c>
      <c r="J372" s="112" t="e">
        <f>'OPEN FOREIGN ORDER'!#REF!</f>
        <v>#REF!</v>
      </c>
    </row>
    <row r="373" spans="1:10">
      <c r="A373" t="e">
        <f>'OPEN FOREIGN ORDER'!#REF!</f>
        <v>#REF!</v>
      </c>
      <c r="B373" t="e">
        <f>'OPEN FOREIGN ORDER'!#REF!</f>
        <v>#REF!</v>
      </c>
      <c r="C373" t="e">
        <f>'OPEN FOREIGN ORDER'!#REF!</f>
        <v>#REF!</v>
      </c>
      <c r="D373" s="123" t="e">
        <f>'OPEN FOREIGN ORDER'!#REF!</f>
        <v>#REF!</v>
      </c>
      <c r="E373" s="112" t="e">
        <f>'OPEN FOREIGN ORDER'!#REF!</f>
        <v>#REF!</v>
      </c>
      <c r="F373" s="112" t="e">
        <f>'OPEN FOREIGN ORDER'!#REF!</f>
        <v>#REF!</v>
      </c>
      <c r="G373" s="112" t="e">
        <f>'OPEN FOREIGN ORDER'!#REF!</f>
        <v>#REF!</v>
      </c>
      <c r="H373" s="112" t="e">
        <f>'OPEN FOREIGN ORDER'!#REF!</f>
        <v>#REF!</v>
      </c>
      <c r="I373" s="112" t="e">
        <f>'OPEN FOREIGN ORDER'!#REF!</f>
        <v>#REF!</v>
      </c>
      <c r="J373" s="112" t="e">
        <f>'OPEN FOREIGN ORDER'!#REF!</f>
        <v>#REF!</v>
      </c>
    </row>
    <row r="374" spans="1:10">
      <c r="A374" t="e">
        <f>'OPEN FOREIGN ORDER'!#REF!</f>
        <v>#REF!</v>
      </c>
      <c r="B374" t="e">
        <f>'OPEN FOREIGN ORDER'!#REF!</f>
        <v>#REF!</v>
      </c>
      <c r="C374" t="e">
        <f>'OPEN FOREIGN ORDER'!#REF!</f>
        <v>#REF!</v>
      </c>
      <c r="D374" s="123" t="e">
        <f>'OPEN FOREIGN ORDER'!#REF!</f>
        <v>#REF!</v>
      </c>
      <c r="E374" s="112" t="e">
        <f>'OPEN FOREIGN ORDER'!#REF!</f>
        <v>#REF!</v>
      </c>
      <c r="F374" s="112" t="e">
        <f>'OPEN FOREIGN ORDER'!#REF!</f>
        <v>#REF!</v>
      </c>
      <c r="G374" s="112" t="e">
        <f>'OPEN FOREIGN ORDER'!#REF!</f>
        <v>#REF!</v>
      </c>
      <c r="H374" s="112" t="e">
        <f>'OPEN FOREIGN ORDER'!#REF!</f>
        <v>#REF!</v>
      </c>
      <c r="I374" s="112" t="e">
        <f>'OPEN FOREIGN ORDER'!#REF!</f>
        <v>#REF!</v>
      </c>
      <c r="J374" s="112" t="e">
        <f>'OPEN FOREIGN ORDER'!#REF!</f>
        <v>#REF!</v>
      </c>
    </row>
    <row r="375" spans="1:10">
      <c r="A375" t="str">
        <f>'CLOSE FOREIGN ORDER'!D670</f>
        <v>FPO12608</v>
      </c>
      <c r="B375" t="str">
        <f>'CLOSE FOREIGN ORDER'!F670</f>
        <v>Coca-Cola Swaziland</v>
      </c>
      <c r="C375" t="str">
        <f>'CLOSE FOREIGN ORDER'!Z670</f>
        <v>45 DAYS INVOICE DATE</v>
      </c>
      <c r="D375" s="123">
        <f>'CLOSE FOREIGN ORDER'!AA670</f>
        <v>46084</v>
      </c>
      <c r="E375" s="112" t="e">
        <f>'OPEN FOREIGN ORDER'!#REF!</f>
        <v>#REF!</v>
      </c>
      <c r="F375" s="112">
        <f>'CLOSE FOREIGN ORDER'!AC670</f>
        <v>0</v>
      </c>
      <c r="G375" s="112">
        <f>'CLOSE FOREIGN ORDER'!AD670</f>
        <v>0</v>
      </c>
      <c r="H375" s="112">
        <f>'CLOSE FOREIGN ORDER'!AB670</f>
        <v>1312104.73</v>
      </c>
      <c r="I375" s="112">
        <f>'CLOSE FOREIGN ORDER'!AF670</f>
        <v>0</v>
      </c>
      <c r="J375" s="112">
        <f>'CLOSE FOREIGN ORDER'!AG670</f>
        <v>0</v>
      </c>
    </row>
    <row r="376" spans="1:10">
      <c r="A376" t="str">
        <f>'CLOSE FOREIGN ORDER'!D648</f>
        <v>FPO12614</v>
      </c>
      <c r="B376" t="str">
        <f>'CLOSE FOREIGN ORDER'!F648</f>
        <v>CANPACK FRANCE SAS</v>
      </c>
      <c r="C376" t="str">
        <f>'CLOSE FOREIGN ORDER'!Z648</f>
        <v>60 DAYS INVOICE DATE</v>
      </c>
      <c r="D376" s="123">
        <f>'CLOSE FOREIGN ORDER'!AA648</f>
        <v>46056</v>
      </c>
      <c r="E376" s="112">
        <f>'CLOSE FOREIGN ORDER'!AB648</f>
        <v>0</v>
      </c>
      <c r="F376" s="112">
        <f>'CLOSE FOREIGN ORDER'!AC648</f>
        <v>39121.279999999999</v>
      </c>
      <c r="G376" s="112">
        <f>'CLOSE FOREIGN ORDER'!AD648</f>
        <v>0</v>
      </c>
      <c r="H376" s="112">
        <f>'CLOSE FOREIGN ORDER'!AE648</f>
        <v>0</v>
      </c>
      <c r="I376" s="112">
        <f>'CLOSE FOREIGN ORDER'!AF648</f>
        <v>0</v>
      </c>
      <c r="J376" s="112">
        <f>'CLOSE FOREIGN ORDER'!AG648</f>
        <v>0</v>
      </c>
    </row>
    <row r="377" spans="1:10">
      <c r="A377" t="e">
        <f>'OPEN FOREIGN ORDER'!#REF!</f>
        <v>#REF!</v>
      </c>
      <c r="B377" t="e">
        <f>'OPEN FOREIGN ORDER'!#REF!</f>
        <v>#REF!</v>
      </c>
      <c r="C377" t="e">
        <f>'OPEN FOREIGN ORDER'!#REF!</f>
        <v>#REF!</v>
      </c>
      <c r="D377" s="123" t="e">
        <f>'OPEN FOREIGN ORDER'!#REF!</f>
        <v>#REF!</v>
      </c>
      <c r="E377" s="112" t="e">
        <f>'OPEN FOREIGN ORDER'!#REF!</f>
        <v>#REF!</v>
      </c>
      <c r="F377" s="112" t="e">
        <f>'OPEN FOREIGN ORDER'!#REF!</f>
        <v>#REF!</v>
      </c>
      <c r="G377" s="112" t="e">
        <f>'OPEN FOREIGN ORDER'!#REF!</f>
        <v>#REF!</v>
      </c>
      <c r="H377" s="112" t="e">
        <f>'OPEN FOREIGN ORDER'!#REF!</f>
        <v>#REF!</v>
      </c>
      <c r="I377" s="112" t="e">
        <f>'OPEN FOREIGN ORDER'!#REF!</f>
        <v>#REF!</v>
      </c>
      <c r="J377" s="112" t="e">
        <f>'OPEN FOREIGN ORDER'!#REF!</f>
        <v>#REF!</v>
      </c>
    </row>
    <row r="378" spans="1:10">
      <c r="A378" t="str">
        <f>'OPEN FOREIGN ORDER'!D13</f>
        <v>FPO12766</v>
      </c>
      <c r="B378" t="str">
        <f>'OPEN FOREIGN ORDER'!F13</f>
        <v>APPLETISER SA PTY LTD</v>
      </c>
      <c r="C378" t="str">
        <f>'OPEN FOREIGN ORDER'!Z13</f>
        <v>60 DAYS INVOICE DATE</v>
      </c>
      <c r="D378" s="123">
        <f>'OPEN FOREIGN ORDER'!AA13</f>
        <v>46174</v>
      </c>
      <c r="E378" s="112">
        <f>'OPEN FOREIGN ORDER'!AB13</f>
        <v>0</v>
      </c>
      <c r="F378" s="112">
        <f>'OPEN FOREIGN ORDER'!AC13</f>
        <v>0</v>
      </c>
      <c r="G378" s="112">
        <f>'OPEN FOREIGN ORDER'!AD13</f>
        <v>0</v>
      </c>
      <c r="H378" s="112">
        <f>'OPEN FOREIGN ORDER'!AE13</f>
        <v>4839102.5199999996</v>
      </c>
      <c r="I378" s="112">
        <f>'OPEN FOREIGN ORDER'!AF13</f>
        <v>0</v>
      </c>
      <c r="J378" s="112">
        <f>'OPEN FOREIGN ORDER'!AG13</f>
        <v>0</v>
      </c>
    </row>
    <row r="379" spans="1:10">
      <c r="A379" t="str">
        <f>'CLOSE FOREIGN ORDER'!D686</f>
        <v>FPO12631</v>
      </c>
      <c r="B379" t="str">
        <f>'CLOSE FOREIGN ORDER'!F686</f>
        <v>Crown Emirates Co. LTD</v>
      </c>
      <c r="C379" t="str">
        <f>'CLOSE FOREIGN ORDER'!Z686</f>
        <v>100% ADVANCE PAYMENT</v>
      </c>
      <c r="D379" s="123">
        <f>'CLOSE FOREIGN ORDER'!AA686</f>
        <v>45987</v>
      </c>
      <c r="E379" s="112">
        <f>'CLOSE FOREIGN ORDER'!AB686</f>
        <v>71598.38</v>
      </c>
      <c r="F379" s="112">
        <f>'CLOSE FOREIGN ORDER'!AC686</f>
        <v>0</v>
      </c>
      <c r="G379" s="112">
        <f>'CLOSE FOREIGN ORDER'!AD686</f>
        <v>0</v>
      </c>
      <c r="H379" s="112">
        <f>'CLOSE FOREIGN ORDER'!AE686</f>
        <v>0</v>
      </c>
      <c r="I379" s="112">
        <f>'CLOSE FOREIGN ORDER'!AF686</f>
        <v>0</v>
      </c>
      <c r="J379" s="112">
        <f>'CLOSE FOREIGN ORDER'!AG686</f>
        <v>0</v>
      </c>
    </row>
    <row r="380" spans="1:10">
      <c r="A380" t="str">
        <f>'CLOSE FOREIGN ORDER'!D596</f>
        <v>FPO12632</v>
      </c>
      <c r="B380" t="str">
        <f>'CLOSE FOREIGN ORDER'!F596</f>
        <v xml:space="preserve">MMP Corporation Ltd </v>
      </c>
      <c r="C380" t="str">
        <f>'CLOSE FOREIGN ORDER'!Z596</f>
        <v xml:space="preserve">7 DAYS BEFORE SHIPMENT </v>
      </c>
      <c r="D380" s="123">
        <f>'CLOSE FOREIGN ORDER'!AA596</f>
        <v>45982</v>
      </c>
      <c r="E380" s="112">
        <f>'CLOSE FOREIGN ORDER'!AB596</f>
        <v>1904.4</v>
      </c>
      <c r="F380" s="112">
        <f>'CLOSE FOREIGN ORDER'!AC596</f>
        <v>0</v>
      </c>
      <c r="G380" s="112">
        <f>'CLOSE FOREIGN ORDER'!AD596</f>
        <v>0</v>
      </c>
      <c r="H380" s="112">
        <f>'CLOSE FOREIGN ORDER'!AE596</f>
        <v>0</v>
      </c>
      <c r="I380" s="112">
        <f>'CLOSE FOREIGN ORDER'!AF596</f>
        <v>0</v>
      </c>
      <c r="J380" s="112">
        <f>'CLOSE FOREIGN ORDER'!AG596</f>
        <v>0</v>
      </c>
    </row>
    <row r="381" spans="1:10">
      <c r="A381" t="str">
        <f>'CLOSE FOREIGN ORDER'!D651</f>
        <v>FPO12633</v>
      </c>
      <c r="B381" t="str">
        <f>'CLOSE FOREIGN ORDER'!F651</f>
        <v xml:space="preserve">MMP Corporation Ltd </v>
      </c>
      <c r="C381" t="str">
        <f>'CLOSE FOREIGN ORDER'!Z651</f>
        <v xml:space="preserve">7 DAYS BEFORE SHIPMENT </v>
      </c>
      <c r="D381" s="123">
        <f>'CLOSE FOREIGN ORDER'!AA651</f>
        <v>46017</v>
      </c>
      <c r="E381" s="112">
        <f>'CLOSE FOREIGN ORDER'!AB651</f>
        <v>28860.98</v>
      </c>
      <c r="F381" s="112">
        <f>'CLOSE FOREIGN ORDER'!AC651</f>
        <v>0</v>
      </c>
      <c r="G381" s="112">
        <f>'CLOSE FOREIGN ORDER'!AD651</f>
        <v>0</v>
      </c>
      <c r="H381" s="112">
        <f>'CLOSE FOREIGN ORDER'!AE651</f>
        <v>0</v>
      </c>
      <c r="I381" s="112">
        <f>'CLOSE FOREIGN ORDER'!AF651</f>
        <v>0</v>
      </c>
      <c r="J381" s="112">
        <f>'CLOSE FOREIGN ORDER'!AG651</f>
        <v>0</v>
      </c>
    </row>
    <row r="382" spans="1:10">
      <c r="A382" t="str">
        <f>'CLOSE FOREIGN ORDER'!D635</f>
        <v>FPO12634</v>
      </c>
      <c r="B382" t="str">
        <f>'CLOSE FOREIGN ORDER'!F635</f>
        <v>LES GRANDS CHAIS DE FRANCE</v>
      </c>
      <c r="C382" t="str">
        <f>'CLOSE FOREIGN ORDER'!Z635</f>
        <v>90 DAYS INVOICE DATE</v>
      </c>
      <c r="D382" s="123">
        <f>'CLOSE FOREIGN ORDER'!AA635</f>
        <v>46059</v>
      </c>
      <c r="E382" s="112">
        <f>'CLOSE FOREIGN ORDER'!AB635</f>
        <v>0</v>
      </c>
      <c r="F382" s="112">
        <f>'CLOSE FOREIGN ORDER'!AC635</f>
        <v>26584.1</v>
      </c>
      <c r="G382" s="112">
        <f>'CLOSE FOREIGN ORDER'!AD635</f>
        <v>0</v>
      </c>
      <c r="H382" s="112">
        <f>'CLOSE FOREIGN ORDER'!AE635</f>
        <v>0</v>
      </c>
      <c r="I382" s="112">
        <f>'CLOSE FOREIGN ORDER'!AF635</f>
        <v>0</v>
      </c>
      <c r="J382" s="112">
        <f>'CLOSE FOREIGN ORDER'!AG635</f>
        <v>0</v>
      </c>
    </row>
    <row r="383" spans="1:10">
      <c r="A383" t="e">
        <f>'OPEN FOREIGN ORDER'!#REF!</f>
        <v>#REF!</v>
      </c>
      <c r="B383" t="e">
        <f>'OPEN FOREIGN ORDER'!#REF!</f>
        <v>#REF!</v>
      </c>
      <c r="C383" t="e">
        <f>'OPEN FOREIGN ORDER'!#REF!</f>
        <v>#REF!</v>
      </c>
      <c r="D383" s="123" t="e">
        <f>'OPEN FOREIGN ORDER'!#REF!</f>
        <v>#REF!</v>
      </c>
      <c r="E383" s="112" t="e">
        <f>'OPEN FOREIGN ORDER'!#REF!</f>
        <v>#REF!</v>
      </c>
      <c r="F383" s="112" t="e">
        <f>'OPEN FOREIGN ORDER'!#REF!</f>
        <v>#REF!</v>
      </c>
      <c r="G383" s="112" t="e">
        <f>'OPEN FOREIGN ORDER'!#REF!</f>
        <v>#REF!</v>
      </c>
      <c r="H383" s="112" t="e">
        <f>'OPEN FOREIGN ORDER'!#REF!</f>
        <v>#REF!</v>
      </c>
      <c r="I383" s="112" t="e">
        <f>'OPEN FOREIGN ORDER'!#REF!</f>
        <v>#REF!</v>
      </c>
      <c r="J383" s="112" t="e">
        <f>'OPEN FOREIGN ORDER'!#REF!</f>
        <v>#REF!</v>
      </c>
    </row>
    <row r="384" spans="1:10">
      <c r="A384" t="str">
        <f>'CLOSE FOREIGN ORDER'!D655</f>
        <v>FPO12639</v>
      </c>
      <c r="B384" t="str">
        <f>'CLOSE FOREIGN ORDER'!F655</f>
        <v>LES GRANDS CHAIS DE FRANCE</v>
      </c>
      <c r="C384" t="str">
        <f>'CLOSE FOREIGN ORDER'!Z655</f>
        <v>90 DAYS INVOICE DATE</v>
      </c>
      <c r="D384" s="123">
        <f>'CLOSE FOREIGN ORDER'!AA655</f>
        <v>46069</v>
      </c>
      <c r="E384" s="112">
        <f>'CLOSE FOREIGN ORDER'!AB655</f>
        <v>0</v>
      </c>
      <c r="F384" s="112">
        <f>'CLOSE FOREIGN ORDER'!AC655</f>
        <v>41467.879999999997</v>
      </c>
      <c r="G384" s="112">
        <f>'CLOSE FOREIGN ORDER'!AD655</f>
        <v>0</v>
      </c>
      <c r="H384" s="112">
        <f>'CLOSE FOREIGN ORDER'!AE655</f>
        <v>0</v>
      </c>
      <c r="I384" s="112">
        <f>'CLOSE FOREIGN ORDER'!AF655</f>
        <v>0</v>
      </c>
      <c r="J384" s="112">
        <f>'CLOSE FOREIGN ORDER'!AG655</f>
        <v>0</v>
      </c>
    </row>
    <row r="385" spans="1:10">
      <c r="A385" t="str">
        <f>'CLOSE FOREIGN ORDER'!D650</f>
        <v>FPO12645</v>
      </c>
      <c r="B385" t="str">
        <f>'CLOSE FOREIGN ORDER'!F650</f>
        <v>Manjushree Technopack Ltd</v>
      </c>
      <c r="C385" t="str">
        <f>'CLOSE FOREIGN ORDER'!Z650</f>
        <v xml:space="preserve">21 DAYS BL DATE </v>
      </c>
      <c r="D385" s="123">
        <f>'CLOSE FOREIGN ORDER'!AA650</f>
        <v>46051</v>
      </c>
      <c r="E385" s="112">
        <f>'CLOSE FOREIGN ORDER'!AB650</f>
        <v>9048.6</v>
      </c>
      <c r="F385" s="112">
        <f>'CLOSE FOREIGN ORDER'!AC650</f>
        <v>0</v>
      </c>
      <c r="G385" s="112">
        <f>'CLOSE FOREIGN ORDER'!AD650</f>
        <v>0</v>
      </c>
      <c r="H385" s="112">
        <f>'CLOSE FOREIGN ORDER'!AE650</f>
        <v>0</v>
      </c>
      <c r="I385" s="112">
        <f>'CLOSE FOREIGN ORDER'!AF650</f>
        <v>0</v>
      </c>
      <c r="J385" s="112">
        <f>'CLOSE FOREIGN ORDER'!AG650</f>
        <v>0</v>
      </c>
    </row>
    <row r="386" spans="1:10">
      <c r="A386" t="e">
        <f>'OPEN FOREIGN ORDER'!#REF!</f>
        <v>#REF!</v>
      </c>
      <c r="B386" t="e">
        <f>'OPEN FOREIGN ORDER'!#REF!</f>
        <v>#REF!</v>
      </c>
      <c r="C386" t="e">
        <f>'OPEN FOREIGN ORDER'!#REF!</f>
        <v>#REF!</v>
      </c>
      <c r="D386" s="123" t="e">
        <f>'OPEN FOREIGN ORDER'!#REF!</f>
        <v>#REF!</v>
      </c>
      <c r="E386" s="112" t="e">
        <f>'OPEN FOREIGN ORDER'!#REF!</f>
        <v>#REF!</v>
      </c>
      <c r="F386" s="112" t="e">
        <f>'OPEN FOREIGN ORDER'!#REF!</f>
        <v>#REF!</v>
      </c>
      <c r="G386" s="112" t="e">
        <f>'OPEN FOREIGN ORDER'!#REF!</f>
        <v>#REF!</v>
      </c>
      <c r="H386" s="112" t="e">
        <f>'OPEN FOREIGN ORDER'!#REF!</f>
        <v>#REF!</v>
      </c>
      <c r="I386" s="112" t="e">
        <f>'OPEN FOREIGN ORDER'!#REF!</f>
        <v>#REF!</v>
      </c>
      <c r="J386" s="112" t="e">
        <f>'OPEN FOREIGN ORDER'!#REF!</f>
        <v>#REF!</v>
      </c>
    </row>
    <row r="387" spans="1:10">
      <c r="A387" t="e">
        <f>'OPEN FOREIGN ORDER'!#REF!</f>
        <v>#REF!</v>
      </c>
      <c r="B387" t="e">
        <f>'OPEN FOREIGN ORDER'!#REF!</f>
        <v>#REF!</v>
      </c>
      <c r="C387" t="e">
        <f>'OPEN FOREIGN ORDER'!#REF!</f>
        <v>#REF!</v>
      </c>
      <c r="D387" s="123" t="e">
        <f>'OPEN FOREIGN ORDER'!#REF!</f>
        <v>#REF!</v>
      </c>
      <c r="E387" s="112" t="e">
        <f>'OPEN FOREIGN ORDER'!#REF!</f>
        <v>#REF!</v>
      </c>
      <c r="F387" s="112" t="e">
        <f>'OPEN FOREIGN ORDER'!#REF!</f>
        <v>#REF!</v>
      </c>
      <c r="G387" s="112" t="e">
        <f>'OPEN FOREIGN ORDER'!#REF!</f>
        <v>#REF!</v>
      </c>
      <c r="H387" s="112" t="e">
        <f>'OPEN FOREIGN ORDER'!#REF!</f>
        <v>#REF!</v>
      </c>
      <c r="I387" s="112" t="e">
        <f>'OPEN FOREIGN ORDER'!#REF!</f>
        <v>#REF!</v>
      </c>
      <c r="J387" s="112" t="e">
        <f>'OPEN FOREIGN ORDER'!#REF!</f>
        <v>#REF!</v>
      </c>
    </row>
    <row r="388" spans="1:10">
      <c r="A388" t="e">
        <f>'OPEN FOREIGN ORDER'!#REF!</f>
        <v>#REF!</v>
      </c>
      <c r="B388" t="e">
        <f>'OPEN FOREIGN ORDER'!#REF!</f>
        <v>#REF!</v>
      </c>
      <c r="C388" t="e">
        <f>'OPEN FOREIGN ORDER'!#REF!</f>
        <v>#REF!</v>
      </c>
      <c r="D388" s="123" t="e">
        <f>'OPEN FOREIGN ORDER'!#REF!</f>
        <v>#REF!</v>
      </c>
      <c r="E388" s="112" t="e">
        <f>'OPEN FOREIGN ORDER'!#REF!</f>
        <v>#REF!</v>
      </c>
      <c r="F388" s="112" t="e">
        <f>'OPEN FOREIGN ORDER'!#REF!</f>
        <v>#REF!</v>
      </c>
      <c r="G388" s="112" t="e">
        <f>'OPEN FOREIGN ORDER'!#REF!</f>
        <v>#REF!</v>
      </c>
      <c r="H388" s="112" t="e">
        <f>'OPEN FOREIGN ORDER'!#REF!</f>
        <v>#REF!</v>
      </c>
      <c r="I388" s="112" t="e">
        <f>'OPEN FOREIGN ORDER'!#REF!</f>
        <v>#REF!</v>
      </c>
      <c r="J388" s="112" t="e">
        <f>'OPEN FOREIGN ORDER'!#REF!</f>
        <v>#REF!</v>
      </c>
    </row>
    <row r="389" spans="1:10">
      <c r="A389" t="str">
        <f>'CLOSE FOREIGN ORDER'!D738</f>
        <v>FPO12658</v>
      </c>
      <c r="B389" t="str">
        <f>'CLOSE FOREIGN ORDER'!F738</f>
        <v>Diageo Brands</v>
      </c>
      <c r="C389" t="str">
        <f>'CLOSE FOREIGN ORDER'!Z738</f>
        <v>90 DAYS INVOICE DATE</v>
      </c>
      <c r="D389" s="123">
        <f>'CLOSE FOREIGN ORDER'!AA738</f>
        <v>46106</v>
      </c>
      <c r="E389" s="112">
        <f>'CLOSE FOREIGN ORDER'!AB738</f>
        <v>0</v>
      </c>
      <c r="F389" s="112">
        <f>'CLOSE FOREIGN ORDER'!AC738</f>
        <v>6770.78</v>
      </c>
      <c r="G389" s="112">
        <f>'CLOSE FOREIGN ORDER'!AD738</f>
        <v>0</v>
      </c>
      <c r="H389" s="112">
        <f>'CLOSE FOREIGN ORDER'!AE738</f>
        <v>0</v>
      </c>
      <c r="I389" s="112">
        <f>'CLOSE FOREIGN ORDER'!AF738</f>
        <v>0</v>
      </c>
      <c r="J389" s="112">
        <f>'CLOSE FOREIGN ORDER'!AG738</f>
        <v>0</v>
      </c>
    </row>
    <row r="390" spans="1:10">
      <c r="A390" t="str">
        <f>'CLOSE FOREIGN ORDER'!D681</f>
        <v>FPO12659</v>
      </c>
      <c r="B390" t="str">
        <f>'CLOSE FOREIGN ORDER'!F681</f>
        <v>METAROM FRANCE</v>
      </c>
      <c r="C390" t="str">
        <f>'CLOSE FOREIGN ORDER'!Z681</f>
        <v>60 DAYS INVOICE DATE</v>
      </c>
      <c r="D390" s="123">
        <f>'CLOSE FOREIGN ORDER'!AA681</f>
        <v>46094</v>
      </c>
      <c r="E390" s="112">
        <f>'CLOSE FOREIGN ORDER'!AB681</f>
        <v>0</v>
      </c>
      <c r="F390" s="112">
        <f>'CLOSE FOREIGN ORDER'!AC681</f>
        <v>2275</v>
      </c>
      <c r="G390" s="112">
        <f>'CLOSE FOREIGN ORDER'!AD681</f>
        <v>0</v>
      </c>
      <c r="H390" s="112">
        <f>'CLOSE FOREIGN ORDER'!AE681</f>
        <v>0</v>
      </c>
      <c r="I390" s="112">
        <f>'CLOSE FOREIGN ORDER'!AF681</f>
        <v>0</v>
      </c>
      <c r="J390" s="112">
        <f>'CLOSE FOREIGN ORDER'!AG681</f>
        <v>0</v>
      </c>
    </row>
    <row r="391" spans="1:10">
      <c r="A391" t="str">
        <f>'CLOSE FOREIGN ORDER'!D702</f>
        <v>FPO12661</v>
      </c>
      <c r="B391" t="str">
        <f>'CLOSE FOREIGN ORDER'!F702</f>
        <v>Stassen S.A.</v>
      </c>
      <c r="C391" t="str">
        <f>'CLOSE FOREIGN ORDER'!Z702</f>
        <v>45 jours fin de mois</v>
      </c>
      <c r="D391" s="123">
        <f>'CLOSE FOREIGN ORDER'!AA702</f>
        <v>46111</v>
      </c>
      <c r="E391" s="112">
        <f>'CLOSE FOREIGN ORDER'!AB702</f>
        <v>0</v>
      </c>
      <c r="F391" s="112">
        <f>'CLOSE FOREIGN ORDER'!AC702</f>
        <v>25560</v>
      </c>
      <c r="G391" s="112">
        <f>'CLOSE FOREIGN ORDER'!AD702</f>
        <v>0</v>
      </c>
      <c r="H391" s="112">
        <f>'CLOSE FOREIGN ORDER'!AE702</f>
        <v>0</v>
      </c>
      <c r="I391" s="112">
        <f>'CLOSE FOREIGN ORDER'!AF702</f>
        <v>0</v>
      </c>
      <c r="J391" s="112">
        <f>'CLOSE FOREIGN ORDER'!AG702</f>
        <v>0</v>
      </c>
    </row>
    <row r="392" spans="1:10">
      <c r="A392" t="str">
        <f>'CLOSE FOREIGN ORDER'!D674</f>
        <v>FPO12662</v>
      </c>
      <c r="B392" t="str">
        <f>'CLOSE FOREIGN ORDER'!F674</f>
        <v>BOORTMALT NV</v>
      </c>
      <c r="C392" t="str">
        <f>'CLOSE FOREIGN ORDER'!Z674</f>
        <v>60 days Bill of Lading</v>
      </c>
      <c r="D392" s="123">
        <f>'CLOSE FOREIGN ORDER'!AA674</f>
        <v>46072</v>
      </c>
      <c r="E392" s="112">
        <f>'CLOSE FOREIGN ORDER'!AB674</f>
        <v>0</v>
      </c>
      <c r="F392" s="112">
        <f>'CLOSE FOREIGN ORDER'!AC674</f>
        <v>133313.29</v>
      </c>
      <c r="G392" s="112">
        <f>'CLOSE FOREIGN ORDER'!AD674</f>
        <v>0</v>
      </c>
      <c r="H392" s="112">
        <f>'CLOSE FOREIGN ORDER'!AE674</f>
        <v>0</v>
      </c>
      <c r="I392" s="112">
        <f>'CLOSE FOREIGN ORDER'!AF674</f>
        <v>0</v>
      </c>
      <c r="J392" s="112">
        <f>'CLOSE FOREIGN ORDER'!AG674</f>
        <v>0</v>
      </c>
    </row>
    <row r="393" spans="1:10">
      <c r="A393" t="e">
        <f>'OPEN FOREIGN ORDER'!#REF!</f>
        <v>#REF!</v>
      </c>
      <c r="B393" t="e">
        <f>'OPEN FOREIGN ORDER'!#REF!</f>
        <v>#REF!</v>
      </c>
      <c r="C393" t="e">
        <f>'OPEN FOREIGN ORDER'!#REF!</f>
        <v>#REF!</v>
      </c>
      <c r="D393" s="123" t="e">
        <f>'OPEN FOREIGN ORDER'!#REF!</f>
        <v>#REF!</v>
      </c>
      <c r="E393" s="112" t="e">
        <f>'OPEN FOREIGN ORDER'!#REF!</f>
        <v>#REF!</v>
      </c>
      <c r="F393" s="112" t="e">
        <f>'OPEN FOREIGN ORDER'!#REF!</f>
        <v>#REF!</v>
      </c>
      <c r="G393" s="112" t="e">
        <f>'OPEN FOREIGN ORDER'!#REF!</f>
        <v>#REF!</v>
      </c>
      <c r="H393" s="112" t="e">
        <f>'OPEN FOREIGN ORDER'!#REF!</f>
        <v>#REF!</v>
      </c>
      <c r="I393" s="112" t="e">
        <f>'OPEN FOREIGN ORDER'!#REF!</f>
        <v>#REF!</v>
      </c>
      <c r="J393" s="112" t="e">
        <f>'OPEN FOREIGN ORDER'!#REF!</f>
        <v>#REF!</v>
      </c>
    </row>
    <row r="394" spans="1:10">
      <c r="A394" t="e">
        <f>'OPEN FOREIGN ORDER'!#REF!</f>
        <v>#REF!</v>
      </c>
      <c r="B394" t="e">
        <f>'OPEN FOREIGN ORDER'!#REF!</f>
        <v>#REF!</v>
      </c>
      <c r="C394" t="e">
        <f>'OPEN FOREIGN ORDER'!#REF!</f>
        <v>#REF!</v>
      </c>
      <c r="D394" s="123" t="e">
        <f>'OPEN FOREIGN ORDER'!#REF!</f>
        <v>#REF!</v>
      </c>
      <c r="E394" s="112" t="e">
        <f>'OPEN FOREIGN ORDER'!#REF!</f>
        <v>#REF!</v>
      </c>
      <c r="F394" s="112" t="e">
        <f>'OPEN FOREIGN ORDER'!#REF!</f>
        <v>#REF!</v>
      </c>
      <c r="G394" s="112" t="e">
        <f>'OPEN FOREIGN ORDER'!#REF!</f>
        <v>#REF!</v>
      </c>
      <c r="H394" s="112" t="e">
        <f>'OPEN FOREIGN ORDER'!#REF!</f>
        <v>#REF!</v>
      </c>
      <c r="I394" s="112" t="e">
        <f>'OPEN FOREIGN ORDER'!#REF!</f>
        <v>#REF!</v>
      </c>
      <c r="J394" s="112" t="e">
        <f>'OPEN FOREIGN ORDER'!#REF!</f>
        <v>#REF!</v>
      </c>
    </row>
    <row r="395" spans="1:10">
      <c r="A395" t="str">
        <f>'CLOSE FOREIGN ORDER'!D666</f>
        <v>FPO12663</v>
      </c>
      <c r="B395" t="str">
        <f>'CLOSE FOREIGN ORDER'!F666</f>
        <v>Holland Malt</v>
      </c>
      <c r="C395" t="str">
        <f>'CLOSE FOREIGN ORDER'!Z666</f>
        <v>60 DAYS INVOICE DATE</v>
      </c>
      <c r="D395" s="123">
        <f>'CLOSE FOREIGN ORDER'!AA666</f>
        <v>46061</v>
      </c>
      <c r="E395" s="112">
        <f>'CLOSE FOREIGN ORDER'!AB666</f>
        <v>0</v>
      </c>
      <c r="F395" s="112">
        <f>'CLOSE FOREIGN ORDER'!AC666</f>
        <v>58880.160000000003</v>
      </c>
      <c r="G395" s="112">
        <f>'CLOSE FOREIGN ORDER'!AD666</f>
        <v>0</v>
      </c>
      <c r="H395" s="112">
        <f>'CLOSE FOREIGN ORDER'!AE666</f>
        <v>0</v>
      </c>
      <c r="I395" s="112">
        <f>'CLOSE FOREIGN ORDER'!AF666</f>
        <v>0</v>
      </c>
      <c r="J395" s="112">
        <f>'CLOSE FOREIGN ORDER'!AG666</f>
        <v>0</v>
      </c>
    </row>
    <row r="396" spans="1:10">
      <c r="A396" t="str">
        <f>'CLOSE FOREIGN ORDER'!D676</f>
        <v>FPO12664</v>
      </c>
      <c r="B396" t="str">
        <f>'CLOSE FOREIGN ORDER'!F676</f>
        <v>BOORTMALT ASIA PACIFIC PTY LTD</v>
      </c>
      <c r="C396" t="str">
        <f>'CLOSE FOREIGN ORDER'!Z676</f>
        <v>60 DAYS INVOICE DATE</v>
      </c>
      <c r="D396" s="123">
        <f>'CLOSE FOREIGN ORDER'!AA676</f>
        <v>46062</v>
      </c>
      <c r="E396" s="112">
        <f>'CLOSE FOREIGN ORDER'!AB676</f>
        <v>28042.2</v>
      </c>
      <c r="F396" s="112">
        <f>'CLOSE FOREIGN ORDER'!AC676</f>
        <v>0</v>
      </c>
      <c r="G396" s="112">
        <f>'CLOSE FOREIGN ORDER'!AD676</f>
        <v>0</v>
      </c>
      <c r="H396" s="112">
        <f>'CLOSE FOREIGN ORDER'!AE676</f>
        <v>0</v>
      </c>
      <c r="I396" s="112">
        <f>'CLOSE FOREIGN ORDER'!AF676</f>
        <v>0</v>
      </c>
      <c r="J396" s="112">
        <f>'CLOSE FOREIGN ORDER'!AG676</f>
        <v>0</v>
      </c>
    </row>
    <row r="397" spans="1:10">
      <c r="A397" t="e">
        <f>'OPEN FOREIGN ORDER'!#REF!</f>
        <v>#REF!</v>
      </c>
      <c r="B397" t="e">
        <f>'OPEN FOREIGN ORDER'!#REF!</f>
        <v>#REF!</v>
      </c>
      <c r="C397" t="e">
        <f>'OPEN FOREIGN ORDER'!#REF!</f>
        <v>#REF!</v>
      </c>
      <c r="D397" s="123" t="e">
        <f>'OPEN FOREIGN ORDER'!#REF!</f>
        <v>#REF!</v>
      </c>
      <c r="E397" s="112" t="e">
        <f>'OPEN FOREIGN ORDER'!#REF!</f>
        <v>#REF!</v>
      </c>
      <c r="F397" s="112" t="e">
        <f>'OPEN FOREIGN ORDER'!#REF!</f>
        <v>#REF!</v>
      </c>
      <c r="G397" s="112" t="e">
        <f>'OPEN FOREIGN ORDER'!#REF!</f>
        <v>#REF!</v>
      </c>
      <c r="H397" s="112" t="e">
        <f>'OPEN FOREIGN ORDER'!#REF!</f>
        <v>#REF!</v>
      </c>
      <c r="I397" s="112" t="e">
        <f>'OPEN FOREIGN ORDER'!#REF!</f>
        <v>#REF!</v>
      </c>
      <c r="J397" s="112" t="e">
        <f>'OPEN FOREIGN ORDER'!#REF!</f>
        <v>#REF!</v>
      </c>
    </row>
    <row r="398" spans="1:10">
      <c r="A398" t="e">
        <f>'OPEN FOREIGN ORDER'!#REF!</f>
        <v>#REF!</v>
      </c>
      <c r="B398" t="e">
        <f>'OPEN FOREIGN ORDER'!#REF!</f>
        <v>#REF!</v>
      </c>
      <c r="C398" t="e">
        <f>'OPEN FOREIGN ORDER'!#REF!</f>
        <v>#REF!</v>
      </c>
      <c r="D398" s="123" t="e">
        <f>'OPEN FOREIGN ORDER'!#REF!</f>
        <v>#REF!</v>
      </c>
      <c r="E398" s="112" t="e">
        <f>'OPEN FOREIGN ORDER'!#REF!</f>
        <v>#REF!</v>
      </c>
      <c r="F398" s="112" t="e">
        <f>'OPEN FOREIGN ORDER'!#REF!</f>
        <v>#REF!</v>
      </c>
      <c r="G398" s="112" t="e">
        <f>'OPEN FOREIGN ORDER'!#REF!</f>
        <v>#REF!</v>
      </c>
      <c r="H398" s="112" t="e">
        <f>'OPEN FOREIGN ORDER'!#REF!</f>
        <v>#REF!</v>
      </c>
      <c r="I398" s="112" t="e">
        <f>'OPEN FOREIGN ORDER'!#REF!</f>
        <v>#REF!</v>
      </c>
      <c r="J398" s="112" t="e">
        <f>'OPEN FOREIGN ORDER'!#REF!</f>
        <v>#REF!</v>
      </c>
    </row>
    <row r="399" spans="1:10">
      <c r="A399" t="e">
        <f>'OPEN FOREIGN ORDER'!#REF!</f>
        <v>#REF!</v>
      </c>
      <c r="B399" t="e">
        <f>'OPEN FOREIGN ORDER'!#REF!</f>
        <v>#REF!</v>
      </c>
      <c r="C399" t="e">
        <f>'OPEN FOREIGN ORDER'!#REF!</f>
        <v>#REF!</v>
      </c>
      <c r="D399" s="123" t="e">
        <f>'OPEN FOREIGN ORDER'!#REF!</f>
        <v>#REF!</v>
      </c>
      <c r="E399" s="112" t="e">
        <f>'OPEN FOREIGN ORDER'!#REF!</f>
        <v>#REF!</v>
      </c>
      <c r="F399" s="112" t="e">
        <f>'OPEN FOREIGN ORDER'!#REF!</f>
        <v>#REF!</v>
      </c>
      <c r="G399" s="112" t="e">
        <f>'OPEN FOREIGN ORDER'!#REF!</f>
        <v>#REF!</v>
      </c>
      <c r="H399" s="112" t="e">
        <f>'OPEN FOREIGN ORDER'!#REF!</f>
        <v>#REF!</v>
      </c>
      <c r="I399" s="112" t="e">
        <f>'OPEN FOREIGN ORDER'!#REF!</f>
        <v>#REF!</v>
      </c>
      <c r="J399" s="112" t="e">
        <f>'OPEN FOREIGN ORDER'!#REF!</f>
        <v>#REF!</v>
      </c>
    </row>
    <row r="400" spans="1:10">
      <c r="A400" t="str">
        <f>'CLOSE FOREIGN ORDER'!D632</f>
        <v>FPO12699</v>
      </c>
      <c r="B400" t="str">
        <f>'CLOSE FOREIGN ORDER'!F632</f>
        <v>SHEET PLASTIC (PTY) LTD</v>
      </c>
      <c r="C400" t="str">
        <f>'CLOSE FOREIGN ORDER'!Z632</f>
        <v>30 DAYS INVOICE DATE</v>
      </c>
      <c r="D400" s="123">
        <f>'CLOSE FOREIGN ORDER'!AA632</f>
        <v>46037</v>
      </c>
      <c r="E400" s="112">
        <f>'CLOSE FOREIGN ORDER'!AB632</f>
        <v>37680</v>
      </c>
      <c r="F400" s="112">
        <f>'CLOSE FOREIGN ORDER'!AC632</f>
        <v>0</v>
      </c>
      <c r="G400" s="112">
        <f>'CLOSE FOREIGN ORDER'!AD632</f>
        <v>0</v>
      </c>
      <c r="H400" s="112">
        <f>'CLOSE FOREIGN ORDER'!AE632</f>
        <v>0</v>
      </c>
      <c r="I400" s="112">
        <f>'CLOSE FOREIGN ORDER'!AF632</f>
        <v>0</v>
      </c>
      <c r="J400" s="112">
        <f>'CLOSE FOREIGN ORDER'!AG632</f>
        <v>0</v>
      </c>
    </row>
    <row r="401" spans="1:10">
      <c r="A401" t="str">
        <f>'CLOSE FOREIGN ORDER'!D701</f>
        <v>FPO12709</v>
      </c>
      <c r="B401" t="str">
        <f>'CLOSE FOREIGN ORDER'!F701</f>
        <v xml:space="preserve">ORICON ENTERPRISES LTD  ( GUALA CLOSURES) </v>
      </c>
      <c r="C401" t="str">
        <f>'CLOSE FOREIGN ORDER'!Z701</f>
        <v xml:space="preserve">21 DAYS BL DATE </v>
      </c>
      <c r="D401" s="123">
        <f>'CLOSE FOREIGN ORDER'!AA701</f>
        <v>46083</v>
      </c>
      <c r="E401" s="112">
        <f>'CLOSE FOREIGN ORDER'!AB701</f>
        <v>12595</v>
      </c>
      <c r="F401" s="112">
        <f>'CLOSE FOREIGN ORDER'!AC701</f>
        <v>0</v>
      </c>
      <c r="G401" s="112">
        <f>'CLOSE FOREIGN ORDER'!AD701</f>
        <v>0</v>
      </c>
      <c r="H401" s="112">
        <f>'CLOSE FOREIGN ORDER'!AE701</f>
        <v>0</v>
      </c>
      <c r="I401" s="112">
        <f>'CLOSE FOREIGN ORDER'!AF701</f>
        <v>0</v>
      </c>
      <c r="J401" s="112">
        <f>'CLOSE FOREIGN ORDER'!AG701</f>
        <v>0</v>
      </c>
    </row>
    <row r="402" spans="1:10">
      <c r="A402" t="str">
        <f>'CLOSE FOREIGN ORDER'!D728</f>
        <v>FPO12710</v>
      </c>
      <c r="B402" t="str">
        <f>'CLOSE FOREIGN ORDER'!F728</f>
        <v xml:space="preserve">KERRY FOOD INGREDIENTS </v>
      </c>
      <c r="C402" t="str">
        <f>'CLOSE FOREIGN ORDER'!Z728</f>
        <v>90 DAYS INVOICE DATE</v>
      </c>
      <c r="D402" s="123">
        <f>'CLOSE FOREIGN ORDER'!AA728</f>
        <v>46128</v>
      </c>
      <c r="E402" s="112">
        <f>'CLOSE FOREIGN ORDER'!AB728</f>
        <v>0</v>
      </c>
      <c r="F402" s="112">
        <f>'CLOSE FOREIGN ORDER'!AC728</f>
        <v>3972.96</v>
      </c>
      <c r="G402" s="112">
        <f>'CLOSE FOREIGN ORDER'!AD728</f>
        <v>0</v>
      </c>
      <c r="H402" s="112">
        <f>'CLOSE FOREIGN ORDER'!AE728</f>
        <v>0</v>
      </c>
      <c r="I402" s="112">
        <f>'CLOSE FOREIGN ORDER'!AF728</f>
        <v>0</v>
      </c>
      <c r="J402" s="112">
        <f>'CLOSE FOREIGN ORDER'!AG728</f>
        <v>0</v>
      </c>
    </row>
    <row r="403" spans="1:10">
      <c r="A403" t="str">
        <f>'CLOSE FOREIGN ORDER'!D727</f>
        <v>FPO12711</v>
      </c>
      <c r="B403" t="str">
        <f>'CLOSE FOREIGN ORDER'!F727</f>
        <v xml:space="preserve">KERRY FOOD INGREDIENTS </v>
      </c>
      <c r="C403" t="str">
        <f>'CLOSE FOREIGN ORDER'!Z727</f>
        <v>90 DAYS INVOICE DATE</v>
      </c>
      <c r="D403" s="123">
        <f>'CLOSE FOREIGN ORDER'!AA727</f>
        <v>46124</v>
      </c>
      <c r="E403" s="112">
        <f>'CLOSE FOREIGN ORDER'!AB727</f>
        <v>0</v>
      </c>
      <c r="F403" s="112">
        <f>'CLOSE FOREIGN ORDER'!AC727</f>
        <v>413.25</v>
      </c>
      <c r="G403" s="112">
        <f>'CLOSE FOREIGN ORDER'!AD727</f>
        <v>0</v>
      </c>
      <c r="H403" s="112">
        <f>'CLOSE FOREIGN ORDER'!AE727</f>
        <v>0</v>
      </c>
      <c r="I403" s="112">
        <f>'CLOSE FOREIGN ORDER'!AF727</f>
        <v>0</v>
      </c>
      <c r="J403" s="112">
        <f>'CLOSE FOREIGN ORDER'!AG727</f>
        <v>0</v>
      </c>
    </row>
    <row r="404" spans="1:10">
      <c r="A404" t="str">
        <f>'CLOSE FOREIGN ORDER'!D722</f>
        <v>FPO12712</v>
      </c>
      <c r="B404" t="str">
        <f>'CLOSE FOREIGN ORDER'!F722</f>
        <v>Coca-Cola Swaziland</v>
      </c>
      <c r="C404" t="str">
        <f>'CLOSE FOREIGN ORDER'!Z722</f>
        <v>45 DAYS INVOICE DATE</v>
      </c>
      <c r="D404" s="123">
        <f>'CLOSE FOREIGN ORDER'!AA722</f>
        <v>46115</v>
      </c>
      <c r="E404" s="112">
        <f>'CLOSE FOREIGN ORDER'!AB722</f>
        <v>106268.8</v>
      </c>
      <c r="F404" s="112">
        <f>'CLOSE FOREIGN ORDER'!AC722</f>
        <v>0</v>
      </c>
      <c r="G404" s="112">
        <f>'CLOSE FOREIGN ORDER'!AD722</f>
        <v>0</v>
      </c>
      <c r="H404" s="112">
        <f>'CLOSE FOREIGN ORDER'!AE722</f>
        <v>0</v>
      </c>
      <c r="I404" s="112">
        <f>'CLOSE FOREIGN ORDER'!AF722</f>
        <v>0</v>
      </c>
      <c r="J404" s="112">
        <f>'CLOSE FOREIGN ORDER'!AG722</f>
        <v>0</v>
      </c>
    </row>
    <row r="405" spans="1:10">
      <c r="A405" t="e">
        <f>'OPEN FOREIGN ORDER'!#REF!</f>
        <v>#REF!</v>
      </c>
      <c r="B405" t="e">
        <f>'OPEN FOREIGN ORDER'!#REF!</f>
        <v>#REF!</v>
      </c>
      <c r="C405" t="e">
        <f>'OPEN FOREIGN ORDER'!#REF!</f>
        <v>#REF!</v>
      </c>
      <c r="D405" s="123" t="e">
        <f>'OPEN FOREIGN ORDER'!#REF!</f>
        <v>#REF!</v>
      </c>
      <c r="E405" s="112" t="e">
        <f>'OPEN FOREIGN ORDER'!#REF!</f>
        <v>#REF!</v>
      </c>
      <c r="F405" s="112" t="e">
        <f>'OPEN FOREIGN ORDER'!#REF!</f>
        <v>#REF!</v>
      </c>
      <c r="G405" s="112" t="e">
        <f>'OPEN FOREIGN ORDER'!#REF!</f>
        <v>#REF!</v>
      </c>
      <c r="H405" s="112" t="e">
        <f>'OPEN FOREIGN ORDER'!#REF!</f>
        <v>#REF!</v>
      </c>
      <c r="I405" s="112" t="e">
        <f>'OPEN FOREIGN ORDER'!#REF!</f>
        <v>#REF!</v>
      </c>
      <c r="J405" s="112" t="e">
        <f>'OPEN FOREIGN ORDER'!#REF!</f>
        <v>#REF!</v>
      </c>
    </row>
    <row r="406" spans="1:10">
      <c r="A406" t="str">
        <f>'CLOSE FOREIGN ORDER'!D732</f>
        <v>FPO12715</v>
      </c>
      <c r="B406" t="str">
        <f>'CLOSE FOREIGN ORDER'!F732</f>
        <v>Coca-Cola Swaziland</v>
      </c>
      <c r="C406" t="str">
        <f>'CLOSE FOREIGN ORDER'!Z732</f>
        <v>45 DAYS INVOICE DATE+30 DAYS CREDIT</v>
      </c>
      <c r="D406" s="123">
        <f>'CLOSE FOREIGN ORDER'!AA732</f>
        <v>46078</v>
      </c>
      <c r="E406" s="112" t="e">
        <f>'OPEN FOREIGN ORDER'!#REF!</f>
        <v>#REF!</v>
      </c>
      <c r="F406" s="112">
        <f>'CLOSE FOREIGN ORDER'!AC732</f>
        <v>0</v>
      </c>
      <c r="G406" s="112">
        <f>'CLOSE FOREIGN ORDER'!AD732</f>
        <v>0</v>
      </c>
      <c r="H406" s="112">
        <f>'CLOSE FOREIGN ORDER'!AB732</f>
        <v>766582.53</v>
      </c>
      <c r="I406" s="112">
        <f>'CLOSE FOREIGN ORDER'!AF732</f>
        <v>0</v>
      </c>
      <c r="J406" s="112">
        <f>'CLOSE FOREIGN ORDER'!AG732</f>
        <v>0</v>
      </c>
    </row>
    <row r="407" spans="1:10">
      <c r="A407" t="e">
        <f>'OPEN FOREIGN ORDER'!#REF!</f>
        <v>#REF!</v>
      </c>
      <c r="B407" t="e">
        <f>'OPEN FOREIGN ORDER'!#REF!</f>
        <v>#REF!</v>
      </c>
      <c r="C407" t="e">
        <f>'OPEN FOREIGN ORDER'!#REF!</f>
        <v>#REF!</v>
      </c>
      <c r="D407" s="123" t="e">
        <f>'OPEN FOREIGN ORDER'!#REF!</f>
        <v>#REF!</v>
      </c>
      <c r="E407" s="112" t="e">
        <f>'OPEN FOREIGN ORDER'!#REF!</f>
        <v>#REF!</v>
      </c>
      <c r="F407" s="112" t="e">
        <f>'OPEN FOREIGN ORDER'!#REF!</f>
        <v>#REF!</v>
      </c>
      <c r="G407" s="112" t="e">
        <f>'OPEN FOREIGN ORDER'!#REF!</f>
        <v>#REF!</v>
      </c>
      <c r="H407" s="112" t="e">
        <f>'OPEN FOREIGN ORDER'!#REF!</f>
        <v>#REF!</v>
      </c>
      <c r="I407" s="112" t="e">
        <f>'OPEN FOREIGN ORDER'!#REF!</f>
        <v>#REF!</v>
      </c>
      <c r="J407" s="112" t="e">
        <f>'OPEN FOREIGN ORDER'!#REF!</f>
        <v>#REF!</v>
      </c>
    </row>
    <row r="408" spans="1:10">
      <c r="A408" t="str">
        <f>'CLOSE FOREIGN ORDER'!D633</f>
        <v>FPO12717</v>
      </c>
      <c r="B408" t="str">
        <f>'CLOSE FOREIGN ORDER'!F633</f>
        <v>DD Williamson (Pty) Ltd</v>
      </c>
      <c r="C408" t="str">
        <f>'CLOSE FOREIGN ORDER'!Z633</f>
        <v>100% Advance payment</v>
      </c>
      <c r="D408" s="123">
        <f>'CLOSE FOREIGN ORDER'!AA633</f>
        <v>46013</v>
      </c>
      <c r="E408" s="112">
        <f>'CLOSE FOREIGN ORDER'!AB633</f>
        <v>120</v>
      </c>
      <c r="F408" s="112">
        <f>'CLOSE FOREIGN ORDER'!AC633</f>
        <v>0</v>
      </c>
      <c r="G408" s="112">
        <f>'CLOSE FOREIGN ORDER'!AD633</f>
        <v>0</v>
      </c>
      <c r="H408" s="112">
        <f>'CLOSE FOREIGN ORDER'!AE633</f>
        <v>0</v>
      </c>
      <c r="I408" s="112">
        <f>'CLOSE FOREIGN ORDER'!AF633</f>
        <v>0</v>
      </c>
      <c r="J408" s="112">
        <f>'CLOSE FOREIGN ORDER'!AG633</f>
        <v>0</v>
      </c>
    </row>
    <row r="409" spans="1:10">
      <c r="A409" t="str">
        <f>'CLOSE FOREIGN ORDER'!D706</f>
        <v>FPO12725</v>
      </c>
      <c r="B409" t="str">
        <f>'CLOSE FOREIGN ORDER'!F706</f>
        <v>RESILUX NV</v>
      </c>
      <c r="C409" t="str">
        <f>'CLOSE FOREIGN ORDER'!Z706</f>
        <v>60 DAYS INVOICE DATE</v>
      </c>
      <c r="D409" s="123">
        <f>'CLOSE FOREIGN ORDER'!AA706</f>
        <v>46101</v>
      </c>
      <c r="E409" s="112">
        <f>'CLOSE FOREIGN ORDER'!AB706</f>
        <v>0</v>
      </c>
      <c r="F409" s="112">
        <f>'CLOSE FOREIGN ORDER'!AC706</f>
        <v>17710.63</v>
      </c>
      <c r="G409" s="112">
        <f>'CLOSE FOREIGN ORDER'!AD706</f>
        <v>0</v>
      </c>
      <c r="H409" s="112">
        <f>'CLOSE FOREIGN ORDER'!AE706</f>
        <v>0</v>
      </c>
      <c r="I409" s="112">
        <f>'CLOSE FOREIGN ORDER'!AF706</f>
        <v>0</v>
      </c>
      <c r="J409" s="112">
        <f>'CLOSE FOREIGN ORDER'!AG706</f>
        <v>0</v>
      </c>
    </row>
    <row r="410" spans="1:10">
      <c r="A410" t="e">
        <f>'OPEN FOREIGN ORDER'!#REF!</f>
        <v>#REF!</v>
      </c>
      <c r="B410" t="e">
        <f>'OPEN FOREIGN ORDER'!#REF!</f>
        <v>#REF!</v>
      </c>
      <c r="C410" t="e">
        <f>'OPEN FOREIGN ORDER'!#REF!</f>
        <v>#REF!</v>
      </c>
      <c r="D410" s="123" t="e">
        <f>'OPEN FOREIGN ORDER'!#REF!</f>
        <v>#REF!</v>
      </c>
      <c r="E410" s="112" t="e">
        <f>'OPEN FOREIGN ORDER'!#REF!</f>
        <v>#REF!</v>
      </c>
      <c r="F410" s="112" t="e">
        <f>'OPEN FOREIGN ORDER'!#REF!</f>
        <v>#REF!</v>
      </c>
      <c r="G410" s="112" t="e">
        <f>'OPEN FOREIGN ORDER'!#REF!</f>
        <v>#REF!</v>
      </c>
      <c r="H410" s="112" t="e">
        <f>'OPEN FOREIGN ORDER'!#REF!</f>
        <v>#REF!</v>
      </c>
      <c r="I410" s="112" t="e">
        <f>'OPEN FOREIGN ORDER'!#REF!</f>
        <v>#REF!</v>
      </c>
      <c r="J410" s="112" t="e">
        <f>'OPEN FOREIGN ORDER'!#REF!</f>
        <v>#REF!</v>
      </c>
    </row>
    <row r="411" spans="1:10">
      <c r="A411" t="str">
        <f>'CLOSE FOREIGN ORDER'!D718</f>
        <v>FPO12724</v>
      </c>
      <c r="B411" t="str">
        <f>'CLOSE FOREIGN ORDER'!F718</f>
        <v>RKW SAINT FRERES</v>
      </c>
      <c r="C411" t="str">
        <f>'CLOSE FOREIGN ORDER'!Z718</f>
        <v>60 DAYS INVOICE DATE</v>
      </c>
      <c r="D411" s="123">
        <f>'CLOSE FOREIGN ORDER'!AA718</f>
        <v>46122</v>
      </c>
      <c r="E411" s="112">
        <f>'CLOSE FOREIGN ORDER'!AB718</f>
        <v>0</v>
      </c>
      <c r="F411" s="112">
        <f>'CLOSE FOREIGN ORDER'!AC718</f>
        <v>30093.35</v>
      </c>
      <c r="G411" s="112">
        <f>'CLOSE FOREIGN ORDER'!AD718</f>
        <v>0</v>
      </c>
      <c r="H411" s="112">
        <f>'CLOSE FOREIGN ORDER'!AE718</f>
        <v>0</v>
      </c>
      <c r="I411" s="112">
        <f>'CLOSE FOREIGN ORDER'!AF718</f>
        <v>0</v>
      </c>
      <c r="J411" s="112">
        <f>'CLOSE FOREIGN ORDER'!AG718</f>
        <v>0</v>
      </c>
    </row>
    <row r="412" spans="1:10">
      <c r="A412" t="str">
        <f>'CLOSE FOREIGN ORDER'!D709</f>
        <v>FPO12735</v>
      </c>
      <c r="B412" t="str">
        <f>'CLOSE FOREIGN ORDER'!F709</f>
        <v>SHEET PLASTIC (PTY) LTD</v>
      </c>
      <c r="C412" t="str">
        <f>'CLOSE FOREIGN ORDER'!Z709</f>
        <v>30 DAYS INVOICE DATE</v>
      </c>
      <c r="D412" s="123">
        <f>'CLOSE FOREIGN ORDER'!AA709</f>
        <v>46101</v>
      </c>
      <c r="E412" s="112">
        <f>'CLOSE FOREIGN ORDER'!AB709</f>
        <v>37680</v>
      </c>
      <c r="F412" s="112">
        <f>'CLOSE FOREIGN ORDER'!AC709</f>
        <v>0</v>
      </c>
      <c r="G412" s="112">
        <f>'CLOSE FOREIGN ORDER'!AD709</f>
        <v>0</v>
      </c>
      <c r="H412" s="112">
        <f>'CLOSE FOREIGN ORDER'!AE709</f>
        <v>0</v>
      </c>
      <c r="I412" s="112">
        <f>'CLOSE FOREIGN ORDER'!AF709</f>
        <v>0</v>
      </c>
      <c r="J412" s="112">
        <f>'CLOSE FOREIGN ORDER'!AG709</f>
        <v>0</v>
      </c>
    </row>
    <row r="413" spans="1:10">
      <c r="A413" t="str">
        <f>'CLOSE FOREIGN ORDER'!D707</f>
        <v>FPO12736</v>
      </c>
      <c r="B413" t="str">
        <f>'CLOSE FOREIGN ORDER'!F707</f>
        <v>SHEET PLASTIC (PTY) LTD</v>
      </c>
      <c r="C413" t="str">
        <f>'CLOSE FOREIGN ORDER'!Z707</f>
        <v>30 DAYS INVOICE DATE</v>
      </c>
      <c r="D413" s="123">
        <f>'CLOSE FOREIGN ORDER'!AA707</f>
        <v>46065</v>
      </c>
      <c r="E413" s="112">
        <f>'CLOSE FOREIGN ORDER'!AB707</f>
        <v>18840</v>
      </c>
      <c r="F413" s="112">
        <f>'CLOSE FOREIGN ORDER'!AC707</f>
        <v>0</v>
      </c>
      <c r="G413" s="112">
        <f>'CLOSE FOREIGN ORDER'!AD707</f>
        <v>0</v>
      </c>
      <c r="H413" s="112">
        <f>'CLOSE FOREIGN ORDER'!AE707</f>
        <v>0</v>
      </c>
      <c r="I413" s="112">
        <f>'CLOSE FOREIGN ORDER'!AF707</f>
        <v>0</v>
      </c>
      <c r="J413" s="112">
        <f>'CLOSE FOREIGN ORDER'!AG707</f>
        <v>0</v>
      </c>
    </row>
    <row r="414" spans="1:10">
      <c r="A414" t="str">
        <f>'CLOSE FOREIGN ORDER'!D665</f>
        <v>FPO12737</v>
      </c>
      <c r="B414" t="str">
        <f>'CLOSE FOREIGN ORDER'!F665</f>
        <v>Dematech (Pty) Ltd.</v>
      </c>
      <c r="C414" t="str">
        <f>'CLOSE FOREIGN ORDER'!Z665</f>
        <v>100% ADVANCE PAYMENT</v>
      </c>
      <c r="D414" s="123">
        <f>'CLOSE FOREIGN ORDER'!AA665</f>
        <v>46013</v>
      </c>
      <c r="E414" s="112">
        <f>'CLOSE FOREIGN ORDER'!AB665</f>
        <v>0</v>
      </c>
      <c r="F414" s="112">
        <f>'CLOSE FOREIGN ORDER'!AC665</f>
        <v>1226</v>
      </c>
      <c r="G414" s="112">
        <f>'CLOSE FOREIGN ORDER'!AD665</f>
        <v>0</v>
      </c>
      <c r="H414" s="112">
        <f>'CLOSE FOREIGN ORDER'!AE665</f>
        <v>0</v>
      </c>
      <c r="I414" s="112">
        <f>'CLOSE FOREIGN ORDER'!AF665</f>
        <v>0</v>
      </c>
      <c r="J414" s="112">
        <f>'CLOSE FOREIGN ORDER'!AG665</f>
        <v>0</v>
      </c>
    </row>
    <row r="415" spans="1:10">
      <c r="A415" t="str">
        <f>'OPEN FOREIGN ORDER'!D17</f>
        <v>FPO12955</v>
      </c>
      <c r="B415" t="str">
        <f>'OPEN FOREIGN ORDER'!F17</f>
        <v>Coca-Cola Beverages South Africa</v>
      </c>
      <c r="C415" t="str">
        <f>'OPEN FOREIGN ORDER'!Z17</f>
        <v>60 DAYS INVOICE DATE</v>
      </c>
      <c r="D415" s="123">
        <f>'OPEN FOREIGN ORDER'!AA17</f>
        <v>46174</v>
      </c>
      <c r="E415" s="112">
        <f>'OPEN FOREIGN ORDER'!AB17</f>
        <v>0</v>
      </c>
      <c r="F415" s="112">
        <f>'OPEN FOREIGN ORDER'!AC17</f>
        <v>0</v>
      </c>
      <c r="G415" s="112">
        <f>'OPEN FOREIGN ORDER'!AD17</f>
        <v>0</v>
      </c>
      <c r="H415" s="112">
        <f>'OPEN FOREIGN ORDER'!AE17</f>
        <v>1064624</v>
      </c>
      <c r="I415" s="112">
        <f>'OPEN FOREIGN ORDER'!AF17</f>
        <v>0</v>
      </c>
      <c r="J415" s="112">
        <f>'OPEN FOREIGN ORDER'!AG17</f>
        <v>0</v>
      </c>
    </row>
    <row r="416" spans="1:10">
      <c r="A416" t="str">
        <f>'OPEN FOREIGN ORDER'!D19</f>
        <v>FPO12957</v>
      </c>
      <c r="B416" t="str">
        <f>'OPEN FOREIGN ORDER'!F19</f>
        <v>Coca-Cola Beverages South Africa</v>
      </c>
      <c r="C416" t="str">
        <f>'OPEN FOREIGN ORDER'!Z19</f>
        <v>60 DAYS INVOICE DATE</v>
      </c>
      <c r="D416" s="123">
        <f>'OPEN FOREIGN ORDER'!AA19</f>
        <v>46166</v>
      </c>
      <c r="E416" s="112">
        <f>'OPEN FOREIGN ORDER'!AB19</f>
        <v>0</v>
      </c>
      <c r="F416" s="112">
        <f>'OPEN FOREIGN ORDER'!AC19</f>
        <v>0</v>
      </c>
      <c r="G416" s="112">
        <f>'OPEN FOREIGN ORDER'!AD19</f>
        <v>0</v>
      </c>
      <c r="H416" s="112">
        <f>'OPEN FOREIGN ORDER'!AE19</f>
        <v>532312</v>
      </c>
      <c r="I416" s="112">
        <f>'OPEN FOREIGN ORDER'!AF19</f>
        <v>0</v>
      </c>
      <c r="J416" s="112">
        <f>'OPEN FOREIGN ORDER'!AG19</f>
        <v>0</v>
      </c>
    </row>
    <row r="417" spans="1:10">
      <c r="A417" t="e">
        <f>'OPEN FOREIGN ORDER'!#REF!</f>
        <v>#REF!</v>
      </c>
      <c r="B417" t="e">
        <f>'OPEN FOREIGN ORDER'!#REF!</f>
        <v>#REF!</v>
      </c>
      <c r="C417" t="e">
        <f>'OPEN FOREIGN ORDER'!#REF!</f>
        <v>#REF!</v>
      </c>
      <c r="D417" s="123" t="e">
        <f>'OPEN FOREIGN ORDER'!#REF!</f>
        <v>#REF!</v>
      </c>
      <c r="E417" s="112" t="e">
        <f>'OPEN FOREIGN ORDER'!#REF!</f>
        <v>#REF!</v>
      </c>
      <c r="F417" s="112" t="e">
        <f>'OPEN FOREIGN ORDER'!#REF!</f>
        <v>#REF!</v>
      </c>
      <c r="G417" s="112" t="e">
        <f>'OPEN FOREIGN ORDER'!#REF!</f>
        <v>#REF!</v>
      </c>
      <c r="H417" s="112" t="e">
        <f>'OPEN FOREIGN ORDER'!#REF!</f>
        <v>#REF!</v>
      </c>
      <c r="I417" s="112" t="e">
        <f>'OPEN FOREIGN ORDER'!#REF!</f>
        <v>#REF!</v>
      </c>
      <c r="J417" s="112" t="e">
        <f>'OPEN FOREIGN ORDER'!#REF!</f>
        <v>#REF!</v>
      </c>
    </row>
    <row r="418" spans="1:10">
      <c r="A418" t="e">
        <f>'OPEN FOREIGN ORDER'!#REF!</f>
        <v>#REF!</v>
      </c>
      <c r="B418" t="e">
        <f>'OPEN FOREIGN ORDER'!#REF!</f>
        <v>#REF!</v>
      </c>
      <c r="C418" t="e">
        <f>'OPEN FOREIGN ORDER'!#REF!</f>
        <v>#REF!</v>
      </c>
      <c r="D418" s="123" t="e">
        <f>'OPEN FOREIGN ORDER'!#REF!</f>
        <v>#REF!</v>
      </c>
      <c r="E418" s="112" t="e">
        <f>'OPEN FOREIGN ORDER'!#REF!</f>
        <v>#REF!</v>
      </c>
      <c r="F418" s="112" t="e">
        <f>'OPEN FOREIGN ORDER'!#REF!</f>
        <v>#REF!</v>
      </c>
      <c r="G418" s="112" t="e">
        <f>'OPEN FOREIGN ORDER'!#REF!</f>
        <v>#REF!</v>
      </c>
      <c r="H418" s="112" t="e">
        <f>'OPEN FOREIGN ORDER'!#REF!</f>
        <v>#REF!</v>
      </c>
      <c r="I418" s="112" t="e">
        <f>'OPEN FOREIGN ORDER'!#REF!</f>
        <v>#REF!</v>
      </c>
      <c r="J418" s="112" t="e">
        <f>'OPEN FOREIGN ORDER'!#REF!</f>
        <v>#REF!</v>
      </c>
    </row>
    <row r="419" spans="1:10">
      <c r="A419" t="str">
        <f>'OPEN FOREIGN ORDER'!D21</f>
        <v>FPO12995</v>
      </c>
      <c r="B419" t="str">
        <f>'OPEN FOREIGN ORDER'!F21</f>
        <v>Advini SA</v>
      </c>
      <c r="C419" t="str">
        <f>'OPEN FOREIGN ORDER'!Z21</f>
        <v>90 Days invoice date</v>
      </c>
      <c r="D419" s="123">
        <f>'OPEN FOREIGN ORDER'!AA21</f>
        <v>46228</v>
      </c>
      <c r="E419" s="112">
        <f>'OPEN FOREIGN ORDER'!AB21</f>
        <v>0</v>
      </c>
      <c r="F419" s="112">
        <f>'OPEN FOREIGN ORDER'!AC21</f>
        <v>1354.5</v>
      </c>
      <c r="G419" s="112">
        <f>'OPEN FOREIGN ORDER'!AD21</f>
        <v>0</v>
      </c>
      <c r="H419" s="112">
        <f>'OPEN FOREIGN ORDER'!AE21</f>
        <v>0</v>
      </c>
      <c r="I419" s="112">
        <f>'OPEN FOREIGN ORDER'!AF21</f>
        <v>0</v>
      </c>
      <c r="J419" s="112">
        <f>'OPEN FOREIGN ORDER'!AG21</f>
        <v>0</v>
      </c>
    </row>
    <row r="420" spans="1:10">
      <c r="A420" t="e">
        <f>'OPEN FOREIGN ORDER'!#REF!</f>
        <v>#REF!</v>
      </c>
      <c r="B420" t="e">
        <f>'OPEN FOREIGN ORDER'!#REF!</f>
        <v>#REF!</v>
      </c>
      <c r="C420" t="e">
        <f>'OPEN FOREIGN ORDER'!#REF!</f>
        <v>#REF!</v>
      </c>
      <c r="D420" s="123" t="e">
        <f>'OPEN FOREIGN ORDER'!#REF!</f>
        <v>#REF!</v>
      </c>
      <c r="E420" s="112" t="e">
        <f>'OPEN FOREIGN ORDER'!#REF!</f>
        <v>#REF!</v>
      </c>
      <c r="F420" s="112" t="e">
        <f>'OPEN FOREIGN ORDER'!#REF!</f>
        <v>#REF!</v>
      </c>
      <c r="G420" s="112" t="e">
        <f>'OPEN FOREIGN ORDER'!#REF!</f>
        <v>#REF!</v>
      </c>
      <c r="H420" s="112" t="e">
        <f>'OPEN FOREIGN ORDER'!#REF!</f>
        <v>#REF!</v>
      </c>
      <c r="I420" s="112" t="e">
        <f>'OPEN FOREIGN ORDER'!#REF!</f>
        <v>#REF!</v>
      </c>
      <c r="J420" s="112" t="e">
        <f>'OPEN FOREIGN ORDER'!#REF!</f>
        <v>#REF!</v>
      </c>
    </row>
    <row r="421" spans="1:10">
      <c r="A421" t="e">
        <f>'OPEN FOREIGN ORDER'!#REF!</f>
        <v>#REF!</v>
      </c>
      <c r="B421" t="e">
        <f>'OPEN FOREIGN ORDER'!#REF!</f>
        <v>#REF!</v>
      </c>
      <c r="C421" t="e">
        <f>'OPEN FOREIGN ORDER'!#REF!</f>
        <v>#REF!</v>
      </c>
      <c r="D421" s="123" t="e">
        <f>'OPEN FOREIGN ORDER'!#REF!</f>
        <v>#REF!</v>
      </c>
      <c r="E421" s="112" t="e">
        <f>'OPEN FOREIGN ORDER'!#REF!</f>
        <v>#REF!</v>
      </c>
      <c r="F421" s="112" t="e">
        <f>'OPEN FOREIGN ORDER'!#REF!</f>
        <v>#REF!</v>
      </c>
      <c r="G421" s="112" t="e">
        <f>'OPEN FOREIGN ORDER'!#REF!</f>
        <v>#REF!</v>
      </c>
      <c r="H421" s="112" t="e">
        <f>'OPEN FOREIGN ORDER'!#REF!</f>
        <v>#REF!</v>
      </c>
      <c r="I421" s="112" t="e">
        <f>'OPEN FOREIGN ORDER'!#REF!</f>
        <v>#REF!</v>
      </c>
      <c r="J421" s="112" t="e">
        <f>'OPEN FOREIGN ORDER'!#REF!</f>
        <v>#REF!</v>
      </c>
    </row>
    <row r="422" spans="1:10">
      <c r="A422" t="e">
        <f>'OPEN FOREIGN ORDER'!#REF!</f>
        <v>#REF!</v>
      </c>
      <c r="B422" t="e">
        <f>'OPEN FOREIGN ORDER'!#REF!</f>
        <v>#REF!</v>
      </c>
      <c r="C422" t="e">
        <f>'OPEN FOREIGN ORDER'!#REF!</f>
        <v>#REF!</v>
      </c>
      <c r="D422" s="123" t="e">
        <f>'OPEN FOREIGN ORDER'!#REF!</f>
        <v>#REF!</v>
      </c>
      <c r="E422" s="112" t="e">
        <f>'OPEN FOREIGN ORDER'!#REF!</f>
        <v>#REF!</v>
      </c>
      <c r="F422" s="112" t="e">
        <f>'OPEN FOREIGN ORDER'!#REF!</f>
        <v>#REF!</v>
      </c>
      <c r="G422" s="112" t="e">
        <f>'OPEN FOREIGN ORDER'!#REF!</f>
        <v>#REF!</v>
      </c>
      <c r="H422" s="112" t="e">
        <f>'OPEN FOREIGN ORDER'!#REF!</f>
        <v>#REF!</v>
      </c>
      <c r="I422" s="112" t="e">
        <f>'OPEN FOREIGN ORDER'!#REF!</f>
        <v>#REF!</v>
      </c>
      <c r="J422" s="112" t="e">
        <f>'OPEN FOREIGN ORDER'!#REF!</f>
        <v>#REF!</v>
      </c>
    </row>
    <row r="423" spans="1:10">
      <c r="A423" t="e">
        <f>'OPEN FOREIGN ORDER'!#REF!</f>
        <v>#REF!</v>
      </c>
      <c r="B423" t="e">
        <f>'OPEN FOREIGN ORDER'!#REF!</f>
        <v>#REF!</v>
      </c>
      <c r="C423" t="e">
        <f>'OPEN FOREIGN ORDER'!#REF!</f>
        <v>#REF!</v>
      </c>
      <c r="D423" s="123" t="e">
        <f>'OPEN FOREIGN ORDER'!#REF!</f>
        <v>#REF!</v>
      </c>
      <c r="E423" s="112" t="e">
        <f>'OPEN FOREIGN ORDER'!#REF!</f>
        <v>#REF!</v>
      </c>
      <c r="F423" s="112" t="e">
        <f>'OPEN FOREIGN ORDER'!#REF!</f>
        <v>#REF!</v>
      </c>
      <c r="G423" s="112" t="e">
        <f>'OPEN FOREIGN ORDER'!#REF!</f>
        <v>#REF!</v>
      </c>
      <c r="H423" s="112" t="e">
        <f>'OPEN FOREIGN ORDER'!#REF!</f>
        <v>#REF!</v>
      </c>
      <c r="I423" s="112" t="e">
        <f>'OPEN FOREIGN ORDER'!#REF!</f>
        <v>#REF!</v>
      </c>
      <c r="J423" s="112" t="e">
        <f>'OPEN FOREIGN ORDER'!#REF!</f>
        <v>#REF!</v>
      </c>
    </row>
    <row r="424" spans="1:10">
      <c r="A424" t="e">
        <f>'OPEN FOREIGN ORDER'!#REF!</f>
        <v>#REF!</v>
      </c>
      <c r="B424" t="e">
        <f>'OPEN FOREIGN ORDER'!#REF!</f>
        <v>#REF!</v>
      </c>
      <c r="C424" t="e">
        <f>'OPEN FOREIGN ORDER'!#REF!</f>
        <v>#REF!</v>
      </c>
      <c r="D424" s="123" t="e">
        <f>'OPEN FOREIGN ORDER'!#REF!</f>
        <v>#REF!</v>
      </c>
      <c r="E424" s="112" t="e">
        <f>'OPEN FOREIGN ORDER'!#REF!</f>
        <v>#REF!</v>
      </c>
      <c r="F424" s="112" t="e">
        <f>'OPEN FOREIGN ORDER'!#REF!</f>
        <v>#REF!</v>
      </c>
      <c r="G424" s="112" t="e">
        <f>'OPEN FOREIGN ORDER'!#REF!</f>
        <v>#REF!</v>
      </c>
      <c r="H424" s="112" t="e">
        <f>'OPEN FOREIGN ORDER'!#REF!</f>
        <v>#REF!</v>
      </c>
      <c r="I424" s="112" t="e">
        <f>'OPEN FOREIGN ORDER'!#REF!</f>
        <v>#REF!</v>
      </c>
      <c r="J424" s="112" t="e">
        <f>'OPEN FOREIGN ORDER'!#REF!</f>
        <v>#REF!</v>
      </c>
    </row>
    <row r="425" spans="1:10">
      <c r="A425" t="e">
        <f>'OPEN FOREIGN ORDER'!#REF!</f>
        <v>#REF!</v>
      </c>
      <c r="B425" t="e">
        <f>'OPEN FOREIGN ORDER'!#REF!</f>
        <v>#REF!</v>
      </c>
      <c r="C425" t="e">
        <f>'OPEN FOREIGN ORDER'!#REF!</f>
        <v>#REF!</v>
      </c>
      <c r="D425" s="123" t="e">
        <f>'OPEN FOREIGN ORDER'!#REF!</f>
        <v>#REF!</v>
      </c>
      <c r="E425" s="112" t="e">
        <f>'OPEN FOREIGN ORDER'!#REF!</f>
        <v>#REF!</v>
      </c>
      <c r="F425" s="112" t="e">
        <f>'OPEN FOREIGN ORDER'!#REF!</f>
        <v>#REF!</v>
      </c>
      <c r="G425" s="112" t="e">
        <f>'OPEN FOREIGN ORDER'!#REF!</f>
        <v>#REF!</v>
      </c>
      <c r="H425" s="112" t="e">
        <f>'OPEN FOREIGN ORDER'!#REF!</f>
        <v>#REF!</v>
      </c>
      <c r="I425" s="112" t="e">
        <f>'OPEN FOREIGN ORDER'!#REF!</f>
        <v>#REF!</v>
      </c>
      <c r="J425" s="112" t="e">
        <f>'OPEN FOREIGN ORDER'!#REF!</f>
        <v>#REF!</v>
      </c>
    </row>
    <row r="426" spans="1:10">
      <c r="A426" t="str">
        <f>'OPEN FOREIGN ORDER'!D23</f>
        <v>FPO13038</v>
      </c>
      <c r="B426" t="str">
        <f>'OPEN FOREIGN ORDER'!F23</f>
        <v>APPLETISER SA PTY LTD</v>
      </c>
      <c r="C426" t="str">
        <f>'OPEN FOREIGN ORDER'!Z23</f>
        <v>60 DAYS INVOICE DATE</v>
      </c>
      <c r="D426" s="123">
        <f>'OPEN FOREIGN ORDER'!AA23</f>
        <v>46258</v>
      </c>
      <c r="E426" s="112">
        <f>'OPEN FOREIGN ORDER'!AB23</f>
        <v>0</v>
      </c>
      <c r="F426" s="112">
        <f>'OPEN FOREIGN ORDER'!AC23</f>
        <v>0</v>
      </c>
      <c r="G426" s="112">
        <f>'OPEN FOREIGN ORDER'!AD23</f>
        <v>0</v>
      </c>
      <c r="H426" s="112">
        <f>'OPEN FOREIGN ORDER'!AE23</f>
        <v>419623.7</v>
      </c>
      <c r="I426" s="112">
        <f>'OPEN FOREIGN ORDER'!AF23</f>
        <v>0</v>
      </c>
      <c r="J426" s="112">
        <f>'OPEN FOREIGN ORDER'!AG23</f>
        <v>0</v>
      </c>
    </row>
    <row r="427" spans="1:10">
      <c r="A427" t="str">
        <f>'CLOSE FOREIGN ORDER'!D684</f>
        <v>FPO12768</v>
      </c>
      <c r="B427" t="str">
        <f>'CLOSE FOREIGN ORDER'!F684</f>
        <v>SARL JOEL DELAUNAY</v>
      </c>
      <c r="C427" t="str">
        <f>'CLOSE FOREIGN ORDER'!Z684</f>
        <v>60 DAYS INVOICE DATE</v>
      </c>
      <c r="D427" s="123">
        <f>'CLOSE FOREIGN ORDER'!AA684</f>
        <v>46101</v>
      </c>
      <c r="E427" s="112">
        <f>'CLOSE FOREIGN ORDER'!AB684</f>
        <v>0</v>
      </c>
      <c r="F427" s="112">
        <f>'CLOSE FOREIGN ORDER'!AC684</f>
        <v>2490</v>
      </c>
      <c r="G427" s="112">
        <f>'CLOSE FOREIGN ORDER'!AD684</f>
        <v>0</v>
      </c>
      <c r="H427" s="112">
        <f>'CLOSE FOREIGN ORDER'!AE684</f>
        <v>0</v>
      </c>
      <c r="I427" s="112">
        <f>'CLOSE FOREIGN ORDER'!AF684</f>
        <v>0</v>
      </c>
      <c r="J427" s="112">
        <f>'CLOSE FOREIGN ORDER'!AG684</f>
        <v>0</v>
      </c>
    </row>
    <row r="428" spans="1:10">
      <c r="A428" t="str">
        <f>'CLOSE FOREIGN ORDER'!D671</f>
        <v>FPO12769</v>
      </c>
      <c r="B428" t="str">
        <f>'CLOSE FOREIGN ORDER'!F671</f>
        <v>Vins de Fontenille SAS</v>
      </c>
      <c r="C428" t="str">
        <f>'CLOSE FOREIGN ORDER'!Z671</f>
        <v>30% ADVANCE- EUR 1080 (Due 09/01/2026)
70% ENLEVEMENT- EUR 2520 (Due 23/01/2026)</v>
      </c>
      <c r="D428" s="123">
        <f>'CLOSE FOREIGN ORDER'!AA671</f>
        <v>46045</v>
      </c>
      <c r="E428" s="112">
        <f>'CLOSE FOREIGN ORDER'!AB671</f>
        <v>0</v>
      </c>
      <c r="F428" s="112">
        <f>'CLOSE FOREIGN ORDER'!AC671</f>
        <v>3600</v>
      </c>
      <c r="G428" s="112">
        <f>'CLOSE FOREIGN ORDER'!AD671</f>
        <v>0</v>
      </c>
      <c r="H428" s="112">
        <f>'CLOSE FOREIGN ORDER'!AE671</f>
        <v>0</v>
      </c>
      <c r="I428" s="112">
        <f>'CLOSE FOREIGN ORDER'!AF671</f>
        <v>0</v>
      </c>
      <c r="J428" s="112">
        <f>'CLOSE FOREIGN ORDER'!AG671</f>
        <v>0</v>
      </c>
    </row>
    <row r="429" spans="1:10">
      <c r="A429" t="str">
        <f>'CLOSE FOREIGN ORDER'!D672</f>
        <v>FPO12770</v>
      </c>
      <c r="B429" t="str">
        <f>'CLOSE FOREIGN ORDER'!F672</f>
        <v>SAS Gilles Gelin</v>
      </c>
      <c r="C429" t="str">
        <f>'CLOSE FOREIGN ORDER'!Z672</f>
        <v>PAIEMENT EN AVANCE</v>
      </c>
      <c r="D429" s="123">
        <f>'CLOSE FOREIGN ORDER'!AA672</f>
        <v>46028</v>
      </c>
      <c r="E429" s="112">
        <f>'CLOSE FOREIGN ORDER'!AB672</f>
        <v>0</v>
      </c>
      <c r="F429" s="112">
        <f>'CLOSE FOREIGN ORDER'!AC672</f>
        <v>9150</v>
      </c>
      <c r="G429" s="112">
        <f>'CLOSE FOREIGN ORDER'!AD672</f>
        <v>0</v>
      </c>
      <c r="H429" s="112">
        <f>'CLOSE FOREIGN ORDER'!AE672</f>
        <v>0</v>
      </c>
      <c r="I429" s="112">
        <f>'CLOSE FOREIGN ORDER'!AF672</f>
        <v>0</v>
      </c>
      <c r="J429" s="112">
        <f>'CLOSE FOREIGN ORDER'!AG672</f>
        <v>0</v>
      </c>
    </row>
    <row r="430" spans="1:10">
      <c r="A430" t="str">
        <f>'OPEN FOREIGN ORDER'!D24</f>
        <v>FPO13038</v>
      </c>
      <c r="B430" t="str">
        <f>'OPEN FOREIGN ORDER'!F24</f>
        <v>APPLETISER SA PTY LTD</v>
      </c>
      <c r="C430" t="str">
        <f>'OPEN FOREIGN ORDER'!Z24</f>
        <v>60 DAYS INVOICE DATE</v>
      </c>
      <c r="D430" s="123">
        <f>'OPEN FOREIGN ORDER'!AA24</f>
        <v>46289</v>
      </c>
      <c r="E430" s="112">
        <f>'OPEN FOREIGN ORDER'!AB24</f>
        <v>0</v>
      </c>
      <c r="F430" s="112">
        <f>'OPEN FOREIGN ORDER'!AC24</f>
        <v>0</v>
      </c>
      <c r="G430" s="112">
        <f>'OPEN FOREIGN ORDER'!AD24</f>
        <v>0</v>
      </c>
      <c r="H430" s="112">
        <f>'OPEN FOREIGN ORDER'!AE24</f>
        <v>4290484.32</v>
      </c>
      <c r="I430" s="112">
        <f>'OPEN FOREIGN ORDER'!AF24</f>
        <v>0</v>
      </c>
      <c r="J430" s="112">
        <f>'OPEN FOREIGN ORDER'!AG24</f>
        <v>0</v>
      </c>
    </row>
    <row r="431" spans="1:10">
      <c r="A431" t="str">
        <f>'CLOSE FOREIGN ORDER'!D673</f>
        <v>FPO12786</v>
      </c>
      <c r="B431" t="str">
        <f>'CLOSE FOREIGN ORDER'!F673</f>
        <v>Collegiale des Domaines de Loire</v>
      </c>
      <c r="C431" t="str">
        <f>'CLOSE FOREIGN ORDER'!Z673</f>
        <v>60 Jours Enlevement</v>
      </c>
      <c r="D431" s="123">
        <f>'CLOSE FOREIGN ORDER'!AA673</f>
        <v>46063</v>
      </c>
      <c r="E431" s="112">
        <f>'CLOSE FOREIGN ORDER'!AB673</f>
        <v>0</v>
      </c>
      <c r="F431" s="112">
        <f>'CLOSE FOREIGN ORDER'!AC673</f>
        <v>2898</v>
      </c>
      <c r="G431" s="112">
        <f>'CLOSE FOREIGN ORDER'!AD673</f>
        <v>0</v>
      </c>
      <c r="H431" s="112">
        <f>'CLOSE FOREIGN ORDER'!AE673</f>
        <v>0</v>
      </c>
      <c r="I431" s="112">
        <f>'CLOSE FOREIGN ORDER'!AF673</f>
        <v>0</v>
      </c>
      <c r="J431" s="112">
        <f>'CLOSE FOREIGN ORDER'!AG673</f>
        <v>0</v>
      </c>
    </row>
    <row r="432" spans="1:10">
      <c r="A432" t="str">
        <f>'CLOSE FOREIGN ORDER'!D717</f>
        <v>FPO12788</v>
      </c>
      <c r="B432" t="str">
        <f>'CLOSE FOREIGN ORDER'!F717</f>
        <v>CANPACK FRANCE SAS</v>
      </c>
      <c r="C432" t="str">
        <f>'CLOSE FOREIGN ORDER'!Z717</f>
        <v>60 DAYS INVOICE DATE</v>
      </c>
      <c r="D432" s="123">
        <f>'CLOSE FOREIGN ORDER'!AA717</f>
        <v>46109</v>
      </c>
      <c r="E432" s="112">
        <f>'CLOSE FOREIGN ORDER'!AB717</f>
        <v>0</v>
      </c>
      <c r="F432" s="112">
        <f>'CLOSE FOREIGN ORDER'!AC717</f>
        <v>75763.929999999993</v>
      </c>
      <c r="G432" s="112">
        <f>'CLOSE FOREIGN ORDER'!AD717</f>
        <v>0</v>
      </c>
      <c r="H432" s="112">
        <f>'CLOSE FOREIGN ORDER'!AE717</f>
        <v>0</v>
      </c>
      <c r="I432" s="112">
        <f>'CLOSE FOREIGN ORDER'!AF717</f>
        <v>0</v>
      </c>
      <c r="J432" s="112">
        <f>'CLOSE FOREIGN ORDER'!AG717</f>
        <v>0</v>
      </c>
    </row>
    <row r="433" spans="1:10">
      <c r="A433" t="e">
        <f>'OPEN FOREIGN ORDER'!#REF!</f>
        <v>#REF!</v>
      </c>
      <c r="B433" t="e">
        <f>'OPEN FOREIGN ORDER'!#REF!</f>
        <v>#REF!</v>
      </c>
      <c r="C433" t="e">
        <f>'OPEN FOREIGN ORDER'!#REF!</f>
        <v>#REF!</v>
      </c>
      <c r="D433" s="123" t="e">
        <f>'OPEN FOREIGN ORDER'!#REF!</f>
        <v>#REF!</v>
      </c>
      <c r="E433" s="112" t="e">
        <f>'OPEN FOREIGN ORDER'!#REF!</f>
        <v>#REF!</v>
      </c>
      <c r="F433" s="112" t="e">
        <f>'OPEN FOREIGN ORDER'!#REF!</f>
        <v>#REF!</v>
      </c>
      <c r="G433" s="112" t="e">
        <f>'OPEN FOREIGN ORDER'!#REF!</f>
        <v>#REF!</v>
      </c>
      <c r="H433" s="112" t="e">
        <f>'OPEN FOREIGN ORDER'!#REF!</f>
        <v>#REF!</v>
      </c>
      <c r="I433" s="112" t="e">
        <f>'OPEN FOREIGN ORDER'!#REF!</f>
        <v>#REF!</v>
      </c>
      <c r="J433" s="112" t="e">
        <f>'OPEN FOREIGN ORDER'!#REF!</f>
        <v>#REF!</v>
      </c>
    </row>
    <row r="434" spans="1:10">
      <c r="A434" t="str">
        <f>'OPEN FOREIGN ORDER'!D28</f>
        <v>FPO13039</v>
      </c>
      <c r="B434" t="str">
        <f>'OPEN FOREIGN ORDER'!F28</f>
        <v>Coca-Cola Beverages South Africa</v>
      </c>
      <c r="C434" t="str">
        <f>'OPEN FOREIGN ORDER'!Z28</f>
        <v>60 DAYS INVOICE DATE</v>
      </c>
      <c r="D434" s="123">
        <f>'OPEN FOREIGN ORDER'!AA28</f>
        <v>46296</v>
      </c>
      <c r="E434" s="112">
        <f>'OPEN FOREIGN ORDER'!AB28</f>
        <v>0</v>
      </c>
      <c r="F434" s="112">
        <f>'OPEN FOREIGN ORDER'!AC28</f>
        <v>0</v>
      </c>
      <c r="G434" s="112">
        <f>'OPEN FOREIGN ORDER'!AD28</f>
        <v>0</v>
      </c>
      <c r="H434" s="112">
        <f>'OPEN FOREIGN ORDER'!AE28</f>
        <v>39391088</v>
      </c>
      <c r="I434" s="112">
        <f>'OPEN FOREIGN ORDER'!AF28</f>
        <v>0</v>
      </c>
      <c r="J434" s="112">
        <f>'OPEN FOREIGN ORDER'!AG28</f>
        <v>0</v>
      </c>
    </row>
    <row r="435" spans="1:10">
      <c r="A435" t="str">
        <f>'OPEN FOREIGN ORDER'!D29</f>
        <v>FPO13040</v>
      </c>
      <c r="B435" t="str">
        <f>'OPEN FOREIGN ORDER'!F29</f>
        <v>Coca-Cola Beverages South Africa</v>
      </c>
      <c r="C435" t="str">
        <f>'OPEN FOREIGN ORDER'!Z29</f>
        <v>60 DAYS INVOICE DATE</v>
      </c>
      <c r="D435" s="123">
        <f>'OPEN FOREIGN ORDER'!AA29</f>
        <v>46235</v>
      </c>
      <c r="E435" s="112">
        <f>'OPEN FOREIGN ORDER'!AB29</f>
        <v>0</v>
      </c>
      <c r="F435" s="112">
        <f>'OPEN FOREIGN ORDER'!AC29</f>
        <v>0</v>
      </c>
      <c r="G435" s="112">
        <f>'OPEN FOREIGN ORDER'!AD29</f>
        <v>0</v>
      </c>
      <c r="H435" s="112">
        <f>'OPEN FOREIGN ORDER'!AE29</f>
        <v>6319555.2000000002</v>
      </c>
      <c r="I435" s="112">
        <f>'OPEN FOREIGN ORDER'!AF29</f>
        <v>0</v>
      </c>
      <c r="J435" s="112">
        <f>'OPEN FOREIGN ORDER'!AG29</f>
        <v>0</v>
      </c>
    </row>
    <row r="436" spans="1:10">
      <c r="A436" t="str">
        <f>'OPEN FOREIGN ORDER'!D26</f>
        <v>FPO13039</v>
      </c>
      <c r="B436" t="str">
        <f>'OPEN FOREIGN ORDER'!F26</f>
        <v>Coca-Cola Beverages South Africa</v>
      </c>
      <c r="C436" t="str">
        <f>'OPEN FOREIGN ORDER'!Z26</f>
        <v>60 DAYS INVOICE DATE</v>
      </c>
      <c r="D436" s="123">
        <f>'OPEN FOREIGN ORDER'!AA26</f>
        <v>46235</v>
      </c>
      <c r="E436" s="112">
        <f>'OPEN FOREIGN ORDER'!AB26</f>
        <v>0</v>
      </c>
      <c r="F436" s="112">
        <f>'OPEN FOREIGN ORDER'!AC26</f>
        <v>0</v>
      </c>
      <c r="G436" s="112">
        <f>'OPEN FOREIGN ORDER'!AD26</f>
        <v>0</v>
      </c>
      <c r="H436" s="112">
        <f>'OPEN FOREIGN ORDER'!AE26</f>
        <v>39391088</v>
      </c>
      <c r="I436" s="112">
        <f>'OPEN FOREIGN ORDER'!AF26</f>
        <v>0</v>
      </c>
      <c r="J436" s="112">
        <f>'OPEN FOREIGN ORDER'!AG26</f>
        <v>0</v>
      </c>
    </row>
    <row r="437" spans="1:10">
      <c r="A437" t="e">
        <f>'OPEN FOREIGN ORDER'!#REF!</f>
        <v>#REF!</v>
      </c>
      <c r="B437" t="e">
        <f>'OPEN FOREIGN ORDER'!#REF!</f>
        <v>#REF!</v>
      </c>
      <c r="C437" t="e">
        <f>'OPEN FOREIGN ORDER'!#REF!</f>
        <v>#REF!</v>
      </c>
      <c r="D437" s="123" t="e">
        <f>'OPEN FOREIGN ORDER'!#REF!</f>
        <v>#REF!</v>
      </c>
      <c r="E437" s="112" t="e">
        <f>'OPEN FOREIGN ORDER'!#REF!</f>
        <v>#REF!</v>
      </c>
      <c r="F437" s="112" t="e">
        <f>'OPEN FOREIGN ORDER'!#REF!</f>
        <v>#REF!</v>
      </c>
      <c r="G437" s="112" t="e">
        <f>'OPEN FOREIGN ORDER'!#REF!</f>
        <v>#REF!</v>
      </c>
      <c r="H437" s="112" t="e">
        <f>'OPEN FOREIGN ORDER'!#REF!</f>
        <v>#REF!</v>
      </c>
      <c r="I437" s="112" t="e">
        <f>'OPEN FOREIGN ORDER'!#REF!</f>
        <v>#REF!</v>
      </c>
      <c r="J437" s="112" t="e">
        <f>'OPEN FOREIGN ORDER'!#REF!</f>
        <v>#REF!</v>
      </c>
    </row>
    <row r="438" spans="1:10">
      <c r="A438" t="e">
        <f>'OPEN FOREIGN ORDER'!#REF!</f>
        <v>#REF!</v>
      </c>
      <c r="B438" t="e">
        <f>'OPEN FOREIGN ORDER'!#REF!</f>
        <v>#REF!</v>
      </c>
      <c r="C438" t="e">
        <f>'OPEN FOREIGN ORDER'!#REF!</f>
        <v>#REF!</v>
      </c>
      <c r="D438" s="123" t="e">
        <f>'OPEN FOREIGN ORDER'!#REF!</f>
        <v>#REF!</v>
      </c>
      <c r="E438" s="112" t="e">
        <f>'OPEN FOREIGN ORDER'!#REF!</f>
        <v>#REF!</v>
      </c>
      <c r="F438" s="112" t="e">
        <f>'OPEN FOREIGN ORDER'!#REF!</f>
        <v>#REF!</v>
      </c>
      <c r="G438" s="112" t="e">
        <f>'OPEN FOREIGN ORDER'!#REF!</f>
        <v>#REF!</v>
      </c>
      <c r="H438" s="112" t="e">
        <f>'OPEN FOREIGN ORDER'!#REF!</f>
        <v>#REF!</v>
      </c>
      <c r="I438" s="112" t="e">
        <f>'OPEN FOREIGN ORDER'!#REF!</f>
        <v>#REF!</v>
      </c>
      <c r="J438" s="112" t="e">
        <f>'OPEN FOREIGN ORDER'!#REF!</f>
        <v>#REF!</v>
      </c>
    </row>
    <row r="439" spans="1:10">
      <c r="A439" t="str">
        <f>'OPEN FOREIGN ORDER'!D30</f>
        <v>FPO13040</v>
      </c>
      <c r="B439" t="str">
        <f>'OPEN FOREIGN ORDER'!F30</f>
        <v>Coca-Cola Beverages South Africa</v>
      </c>
      <c r="C439" t="str">
        <f>'OPEN FOREIGN ORDER'!Z30</f>
        <v>60 DAYS INVOICE DATE</v>
      </c>
      <c r="D439" s="123" t="e">
        <f>'OPEN FOREIGN ORDER'!#REF!</f>
        <v>#REF!</v>
      </c>
      <c r="E439" s="112">
        <f>'OPEN FOREIGN ORDER'!AB30</f>
        <v>0</v>
      </c>
      <c r="F439" s="112">
        <f>'OPEN FOREIGN ORDER'!AA30</f>
        <v>46266</v>
      </c>
      <c r="G439" s="112">
        <f>'OPEN FOREIGN ORDER'!AD30</f>
        <v>0</v>
      </c>
      <c r="H439" s="112">
        <f>'OPEN FOREIGN ORDER'!AE30</f>
        <v>6319555.2000000002</v>
      </c>
      <c r="I439" s="112">
        <f>'OPEN FOREIGN ORDER'!AF30</f>
        <v>0</v>
      </c>
      <c r="J439" s="112">
        <f>'OPEN FOREIGN ORDER'!AG30</f>
        <v>0</v>
      </c>
    </row>
    <row r="440" spans="1:10">
      <c r="A440" t="str">
        <f>'OPEN FOREIGN ORDER'!D31</f>
        <v>FPO13040</v>
      </c>
      <c r="B440" t="str">
        <f>'OPEN FOREIGN ORDER'!F31</f>
        <v>Coca-Cola Beverages South Africa</v>
      </c>
      <c r="C440" t="str">
        <f>'OPEN FOREIGN ORDER'!Z31</f>
        <v>60 DAYS INVOICE DATE</v>
      </c>
      <c r="D440" s="123">
        <f>'OPEN FOREIGN ORDER'!AA31</f>
        <v>46296</v>
      </c>
      <c r="E440" s="112">
        <f>'OPEN FOREIGN ORDER'!AB31</f>
        <v>0</v>
      </c>
      <c r="F440" s="112">
        <f>'OPEN FOREIGN ORDER'!AC31</f>
        <v>0</v>
      </c>
      <c r="G440" s="112">
        <f>'OPEN FOREIGN ORDER'!AD31</f>
        <v>0</v>
      </c>
      <c r="H440" s="112">
        <f>'OPEN FOREIGN ORDER'!AE31</f>
        <v>6319555.2000000002</v>
      </c>
      <c r="I440" s="112">
        <f>'OPEN FOREIGN ORDER'!AF31</f>
        <v>0</v>
      </c>
      <c r="J440" s="112">
        <f>'OPEN FOREIGN ORDER'!AG31</f>
        <v>0</v>
      </c>
    </row>
    <row r="441" spans="1:10">
      <c r="A441" t="str">
        <f>'OPEN FOREIGN ORDER'!D33</f>
        <v>FPO13047</v>
      </c>
      <c r="B441" t="str">
        <f>'OPEN FOREIGN ORDER'!F33</f>
        <v>SAS Melody</v>
      </c>
      <c r="C441" t="str">
        <f>'OPEN FOREIGN ORDER'!Z33</f>
        <v>30 DAYS INVOICE DATE</v>
      </c>
      <c r="D441" s="123">
        <f>'OPEN FOREIGN ORDER'!AA33</f>
        <v>46167</v>
      </c>
      <c r="E441" s="112">
        <f>'OPEN FOREIGN ORDER'!AB33</f>
        <v>0</v>
      </c>
      <c r="F441" s="112">
        <f>'OPEN FOREIGN ORDER'!AC33</f>
        <v>2445</v>
      </c>
      <c r="G441" s="112">
        <f>'OPEN FOREIGN ORDER'!AD33</f>
        <v>0</v>
      </c>
      <c r="H441" s="112">
        <f>'OPEN FOREIGN ORDER'!AE33</f>
        <v>0</v>
      </c>
      <c r="I441" s="112">
        <f>'OPEN FOREIGN ORDER'!AF33</f>
        <v>0</v>
      </c>
      <c r="J441" s="112">
        <f>'OPEN FOREIGN ORDER'!AG33</f>
        <v>0</v>
      </c>
    </row>
    <row r="442" spans="1:10">
      <c r="A442" t="str">
        <f>'OPEN FOREIGN ORDER'!D34</f>
        <v>FPO13245</v>
      </c>
      <c r="B442" t="str">
        <f>'OPEN FOREIGN ORDER'!F34</f>
        <v xml:space="preserve">Advini SA - France </v>
      </c>
      <c r="C442" t="str">
        <f>'OPEN FOREIGN ORDER'!Z34</f>
        <v>90 DAYS INVOICE DATE</v>
      </c>
      <c r="D442" s="123">
        <f>'OPEN FOREIGN ORDER'!AA34</f>
        <v>46244</v>
      </c>
      <c r="E442" s="112">
        <f>'OPEN FOREIGN ORDER'!AB34</f>
        <v>0</v>
      </c>
      <c r="F442" s="112">
        <f>'OPEN FOREIGN ORDER'!AC34</f>
        <v>12162</v>
      </c>
      <c r="G442" s="112">
        <f>'OPEN FOREIGN ORDER'!AD34</f>
        <v>0</v>
      </c>
      <c r="H442" s="112">
        <f>'OPEN FOREIGN ORDER'!AE34</f>
        <v>0</v>
      </c>
      <c r="I442" s="112">
        <f>'OPEN FOREIGN ORDER'!AF34</f>
        <v>0</v>
      </c>
      <c r="J442" s="112">
        <f>'OPEN FOREIGN ORDER'!AG34</f>
        <v>0</v>
      </c>
    </row>
    <row r="443" spans="1:10">
      <c r="A443" t="str">
        <f>'OPEN FOREIGN ORDER'!D35</f>
        <v>FPO09525</v>
      </c>
      <c r="B443" t="str">
        <f>'OPEN FOREIGN ORDER'!F35</f>
        <v>Empak Africa LTD - Intergulf LTD</v>
      </c>
      <c r="C443" t="str">
        <f>'OPEN FOREIGN ORDER'!Z35</f>
        <v>Quarterly as per total volume of preforms ordered last quarter</v>
      </c>
      <c r="D443" s="123">
        <f>'OPEN FOREIGN ORDER'!AA35</f>
        <v>0</v>
      </c>
      <c r="E443" s="112">
        <f>'OPEN FOREIGN ORDER'!AB35</f>
        <v>140069</v>
      </c>
      <c r="F443" s="112">
        <f>'OPEN FOREIGN ORDER'!AC35</f>
        <v>0</v>
      </c>
      <c r="G443" s="112">
        <f>'OPEN FOREIGN ORDER'!AD35</f>
        <v>0</v>
      </c>
      <c r="H443" s="112">
        <f>'OPEN FOREIGN ORDER'!AE35</f>
        <v>0</v>
      </c>
      <c r="I443" s="112">
        <f>'OPEN FOREIGN ORDER'!AF35</f>
        <v>0</v>
      </c>
      <c r="J443" s="112">
        <f>'OPEN FOREIGN ORDER'!AG35</f>
        <v>0</v>
      </c>
    </row>
    <row r="444" spans="1:10">
      <c r="A444" t="str">
        <f>'OPEN FOREIGN ORDER'!D36</f>
        <v>FPO11452</v>
      </c>
      <c r="B444" t="str">
        <f>'OPEN FOREIGN ORDER'!F36</f>
        <v xml:space="preserve">AMMATGLASS (ALTAJIR) - </v>
      </c>
      <c r="C444" t="str">
        <f>'OPEN FOREIGN ORDER'!Z36</f>
        <v xml:space="preserve">60 DAYS INVOICE DATE </v>
      </c>
      <c r="D444" s="123">
        <f>'OPEN FOREIGN ORDER'!AA36</f>
        <v>46204</v>
      </c>
      <c r="E444" s="112">
        <f>'OPEN FOREIGN ORDER'!AB36</f>
        <v>275037.41000000003</v>
      </c>
      <c r="F444" s="112">
        <f>'OPEN FOREIGN ORDER'!AC36</f>
        <v>0</v>
      </c>
      <c r="G444" s="112">
        <f>'OPEN FOREIGN ORDER'!AD36</f>
        <v>0</v>
      </c>
      <c r="H444" s="112">
        <f>'OPEN FOREIGN ORDER'!AE36</f>
        <v>0</v>
      </c>
      <c r="I444" s="112">
        <f>'OPEN FOREIGN ORDER'!AF36</f>
        <v>0</v>
      </c>
      <c r="J444" s="112">
        <f>'OPEN FOREIGN ORDER'!AG36</f>
        <v>0</v>
      </c>
    </row>
    <row r="445" spans="1:10">
      <c r="A445" t="str">
        <f>'OPEN FOREIGN ORDER'!D37</f>
        <v>FPO12126</v>
      </c>
      <c r="B445" t="str">
        <f>'OPEN FOREIGN ORDER'!F37</f>
        <v>ARDAGH GLASS</v>
      </c>
      <c r="C445" t="str">
        <f>'OPEN FOREIGN ORDER'!Z37</f>
        <v>30 DAYS BL DATE</v>
      </c>
      <c r="D445" s="123" t="str">
        <f>'OPEN FOREIGN ORDER'!AA37</f>
        <v>30.06.2026</v>
      </c>
      <c r="E445" s="112">
        <f>'OPEN FOREIGN ORDER'!AB37</f>
        <v>36098.92</v>
      </c>
      <c r="F445" s="112">
        <f>'OPEN FOREIGN ORDER'!AC37</f>
        <v>0</v>
      </c>
      <c r="G445" s="112">
        <f>'OPEN FOREIGN ORDER'!AD37</f>
        <v>0</v>
      </c>
      <c r="H445" s="112">
        <f>'OPEN FOREIGN ORDER'!AE37</f>
        <v>0</v>
      </c>
      <c r="I445" s="112">
        <f>'OPEN FOREIGN ORDER'!AF37</f>
        <v>0</v>
      </c>
      <c r="J445" s="112">
        <f>'OPEN FOREIGN ORDER'!AG37</f>
        <v>0</v>
      </c>
    </row>
    <row r="446" spans="1:10">
      <c r="A446" t="str">
        <f>'CLOSE FOREIGN ORDER'!D750</f>
        <v>FPO12579</v>
      </c>
      <c r="B446" t="str">
        <f>'CLOSE FOREIGN ORDER'!F750</f>
        <v xml:space="preserve">Greyson Trading LTD </v>
      </c>
      <c r="C446" t="str">
        <f>'CLOSE FOREIGN ORDER'!Z750</f>
        <v>60 DAYS BL</v>
      </c>
      <c r="D446" s="123">
        <f>'CLOSE FOREIGN ORDER'!AA750</f>
        <v>46147</v>
      </c>
      <c r="E446" s="112">
        <f>'CLOSE FOREIGN ORDER'!AB750</f>
        <v>86820.32</v>
      </c>
      <c r="F446" s="112">
        <f>'CLOSE FOREIGN ORDER'!AC750</f>
        <v>0</v>
      </c>
      <c r="G446" s="112">
        <f>'CLOSE FOREIGN ORDER'!AD750</f>
        <v>0</v>
      </c>
      <c r="H446" s="112">
        <f>'CLOSE FOREIGN ORDER'!AE750</f>
        <v>0</v>
      </c>
      <c r="I446" s="112">
        <f>'CLOSE FOREIGN ORDER'!AF750</f>
        <v>0</v>
      </c>
      <c r="J446" s="112">
        <f>'CLOSE FOREIGN ORDER'!AG750</f>
        <v>0</v>
      </c>
    </row>
    <row r="447" spans="1:10">
      <c r="A447" t="str">
        <f>'OPEN FOREIGN ORDER'!D38</f>
        <v>FPO12616</v>
      </c>
      <c r="B447" t="str">
        <f>'OPEN FOREIGN ORDER'!F38</f>
        <v>RESILUX NV</v>
      </c>
      <c r="C447" t="str">
        <f>'OPEN FOREIGN ORDER'!Z38</f>
        <v>60 DAYS INVOICE DATE</v>
      </c>
      <c r="D447" s="123">
        <f>'OPEN FOREIGN ORDER'!AA38</f>
        <v>46166</v>
      </c>
      <c r="E447" s="112">
        <f>'OPEN FOREIGN ORDER'!AB38</f>
        <v>0</v>
      </c>
      <c r="F447" s="112">
        <f>'OPEN FOREIGN ORDER'!AC38</f>
        <v>34737.120000000003</v>
      </c>
      <c r="G447" s="112">
        <f>'OPEN FOREIGN ORDER'!AD38</f>
        <v>0</v>
      </c>
      <c r="H447" s="112">
        <f>'OPEN FOREIGN ORDER'!AE38</f>
        <v>0</v>
      </c>
      <c r="I447" s="112">
        <f>'OPEN FOREIGN ORDER'!AF38</f>
        <v>0</v>
      </c>
      <c r="J447" s="112">
        <f>'OPEN FOREIGN ORDER'!AG38</f>
        <v>0</v>
      </c>
    </row>
    <row r="448" spans="1:10">
      <c r="A448" t="str">
        <f>'OPEN FOREIGN ORDER'!D39</f>
        <v>FPO12616</v>
      </c>
      <c r="B448" t="str">
        <f>'OPEN FOREIGN ORDER'!F39</f>
        <v>RESILUX NV</v>
      </c>
      <c r="C448" t="str">
        <f>'OPEN FOREIGN ORDER'!Z39</f>
        <v>60 DAYS INVOICE DATE</v>
      </c>
      <c r="D448" s="123">
        <f>'OPEN FOREIGN ORDER'!AA39</f>
        <v>46188</v>
      </c>
      <c r="E448" s="112">
        <f>'OPEN FOREIGN ORDER'!AB39</f>
        <v>0</v>
      </c>
      <c r="F448" s="112">
        <f>'OPEN FOREIGN ORDER'!AC39</f>
        <v>29345.54</v>
      </c>
      <c r="G448" s="112">
        <f>'OPEN FOREIGN ORDER'!AD39</f>
        <v>0</v>
      </c>
      <c r="H448" s="112">
        <f>'OPEN FOREIGN ORDER'!AE39</f>
        <v>0</v>
      </c>
      <c r="I448" s="112">
        <f>'OPEN FOREIGN ORDER'!AF39</f>
        <v>0</v>
      </c>
      <c r="J448" s="112">
        <f>'OPEN FOREIGN ORDER'!AG39</f>
        <v>0</v>
      </c>
    </row>
    <row r="449" spans="1:10">
      <c r="A449" t="str">
        <f>'OPEN FOREIGN ORDER'!D41</f>
        <v>FPO12626</v>
      </c>
      <c r="B449" t="str">
        <f>'OPEN FOREIGN ORDER'!F41</f>
        <v>GUALA CLOSURES (INDIA) PVT.LTD.</v>
      </c>
      <c r="C449" t="str">
        <f>'OPEN FOREIGN ORDER'!Z41</f>
        <v xml:space="preserve">21 DAYS BL DATE </v>
      </c>
      <c r="D449" s="123">
        <f>'OPEN FOREIGN ORDER'!AA41</f>
        <v>46174</v>
      </c>
      <c r="E449" s="112">
        <f>'OPEN FOREIGN ORDER'!AB41</f>
        <v>33440</v>
      </c>
      <c r="F449" s="112">
        <f>'OPEN FOREIGN ORDER'!AC41</f>
        <v>0</v>
      </c>
      <c r="G449" s="112">
        <f>'OPEN FOREIGN ORDER'!AD41</f>
        <v>0</v>
      </c>
      <c r="H449" s="112">
        <f>'OPEN FOREIGN ORDER'!AE41</f>
        <v>0</v>
      </c>
      <c r="I449" s="112">
        <f>'OPEN FOREIGN ORDER'!AF41</f>
        <v>0</v>
      </c>
      <c r="J449" s="112">
        <f>'OPEN FOREIGN ORDER'!AG41</f>
        <v>0</v>
      </c>
    </row>
    <row r="450" spans="1:10">
      <c r="A450" t="str">
        <f>'OPEN FOREIGN ORDER'!D42</f>
        <v>FPO12630</v>
      </c>
      <c r="B450" t="str">
        <f>'OPEN FOREIGN ORDER'!F42</f>
        <v>Crown Emirates Co. LTD</v>
      </c>
      <c r="C450" t="str">
        <f>'OPEN FOREIGN ORDER'!Z42</f>
        <v>100% ADVANCE PAYMENT</v>
      </c>
      <c r="D450" s="123">
        <f>'OPEN FOREIGN ORDER'!AA42</f>
        <v>46013</v>
      </c>
      <c r="E450" s="112">
        <f>'OPEN FOREIGN ORDER'!AB42</f>
        <v>75169.919999999998</v>
      </c>
      <c r="F450" s="112">
        <f>'OPEN FOREIGN ORDER'!AC42</f>
        <v>0</v>
      </c>
      <c r="G450" s="112">
        <f>'OPEN FOREIGN ORDER'!AD42</f>
        <v>0</v>
      </c>
      <c r="H450" s="112">
        <f>'OPEN FOREIGN ORDER'!AE42</f>
        <v>0</v>
      </c>
      <c r="I450" s="112">
        <f>'OPEN FOREIGN ORDER'!AF42</f>
        <v>0</v>
      </c>
      <c r="J450" s="112">
        <f>'OPEN FOREIGN ORDER'!AG42</f>
        <v>0</v>
      </c>
    </row>
    <row r="451" spans="1:10">
      <c r="A451" t="str">
        <f>'OPEN FOREIGN ORDER'!D43</f>
        <v>FPO12685</v>
      </c>
      <c r="B451" t="str">
        <f>'OPEN FOREIGN ORDER'!F43</f>
        <v>SHANDONG YUNCHENG - VALIENT</v>
      </c>
      <c r="C451" t="str">
        <f>'OPEN FOREIGN ORDER'!Z43</f>
        <v>100% ADVANCE PAYMENT</v>
      </c>
      <c r="D451" s="123">
        <f>'OPEN FOREIGN ORDER'!AA43</f>
        <v>45981</v>
      </c>
      <c r="E451" s="112">
        <f>'OPEN FOREIGN ORDER'!AB43</f>
        <v>6000</v>
      </c>
      <c r="F451" s="112">
        <f>'OPEN FOREIGN ORDER'!AC43</f>
        <v>0</v>
      </c>
      <c r="G451" s="112">
        <f>'OPEN FOREIGN ORDER'!AD43</f>
        <v>0</v>
      </c>
      <c r="H451" s="112">
        <f>'OPEN FOREIGN ORDER'!AE43</f>
        <v>0</v>
      </c>
      <c r="I451" s="112">
        <f>'OPEN FOREIGN ORDER'!AF43</f>
        <v>0</v>
      </c>
      <c r="J451" s="112">
        <f>'OPEN FOREIGN ORDER'!AG43</f>
        <v>0</v>
      </c>
    </row>
    <row r="452" spans="1:10">
      <c r="A452" t="str">
        <f>'CLOSE FOREIGN ORDER'!D748</f>
        <v>FPO12726</v>
      </c>
      <c r="B452" t="str">
        <f>'CLOSE FOREIGN ORDER'!F748</f>
        <v xml:space="preserve">Greyson Trading LTD </v>
      </c>
      <c r="C452" t="str">
        <f>'CLOSE FOREIGN ORDER'!Z748</f>
        <v xml:space="preserve">60 DAYS BL DATE </v>
      </c>
      <c r="D452" s="123">
        <f>'CLOSE FOREIGN ORDER'!AA748</f>
        <v>46147</v>
      </c>
      <c r="E452" s="112">
        <f>'CLOSE FOREIGN ORDER'!AB748</f>
        <v>54821.46</v>
      </c>
      <c r="F452" s="112">
        <f>'CLOSE FOREIGN ORDER'!AC748</f>
        <v>0</v>
      </c>
      <c r="G452" s="112">
        <f>'CLOSE FOREIGN ORDER'!AD748</f>
        <v>0</v>
      </c>
      <c r="H452" s="112">
        <f>'CLOSE FOREIGN ORDER'!AE748</f>
        <v>0</v>
      </c>
      <c r="I452" s="112">
        <f>'CLOSE FOREIGN ORDER'!AF748</f>
        <v>0</v>
      </c>
      <c r="J452" s="112">
        <f>'CLOSE FOREIGN ORDER'!AG748</f>
        <v>0</v>
      </c>
    </row>
    <row r="453" spans="1:10">
      <c r="A453" t="str">
        <f>'OPEN FOREIGN ORDER'!D44</f>
        <v>FPO12726</v>
      </c>
      <c r="B453" t="str">
        <f>'OPEN FOREIGN ORDER'!F44</f>
        <v xml:space="preserve">Greyson Trading LTD </v>
      </c>
      <c r="C453" t="str">
        <f>'OPEN FOREIGN ORDER'!Z44</f>
        <v>60 DAYS BL</v>
      </c>
      <c r="D453" s="123">
        <f>'OPEN FOREIGN ORDER'!AA44</f>
        <v>46180</v>
      </c>
      <c r="E453" s="112">
        <f>'OPEN FOREIGN ORDER'!AB44</f>
        <v>54821.46</v>
      </c>
      <c r="F453" s="112">
        <f>'OPEN FOREIGN ORDER'!AC44</f>
        <v>0</v>
      </c>
      <c r="G453" s="112">
        <f>'OPEN FOREIGN ORDER'!AD44</f>
        <v>0</v>
      </c>
      <c r="H453" s="112">
        <f>'OPEN FOREIGN ORDER'!AE44</f>
        <v>0</v>
      </c>
      <c r="I453" s="112">
        <f>'OPEN FOREIGN ORDER'!AF44</f>
        <v>0</v>
      </c>
      <c r="J453" s="112">
        <f>'OPEN FOREIGN ORDER'!AG44</f>
        <v>0</v>
      </c>
    </row>
    <row r="454" spans="1:10">
      <c r="A454" t="str">
        <f>'OPEN FOREIGN ORDER'!D45</f>
        <v>FPO12790</v>
      </c>
      <c r="B454" t="str">
        <f>'OPEN FOREIGN ORDER'!F45</f>
        <v xml:space="preserve">Greyson Trading LTD </v>
      </c>
      <c r="C454" t="str">
        <f>'OPEN FOREIGN ORDER'!Z45</f>
        <v xml:space="preserve">60 DAYS BL DATE </v>
      </c>
      <c r="D454" s="123">
        <f>'OPEN FOREIGN ORDER'!AA45</f>
        <v>46190</v>
      </c>
      <c r="E454" s="112">
        <f>'OPEN FOREIGN ORDER'!AB45</f>
        <v>221844.93</v>
      </c>
      <c r="F454" s="112">
        <f>'OPEN FOREIGN ORDER'!AC45</f>
        <v>0</v>
      </c>
      <c r="G454" s="112">
        <f>'OPEN FOREIGN ORDER'!AD45</f>
        <v>0</v>
      </c>
      <c r="H454" s="112">
        <f>'OPEN FOREIGN ORDER'!AE45</f>
        <v>0</v>
      </c>
      <c r="I454" s="112">
        <f>'OPEN FOREIGN ORDER'!AF45</f>
        <v>0</v>
      </c>
      <c r="J454" s="112">
        <f>'OPEN FOREIGN ORDER'!AG45</f>
        <v>0</v>
      </c>
    </row>
    <row r="455" spans="1:10">
      <c r="A455" t="str">
        <f>'CLOSE FOREIGN ORDER'!D714</f>
        <v>FPO12886</v>
      </c>
      <c r="B455" t="str">
        <f>'CLOSE FOREIGN ORDER'!F714</f>
        <v>Diageo Brands</v>
      </c>
      <c r="C455" t="str">
        <f>'CLOSE FOREIGN ORDER'!Z714</f>
        <v>90 DAYS INVOICE DATE</v>
      </c>
      <c r="D455" s="123">
        <f>'CLOSE FOREIGN ORDER'!AA714</f>
        <v>46167</v>
      </c>
      <c r="E455" s="112">
        <f>'CLOSE FOREIGN ORDER'!AB714</f>
        <v>0</v>
      </c>
      <c r="F455" s="112">
        <f>'CLOSE FOREIGN ORDER'!AC714</f>
        <v>5500.38</v>
      </c>
      <c r="G455" s="112">
        <f>'CLOSE FOREIGN ORDER'!AD714</f>
        <v>0</v>
      </c>
      <c r="H455" s="112">
        <f>'CLOSE FOREIGN ORDER'!AE714</f>
        <v>0</v>
      </c>
      <c r="I455" s="112">
        <f>'CLOSE FOREIGN ORDER'!AF714</f>
        <v>0</v>
      </c>
      <c r="J455" s="112">
        <f>'CLOSE FOREIGN ORDER'!AG714</f>
        <v>0</v>
      </c>
    </row>
    <row r="456" spans="1:10">
      <c r="A456" t="str">
        <f>'OPEN FOREIGN ORDER'!D49</f>
        <v>FPO12851</v>
      </c>
      <c r="B456" t="str">
        <f>'OPEN FOREIGN ORDER'!F49</f>
        <v>Blackhawk Molding Co Inc</v>
      </c>
      <c r="C456" t="str">
        <f>'OPEN FOREIGN ORDER'!Z49</f>
        <v>50% Adv payment- USD 28,482.66 (Due 09/02/2026)
50% Net 45 Days- USD 28,482.66 (due 10/04/2026)</v>
      </c>
      <c r="D456" s="123">
        <f>'OPEN FOREIGN ORDER'!AA49</f>
        <v>46122</v>
      </c>
      <c r="E456" s="112">
        <f>'OPEN FOREIGN ORDER'!AB49</f>
        <v>56965.31</v>
      </c>
      <c r="F456" s="112">
        <f>'OPEN FOREIGN ORDER'!AC49</f>
        <v>0</v>
      </c>
      <c r="G456" s="112">
        <f>'OPEN FOREIGN ORDER'!AD49</f>
        <v>0</v>
      </c>
      <c r="H456" s="112">
        <f>'OPEN FOREIGN ORDER'!AE49</f>
        <v>0</v>
      </c>
      <c r="I456" s="112">
        <f>'OPEN FOREIGN ORDER'!AF49</f>
        <v>0</v>
      </c>
      <c r="J456" s="112">
        <f>'OPEN FOREIGN ORDER'!AG49</f>
        <v>0</v>
      </c>
    </row>
    <row r="457" spans="1:10">
      <c r="A457" t="str">
        <f>'OPEN FOREIGN ORDER'!D50</f>
        <v>FPO12879</v>
      </c>
      <c r="B457" t="str">
        <f>'OPEN FOREIGN ORDER'!F50</f>
        <v>CANPACK FRANCE SAS</v>
      </c>
      <c r="C457" t="str">
        <f>'OPEN FOREIGN ORDER'!Z50</f>
        <v>60 DAYS INVOICE DATE</v>
      </c>
      <c r="D457" s="123">
        <f>'OPEN FOREIGN ORDER'!AA50</f>
        <v>46162</v>
      </c>
      <c r="E457" s="112">
        <f>'OPEN FOREIGN ORDER'!AB50</f>
        <v>0</v>
      </c>
      <c r="F457" s="112">
        <f>'OPEN FOREIGN ORDER'!AC50</f>
        <v>38761.480000000003</v>
      </c>
      <c r="G457" s="112">
        <f>'OPEN FOREIGN ORDER'!AD50</f>
        <v>0</v>
      </c>
      <c r="H457" s="112">
        <f>'OPEN FOREIGN ORDER'!AE50</f>
        <v>0</v>
      </c>
      <c r="I457" s="112">
        <f>'OPEN FOREIGN ORDER'!AF50</f>
        <v>0</v>
      </c>
      <c r="J457" s="112">
        <f>'OPEN FOREIGN ORDER'!AG50</f>
        <v>0</v>
      </c>
    </row>
    <row r="458" spans="1:10">
      <c r="A458" t="str">
        <f>'OPEN FOREIGN ORDER'!D51</f>
        <v>FPO12880</v>
      </c>
      <c r="B458" t="str">
        <f>'OPEN FOREIGN ORDER'!F51</f>
        <v xml:space="preserve">Greyson Trading LTD </v>
      </c>
      <c r="C458" t="str">
        <f>'OPEN FOREIGN ORDER'!Z51</f>
        <v>60 DAYS BL</v>
      </c>
      <c r="D458" s="123">
        <f>'OPEN FOREIGN ORDER'!AA51</f>
        <v>46180</v>
      </c>
      <c r="E458" s="112">
        <f>'OPEN FOREIGN ORDER'!AB51</f>
        <v>245489.85</v>
      </c>
      <c r="F458" s="112">
        <f>'OPEN FOREIGN ORDER'!AC51</f>
        <v>0</v>
      </c>
      <c r="G458" s="112">
        <f>'OPEN FOREIGN ORDER'!AD51</f>
        <v>0</v>
      </c>
      <c r="H458" s="112">
        <f>'OPEN FOREIGN ORDER'!AE51</f>
        <v>0</v>
      </c>
      <c r="I458" s="112">
        <f>'OPEN FOREIGN ORDER'!AF51</f>
        <v>0</v>
      </c>
      <c r="J458" s="112">
        <f>'OPEN FOREIGN ORDER'!AG51</f>
        <v>0</v>
      </c>
    </row>
    <row r="459" spans="1:10">
      <c r="A459" t="str">
        <f>'OPEN FOREIGN ORDER'!D53</f>
        <v>FPO12880</v>
      </c>
      <c r="B459" t="str">
        <f>'OPEN FOREIGN ORDER'!F53</f>
        <v xml:space="preserve">Greyson Trading LTD </v>
      </c>
      <c r="C459" t="str">
        <f>'OPEN FOREIGN ORDER'!Z53</f>
        <v>60 days Bill of Lading</v>
      </c>
      <c r="D459" s="123">
        <f>'OPEN FOREIGN ORDER'!AA53</f>
        <v>46188</v>
      </c>
      <c r="E459" s="112">
        <f>'OPEN FOREIGN ORDER'!AB53</f>
        <v>245489.85</v>
      </c>
      <c r="F459" s="112">
        <f>'OPEN FOREIGN ORDER'!AC53</f>
        <v>0</v>
      </c>
      <c r="G459" s="112">
        <f>'OPEN FOREIGN ORDER'!AD53</f>
        <v>0</v>
      </c>
      <c r="H459" s="112">
        <f>'OPEN FOREIGN ORDER'!AE53</f>
        <v>0</v>
      </c>
      <c r="I459" s="112">
        <f>'OPEN FOREIGN ORDER'!AF53</f>
        <v>0</v>
      </c>
      <c r="J459" s="112">
        <f>'OPEN FOREIGN ORDER'!AG53</f>
        <v>0</v>
      </c>
    </row>
    <row r="460" spans="1:10">
      <c r="A460" t="str">
        <f>'OPEN FOREIGN ORDER'!D55</f>
        <v>FPO12882</v>
      </c>
      <c r="B460" t="str">
        <f>'OPEN FOREIGN ORDER'!F55</f>
        <v>RKW SAINT FRERES</v>
      </c>
      <c r="C460" t="str">
        <f>'OPEN FOREIGN ORDER'!Z55</f>
        <v>60 Days invoice date</v>
      </c>
      <c r="D460" s="123">
        <f>'OPEN FOREIGN ORDER'!AA55</f>
        <v>46198</v>
      </c>
      <c r="E460" s="112">
        <f>'OPEN FOREIGN ORDER'!AB55</f>
        <v>0</v>
      </c>
      <c r="F460" s="112">
        <f>'OPEN FOREIGN ORDER'!AC55</f>
        <v>37237.5</v>
      </c>
      <c r="G460" s="112">
        <f>'OPEN FOREIGN ORDER'!AD55</f>
        <v>0</v>
      </c>
      <c r="H460" s="112">
        <f>'OPEN FOREIGN ORDER'!AE55</f>
        <v>0</v>
      </c>
      <c r="I460" s="112">
        <f>'OPEN FOREIGN ORDER'!AF55</f>
        <v>0</v>
      </c>
      <c r="J460" s="112">
        <f>'OPEN FOREIGN ORDER'!AG55</f>
        <v>0</v>
      </c>
    </row>
    <row r="461" spans="1:10">
      <c r="A461" t="str">
        <f>'OPEN FOREIGN ORDER'!D56</f>
        <v>FPO12883</v>
      </c>
      <c r="B461" t="str">
        <f>'OPEN FOREIGN ORDER'!F56</f>
        <v>KIOO LIMITED</v>
      </c>
      <c r="C461" t="str">
        <f>'OPEN FOREIGN ORDER'!Z56</f>
        <v>50% Advance payment- USD 37,964.24 (Due 16/02/2026)
50% BL Date-  USD 37,964.21 (Due 08.04.2026)</v>
      </c>
      <c r="D461" s="123">
        <f>'OPEN FOREIGN ORDER'!AA56</f>
        <v>0</v>
      </c>
      <c r="E461" s="112">
        <f>'OPEN FOREIGN ORDER'!AB56</f>
        <v>75928.45</v>
      </c>
      <c r="F461" s="112">
        <f>'OPEN FOREIGN ORDER'!AC56</f>
        <v>0</v>
      </c>
      <c r="G461" s="112">
        <f>'OPEN FOREIGN ORDER'!AD56</f>
        <v>0</v>
      </c>
      <c r="H461" s="112">
        <f>'OPEN FOREIGN ORDER'!AE56</f>
        <v>0</v>
      </c>
      <c r="I461" s="112">
        <f>'OPEN FOREIGN ORDER'!AF56</f>
        <v>0</v>
      </c>
      <c r="J461" s="112">
        <f>'OPEN FOREIGN ORDER'!AG56</f>
        <v>0</v>
      </c>
    </row>
    <row r="462" spans="1:10">
      <c r="A462" t="str">
        <f>'OPEN FOREIGN ORDER'!D57</f>
        <v>FPO12906</v>
      </c>
      <c r="B462" t="str">
        <f>'OPEN FOREIGN ORDER'!F57</f>
        <v>RKW SAINT FRERES</v>
      </c>
      <c r="C462" t="str">
        <f>'OPEN FOREIGN ORDER'!Z57</f>
        <v>60 DAYS INVOICE DATE</v>
      </c>
      <c r="D462" s="123">
        <f>'OPEN FOREIGN ORDER'!AA57</f>
        <v>46143</v>
      </c>
      <c r="E462" s="112">
        <f>'OPEN FOREIGN ORDER'!AB57</f>
        <v>0</v>
      </c>
      <c r="F462" s="112">
        <f>'OPEN FOREIGN ORDER'!AC57</f>
        <v>24980.86</v>
      </c>
      <c r="G462" s="112">
        <f>'OPEN FOREIGN ORDER'!AD57</f>
        <v>0</v>
      </c>
      <c r="H462" s="112">
        <f>'OPEN FOREIGN ORDER'!AE57</f>
        <v>0</v>
      </c>
      <c r="I462" s="112">
        <f>'OPEN FOREIGN ORDER'!AF57</f>
        <v>0</v>
      </c>
      <c r="J462" s="112">
        <f>'OPEN FOREIGN ORDER'!AG57</f>
        <v>0</v>
      </c>
    </row>
    <row r="463" spans="1:10">
      <c r="A463" t="str">
        <f>'OPEN FOREIGN ORDER'!D58</f>
        <v>FPO12907</v>
      </c>
      <c r="B463" t="str">
        <f>'OPEN FOREIGN ORDER'!F58</f>
        <v>RKW SAINT FRERES</v>
      </c>
      <c r="C463" t="str">
        <f>'OPEN FOREIGN ORDER'!Z58</f>
        <v>60 DAYS INVOICE DATE</v>
      </c>
      <c r="D463" s="123">
        <f>'OPEN FOREIGN ORDER'!AA58</f>
        <v>46143</v>
      </c>
      <c r="E463" s="112">
        <f>'OPEN FOREIGN ORDER'!AB58</f>
        <v>0</v>
      </c>
      <c r="F463" s="112">
        <f>'OPEN FOREIGN ORDER'!AC58</f>
        <v>24181.23</v>
      </c>
      <c r="G463" s="112">
        <f>'OPEN FOREIGN ORDER'!AD58</f>
        <v>0</v>
      </c>
      <c r="H463" s="112">
        <f>'OPEN FOREIGN ORDER'!AE58</f>
        <v>0</v>
      </c>
      <c r="I463" s="112">
        <f>'OPEN FOREIGN ORDER'!AF58</f>
        <v>0</v>
      </c>
      <c r="J463" s="112">
        <f>'OPEN FOREIGN ORDER'!AG58</f>
        <v>0</v>
      </c>
    </row>
    <row r="464" spans="1:10">
      <c r="A464" t="str">
        <f>'OPEN FOREIGN ORDER'!D60</f>
        <v>FPO12960</v>
      </c>
      <c r="B464" t="str">
        <f>'OPEN FOREIGN ORDER'!F60</f>
        <v>ARDAGH GLASS</v>
      </c>
      <c r="C464" t="str">
        <f>'OPEN FOREIGN ORDER'!Z60</f>
        <v>30 DAYS BL DATE</v>
      </c>
      <c r="D464" s="123">
        <f>'OPEN FOREIGN ORDER'!AA60</f>
        <v>46167</v>
      </c>
      <c r="E464" s="112">
        <f>'OPEN FOREIGN ORDER'!AB60</f>
        <v>85260.75</v>
      </c>
      <c r="F464" s="112">
        <f>'OPEN FOREIGN ORDER'!AC60</f>
        <v>0</v>
      </c>
      <c r="G464" s="112">
        <f>'OPEN FOREIGN ORDER'!AD60</f>
        <v>0</v>
      </c>
      <c r="H464" s="112">
        <f>'OPEN FOREIGN ORDER'!AE60</f>
        <v>0</v>
      </c>
      <c r="I464" s="112">
        <f>'OPEN FOREIGN ORDER'!AF60</f>
        <v>0</v>
      </c>
      <c r="J464" s="112">
        <f>'OPEN FOREIGN ORDER'!AG60</f>
        <v>0</v>
      </c>
    </row>
    <row r="465" spans="1:10">
      <c r="A465" t="str">
        <f>'OPEN FOREIGN ORDER'!D61</f>
        <v>FPO12988</v>
      </c>
      <c r="B465" t="str">
        <f>'OPEN FOREIGN ORDER'!F61</f>
        <v>Manjushree Technopack Ltd</v>
      </c>
      <c r="C465" t="str">
        <f>'OPEN FOREIGN ORDER'!Z61</f>
        <v>21 days from BL date</v>
      </c>
      <c r="D465" s="123">
        <f>'OPEN FOREIGN ORDER'!AA61</f>
        <v>46171</v>
      </c>
      <c r="E465" s="112">
        <f>'OPEN FOREIGN ORDER'!AB61</f>
        <v>10058.4</v>
      </c>
      <c r="F465" s="112">
        <f>'OPEN FOREIGN ORDER'!AC61</f>
        <v>0</v>
      </c>
      <c r="G465" s="112">
        <f>'OPEN FOREIGN ORDER'!AD61</f>
        <v>0</v>
      </c>
      <c r="H465" s="112">
        <f>'OPEN FOREIGN ORDER'!AE61</f>
        <v>0</v>
      </c>
      <c r="I465" s="112">
        <f>'OPEN FOREIGN ORDER'!AF61</f>
        <v>0</v>
      </c>
      <c r="J465" s="112">
        <f>'OPEN FOREIGN ORDER'!AG61</f>
        <v>0</v>
      </c>
    </row>
    <row r="466" spans="1:10">
      <c r="A466" t="str">
        <f>'OPEN FOREIGN ORDER'!D62</f>
        <v>FPO12989</v>
      </c>
      <c r="B466" t="str">
        <f>'OPEN FOREIGN ORDER'!F62</f>
        <v>RESILUX NV</v>
      </c>
      <c r="C466" t="str">
        <f>'OPEN FOREIGN ORDER'!Z62</f>
        <v>60 Days Inoice date</v>
      </c>
      <c r="D466" s="123">
        <f>'OPEN FOREIGN ORDER'!AA62</f>
        <v>46183</v>
      </c>
      <c r="E466" s="112">
        <f>'OPEN FOREIGN ORDER'!AB62</f>
        <v>0</v>
      </c>
      <c r="F466" s="112">
        <f>'OPEN FOREIGN ORDER'!AC62</f>
        <v>211068.79</v>
      </c>
      <c r="G466" s="112">
        <f>'OPEN FOREIGN ORDER'!AD62</f>
        <v>0</v>
      </c>
      <c r="H466" s="112">
        <f>'OPEN FOREIGN ORDER'!AE62</f>
        <v>0</v>
      </c>
      <c r="I466" s="112">
        <f>'OPEN FOREIGN ORDER'!AF62</f>
        <v>0</v>
      </c>
      <c r="J466" s="112">
        <f>'OPEN FOREIGN ORDER'!AG62</f>
        <v>0</v>
      </c>
    </row>
    <row r="467" spans="1:10">
      <c r="A467" t="e">
        <f>'OPEN FOREIGN ORDER'!#REF!</f>
        <v>#REF!</v>
      </c>
      <c r="B467" t="e">
        <f>'OPEN FOREIGN ORDER'!#REF!</f>
        <v>#REF!</v>
      </c>
      <c r="C467" t="e">
        <f>'OPEN FOREIGN ORDER'!#REF!</f>
        <v>#REF!</v>
      </c>
      <c r="D467" s="123" t="e">
        <f>'OPEN FOREIGN ORDER'!#REF!</f>
        <v>#REF!</v>
      </c>
      <c r="E467" s="112" t="e">
        <f>'OPEN FOREIGN ORDER'!#REF!</f>
        <v>#REF!</v>
      </c>
      <c r="F467" s="112" t="e">
        <f>'OPEN FOREIGN ORDER'!#REF!</f>
        <v>#REF!</v>
      </c>
      <c r="G467" s="112" t="e">
        <f>'OPEN FOREIGN ORDER'!#REF!</f>
        <v>#REF!</v>
      </c>
      <c r="H467" s="112" t="e">
        <f>'OPEN FOREIGN ORDER'!#REF!</f>
        <v>#REF!</v>
      </c>
      <c r="I467" s="112" t="e">
        <f>'OPEN FOREIGN ORDER'!#REF!</f>
        <v>#REF!</v>
      </c>
      <c r="J467" s="112" t="e">
        <f>'OPEN FOREIGN ORDER'!#REF!</f>
        <v>#REF!</v>
      </c>
    </row>
    <row r="468" spans="1:10">
      <c r="A468" t="str">
        <f>'OPEN FOREIGN ORDER'!D64</f>
        <v>FPO12991</v>
      </c>
      <c r="B468" t="str">
        <f>'OPEN FOREIGN ORDER'!F64</f>
        <v>CANPACK FRANCE SAS</v>
      </c>
      <c r="C468" t="str">
        <f>'OPEN FOREIGN ORDER'!Z64</f>
        <v>60 DAYS INVOICE DATE</v>
      </c>
      <c r="D468" s="123">
        <f>'OPEN FOREIGN ORDER'!AA64</f>
        <v>46193</v>
      </c>
      <c r="E468" s="112">
        <f>'OPEN FOREIGN ORDER'!AB64</f>
        <v>0</v>
      </c>
      <c r="F468" s="112">
        <f>'OPEN FOREIGN ORDER'!AC64</f>
        <v>36282.51</v>
      </c>
      <c r="G468" s="112">
        <f>'OPEN FOREIGN ORDER'!AD64</f>
        <v>0</v>
      </c>
      <c r="H468" s="112">
        <f>'OPEN FOREIGN ORDER'!AE64</f>
        <v>0</v>
      </c>
      <c r="I468" s="112">
        <f>'OPEN FOREIGN ORDER'!AF64</f>
        <v>0</v>
      </c>
      <c r="J468" s="112">
        <f>'OPEN FOREIGN ORDER'!AG64</f>
        <v>0</v>
      </c>
    </row>
    <row r="469" spans="1:10">
      <c r="A469" t="str">
        <f>'OPEN FOREIGN ORDER'!D65</f>
        <v>FPO12992</v>
      </c>
      <c r="B469" t="str">
        <f>'OPEN FOREIGN ORDER'!F65</f>
        <v xml:space="preserve">Greyson Trading LTD </v>
      </c>
      <c r="C469" t="str">
        <f>'OPEN FOREIGN ORDER'!Z65</f>
        <v>60 DAYS BL</v>
      </c>
      <c r="D469" s="123">
        <f>'OPEN FOREIGN ORDER'!AA65</f>
        <v>46180</v>
      </c>
      <c r="E469" s="112">
        <f>'OPEN FOREIGN ORDER'!AB65</f>
        <v>318139.5</v>
      </c>
      <c r="F469" s="112">
        <f>'OPEN FOREIGN ORDER'!AC65</f>
        <v>0</v>
      </c>
      <c r="G469" s="112">
        <f>'OPEN FOREIGN ORDER'!AD65</f>
        <v>0</v>
      </c>
      <c r="H469" s="112">
        <f>'OPEN FOREIGN ORDER'!AE65</f>
        <v>0</v>
      </c>
      <c r="I469" s="112">
        <f>'OPEN FOREIGN ORDER'!AF65</f>
        <v>0</v>
      </c>
      <c r="J469" s="112">
        <f>'OPEN FOREIGN ORDER'!AG65</f>
        <v>0</v>
      </c>
    </row>
    <row r="470" spans="1:10">
      <c r="A470" t="str">
        <f>'OPEN FOREIGN ORDER'!D67</f>
        <v>FPO12992</v>
      </c>
      <c r="B470" t="str">
        <f>'OPEN FOREIGN ORDER'!F67</f>
        <v xml:space="preserve">Greyson Trading LTD </v>
      </c>
      <c r="C470" t="str">
        <f>'OPEN FOREIGN ORDER'!Z67</f>
        <v xml:space="preserve">60 DAYS BL DATE </v>
      </c>
      <c r="D470" s="123">
        <f>'OPEN FOREIGN ORDER'!AA67</f>
        <v>46198</v>
      </c>
      <c r="E470" s="112">
        <f>'OPEN FOREIGN ORDER'!AB67</f>
        <v>318139.5</v>
      </c>
      <c r="F470" s="112">
        <f>'OPEN FOREIGN ORDER'!AC67</f>
        <v>0</v>
      </c>
      <c r="G470" s="112">
        <f>'OPEN FOREIGN ORDER'!AD67</f>
        <v>0</v>
      </c>
      <c r="H470" s="112">
        <f>'OPEN FOREIGN ORDER'!AE67</f>
        <v>0</v>
      </c>
      <c r="I470" s="112">
        <f>'OPEN FOREIGN ORDER'!AF67</f>
        <v>0</v>
      </c>
      <c r="J470" s="112">
        <f>'OPEN FOREIGN ORDER'!AG67</f>
        <v>0</v>
      </c>
    </row>
    <row r="471" spans="1:10">
      <c r="A471" t="str">
        <f>'OPEN FOREIGN ORDER'!D68</f>
        <v>FPO12993</v>
      </c>
      <c r="B471" t="str">
        <f>'OPEN FOREIGN ORDER'!F68</f>
        <v xml:space="preserve">Greyson Trading LTD </v>
      </c>
      <c r="C471" t="str">
        <f>'OPEN FOREIGN ORDER'!Z68</f>
        <v xml:space="preserve">60 DAYS BL DATE </v>
      </c>
      <c r="D471" s="123">
        <f>'OPEN FOREIGN ORDER'!AA68</f>
        <v>46227</v>
      </c>
      <c r="E471" s="112">
        <f>'OPEN FOREIGN ORDER'!AB68</f>
        <v>385199.61</v>
      </c>
      <c r="F471" s="112">
        <f>'OPEN FOREIGN ORDER'!AC68</f>
        <v>0</v>
      </c>
      <c r="G471" s="112">
        <f>'OPEN FOREIGN ORDER'!AD68</f>
        <v>0</v>
      </c>
      <c r="H471" s="112">
        <f>'OPEN FOREIGN ORDER'!AE68</f>
        <v>0</v>
      </c>
      <c r="I471" s="112">
        <f>'OPEN FOREIGN ORDER'!AF68</f>
        <v>0</v>
      </c>
      <c r="J471" s="112">
        <f>'OPEN FOREIGN ORDER'!AG68</f>
        <v>0</v>
      </c>
    </row>
    <row r="472" spans="1:10">
      <c r="A472" t="str">
        <f>'OPEN FOREIGN ORDER'!D69</f>
        <v>FPO12999</v>
      </c>
      <c r="B472" t="str">
        <f>'OPEN FOREIGN ORDER'!F69</f>
        <v>RKW SAINT FRERES</v>
      </c>
      <c r="C472" t="str">
        <f>'OPEN FOREIGN ORDER'!Z69</f>
        <v>60 Days invoice date</v>
      </c>
      <c r="D472" s="123">
        <f>'OPEN FOREIGN ORDER'!AA69</f>
        <v>46227</v>
      </c>
      <c r="E472" s="112">
        <f>'OPEN FOREIGN ORDER'!AB69</f>
        <v>0</v>
      </c>
      <c r="F472" s="112">
        <f>'OPEN FOREIGN ORDER'!AC69</f>
        <v>46600</v>
      </c>
      <c r="G472" s="112">
        <f>'OPEN FOREIGN ORDER'!AD69</f>
        <v>0</v>
      </c>
      <c r="H472" s="112">
        <f>'OPEN FOREIGN ORDER'!AE69</f>
        <v>0</v>
      </c>
      <c r="I472" s="112">
        <f>'OPEN FOREIGN ORDER'!AF69</f>
        <v>0</v>
      </c>
      <c r="J472" s="112">
        <f>'OPEN FOREIGN ORDER'!AG69</f>
        <v>0</v>
      </c>
    </row>
    <row r="473" spans="1:10">
      <c r="A473" t="str">
        <f>'OPEN FOREIGN ORDER'!D70</f>
        <v>FPO13000</v>
      </c>
      <c r="B473" t="str">
        <f>'OPEN FOREIGN ORDER'!F70</f>
        <v>Manjushree Technopack Ltd</v>
      </c>
      <c r="C473" t="str">
        <f>'OPEN FOREIGN ORDER'!Z70</f>
        <v>21  DAYS BL DATE</v>
      </c>
      <c r="D473" s="123">
        <f>'OPEN FOREIGN ORDER'!AA70</f>
        <v>46187</v>
      </c>
      <c r="E473" s="112">
        <f>'OPEN FOREIGN ORDER'!AB70</f>
        <v>22860</v>
      </c>
      <c r="F473" s="112">
        <f>'OPEN FOREIGN ORDER'!AC70</f>
        <v>0</v>
      </c>
      <c r="G473" s="112">
        <f>'OPEN FOREIGN ORDER'!AD70</f>
        <v>0</v>
      </c>
      <c r="H473" s="112">
        <f>'OPEN FOREIGN ORDER'!AE70</f>
        <v>0</v>
      </c>
      <c r="I473" s="112">
        <f>'OPEN FOREIGN ORDER'!AF70</f>
        <v>0</v>
      </c>
      <c r="J473" s="112">
        <f>'OPEN FOREIGN ORDER'!AG70</f>
        <v>0</v>
      </c>
    </row>
    <row r="474" spans="1:10">
      <c r="A474" t="str">
        <f>'OPEN FOREIGN ORDER'!D71</f>
        <v>FPO13001</v>
      </c>
      <c r="B474" t="str">
        <f>'OPEN FOREIGN ORDER'!F71</f>
        <v>RESILUX NV</v>
      </c>
      <c r="C474" t="str">
        <f>'OPEN FOREIGN ORDER'!Z71</f>
        <v>60 DAYS INVOICE DATE</v>
      </c>
      <c r="D474" s="123">
        <f>'OPEN FOREIGN ORDER'!AA71</f>
        <v>46227</v>
      </c>
      <c r="E474" s="112">
        <f>'OPEN FOREIGN ORDER'!AB71</f>
        <v>0</v>
      </c>
      <c r="F474" s="112">
        <f>'OPEN FOREIGN ORDER'!AC71</f>
        <v>146986.14000000001</v>
      </c>
      <c r="G474" s="112">
        <f>'OPEN FOREIGN ORDER'!AD71</f>
        <v>0</v>
      </c>
      <c r="H474" s="112">
        <f>'OPEN FOREIGN ORDER'!AE71</f>
        <v>0</v>
      </c>
      <c r="I474" s="112">
        <f>'OPEN FOREIGN ORDER'!AF71</f>
        <v>0</v>
      </c>
      <c r="J474" s="112">
        <f>'OPEN FOREIGN ORDER'!AG71</f>
        <v>0</v>
      </c>
    </row>
    <row r="475" spans="1:10">
      <c r="A475" t="e">
        <f>'OPEN FOREIGN ORDER'!#REF!</f>
        <v>#REF!</v>
      </c>
      <c r="B475" t="str">
        <f>'OPEN FOREIGN ORDER'!F72</f>
        <v>RKW SAINT FRERES</v>
      </c>
      <c r="C475" t="str">
        <f>'OPEN FOREIGN ORDER'!Z72</f>
        <v>60 days Invoice date</v>
      </c>
      <c r="D475" s="123">
        <f>'OPEN FOREIGN ORDER'!AA72</f>
        <v>46198</v>
      </c>
      <c r="E475" s="112">
        <f>'OPEN FOREIGN ORDER'!AB72</f>
        <v>0</v>
      </c>
      <c r="F475" s="112">
        <f>'OPEN FOREIGN ORDER'!AC72</f>
        <v>23300</v>
      </c>
      <c r="G475" s="112">
        <f>'OPEN FOREIGN ORDER'!AD72</f>
        <v>0</v>
      </c>
      <c r="H475" s="112">
        <f>'OPEN FOREIGN ORDER'!AE72</f>
        <v>0</v>
      </c>
      <c r="I475" s="112">
        <f>'OPEN FOREIGN ORDER'!AF72</f>
        <v>0</v>
      </c>
      <c r="J475" s="112">
        <f>'OPEN FOREIGN ORDER'!AG72</f>
        <v>0</v>
      </c>
    </row>
    <row r="476" spans="1:10">
      <c r="A476" t="str">
        <f>'CLOSE FOREIGN ORDER'!D724</f>
        <v>FPO12759</v>
      </c>
      <c r="B476" t="str">
        <f>'CLOSE FOREIGN ORDER'!F724</f>
        <v>Holland malt</v>
      </c>
      <c r="C476" t="str">
        <f>'CLOSE FOREIGN ORDER'!Z724</f>
        <v>60DAYS INVOICE DATE</v>
      </c>
      <c r="D476" s="123">
        <f>'CLOSE FOREIGN ORDER'!AA724</f>
        <v>46121</v>
      </c>
      <c r="E476" s="112">
        <f>'CLOSE FOREIGN ORDER'!AB724</f>
        <v>0</v>
      </c>
      <c r="F476" s="112">
        <f>'CLOSE FOREIGN ORDER'!AC724</f>
        <v>26273.8</v>
      </c>
      <c r="G476" s="112">
        <f>'CLOSE FOREIGN ORDER'!AD724</f>
        <v>0</v>
      </c>
      <c r="H476" s="112">
        <f>'CLOSE FOREIGN ORDER'!AE724</f>
        <v>0</v>
      </c>
      <c r="I476" s="112">
        <f>'CLOSE FOREIGN ORDER'!AF724</f>
        <v>0</v>
      </c>
      <c r="J476" s="112">
        <f>'CLOSE FOREIGN ORDER'!AG724</f>
        <v>0</v>
      </c>
    </row>
    <row r="477" spans="1:10">
      <c r="A477" t="str">
        <f>'CLOSE FOREIGN ORDER'!D737</f>
        <v>FPO12762</v>
      </c>
      <c r="B477" t="str">
        <f>'CLOSE FOREIGN ORDER'!F737</f>
        <v>Coca-Cola Swaziland</v>
      </c>
      <c r="C477" t="str">
        <f>'CLOSE FOREIGN ORDER'!Z737</f>
        <v>45 DAYS INVOICE DATE</v>
      </c>
      <c r="D477" s="123">
        <f>'CLOSE FOREIGN ORDER'!AA737</f>
        <v>46145</v>
      </c>
      <c r="E477" s="112">
        <f>'CLOSE FOREIGN ORDER'!AB737</f>
        <v>623260</v>
      </c>
      <c r="F477" s="112">
        <f>'CLOSE FOREIGN ORDER'!AC737</f>
        <v>0</v>
      </c>
      <c r="G477" s="112">
        <f>'CLOSE FOREIGN ORDER'!AD737</f>
        <v>0</v>
      </c>
      <c r="H477" s="112">
        <f>'CLOSE FOREIGN ORDER'!AE737</f>
        <v>0</v>
      </c>
      <c r="I477" s="112">
        <f>'CLOSE FOREIGN ORDER'!AF737</f>
        <v>0</v>
      </c>
      <c r="J477" s="112">
        <f>'CLOSE FOREIGN ORDER'!AG737</f>
        <v>0</v>
      </c>
    </row>
    <row r="478" spans="1:10">
      <c r="A478" t="str">
        <f>'OPEN FOREIGN ORDER'!D80</f>
        <v>FPO12762</v>
      </c>
      <c r="B478" t="str">
        <f>'OPEN FOREIGN ORDER'!F80</f>
        <v>Coca-Cola Swaziland</v>
      </c>
      <c r="C478" t="str">
        <f>'OPEN FOREIGN ORDER'!Z80</f>
        <v>45 DAYS INVOICE DATE</v>
      </c>
      <c r="D478" s="123">
        <f>'OPEN FOREIGN ORDER'!AA80</f>
        <v>46164</v>
      </c>
      <c r="E478" s="112">
        <f>'OPEN FOREIGN ORDER'!AB80</f>
        <v>98833.2</v>
      </c>
      <c r="F478" s="112">
        <f>'OPEN FOREIGN ORDER'!AC80</f>
        <v>0</v>
      </c>
      <c r="G478" s="112">
        <f>'OPEN FOREIGN ORDER'!AD80</f>
        <v>0</v>
      </c>
      <c r="H478" s="112">
        <f>'OPEN FOREIGN ORDER'!AE80</f>
        <v>0</v>
      </c>
      <c r="I478" s="112">
        <f>'OPEN FOREIGN ORDER'!AF80</f>
        <v>0</v>
      </c>
      <c r="J478" s="112">
        <f>'OPEN FOREIGN ORDER'!AG80</f>
        <v>0</v>
      </c>
    </row>
    <row r="479" spans="1:10">
      <c r="A479" t="str">
        <f>'OPEN FOREIGN ORDER'!D81</f>
        <v>FPO12807</v>
      </c>
      <c r="B479" t="str">
        <f>'OPEN FOREIGN ORDER'!F81</f>
        <v>Coca-Cola Swaziland</v>
      </c>
      <c r="C479" t="str">
        <f>'OPEN FOREIGN ORDER'!Z81</f>
        <v>45 Days Invoice Days</v>
      </c>
      <c r="D479" s="123">
        <f>'OPEN FOREIGN ORDER'!AA81</f>
        <v>46164</v>
      </c>
      <c r="E479" s="112">
        <f>'OPEN FOREIGN ORDER'!AB81</f>
        <v>681702.34</v>
      </c>
      <c r="F479" s="112">
        <f>'OPEN FOREIGN ORDER'!AC81</f>
        <v>0</v>
      </c>
      <c r="G479" s="112">
        <f>'OPEN FOREIGN ORDER'!AD81</f>
        <v>0</v>
      </c>
      <c r="H479" s="112">
        <f>'OPEN FOREIGN ORDER'!AE81</f>
        <v>0</v>
      </c>
      <c r="I479" s="112">
        <f>'OPEN FOREIGN ORDER'!AF81</f>
        <v>0</v>
      </c>
      <c r="J479" s="112">
        <f>'OPEN FOREIGN ORDER'!AG81</f>
        <v>0</v>
      </c>
    </row>
    <row r="480" spans="1:10">
      <c r="A480" t="str">
        <f>'CLOSE FOREIGN ORDER'!D734</f>
        <v>FPO12808</v>
      </c>
      <c r="B480" t="str">
        <f>'CLOSE FOREIGN ORDER'!F734</f>
        <v>Coca-cola Midi SAS</v>
      </c>
      <c r="C480" t="str">
        <f>'CLOSE FOREIGN ORDER'!Z734</f>
        <v>45 days  Bill of Lading</v>
      </c>
      <c r="D480" s="123">
        <f>'CLOSE FOREIGN ORDER'!AA734</f>
        <v>46129</v>
      </c>
      <c r="E480" s="112">
        <f>'CLOSE FOREIGN ORDER'!AB734</f>
        <v>22127.74</v>
      </c>
      <c r="F480" s="112">
        <f>'CLOSE FOREIGN ORDER'!AC734</f>
        <v>0</v>
      </c>
      <c r="G480" s="112">
        <f>'CLOSE FOREIGN ORDER'!AD734</f>
        <v>0</v>
      </c>
      <c r="H480" s="112">
        <f>'CLOSE FOREIGN ORDER'!AE734</f>
        <v>0</v>
      </c>
      <c r="I480" s="112">
        <f>'CLOSE FOREIGN ORDER'!AF734</f>
        <v>0</v>
      </c>
      <c r="J480" s="112">
        <f>'CLOSE FOREIGN ORDER'!AG734</f>
        <v>0</v>
      </c>
    </row>
    <row r="481" spans="1:10">
      <c r="A481" t="str">
        <f>'OPEN FOREIGN ORDER'!D76</f>
        <v>FPO13058</v>
      </c>
      <c r="B481" t="str">
        <f>'OPEN FOREIGN ORDER'!F76</f>
        <v>Retal France SARL</v>
      </c>
      <c r="C481" t="str">
        <f>'OPEN FOREIGN ORDER'!Z76</f>
        <v>30 DAYS INVOICE DATE</v>
      </c>
      <c r="D481" s="123">
        <f>'OPEN FOREIGN ORDER'!AA76</f>
        <v>46198</v>
      </c>
      <c r="E481" s="112">
        <f>'OPEN FOREIGN ORDER'!AB76</f>
        <v>0</v>
      </c>
      <c r="F481" s="112">
        <f>'OPEN FOREIGN ORDER'!AC76</f>
        <v>143541.06</v>
      </c>
      <c r="G481" s="112">
        <f>'OPEN FOREIGN ORDER'!AD76</f>
        <v>0</v>
      </c>
      <c r="H481" s="112">
        <f>'OPEN FOREIGN ORDER'!AE76</f>
        <v>0</v>
      </c>
      <c r="I481" s="112">
        <f>'OPEN FOREIGN ORDER'!AF76</f>
        <v>0</v>
      </c>
      <c r="J481" s="112">
        <f>'OPEN FOREIGN ORDER'!AG76</f>
        <v>0</v>
      </c>
    </row>
    <row r="482" spans="1:10">
      <c r="A482" t="str">
        <f>'CLOSE FOREIGN ORDER'!D749</f>
        <v>FPO12873</v>
      </c>
      <c r="B482" t="str">
        <f>'CLOSE FOREIGN ORDER'!F749</f>
        <v>SYMRISE AG</v>
      </c>
      <c r="C482" t="str">
        <f>'CLOSE FOREIGN ORDER'!Z749</f>
        <v>30 Days Invoice date</v>
      </c>
      <c r="D482" s="123">
        <f>'CLOSE FOREIGN ORDER'!AA749</f>
        <v>46143</v>
      </c>
      <c r="E482" s="112">
        <f>'CLOSE FOREIGN ORDER'!AB749</f>
        <v>0</v>
      </c>
      <c r="F482" s="112">
        <f>'CLOSE FOREIGN ORDER'!AC749</f>
        <v>4195</v>
      </c>
      <c r="G482" s="112">
        <f>'CLOSE FOREIGN ORDER'!AD749</f>
        <v>0</v>
      </c>
      <c r="H482" s="112">
        <f>'CLOSE FOREIGN ORDER'!AE749</f>
        <v>0</v>
      </c>
      <c r="I482" s="112">
        <f>'CLOSE FOREIGN ORDER'!AF749</f>
        <v>0</v>
      </c>
      <c r="J482" s="112">
        <f>'CLOSE FOREIGN ORDER'!AG749</f>
        <v>0</v>
      </c>
    </row>
    <row r="483" spans="1:10">
      <c r="A483" t="str">
        <f>'CLOSE FOREIGN ORDER'!D753</f>
        <v>FPO12874</v>
      </c>
      <c r="B483" t="str">
        <f>'CLOSE FOREIGN ORDER'!F753</f>
        <v>DD Williamson (Pty) Ltd</v>
      </c>
      <c r="C483" t="str">
        <f>'CLOSE FOREIGN ORDER'!Z753</f>
        <v>100% Advance payment</v>
      </c>
      <c r="D483" s="123">
        <f>'CLOSE FOREIGN ORDER'!AA753</f>
        <v>46069</v>
      </c>
      <c r="E483" s="112">
        <f>'CLOSE FOREIGN ORDER'!AB753</f>
        <v>120</v>
      </c>
      <c r="F483" s="112">
        <f>'CLOSE FOREIGN ORDER'!AC753</f>
        <v>0</v>
      </c>
      <c r="G483" s="112">
        <f>'CLOSE FOREIGN ORDER'!AD753</f>
        <v>0</v>
      </c>
      <c r="H483" s="112">
        <f>'CLOSE FOREIGN ORDER'!AE753</f>
        <v>0</v>
      </c>
      <c r="I483" s="112">
        <f>'CLOSE FOREIGN ORDER'!AF753</f>
        <v>0</v>
      </c>
      <c r="J483" s="112">
        <f>'CLOSE FOREIGN ORDER'!AG753</f>
        <v>0</v>
      </c>
    </row>
    <row r="484" spans="1:10">
      <c r="A484" t="str">
        <f>'OUTSTANDING PAYMENT FOLLOW UP'!D2</f>
        <v>FPO12875</v>
      </c>
      <c r="B484" t="str">
        <f>'OUTSTANDING PAYMENT FOLLOW UP'!F2</f>
        <v>BOORTMALT NV</v>
      </c>
      <c r="C484" t="str">
        <f>'OUTSTANDING PAYMENT FOLLOW UP'!Z2</f>
        <v>60 days Bill of Lading</v>
      </c>
      <c r="D484" s="123">
        <f>'OUTSTANDING PAYMENT FOLLOW UP'!AA2</f>
        <v>46157</v>
      </c>
      <c r="E484" s="112">
        <f>'OUTSTANDING PAYMENT FOLLOW UP'!AB2</f>
        <v>0</v>
      </c>
      <c r="F484" s="112">
        <f>'OUTSTANDING PAYMENT FOLLOW UP'!AC2</f>
        <v>85698</v>
      </c>
      <c r="G484" s="112">
        <f>'OUTSTANDING PAYMENT FOLLOW UP'!AD2</f>
        <v>0</v>
      </c>
      <c r="H484" s="112">
        <f>'OUTSTANDING PAYMENT FOLLOW UP'!AE2</f>
        <v>0</v>
      </c>
      <c r="I484" s="112">
        <f>'OUTSTANDING PAYMENT FOLLOW UP'!AF2</f>
        <v>0</v>
      </c>
      <c r="J484" s="112">
        <f>'OUTSTANDING PAYMENT FOLLOW UP'!AG2</f>
        <v>0</v>
      </c>
    </row>
    <row r="485" spans="1:10">
      <c r="A485" t="str">
        <f>'CLOSE FOREIGN ORDER'!D752</f>
        <v>FPO12876</v>
      </c>
      <c r="B485" t="str">
        <f>'CLOSE FOREIGN ORDER'!F752</f>
        <v>BOORTMALT ASIA PACIFIC PTY LTD</v>
      </c>
      <c r="C485" t="str">
        <f>'CLOSE FOREIGN ORDER'!Z752</f>
        <v>60 days invoice date</v>
      </c>
      <c r="D485" s="123">
        <f>'CLOSE FOREIGN ORDER'!AA752</f>
        <v>46152</v>
      </c>
      <c r="E485" s="112">
        <f>'CLOSE FOREIGN ORDER'!AB752</f>
        <v>66166.2</v>
      </c>
      <c r="F485" s="112">
        <f>'CLOSE FOREIGN ORDER'!AC752</f>
        <v>0</v>
      </c>
      <c r="G485" s="112">
        <f>'CLOSE FOREIGN ORDER'!AD752</f>
        <v>0</v>
      </c>
      <c r="H485" s="112">
        <f>'CLOSE FOREIGN ORDER'!AE752</f>
        <v>0</v>
      </c>
      <c r="I485" s="112">
        <f>'CLOSE FOREIGN ORDER'!AF752</f>
        <v>0</v>
      </c>
      <c r="J485" s="112">
        <f>'CLOSE FOREIGN ORDER'!AG752</f>
        <v>0</v>
      </c>
    </row>
    <row r="486" spans="1:10">
      <c r="A486" t="str">
        <f>'OUTSTANDING PAYMENT FOLLOW UP'!D5</f>
        <v>FPO12877</v>
      </c>
      <c r="B486" t="str">
        <f>'OUTSTANDING PAYMENT FOLLOW UP'!F5</f>
        <v>Stassen S.A.</v>
      </c>
      <c r="C486" t="str">
        <f>'OUTSTANDING PAYMENT FOLLOW UP'!Z5</f>
        <v>45 jours fin de mois</v>
      </c>
      <c r="D486" s="123">
        <f>'OUTSTANDING PAYMENT FOLLOW UP'!AA5</f>
        <v>46168</v>
      </c>
      <c r="E486" s="112">
        <f>'OUTSTANDING PAYMENT FOLLOW UP'!AB5</f>
        <v>0</v>
      </c>
      <c r="F486" s="112">
        <f>'OUTSTANDING PAYMENT FOLLOW UP'!AC5</f>
        <v>23040</v>
      </c>
      <c r="G486" s="112">
        <f>'OUTSTANDING PAYMENT FOLLOW UP'!AD5</f>
        <v>0</v>
      </c>
      <c r="H486" s="112">
        <f>'OUTSTANDING PAYMENT FOLLOW UP'!AE5</f>
        <v>0</v>
      </c>
      <c r="I486" s="112">
        <f>'OUTSTANDING PAYMENT FOLLOW UP'!AF5</f>
        <v>0</v>
      </c>
      <c r="J486" s="112">
        <f>'OUTSTANDING PAYMENT FOLLOW UP'!AG5</f>
        <v>0</v>
      </c>
    </row>
    <row r="487" spans="1:10">
      <c r="A487" t="str">
        <f>'CLOSE FOREIGN ORDER'!D726</f>
        <v>FPO13037</v>
      </c>
      <c r="B487" t="str">
        <f>'CLOSE FOREIGN ORDER'!F726</f>
        <v>SHANDONG YUNCHENG - VALIENT</v>
      </c>
      <c r="C487" t="str">
        <f>'CLOSE FOREIGN ORDER'!Z726</f>
        <v>100% Advance payment
Decoration cost- USD 600- Due 25/03/2026
Shipping cost- USD 200- Due 17/04/2026</v>
      </c>
      <c r="D487" s="123">
        <f>'CLOSE FOREIGN ORDER'!AA726</f>
        <v>46106</v>
      </c>
      <c r="E487" s="112">
        <f>'CLOSE FOREIGN ORDER'!AB726</f>
        <v>800</v>
      </c>
      <c r="F487" s="112">
        <f>'CLOSE FOREIGN ORDER'!AC726</f>
        <v>0</v>
      </c>
      <c r="G487" s="112">
        <f>'CLOSE FOREIGN ORDER'!AD726</f>
        <v>0</v>
      </c>
      <c r="H487" s="112">
        <f>'CLOSE FOREIGN ORDER'!AE726</f>
        <v>0</v>
      </c>
      <c r="I487" s="112">
        <f>'CLOSE FOREIGN ORDER'!AF726</f>
        <v>0</v>
      </c>
      <c r="J487" s="112">
        <f>'CLOSE FOREIGN ORDER'!AG726</f>
        <v>0</v>
      </c>
    </row>
    <row r="488" spans="1:10">
      <c r="A488" t="str">
        <f>'OPEN FOREIGN ORDER'!D103</f>
        <v>FPO13033</v>
      </c>
      <c r="B488" t="str">
        <f>'OPEN FOREIGN ORDER'!F103</f>
        <v>BOORTMALT NV</v>
      </c>
      <c r="C488" t="str">
        <f>'OPEN FOREIGN ORDER'!Z103</f>
        <v>60 days Bill of Lading</v>
      </c>
      <c r="D488" s="123">
        <f>'OPEN FOREIGN ORDER'!AA103</f>
        <v>46183</v>
      </c>
      <c r="E488" s="112">
        <f>'OPEN FOREIGN ORDER'!AB103</f>
        <v>0</v>
      </c>
      <c r="F488" s="112">
        <f>'OPEN FOREIGN ORDER'!AC103</f>
        <v>114264</v>
      </c>
      <c r="G488" s="112">
        <f>'OPEN FOREIGN ORDER'!AD103</f>
        <v>0</v>
      </c>
      <c r="H488" s="112">
        <f>'OPEN FOREIGN ORDER'!AE103</f>
        <v>0</v>
      </c>
      <c r="I488" s="112">
        <f>'OPEN FOREIGN ORDER'!AF103</f>
        <v>0</v>
      </c>
      <c r="J488" s="112">
        <f>'OPEN FOREIGN ORDER'!AG103</f>
        <v>0</v>
      </c>
    </row>
    <row r="489" spans="1:10">
      <c r="A489" t="str">
        <f>'OPEN FOREIGN ORDER'!D105</f>
        <v>FPO13035</v>
      </c>
      <c r="B489" t="str">
        <f>'OPEN FOREIGN ORDER'!F105</f>
        <v>BOORTMALT ASIA PACIFIC PTY LTD</v>
      </c>
      <c r="C489" t="str">
        <f>'OPEN FOREIGN ORDER'!Z105</f>
        <v>60 days Invoice date</v>
      </c>
      <c r="D489" s="123">
        <f>'OPEN FOREIGN ORDER'!AA105</f>
        <v>46183</v>
      </c>
      <c r="E489" s="112">
        <f>'OPEN FOREIGN ORDER'!AB105</f>
        <v>54401.55</v>
      </c>
      <c r="F489" s="112">
        <f>'OPEN FOREIGN ORDER'!AC105</f>
        <v>0</v>
      </c>
      <c r="G489" s="112">
        <f>'OPEN FOREIGN ORDER'!AD105</f>
        <v>0</v>
      </c>
      <c r="H489" s="112">
        <f>'OPEN FOREIGN ORDER'!AE105</f>
        <v>0</v>
      </c>
      <c r="I489" s="112">
        <f>'OPEN FOREIGN ORDER'!AF105</f>
        <v>0</v>
      </c>
      <c r="J489" s="112">
        <f>'OPEN FOREIGN ORDER'!AG105</f>
        <v>0</v>
      </c>
    </row>
    <row r="490" spans="1:10">
      <c r="A490" t="str">
        <f>'OPEN FOREIGN ORDER'!D106</f>
        <v>FPO13036</v>
      </c>
      <c r="B490" t="str">
        <f>'OPEN FOREIGN ORDER'!F106</f>
        <v>BOORTMALT ASIA PACIFIC PTY LTD</v>
      </c>
      <c r="C490" t="str">
        <f>'OPEN FOREIGN ORDER'!Z106</f>
        <v>60 days Invoice date</v>
      </c>
      <c r="D490" s="123">
        <f>'OPEN FOREIGN ORDER'!AA106</f>
        <v>46213</v>
      </c>
      <c r="E490" s="112">
        <f>'OPEN FOREIGN ORDER'!AB106</f>
        <v>54401.55</v>
      </c>
      <c r="F490" s="112">
        <f>'OPEN FOREIGN ORDER'!AC106</f>
        <v>0</v>
      </c>
      <c r="G490" s="112">
        <f>'OPEN FOREIGN ORDER'!AD106</f>
        <v>0</v>
      </c>
      <c r="H490" s="112">
        <f>'OPEN FOREIGN ORDER'!AE106</f>
        <v>0</v>
      </c>
      <c r="I490" s="112">
        <f>'OPEN FOREIGN ORDER'!AF106</f>
        <v>0</v>
      </c>
      <c r="J490" s="112">
        <f>'OPEN FOREIGN ORDER'!AG106</f>
        <v>0</v>
      </c>
    </row>
    <row r="491" spans="1:10">
      <c r="A491" t="str">
        <f>'OPEN FOREIGN ORDER'!D108</f>
        <v>FPO13052</v>
      </c>
      <c r="B491" t="str">
        <f>'OPEN FOREIGN ORDER'!F108</f>
        <v>Coca-Cola Swaziland</v>
      </c>
      <c r="C491" t="str">
        <f>'OPEN FOREIGN ORDER'!Z108</f>
        <v>45 DAYS INVOICE DATE</v>
      </c>
      <c r="D491" s="123">
        <f>'OPEN FOREIGN ORDER'!AA108</f>
        <v>46242</v>
      </c>
      <c r="E491" s="112">
        <f>'OPEN FOREIGN ORDER'!AB108</f>
        <v>1652370</v>
      </c>
      <c r="F491" s="112">
        <f>'OPEN FOREIGN ORDER'!AC108</f>
        <v>0</v>
      </c>
      <c r="G491" s="112">
        <f>'OPEN FOREIGN ORDER'!AD108</f>
        <v>0</v>
      </c>
      <c r="H491" s="112">
        <f>'OPEN FOREIGN ORDER'!AE108</f>
        <v>0</v>
      </c>
      <c r="I491" s="112">
        <f>'OPEN FOREIGN ORDER'!AF108</f>
        <v>0</v>
      </c>
      <c r="J491" s="112">
        <f>'OPEN FOREIGN ORDER'!AG108</f>
        <v>0</v>
      </c>
    </row>
    <row r="492" spans="1:10">
      <c r="A492" t="str">
        <f>'OPEN FOREIGN ORDER'!D109</f>
        <v>FPO13053</v>
      </c>
      <c r="B492" t="str">
        <f>'OPEN FOREIGN ORDER'!F109</f>
        <v>Soufflet Malt</v>
      </c>
      <c r="C492" t="str">
        <f>'OPEN FOREIGN ORDER'!Z109</f>
        <v>30 DAYS BL DATE</v>
      </c>
      <c r="D492" s="123">
        <f>'OPEN FOREIGN ORDER'!AA109</f>
        <v>46157</v>
      </c>
      <c r="E492" s="112">
        <f>'OPEN FOREIGN ORDER'!AB109</f>
        <v>0</v>
      </c>
      <c r="F492" s="112">
        <f>'OPEN FOREIGN ORDER'!AC109</f>
        <v>49850.03</v>
      </c>
      <c r="G492" s="112">
        <f>'OPEN FOREIGN ORDER'!AD109</f>
        <v>0</v>
      </c>
      <c r="H492" s="112">
        <f>'OPEN FOREIGN ORDER'!AE109</f>
        <v>0</v>
      </c>
      <c r="I492" s="112">
        <f>'OPEN FOREIGN ORDER'!AF109</f>
        <v>0</v>
      </c>
      <c r="J492" s="112">
        <f>'OPEN FOREIGN ORDER'!AG109</f>
        <v>0</v>
      </c>
    </row>
    <row r="493" spans="1:10">
      <c r="A493" t="str">
        <f>'OPEN FOREIGN ORDER'!D110</f>
        <v>FPO13062</v>
      </c>
      <c r="B493" t="str">
        <f>'OPEN FOREIGN ORDER'!F110</f>
        <v>METAROM FRANCE</v>
      </c>
      <c r="C493" t="str">
        <f>'OPEN FOREIGN ORDER'!Z110</f>
        <v>60 DAYS INVOICE DATE</v>
      </c>
      <c r="D493" s="123">
        <f>'OPEN FOREIGN ORDER'!AA110</f>
        <v>46172</v>
      </c>
      <c r="E493" s="112">
        <f>'OPEN FOREIGN ORDER'!AB110</f>
        <v>0</v>
      </c>
      <c r="F493" s="112">
        <f>'OPEN FOREIGN ORDER'!AC110</f>
        <v>4063.1</v>
      </c>
      <c r="G493" s="112">
        <f>'OPEN FOREIGN ORDER'!AD110</f>
        <v>0</v>
      </c>
      <c r="H493" s="112">
        <f>'OPEN FOREIGN ORDER'!AE110</f>
        <v>0</v>
      </c>
      <c r="I493" s="112">
        <f>'OPEN FOREIGN ORDER'!AF110</f>
        <v>0</v>
      </c>
      <c r="J493" s="112">
        <f>'OPEN FOREIGN ORDER'!AG110</f>
        <v>0</v>
      </c>
    </row>
    <row r="494" spans="1:10">
      <c r="A494" t="str">
        <f>'OPEN FOREIGN ORDER'!D111</f>
        <v>FPO13086</v>
      </c>
      <c r="B494" t="str">
        <f>'OPEN FOREIGN ORDER'!F111</f>
        <v>Schweppes International Limited</v>
      </c>
      <c r="C494" t="str">
        <f>'OPEN FOREIGN ORDER'!Z111</f>
        <v>60 DAYS INVOICE DATE</v>
      </c>
      <c r="D494" s="123">
        <f>'OPEN FOREIGN ORDER'!AA111</f>
        <v>46227</v>
      </c>
      <c r="E494" s="112">
        <f>'OPEN FOREIGN ORDER'!AB111</f>
        <v>0</v>
      </c>
      <c r="F494" s="112">
        <f>'OPEN FOREIGN ORDER'!AC111</f>
        <v>115840.74</v>
      </c>
      <c r="G494" s="112">
        <f>'OPEN FOREIGN ORDER'!AD111</f>
        <v>0</v>
      </c>
      <c r="H494" s="112">
        <f>'OPEN FOREIGN ORDER'!AE111</f>
        <v>0</v>
      </c>
      <c r="I494" s="112">
        <f>'OPEN FOREIGN ORDER'!AF111</f>
        <v>0</v>
      </c>
      <c r="J494" s="112">
        <f>'OPEN FOREIGN ORDER'!AG111</f>
        <v>0</v>
      </c>
    </row>
    <row r="495" spans="1:10">
      <c r="A495" t="str">
        <f>'OPEN FOREIGN ORDER'!D112</f>
        <v>FPO13087</v>
      </c>
      <c r="B495" t="str">
        <f>'OPEN FOREIGN ORDER'!F112</f>
        <v>Doelhler South Africa (Pty) Ltd</v>
      </c>
      <c r="C495" t="str">
        <f>'OPEN FOREIGN ORDER'!Z112</f>
        <v>45 days invoice date</v>
      </c>
      <c r="D495" s="123">
        <f>'OPEN FOREIGN ORDER'!AA112</f>
        <v>46203</v>
      </c>
      <c r="E495" s="112">
        <f>'OPEN FOREIGN ORDER'!AB112</f>
        <v>0</v>
      </c>
      <c r="F495" s="112">
        <f>'OPEN FOREIGN ORDER'!AC112</f>
        <v>600</v>
      </c>
      <c r="G495" s="112">
        <f>'OPEN FOREIGN ORDER'!AD112</f>
        <v>0</v>
      </c>
      <c r="H495" s="112">
        <f>'OPEN FOREIGN ORDER'!AE112</f>
        <v>0</v>
      </c>
      <c r="I495" s="112">
        <f>'OPEN FOREIGN ORDER'!AF112</f>
        <v>0</v>
      </c>
      <c r="J495" s="112">
        <f>'OPEN FOREIGN ORDER'!AG112</f>
        <v>0</v>
      </c>
    </row>
    <row r="496" spans="1:10">
      <c r="A496" t="str">
        <f>'OPEN FOREIGN ORDER'!D113</f>
        <v>FPO13098</v>
      </c>
      <c r="B496" t="str">
        <f>'OPEN FOREIGN ORDER'!F113</f>
        <v>Stassen S.A.</v>
      </c>
      <c r="C496" t="str">
        <f>'OPEN FOREIGN ORDER'!Z113</f>
        <v>45 jours fin de mois</v>
      </c>
      <c r="D496" s="123">
        <f>'OPEN FOREIGN ORDER'!AA113</f>
        <v>46249</v>
      </c>
      <c r="E496" s="112">
        <f>'OPEN FOREIGN ORDER'!AB113</f>
        <v>0</v>
      </c>
      <c r="F496" s="112">
        <f>'OPEN FOREIGN ORDER'!AC113</f>
        <v>25560</v>
      </c>
      <c r="G496" s="112">
        <f>'OPEN FOREIGN ORDER'!AD113</f>
        <v>0</v>
      </c>
      <c r="H496" s="112">
        <f>'OPEN FOREIGN ORDER'!AE113</f>
        <v>0</v>
      </c>
      <c r="I496" s="112">
        <f>'OPEN FOREIGN ORDER'!AF113</f>
        <v>0</v>
      </c>
      <c r="J496" s="112">
        <f>'OPEN FOREIGN ORDER'!AG113</f>
        <v>0</v>
      </c>
    </row>
    <row r="497" spans="1:10">
      <c r="A497" t="str">
        <f>'OPEN FOREIGN ORDER'!D114</f>
        <v>FPO13099</v>
      </c>
      <c r="B497" t="str">
        <f>'OPEN FOREIGN ORDER'!F114</f>
        <v>DD Williamson (UK) Ltd</v>
      </c>
      <c r="C497" t="str">
        <f>'OPEN FOREIGN ORDER'!Z114</f>
        <v>60 days Bill of Lading</v>
      </c>
      <c r="D497" s="123">
        <f>'OPEN FOREIGN ORDER'!AA114</f>
        <v>46264</v>
      </c>
      <c r="E497" s="112">
        <f>'OPEN FOREIGN ORDER'!AB114</f>
        <v>0</v>
      </c>
      <c r="F497" s="112">
        <f>'OPEN FOREIGN ORDER'!AC114</f>
        <v>0</v>
      </c>
      <c r="G497" s="112">
        <f>'OPEN FOREIGN ORDER'!AD114</f>
        <v>4865</v>
      </c>
      <c r="H497" s="112">
        <f>'OPEN FOREIGN ORDER'!AE114</f>
        <v>0</v>
      </c>
      <c r="I497" s="112">
        <f>'OPEN FOREIGN ORDER'!AF114</f>
        <v>0</v>
      </c>
      <c r="J497" s="112">
        <f>'OPEN FOREIGN ORDER'!AG114</f>
        <v>0</v>
      </c>
    </row>
    <row r="498" spans="1:10">
      <c r="A498" t="str">
        <f>'OPEN FOREIGN ORDER'!D115</f>
        <v>FPO13100</v>
      </c>
      <c r="B498" t="str">
        <f>'OPEN FOREIGN ORDER'!F115</f>
        <v xml:space="preserve">KERRY FOOD INGREDIENTS </v>
      </c>
      <c r="C498" t="str">
        <f>'OPEN FOREIGN ORDER'!Z115</f>
        <v>90 DAYS INVOICE DATE</v>
      </c>
      <c r="D498" s="123">
        <f>'OPEN FOREIGN ORDER'!AA115</f>
        <v>46295</v>
      </c>
      <c r="E498" s="112">
        <f>'OPEN FOREIGN ORDER'!AB115</f>
        <v>0</v>
      </c>
      <c r="F498" s="112">
        <f>'OPEN FOREIGN ORDER'!AC115</f>
        <v>19400</v>
      </c>
      <c r="G498" s="112">
        <f>'OPEN FOREIGN ORDER'!AD115</f>
        <v>0</v>
      </c>
      <c r="H498" s="112">
        <f>'OPEN FOREIGN ORDER'!AE115</f>
        <v>0</v>
      </c>
      <c r="I498" s="112">
        <f>'OPEN FOREIGN ORDER'!AF115</f>
        <v>0</v>
      </c>
      <c r="J498" s="112">
        <f>'OPEN FOREIGN ORDER'!AG115</f>
        <v>0</v>
      </c>
    </row>
    <row r="499" spans="1:10">
      <c r="A499" t="str">
        <f>'OPEN FOREIGN ORDER'!D116</f>
        <v>FPO13101</v>
      </c>
      <c r="B499" t="str">
        <f>'OPEN FOREIGN ORDER'!F116</f>
        <v>GIVAUDAN</v>
      </c>
      <c r="C499" t="str">
        <f>'OPEN FOREIGN ORDER'!Z116</f>
        <v>120 DAYS FROM INVOICE DATE</v>
      </c>
      <c r="D499" s="123">
        <f>'OPEN FOREIGN ORDER'!AA116</f>
        <v>46325</v>
      </c>
      <c r="E499" s="112">
        <f>'OPEN FOREIGN ORDER'!AB116</f>
        <v>6990</v>
      </c>
      <c r="F499" s="112">
        <f>'OPEN FOREIGN ORDER'!AC116</f>
        <v>0</v>
      </c>
      <c r="G499" s="112">
        <f>'OPEN FOREIGN ORDER'!AD116</f>
        <v>0</v>
      </c>
      <c r="H499" s="112">
        <f>'OPEN FOREIGN ORDER'!AE116</f>
        <v>0</v>
      </c>
      <c r="I499" s="112">
        <f>'OPEN FOREIGN ORDER'!AF116</f>
        <v>0</v>
      </c>
      <c r="J499" s="112">
        <f>'OPEN FOREIGN ORDER'!AG116</f>
        <v>0</v>
      </c>
    </row>
    <row r="500" spans="1:10">
      <c r="A500" t="str">
        <f>'OPEN FOREIGN ORDER'!D117</f>
        <v>FPO13103</v>
      </c>
      <c r="B500" t="str">
        <f>'OPEN FOREIGN ORDER'!F117</f>
        <v>DD Williamson (PTY) Ltd</v>
      </c>
      <c r="C500" t="str">
        <f>'OPEN FOREIGN ORDER'!Z117</f>
        <v>Advance payment</v>
      </c>
      <c r="D500" s="123">
        <f>'OPEN FOREIGN ORDER'!AA117</f>
        <v>46160</v>
      </c>
      <c r="E500" s="112">
        <f>'OPEN FOREIGN ORDER'!AB117</f>
        <v>190</v>
      </c>
      <c r="F500" s="112">
        <f>'OPEN FOREIGN ORDER'!AC117</f>
        <v>0</v>
      </c>
      <c r="G500" s="112">
        <f>'OPEN FOREIGN ORDER'!AD117</f>
        <v>0</v>
      </c>
      <c r="H500" s="112">
        <f>'OPEN FOREIGN ORDER'!AE117</f>
        <v>0</v>
      </c>
      <c r="I500" s="112">
        <f>'OPEN FOREIGN ORDER'!AF117</f>
        <v>0</v>
      </c>
      <c r="J500" s="112">
        <f>'OPEN FOREIGN ORDER'!AG117</f>
        <v>0</v>
      </c>
    </row>
    <row r="501" spans="1:10">
      <c r="A501" t="str">
        <f>'OPEN FOREIGN ORDER'!D118</f>
        <v>FPO13104</v>
      </c>
      <c r="B501" t="str">
        <f>'OPEN FOREIGN ORDER'!F118</f>
        <v>Diageo Ireland</v>
      </c>
      <c r="C501" t="str">
        <f>'OPEN FOREIGN ORDER'!Z118</f>
        <v>90 DAYS INVOICE DATE</v>
      </c>
      <c r="D501" s="123">
        <f>'OPEN FOREIGN ORDER'!AA118</f>
        <v>46295</v>
      </c>
      <c r="E501" s="112">
        <f>'OPEN FOREIGN ORDER'!AB118</f>
        <v>0</v>
      </c>
      <c r="F501" s="112">
        <f>'OPEN FOREIGN ORDER'!AC118</f>
        <v>56522</v>
      </c>
      <c r="G501" s="112">
        <f>'OPEN FOREIGN ORDER'!AD118</f>
        <v>0</v>
      </c>
      <c r="H501" s="112">
        <f>'OPEN FOREIGN ORDER'!AE118</f>
        <v>0</v>
      </c>
      <c r="I501" s="112">
        <f>'OPEN FOREIGN ORDER'!AF118</f>
        <v>0</v>
      </c>
      <c r="J501" s="112">
        <f>'OPEN FOREIGN ORDER'!AG118</f>
        <v>0</v>
      </c>
    </row>
    <row r="502" spans="1:10">
      <c r="A502" t="str">
        <f>'OPEN FOREIGN ORDER'!D119</f>
        <v>FPO13112</v>
      </c>
      <c r="B502" t="str">
        <f>'OPEN FOREIGN ORDER'!F119</f>
        <v>Coca-Cola Beverages South Africa</v>
      </c>
      <c r="C502" t="str">
        <f>'OPEN FOREIGN ORDER'!Z119</f>
        <v>60 days invoice date</v>
      </c>
      <c r="D502" s="123">
        <f>'OPEN FOREIGN ORDER'!AA119</f>
        <v>0</v>
      </c>
      <c r="E502" s="112">
        <f>'OPEN FOREIGN ORDER'!AB119</f>
        <v>0</v>
      </c>
      <c r="F502" s="112">
        <f>'OPEN FOREIGN ORDER'!AC119</f>
        <v>0</v>
      </c>
      <c r="G502" s="112">
        <f>'OPEN FOREIGN ORDER'!AD119</f>
        <v>0</v>
      </c>
      <c r="H502" s="112">
        <f>'OPEN FOREIGN ORDER'!AE119</f>
        <v>1596936</v>
      </c>
      <c r="I502" s="112">
        <f>'OPEN FOREIGN ORDER'!AF119</f>
        <v>0</v>
      </c>
      <c r="J502" s="112">
        <f>'OPEN FOREIGN ORDER'!AG119</f>
        <v>0</v>
      </c>
    </row>
    <row r="503" spans="1:10">
      <c r="A503" t="str">
        <f>'OPEN FOREIGN ORDER'!D121</f>
        <v>FPO13112</v>
      </c>
      <c r="B503" t="str">
        <f>'OPEN FOREIGN ORDER'!F121</f>
        <v>Coca-Cola Beverages South Africa</v>
      </c>
      <c r="C503" t="str">
        <f>'OPEN FOREIGN ORDER'!Z121</f>
        <v>60 days invoice date</v>
      </c>
      <c r="D503" s="123">
        <f>'OPEN FOREIGN ORDER'!AA121</f>
        <v>0</v>
      </c>
      <c r="E503" s="112">
        <f>'OPEN FOREIGN ORDER'!AB121</f>
        <v>0</v>
      </c>
      <c r="F503" s="112">
        <f>'OPEN FOREIGN ORDER'!AC121</f>
        <v>0</v>
      </c>
      <c r="G503" s="112">
        <f>'OPEN FOREIGN ORDER'!AD121</f>
        <v>0</v>
      </c>
      <c r="H503" s="112">
        <f>'OPEN FOREIGN ORDER'!AE121</f>
        <v>532312</v>
      </c>
      <c r="I503" s="112">
        <f>'OPEN FOREIGN ORDER'!AF121</f>
        <v>0</v>
      </c>
      <c r="J503" s="112">
        <f>'OPEN FOREIGN ORDER'!AG121</f>
        <v>0</v>
      </c>
    </row>
    <row r="504" spans="1:10">
      <c r="A504" t="str">
        <f>'OPEN FOREIGN ORDER'!D122</f>
        <v>FPO13120</v>
      </c>
      <c r="B504" t="str">
        <f>'OPEN FOREIGN ORDER'!F122</f>
        <v>Retal Baltic Films</v>
      </c>
      <c r="C504" t="str">
        <f>'OPEN FOREIGN ORDER'!Z122</f>
        <v>30 DAYS INVOICE DATE</v>
      </c>
      <c r="D504" s="123">
        <f>'OPEN FOREIGN ORDER'!AA122</f>
        <v>46197</v>
      </c>
      <c r="E504" s="112">
        <f>'OPEN FOREIGN ORDER'!AB122</f>
        <v>0</v>
      </c>
      <c r="F504" s="112">
        <f>'OPEN FOREIGN ORDER'!AC122</f>
        <v>27394.01</v>
      </c>
      <c r="G504" s="112">
        <f>'OPEN FOREIGN ORDER'!AD122</f>
        <v>0</v>
      </c>
      <c r="H504" s="112">
        <f>'OPEN FOREIGN ORDER'!AE122</f>
        <v>0</v>
      </c>
      <c r="I504" s="112">
        <f>'OPEN FOREIGN ORDER'!AF122</f>
        <v>0</v>
      </c>
      <c r="J504" s="112">
        <f>'OPEN FOREIGN ORDER'!AG122</f>
        <v>0</v>
      </c>
    </row>
    <row r="505" spans="1:10">
      <c r="A505" t="str">
        <f>'OPEN FOREIGN ORDER'!D123</f>
        <v>FPO13130</v>
      </c>
      <c r="B505" t="str">
        <f>'OPEN FOREIGN ORDER'!F123</f>
        <v>Coca-Cola Swaziland</v>
      </c>
      <c r="C505" t="str">
        <f>'OPEN FOREIGN ORDER'!Z123</f>
        <v>45 DAYS INVOICE DATE</v>
      </c>
      <c r="D505" s="123">
        <f>'OPEN FOREIGN ORDER'!AA123</f>
        <v>46280</v>
      </c>
      <c r="E505" s="112">
        <f>'OPEN FOREIGN ORDER'!AB123</f>
        <v>412820.96</v>
      </c>
      <c r="F505" s="112">
        <f>'OPEN FOREIGN ORDER'!AC123</f>
        <v>0</v>
      </c>
      <c r="G505" s="112">
        <f>'OPEN FOREIGN ORDER'!AD123</f>
        <v>0</v>
      </c>
      <c r="H505" s="112">
        <f>'OPEN FOREIGN ORDER'!AE123</f>
        <v>0</v>
      </c>
      <c r="I505" s="112">
        <f>'OPEN FOREIGN ORDER'!AF123</f>
        <v>0</v>
      </c>
      <c r="J505" s="112">
        <f>'OPEN FOREIGN ORDER'!AG123</f>
        <v>0</v>
      </c>
    </row>
    <row r="506" spans="1:10">
      <c r="A506" t="str">
        <f>'OPEN FOREIGN ORDER'!D124</f>
        <v>FPO13131</v>
      </c>
      <c r="B506" t="str">
        <f>'OPEN FOREIGN ORDER'!F124</f>
        <v>Retal Baltic Films</v>
      </c>
      <c r="C506" t="str">
        <f>'OPEN FOREIGN ORDER'!Z124</f>
        <v>30 DAYS INVOICE DATE</v>
      </c>
      <c r="D506" s="123">
        <f>'OPEN FOREIGN ORDER'!AA124</f>
        <v>46228</v>
      </c>
      <c r="E506" s="112">
        <f>'OPEN FOREIGN ORDER'!AB124</f>
        <v>0</v>
      </c>
      <c r="F506" s="112">
        <f>'OPEN FOREIGN ORDER'!AC124</f>
        <v>13701.09</v>
      </c>
      <c r="G506" s="112">
        <f>'OPEN FOREIGN ORDER'!AD124</f>
        <v>0</v>
      </c>
      <c r="H506" s="112">
        <f>'OPEN FOREIGN ORDER'!AE124</f>
        <v>0</v>
      </c>
      <c r="I506" s="112">
        <f>'OPEN FOREIGN ORDER'!AF124</f>
        <v>0</v>
      </c>
      <c r="J506" s="112">
        <f>'OPEN FOREIGN ORDER'!AG124</f>
        <v>0</v>
      </c>
    </row>
    <row r="507" spans="1:10">
      <c r="A507" t="str">
        <f>'OPEN FOREIGN ORDER'!D125</f>
        <v>FPO13132</v>
      </c>
      <c r="B507" t="str">
        <f>'OPEN FOREIGN ORDER'!F125</f>
        <v>RESILUX NV</v>
      </c>
      <c r="C507" t="str">
        <f>'OPEN FOREIGN ORDER'!Z125</f>
        <v>60 DAYS INVOICE DATE</v>
      </c>
      <c r="D507" s="123">
        <f>'OPEN FOREIGN ORDER'!AA125</f>
        <v>46259</v>
      </c>
      <c r="E507" s="112">
        <f>'OPEN FOREIGN ORDER'!AB125</f>
        <v>0</v>
      </c>
      <c r="F507" s="112">
        <f>'OPEN FOREIGN ORDER'!AC125</f>
        <v>239463.07</v>
      </c>
      <c r="G507" s="112">
        <f>'OPEN FOREIGN ORDER'!AD125</f>
        <v>0</v>
      </c>
      <c r="H507" s="112">
        <f>'OPEN FOREIGN ORDER'!AE125</f>
        <v>0</v>
      </c>
      <c r="I507" s="112">
        <f>'OPEN FOREIGN ORDER'!AF125</f>
        <v>0</v>
      </c>
      <c r="J507" s="112">
        <f>'OPEN FOREIGN ORDER'!AG125</f>
        <v>0</v>
      </c>
    </row>
    <row r="508" spans="1:10">
      <c r="A508" t="str">
        <f>'OPEN FOREIGN ORDER'!D126</f>
        <v>FPO13136</v>
      </c>
      <c r="B508" t="str">
        <f>'OPEN FOREIGN ORDER'!F126</f>
        <v>Champagne Deutz</v>
      </c>
      <c r="C508" t="str">
        <f>'OPEN FOREIGN ORDER'!Z126</f>
        <v>60 DAYS INVOICE DATE</v>
      </c>
      <c r="D508" s="123">
        <f>'OPEN FOREIGN ORDER'!AA126</f>
        <v>46259</v>
      </c>
      <c r="E508" s="112">
        <f>'OPEN FOREIGN ORDER'!AB126</f>
        <v>0</v>
      </c>
      <c r="F508" s="112">
        <f>'OPEN FOREIGN ORDER'!AC126</f>
        <v>52134</v>
      </c>
      <c r="G508" s="112">
        <f>'OPEN FOREIGN ORDER'!AD126</f>
        <v>0</v>
      </c>
      <c r="H508" s="112">
        <f>'OPEN FOREIGN ORDER'!AE126</f>
        <v>0</v>
      </c>
      <c r="I508" s="112">
        <f>'OPEN FOREIGN ORDER'!AF126</f>
        <v>0</v>
      </c>
      <c r="J508" s="112">
        <f>'OPEN FOREIGN ORDER'!AG126</f>
        <v>0</v>
      </c>
    </row>
    <row r="509" spans="1:10">
      <c r="A509" t="str">
        <f>'OPEN FOREIGN ORDER'!D127</f>
        <v>FPO13137</v>
      </c>
      <c r="B509" t="str">
        <f>'OPEN FOREIGN ORDER'!F127</f>
        <v>Treasury Wine Estates Vintners Ltd</v>
      </c>
      <c r="C509" t="str">
        <f>'OPEN FOREIGN ORDER'!Z127</f>
        <v>90 DAYS INVOICE DATE</v>
      </c>
      <c r="D509" s="123">
        <f>'OPEN FOREIGN ORDER'!AA127</f>
        <v>46290</v>
      </c>
      <c r="E509" s="112">
        <f>'OPEN FOREIGN ORDER'!AB127</f>
        <v>0</v>
      </c>
      <c r="F509" s="112">
        <f>'OPEN FOREIGN ORDER'!AC127</f>
        <v>0</v>
      </c>
      <c r="G509" s="112">
        <f>'OPEN FOREIGN ORDER'!AD127</f>
        <v>0</v>
      </c>
      <c r="H509" s="112">
        <f>'OPEN FOREIGN ORDER'!AE127</f>
        <v>0</v>
      </c>
      <c r="I509" s="112">
        <f>'OPEN FOREIGN ORDER'!AF127</f>
        <v>3044.99</v>
      </c>
      <c r="J509" s="112">
        <f>'OPEN FOREIGN ORDER'!AG127</f>
        <v>0</v>
      </c>
    </row>
    <row r="510" spans="1:10">
      <c r="A510" t="str">
        <f>'OPEN FOREIGN ORDER'!D128</f>
        <v>FPO13138</v>
      </c>
      <c r="B510" t="str">
        <f>'OPEN FOREIGN ORDER'!F128</f>
        <v>SCEA Les Ducs D'Aquitaine</v>
      </c>
      <c r="C510" t="str">
        <f>'OPEN FOREIGN ORDER'!Z128</f>
        <v>100% Advance payment</v>
      </c>
      <c r="D510" s="123">
        <f>'OPEN FOREIGN ORDER'!AA128</f>
        <v>46155</v>
      </c>
      <c r="E510" s="112">
        <f>'OPEN FOREIGN ORDER'!AB128</f>
        <v>0</v>
      </c>
      <c r="F510" s="112">
        <f>'OPEN FOREIGN ORDER'!AC128</f>
        <v>2340</v>
      </c>
      <c r="G510" s="112">
        <f>'OPEN FOREIGN ORDER'!AD128</f>
        <v>0</v>
      </c>
      <c r="H510" s="112">
        <f>'OPEN FOREIGN ORDER'!AE128</f>
        <v>0</v>
      </c>
      <c r="I510" s="112">
        <f>'OPEN FOREIGN ORDER'!AF128</f>
        <v>0</v>
      </c>
      <c r="J510" s="112">
        <f>'OPEN FOREIGN ORDER'!AG128</f>
        <v>0</v>
      </c>
    </row>
    <row r="511" spans="1:10">
      <c r="A511" t="str">
        <f>'OPEN FOREIGN ORDER'!D129</f>
        <v>FPO13139</v>
      </c>
      <c r="B511" t="str">
        <f>'OPEN FOREIGN ORDER'!F129</f>
        <v>SARL SARRAZIN Michel et Fils</v>
      </c>
      <c r="C511" t="str">
        <f>'OPEN FOREIGN ORDER'!Z129</f>
        <v>100% advance payment</v>
      </c>
      <c r="D511" s="123">
        <f>'OPEN FOREIGN ORDER'!AA129</f>
        <v>46156</v>
      </c>
      <c r="E511" s="112">
        <f>'OPEN FOREIGN ORDER'!AB129</f>
        <v>0</v>
      </c>
      <c r="F511" s="112">
        <f>'OPEN FOREIGN ORDER'!AC129</f>
        <v>1980</v>
      </c>
      <c r="G511" s="112">
        <f>'OPEN FOREIGN ORDER'!AD129</f>
        <v>0</v>
      </c>
      <c r="H511" s="112">
        <f>'OPEN FOREIGN ORDER'!AE129</f>
        <v>0</v>
      </c>
      <c r="I511" s="112">
        <f>'OPEN FOREIGN ORDER'!AF129</f>
        <v>0</v>
      </c>
      <c r="J511" s="112">
        <f>'OPEN FOREIGN ORDER'!AG129</f>
        <v>0</v>
      </c>
    </row>
    <row r="512" spans="1:10">
      <c r="A512" t="str">
        <f>'OPEN FOREIGN ORDER'!D130</f>
        <v>FPO13140</v>
      </c>
      <c r="B512" t="str">
        <f>'OPEN FOREIGN ORDER'!F130</f>
        <v>CANPACK FRANCE SAS</v>
      </c>
      <c r="C512" t="str">
        <f>'OPEN FOREIGN ORDER'!Z130</f>
        <v>60 Days invoice date</v>
      </c>
      <c r="D512" s="123">
        <f>'OPEN FOREIGN ORDER'!AA130</f>
        <v>46259</v>
      </c>
      <c r="E512" s="112">
        <f>'OPEN FOREIGN ORDER'!AB130</f>
        <v>0</v>
      </c>
      <c r="F512" s="112">
        <f>'OPEN FOREIGN ORDER'!AC130</f>
        <v>44204.160000000003</v>
      </c>
      <c r="G512" s="112">
        <f>'OPEN FOREIGN ORDER'!AD130</f>
        <v>0</v>
      </c>
      <c r="H512" s="112">
        <f>'OPEN FOREIGN ORDER'!AE130</f>
        <v>0</v>
      </c>
      <c r="I512" s="112">
        <f>'OPEN FOREIGN ORDER'!AF130</f>
        <v>0</v>
      </c>
      <c r="J512" s="112">
        <f>'OPEN FOREIGN ORDER'!AG130</f>
        <v>0</v>
      </c>
    </row>
    <row r="513" spans="1:10">
      <c r="A513" t="str">
        <f>'OPEN FOREIGN ORDER'!D131</f>
        <v>FPO13141</v>
      </c>
      <c r="B513" t="str">
        <f>'OPEN FOREIGN ORDER'!F131</f>
        <v>ALTERNICQ LTD</v>
      </c>
      <c r="C513" t="str">
        <f>'OPEN FOREIGN ORDER'!Z131</f>
        <v xml:space="preserve">21 Days BL date </v>
      </c>
      <c r="D513" s="123">
        <f>'OPEN FOREIGN ORDER'!AA131</f>
        <v>46188</v>
      </c>
      <c r="E513" s="112">
        <f>'OPEN FOREIGN ORDER'!AB131</f>
        <v>10058.4</v>
      </c>
      <c r="F513" s="112">
        <f>'OPEN FOREIGN ORDER'!AC131</f>
        <v>0</v>
      </c>
      <c r="G513" s="112">
        <f>'OPEN FOREIGN ORDER'!AD131</f>
        <v>0</v>
      </c>
      <c r="H513" s="112">
        <f>'OPEN FOREIGN ORDER'!AE131</f>
        <v>0</v>
      </c>
      <c r="I513" s="112">
        <f>'OPEN FOREIGN ORDER'!AF131</f>
        <v>0</v>
      </c>
      <c r="J513" s="112">
        <f>'OPEN FOREIGN ORDER'!AG131</f>
        <v>0</v>
      </c>
    </row>
    <row r="514" spans="1:10">
      <c r="A514" t="str">
        <f>'OPEN FOREIGN ORDER'!D132</f>
        <v>FPO13142</v>
      </c>
      <c r="B514" t="str">
        <f>'OPEN FOREIGN ORDER'!F132</f>
        <v>Metal Crowns Ltd</v>
      </c>
      <c r="C514" t="str">
        <f>'OPEN FOREIGN ORDER'!Z132</f>
        <v>31 Days invoice date</v>
      </c>
      <c r="D514" s="123">
        <f>'OPEN FOREIGN ORDER'!AA132</f>
        <v>46198</v>
      </c>
      <c r="E514" s="112">
        <f>'OPEN FOREIGN ORDER'!AB132</f>
        <v>19726.599999999999</v>
      </c>
      <c r="F514" s="112">
        <f>'OPEN FOREIGN ORDER'!AC132</f>
        <v>0</v>
      </c>
      <c r="G514" s="112">
        <f>'OPEN FOREIGN ORDER'!AD132</f>
        <v>0</v>
      </c>
      <c r="H514" s="112">
        <f>'OPEN FOREIGN ORDER'!AE132</f>
        <v>0</v>
      </c>
      <c r="I514" s="112">
        <f>'OPEN FOREIGN ORDER'!AF132</f>
        <v>0</v>
      </c>
      <c r="J514" s="112">
        <f>'OPEN FOREIGN ORDER'!AG132</f>
        <v>0</v>
      </c>
    </row>
    <row r="515" spans="1:10">
      <c r="A515" t="str">
        <f>'OPEN FOREIGN ORDER'!D133</f>
        <v>FPO13143</v>
      </c>
      <c r="B515" t="str">
        <f>'OPEN FOREIGN ORDER'!F133</f>
        <v>Blackhawk Molding Co Inc</v>
      </c>
      <c r="C515" t="str">
        <f>'OPEN FOREIGN ORDER'!Z133</f>
        <v>50% Advance- USD 29,630.41 (Due 15/05/2026)
50 % Balance payment 45 days- USD 29,630.41</v>
      </c>
      <c r="D515" s="123">
        <f>'OPEN FOREIGN ORDER'!AA133</f>
        <v>46157</v>
      </c>
      <c r="E515" s="112">
        <f>'OPEN FOREIGN ORDER'!AB133</f>
        <v>59260.82</v>
      </c>
      <c r="F515" s="112">
        <f>'OPEN FOREIGN ORDER'!AC133</f>
        <v>0</v>
      </c>
      <c r="G515" s="112">
        <f>'OPEN FOREIGN ORDER'!AD133</f>
        <v>0</v>
      </c>
      <c r="H515" s="112">
        <f>'OPEN FOREIGN ORDER'!AE133</f>
        <v>0</v>
      </c>
      <c r="I515" s="112">
        <f>'OPEN FOREIGN ORDER'!AF133</f>
        <v>0</v>
      </c>
      <c r="J515" s="112">
        <f>'OPEN FOREIGN ORDER'!AG133</f>
        <v>0</v>
      </c>
    </row>
    <row r="516" spans="1:10">
      <c r="A516" t="str">
        <f>'OPEN FOREIGN ORDER'!D134</f>
        <v>FPO13144</v>
      </c>
      <c r="B516" t="str">
        <f>'OPEN FOREIGN ORDER'!F134</f>
        <v>GUALA CLOSURES (INDIA) PVT.LTD.</v>
      </c>
      <c r="C516" t="str">
        <f>'OPEN FOREIGN ORDER'!Z134</f>
        <v xml:space="preserve">21 DAYS BL DATE </v>
      </c>
      <c r="D516" s="123">
        <f>'OPEN FOREIGN ORDER'!AA134</f>
        <v>46188</v>
      </c>
      <c r="E516" s="112">
        <f>'OPEN FOREIGN ORDER'!AB134</f>
        <v>13750</v>
      </c>
      <c r="F516" s="112">
        <f>'OPEN FOREIGN ORDER'!AC134</f>
        <v>0</v>
      </c>
      <c r="G516" s="112">
        <f>'OPEN FOREIGN ORDER'!AD134</f>
        <v>0</v>
      </c>
      <c r="H516" s="112">
        <f>'OPEN FOREIGN ORDER'!AE134</f>
        <v>0</v>
      </c>
      <c r="I516" s="112">
        <f>'OPEN FOREIGN ORDER'!AF134</f>
        <v>0</v>
      </c>
      <c r="J516" s="112">
        <f>'OPEN FOREIGN ORDER'!AG134</f>
        <v>0</v>
      </c>
    </row>
    <row r="517" spans="1:10">
      <c r="A517" t="str">
        <f>'OPEN FOREIGN ORDER'!D135</f>
        <v>FPO13145</v>
      </c>
      <c r="B517" t="str">
        <f>'OPEN FOREIGN ORDER'!F135</f>
        <v xml:space="preserve">MMP Corporation Ltd </v>
      </c>
      <c r="C517" t="str">
        <f>'OPEN FOREIGN ORDER'!Z135</f>
        <v xml:space="preserve">7 DAYS BEFORE SHIPMENT </v>
      </c>
      <c r="D517" s="123">
        <f>'OPEN FOREIGN ORDER'!AA135</f>
        <v>46193</v>
      </c>
      <c r="E517" s="112">
        <f>'OPEN FOREIGN ORDER'!AB135</f>
        <v>28177.88</v>
      </c>
      <c r="F517" s="112">
        <f>'OPEN FOREIGN ORDER'!AC135</f>
        <v>0</v>
      </c>
      <c r="G517" s="112">
        <f>'OPEN FOREIGN ORDER'!AD135</f>
        <v>0</v>
      </c>
      <c r="H517" s="112">
        <f>'OPEN FOREIGN ORDER'!AE135</f>
        <v>0</v>
      </c>
      <c r="I517" s="112">
        <f>'OPEN FOREIGN ORDER'!AF135</f>
        <v>0</v>
      </c>
      <c r="J517" s="112">
        <f>'OPEN FOREIGN ORDER'!AG135</f>
        <v>0</v>
      </c>
    </row>
    <row r="518" spans="1:10">
      <c r="A518" t="str">
        <f>'OPEN FOREIGN ORDER'!D140</f>
        <v>FPO13155</v>
      </c>
      <c r="B518" t="str">
        <f>'OPEN FOREIGN ORDER'!F140</f>
        <v xml:space="preserve">KERRY FOOD INGREDIENTS </v>
      </c>
      <c r="C518" t="str">
        <f>'OPEN FOREIGN ORDER'!Z140</f>
        <v>90 DAYS INVOICE DATE</v>
      </c>
      <c r="D518" s="123">
        <f>'OPEN FOREIGN ORDER'!AA140</f>
        <v>46259</v>
      </c>
      <c r="E518" s="112">
        <f>'OPEN FOREIGN ORDER'!AB140</f>
        <v>0</v>
      </c>
      <c r="F518" s="112">
        <f>'OPEN FOREIGN ORDER'!AC140</f>
        <v>1967.65</v>
      </c>
      <c r="G518" s="112">
        <f>'OPEN FOREIGN ORDER'!AD140</f>
        <v>0</v>
      </c>
      <c r="H518" s="112">
        <f>'OPEN FOREIGN ORDER'!AE140</f>
        <v>0</v>
      </c>
      <c r="I518" s="112">
        <f>'OPEN FOREIGN ORDER'!AF140</f>
        <v>0</v>
      </c>
      <c r="J518" s="112">
        <f>'OPEN FOREIGN ORDER'!AG140</f>
        <v>0</v>
      </c>
    </row>
    <row r="519" spans="1:10">
      <c r="A519" t="str">
        <f>'OPEN FOREIGN ORDER'!D141</f>
        <v>FPO13156</v>
      </c>
      <c r="B519" t="str">
        <f>'OPEN FOREIGN ORDER'!F141</f>
        <v>Takasago Europe Gmbh</v>
      </c>
      <c r="C519" t="str">
        <f>'OPEN FOREIGN ORDER'!Z141</f>
        <v>30 DAYS INVOICE DATE</v>
      </c>
      <c r="D519" s="123">
        <f>'OPEN FOREIGN ORDER'!AA141</f>
        <v>46183</v>
      </c>
      <c r="E519" s="112">
        <f>'OPEN FOREIGN ORDER'!AB141</f>
        <v>0</v>
      </c>
      <c r="F519" s="112">
        <f>'OPEN FOREIGN ORDER'!AC141</f>
        <v>3360</v>
      </c>
      <c r="G519" s="112">
        <f>'OPEN FOREIGN ORDER'!AD141</f>
        <v>0</v>
      </c>
      <c r="H519" s="112">
        <f>'OPEN FOREIGN ORDER'!AE141</f>
        <v>0</v>
      </c>
      <c r="I519" s="112">
        <f>'OPEN FOREIGN ORDER'!AF141</f>
        <v>0</v>
      </c>
      <c r="J519" s="112">
        <f>'OPEN FOREIGN ORDER'!AG141</f>
        <v>0</v>
      </c>
    </row>
    <row r="520" spans="1:10">
      <c r="A520" t="str">
        <f>'OPEN FOREIGN ORDER'!D142</f>
        <v>FPO13157</v>
      </c>
      <c r="B520" t="str">
        <f>'OPEN FOREIGN ORDER'!F142</f>
        <v>SYMRISE AG</v>
      </c>
      <c r="C520" t="str">
        <f>'OPEN FOREIGN ORDER'!Z142</f>
        <v>30 DAYS INVOICE DATE</v>
      </c>
      <c r="D520" s="123">
        <f>'OPEN FOREIGN ORDER'!AA142</f>
        <v>46228</v>
      </c>
      <c r="E520" s="112">
        <f>'OPEN FOREIGN ORDER'!AB142</f>
        <v>0</v>
      </c>
      <c r="F520" s="112">
        <f>'OPEN FOREIGN ORDER'!AC142</f>
        <v>8390</v>
      </c>
      <c r="G520" s="112">
        <f>'OPEN FOREIGN ORDER'!AD142</f>
        <v>0</v>
      </c>
      <c r="H520" s="112">
        <f>'OPEN FOREIGN ORDER'!AE142</f>
        <v>0</v>
      </c>
      <c r="I520" s="112">
        <f>'OPEN FOREIGN ORDER'!AF142</f>
        <v>0</v>
      </c>
      <c r="J520" s="112">
        <f>'OPEN FOREIGN ORDER'!AG142</f>
        <v>0</v>
      </c>
    </row>
    <row r="521" spans="1:10">
      <c r="A521" t="str">
        <f>'OPEN FOREIGN ORDER'!D143</f>
        <v>FPO13158</v>
      </c>
      <c r="B521" t="str">
        <f>'OPEN FOREIGN ORDER'!F143</f>
        <v>Alpla Packaging SA (PTY) Limited</v>
      </c>
      <c r="C521" t="str">
        <f>'OPEN FOREIGN ORDER'!Z143</f>
        <v>TBC</v>
      </c>
      <c r="D521" s="123" t="str">
        <f>'OPEN FOREIGN ORDER'!AA143</f>
        <v>TBC</v>
      </c>
      <c r="E521" s="112">
        <f>'OPEN FOREIGN ORDER'!AB143</f>
        <v>33231.599999999999</v>
      </c>
      <c r="F521" s="112">
        <f>'OPEN FOREIGN ORDER'!AC143</f>
        <v>0</v>
      </c>
      <c r="G521" s="112">
        <f>'OPEN FOREIGN ORDER'!AD143</f>
        <v>0</v>
      </c>
      <c r="H521" s="112">
        <f>'OPEN FOREIGN ORDER'!AE143</f>
        <v>0</v>
      </c>
      <c r="I521" s="112">
        <f>'OPEN FOREIGN ORDER'!AF143</f>
        <v>0</v>
      </c>
      <c r="J521" s="112">
        <f>'OPEN FOREIGN ORDER'!AG143</f>
        <v>0</v>
      </c>
    </row>
    <row r="522" spans="1:10">
      <c r="A522" t="e">
        <f>'OPEN FOREIGN ORDER'!#REF!</f>
        <v>#REF!</v>
      </c>
      <c r="B522" t="e">
        <f>'OPEN FOREIGN ORDER'!#REF!</f>
        <v>#REF!</v>
      </c>
      <c r="C522" t="e">
        <f>'OPEN FOREIGN ORDER'!#REF!</f>
        <v>#REF!</v>
      </c>
      <c r="D522" s="123" t="e">
        <f>'OPEN FOREIGN ORDER'!#REF!</f>
        <v>#REF!</v>
      </c>
      <c r="E522" s="112" t="e">
        <f>'OPEN FOREIGN ORDER'!#REF!</f>
        <v>#REF!</v>
      </c>
      <c r="F522" s="112" t="e">
        <f>'OPEN FOREIGN ORDER'!#REF!</f>
        <v>#REF!</v>
      </c>
      <c r="G522" s="112" t="e">
        <f>'OPEN FOREIGN ORDER'!#REF!</f>
        <v>#REF!</v>
      </c>
      <c r="H522" s="112" t="e">
        <f>'OPEN FOREIGN ORDER'!#REF!</f>
        <v>#REF!</v>
      </c>
      <c r="I522" s="112" t="e">
        <f>'OPEN FOREIGN ORDER'!#REF!</f>
        <v>#REF!</v>
      </c>
      <c r="J522" s="112" t="e">
        <f>'OPEN FOREIGN ORDER'!#REF!</f>
        <v>#REF!</v>
      </c>
    </row>
    <row r="523" spans="1:10">
      <c r="A523" t="str">
        <f>'OPEN FOREIGN ORDER'!D144</f>
        <v>FPO13038</v>
      </c>
      <c r="B523" t="str">
        <f>'OPEN FOREIGN ORDER'!F144</f>
        <v>APPLETISER SA PTY LTD</v>
      </c>
      <c r="C523" t="str">
        <f>'OPEN FOREIGN ORDER'!Z144</f>
        <v>60 DAYS INVOICE DATE</v>
      </c>
      <c r="D523" s="123">
        <f>'OPEN FOREIGN ORDER'!AA144</f>
        <v>46289</v>
      </c>
      <c r="E523" s="112">
        <f>'OPEN FOREIGN ORDER'!AB144</f>
        <v>0</v>
      </c>
      <c r="F523" s="112">
        <f>'OPEN FOREIGN ORDER'!AC144</f>
        <v>0</v>
      </c>
      <c r="G523" s="112">
        <f>'OPEN FOREIGN ORDER'!AD144</f>
        <v>0</v>
      </c>
      <c r="H523" s="112">
        <f>'OPEN FOREIGN ORDER'!AE144</f>
        <v>4290484.32</v>
      </c>
      <c r="I523" s="112">
        <f>'OPEN FOREIGN ORDER'!AF144</f>
        <v>0</v>
      </c>
      <c r="J523" s="112">
        <f>'OPEN FOREIGN ORDER'!AG144</f>
        <v>0</v>
      </c>
    </row>
    <row r="524" spans="1:10">
      <c r="A524" t="str">
        <f>'OPEN FOREIGN ORDER'!D145</f>
        <v>FPO13038</v>
      </c>
      <c r="B524" t="str">
        <f>'OPEN FOREIGN ORDER'!F145</f>
        <v>APPLETISER SA PTY LTD</v>
      </c>
      <c r="C524" t="str">
        <f>'OPEN FOREIGN ORDER'!Z145</f>
        <v>60 DAYS INVOICE DATE</v>
      </c>
      <c r="D524" s="123">
        <f>'OPEN FOREIGN ORDER'!AA145</f>
        <v>46289</v>
      </c>
      <c r="E524" s="112">
        <f>'OPEN FOREIGN ORDER'!AB145</f>
        <v>0</v>
      </c>
      <c r="F524" s="112">
        <f>'OPEN FOREIGN ORDER'!AC145</f>
        <v>0</v>
      </c>
      <c r="G524" s="112">
        <f>'OPEN FOREIGN ORDER'!AD145</f>
        <v>0</v>
      </c>
      <c r="H524" s="112">
        <f>'OPEN FOREIGN ORDER'!AE145</f>
        <v>4290484.32</v>
      </c>
      <c r="I524" s="112">
        <f>'OPEN FOREIGN ORDER'!AF145</f>
        <v>0</v>
      </c>
      <c r="J524" s="112">
        <f>'OPEN FOREIGN ORDER'!AG145</f>
        <v>0</v>
      </c>
    </row>
    <row r="525" spans="1:10">
      <c r="A525" t="str">
        <f>'OPEN FOREIGN ORDER'!D146</f>
        <v>FPO13163</v>
      </c>
      <c r="B525" t="str">
        <f>'OPEN FOREIGN ORDER'!F146</f>
        <v>Bangkok Can Manufacturing Co Ltd</v>
      </c>
      <c r="C525" t="str">
        <f>'OPEN FOREIGN ORDER'!Z146</f>
        <v xml:space="preserve">60 DAYS BL DATE </v>
      </c>
      <c r="D525" s="123">
        <f>'OPEN FOREIGN ORDER'!AA146</f>
        <v>46244</v>
      </c>
      <c r="E525" s="112">
        <f>'OPEN FOREIGN ORDER'!AB146</f>
        <v>378788.83</v>
      </c>
      <c r="F525" s="112">
        <f>'OPEN FOREIGN ORDER'!AC146</f>
        <v>0</v>
      </c>
      <c r="G525" s="112">
        <f>'OPEN FOREIGN ORDER'!AD146</f>
        <v>0</v>
      </c>
      <c r="H525" s="112">
        <f>'OPEN FOREIGN ORDER'!AE146</f>
        <v>0</v>
      </c>
      <c r="I525" s="112">
        <f>'OPEN FOREIGN ORDER'!AF146</f>
        <v>0</v>
      </c>
      <c r="J525" s="112">
        <f>'OPEN FOREIGN ORDER'!AG146</f>
        <v>0</v>
      </c>
    </row>
    <row r="526" spans="1:10">
      <c r="A526" t="str">
        <f>'OPEN FOREIGN ORDER'!D147</f>
        <v>FPO13164</v>
      </c>
      <c r="B526" t="str">
        <f>'OPEN FOREIGN ORDER'!F147</f>
        <v xml:space="preserve">Greyson Trading LTD </v>
      </c>
      <c r="C526" t="str">
        <f>'OPEN FOREIGN ORDER'!Z147</f>
        <v xml:space="preserve">60 DAYS BL DATE </v>
      </c>
      <c r="D526" s="123">
        <f>'OPEN FOREIGN ORDER'!AA147</f>
        <v>46259</v>
      </c>
      <c r="E526" s="112">
        <f>'OPEN FOREIGN ORDER'!AB147</f>
        <v>271580.49</v>
      </c>
      <c r="F526" s="112">
        <f>'OPEN FOREIGN ORDER'!AC147</f>
        <v>0</v>
      </c>
      <c r="G526" s="112">
        <f>'OPEN FOREIGN ORDER'!AD147</f>
        <v>0</v>
      </c>
      <c r="H526" s="112">
        <f>'OPEN FOREIGN ORDER'!AE147</f>
        <v>0</v>
      </c>
      <c r="I526" s="112">
        <f>'OPEN FOREIGN ORDER'!AF147</f>
        <v>0</v>
      </c>
      <c r="J526" s="112">
        <f>'OPEN FOREIGN ORDER'!AG147</f>
        <v>0</v>
      </c>
    </row>
    <row r="527" spans="1:10">
      <c r="A527" t="str">
        <f>'OPEN FOREIGN ORDER'!D148</f>
        <v>FPO13172</v>
      </c>
      <c r="B527" t="str">
        <f>'OPEN FOREIGN ORDER'!F148</f>
        <v>RKW SAINT FRERES</v>
      </c>
      <c r="C527" t="str">
        <f>'OPEN FOREIGN ORDER'!Z148</f>
        <v>60 Days invoice date</v>
      </c>
      <c r="D527" s="123">
        <f>'OPEN FOREIGN ORDER'!AA148</f>
        <v>46290</v>
      </c>
      <c r="E527" s="112">
        <f>'OPEN FOREIGN ORDER'!AB148</f>
        <v>0</v>
      </c>
      <c r="F527" s="112">
        <f>'OPEN FOREIGN ORDER'!AC148</f>
        <v>27300</v>
      </c>
      <c r="G527" s="112">
        <f>'OPEN FOREIGN ORDER'!AD148</f>
        <v>0</v>
      </c>
      <c r="H527" s="112">
        <f>'OPEN FOREIGN ORDER'!AE148</f>
        <v>0</v>
      </c>
      <c r="I527" s="112">
        <f>'OPEN FOREIGN ORDER'!AF148</f>
        <v>0</v>
      </c>
      <c r="J527" s="112">
        <f>'OPEN FOREIGN ORDER'!AG148</f>
        <v>0</v>
      </c>
    </row>
    <row r="528" spans="1:10">
      <c r="A528" t="str">
        <f>'OPEN FOREIGN ORDER'!D149</f>
        <v>FPO13173</v>
      </c>
      <c r="B528" t="str">
        <f>'OPEN FOREIGN ORDER'!F149</f>
        <v>RKW SAINT FRERES</v>
      </c>
      <c r="C528" t="str">
        <f>'OPEN FOREIGN ORDER'!Z149</f>
        <v>60 Days invoice date</v>
      </c>
      <c r="D528" s="123">
        <f>'OPEN FOREIGN ORDER'!AA149</f>
        <v>46259</v>
      </c>
      <c r="E528" s="112">
        <f>'OPEN FOREIGN ORDER'!AB149</f>
        <v>0</v>
      </c>
      <c r="F528" s="112">
        <f>'OPEN FOREIGN ORDER'!AC149</f>
        <v>27300</v>
      </c>
      <c r="G528" s="112">
        <f>'OPEN FOREIGN ORDER'!AD149</f>
        <v>0</v>
      </c>
      <c r="H528" s="112">
        <f>'OPEN FOREIGN ORDER'!AE149</f>
        <v>0</v>
      </c>
      <c r="I528" s="112">
        <f>'OPEN FOREIGN ORDER'!AF149</f>
        <v>0</v>
      </c>
      <c r="J528" s="112">
        <f>'OPEN FOREIGN ORDER'!AG149</f>
        <v>0</v>
      </c>
    </row>
    <row r="529" spans="1:10">
      <c r="A529" t="str">
        <f>'OPEN FOREIGN ORDER'!D150</f>
        <v>FPO13174</v>
      </c>
      <c r="B529" t="str">
        <f>'OPEN FOREIGN ORDER'!F150</f>
        <v>ALTERNICQ LTD</v>
      </c>
      <c r="C529" t="str">
        <f>'OPEN FOREIGN ORDER'!Z150</f>
        <v xml:space="preserve">21 Days BL date </v>
      </c>
      <c r="D529" s="123">
        <f>'OPEN FOREIGN ORDER'!AA150</f>
        <v>46249</v>
      </c>
      <c r="E529" s="112">
        <f>'OPEN FOREIGN ORDER'!AB150</f>
        <v>22860</v>
      </c>
      <c r="F529" s="112">
        <f>'OPEN FOREIGN ORDER'!AC150</f>
        <v>0</v>
      </c>
      <c r="G529" s="112">
        <f>'OPEN FOREIGN ORDER'!AD150</f>
        <v>0</v>
      </c>
      <c r="H529" s="112">
        <f>'OPEN FOREIGN ORDER'!AE150</f>
        <v>0</v>
      </c>
      <c r="I529" s="112">
        <f>'OPEN FOREIGN ORDER'!AF150</f>
        <v>0</v>
      </c>
      <c r="J529" s="112">
        <f>'OPEN FOREIGN ORDER'!AG150</f>
        <v>0</v>
      </c>
    </row>
    <row r="530" spans="1:10">
      <c r="A530" t="str">
        <f>'OPEN FOREIGN ORDER'!D151</f>
        <v>FPO13175</v>
      </c>
      <c r="B530" t="str">
        <f>'OPEN FOREIGN ORDER'!F151</f>
        <v>NGOC NGHIA INDUSTRY</v>
      </c>
      <c r="C530" t="str">
        <f>'OPEN FOREIGN ORDER'!Z151</f>
        <v xml:space="preserve">50% Advance payment- USD 18,043.20
50% on scan BL- USD 18,043.20 </v>
      </c>
      <c r="D530" s="123">
        <f>'OPEN FOREIGN ORDER'!AA151</f>
        <v>46172</v>
      </c>
      <c r="E530" s="112">
        <f>'OPEN FOREIGN ORDER'!AB151</f>
        <v>36086.400000000001</v>
      </c>
      <c r="F530" s="112">
        <f>'OPEN FOREIGN ORDER'!AC151</f>
        <v>0</v>
      </c>
      <c r="G530" s="112">
        <f>'OPEN FOREIGN ORDER'!AD151</f>
        <v>0</v>
      </c>
      <c r="H530" s="112">
        <f>'OPEN FOREIGN ORDER'!AE151</f>
        <v>0</v>
      </c>
      <c r="I530" s="112">
        <f>'OPEN FOREIGN ORDER'!AF151</f>
        <v>0</v>
      </c>
      <c r="J530" s="112">
        <f>'OPEN FOREIGN ORDER'!AG151</f>
        <v>0</v>
      </c>
    </row>
    <row r="531" spans="1:10">
      <c r="A531" t="str">
        <f>'OPEN FOREIGN ORDER'!D153</f>
        <v>FPO13182</v>
      </c>
      <c r="B531" t="str">
        <f>'OPEN FOREIGN ORDER'!F153</f>
        <v xml:space="preserve">Greyson Trading LTD </v>
      </c>
      <c r="C531" t="str">
        <f>'OPEN FOREIGN ORDER'!Z153</f>
        <v>Immediate Payment</v>
      </c>
      <c r="D531" s="123">
        <f>'OPEN FOREIGN ORDER'!AA153</f>
        <v>46161</v>
      </c>
      <c r="E531" s="112">
        <f>'OPEN FOREIGN ORDER'!AB153</f>
        <v>12095.95</v>
      </c>
      <c r="F531" s="112">
        <f>'OPEN FOREIGN ORDER'!AC153</f>
        <v>0</v>
      </c>
      <c r="G531" s="112">
        <f>'OPEN FOREIGN ORDER'!AD153</f>
        <v>0</v>
      </c>
      <c r="H531" s="112">
        <f>'OPEN FOREIGN ORDER'!AE153</f>
        <v>0</v>
      </c>
      <c r="I531" s="112">
        <f>'OPEN FOREIGN ORDER'!AF153</f>
        <v>0</v>
      </c>
      <c r="J531" s="112">
        <f>'OPEN FOREIGN ORDER'!AG153</f>
        <v>0</v>
      </c>
    </row>
    <row r="532" spans="1:10">
      <c r="A532" t="str">
        <f>'OPEN FOREIGN ORDER'!D154</f>
        <v>FPO13189</v>
      </c>
      <c r="B532" t="str">
        <f>'OPEN FOREIGN ORDER'!F154</f>
        <v>Bangkok Can Manufacturing Co Ltd</v>
      </c>
      <c r="C532" t="str">
        <f>'OPEN FOREIGN ORDER'!Z154</f>
        <v xml:space="preserve">60 DAYS BL DATE </v>
      </c>
      <c r="D532" s="123">
        <f>'OPEN FOREIGN ORDER'!AA154</f>
        <v>46259</v>
      </c>
      <c r="E532" s="112">
        <f>'OPEN FOREIGN ORDER'!AB154</f>
        <v>287171.21000000002</v>
      </c>
      <c r="F532" s="112">
        <f>'OPEN FOREIGN ORDER'!AC154</f>
        <v>0</v>
      </c>
      <c r="G532" s="112">
        <f>'OPEN FOREIGN ORDER'!AD154</f>
        <v>0</v>
      </c>
      <c r="H532" s="112">
        <f>'OPEN FOREIGN ORDER'!AE154</f>
        <v>0</v>
      </c>
      <c r="I532" s="112">
        <f>'OPEN FOREIGN ORDER'!AF154</f>
        <v>0</v>
      </c>
      <c r="J532" s="112">
        <f>'OPEN FOREIGN ORDER'!AG154</f>
        <v>0</v>
      </c>
    </row>
    <row r="533" spans="1:10">
      <c r="A533" t="str">
        <f>'OPEN FOREIGN ORDER'!D155</f>
        <v>FPO13190</v>
      </c>
      <c r="B533" t="str">
        <f>'OPEN FOREIGN ORDER'!F155</f>
        <v xml:space="preserve">Greyson Trading LTD </v>
      </c>
      <c r="C533" t="str">
        <f>'OPEN FOREIGN ORDER'!Z155</f>
        <v xml:space="preserve">60 DAYS BL DATE </v>
      </c>
      <c r="D533" s="123">
        <f>'OPEN FOREIGN ORDER'!AA155</f>
        <v>46280</v>
      </c>
      <c r="E533" s="112">
        <f>'OPEN FOREIGN ORDER'!AB155</f>
        <v>57315.58</v>
      </c>
      <c r="F533" s="112">
        <f>'OPEN FOREIGN ORDER'!AC155</f>
        <v>0</v>
      </c>
      <c r="G533" s="112">
        <f>'OPEN FOREIGN ORDER'!AD155</f>
        <v>0</v>
      </c>
      <c r="H533" s="112">
        <f>'OPEN FOREIGN ORDER'!AE155</f>
        <v>0</v>
      </c>
      <c r="I533" s="112">
        <f>'OPEN FOREIGN ORDER'!AF155</f>
        <v>0</v>
      </c>
      <c r="J533" s="112">
        <f>'OPEN FOREIGN ORDER'!AG155</f>
        <v>0</v>
      </c>
    </row>
    <row r="534" spans="1:10">
      <c r="A534" t="str">
        <f>'OPEN FOREIGN ORDER'!D156</f>
        <v>FPO13191</v>
      </c>
      <c r="B534" t="str">
        <f>'OPEN FOREIGN ORDER'!F156</f>
        <v>RKW SAINT FRERES</v>
      </c>
      <c r="C534" t="str">
        <f>'OPEN FOREIGN ORDER'!Z156</f>
        <v>60 DAYS INVOICE DATE</v>
      </c>
      <c r="D534" s="123">
        <f>'OPEN FOREIGN ORDER'!AA156</f>
        <v>46259</v>
      </c>
      <c r="E534" s="112">
        <f>'OPEN FOREIGN ORDER'!AB156</f>
        <v>0</v>
      </c>
      <c r="F534" s="112">
        <f>'OPEN FOREIGN ORDER'!AC156</f>
        <v>128075</v>
      </c>
      <c r="G534" s="112">
        <f>'OPEN FOREIGN ORDER'!AD156</f>
        <v>0</v>
      </c>
      <c r="H534" s="112">
        <f>'OPEN FOREIGN ORDER'!AE156</f>
        <v>0</v>
      </c>
      <c r="I534" s="112">
        <f>'OPEN FOREIGN ORDER'!AF156</f>
        <v>0</v>
      </c>
      <c r="J534" s="112">
        <f>'OPEN FOREIGN ORDER'!AG156</f>
        <v>0</v>
      </c>
    </row>
    <row r="535" spans="1:10">
      <c r="A535" t="str">
        <f>'OPEN FOREIGN ORDER'!D157</f>
        <v>FPO13192</v>
      </c>
      <c r="B535" t="str">
        <f>'OPEN FOREIGN ORDER'!F157</f>
        <v>Blackhawk Molding Co Inc</v>
      </c>
      <c r="C535" t="str">
        <f>'OPEN FOREIGN ORDER'!Z157</f>
        <v>50% Advance- USD 29,630.41
50 % Balance payment 45 days- USD 29,630.41</v>
      </c>
      <c r="D535" s="123">
        <f>'OPEN FOREIGN ORDER'!AA157</f>
        <v>0</v>
      </c>
      <c r="E535" s="112">
        <f>'OPEN FOREIGN ORDER'!AB157</f>
        <v>59260.81</v>
      </c>
      <c r="F535" s="112">
        <f>'OPEN FOREIGN ORDER'!AC157</f>
        <v>0</v>
      </c>
      <c r="G535" s="112">
        <f>'OPEN FOREIGN ORDER'!AD157</f>
        <v>0</v>
      </c>
      <c r="H535" s="112">
        <f>'OPEN FOREIGN ORDER'!AE157</f>
        <v>0</v>
      </c>
      <c r="I535" s="112">
        <f>'OPEN FOREIGN ORDER'!AF157</f>
        <v>0</v>
      </c>
      <c r="J535" s="112">
        <f>'OPEN FOREIGN ORDER'!AG157</f>
        <v>0</v>
      </c>
    </row>
    <row r="536" spans="1:10">
      <c r="A536" t="str">
        <f>'OPEN FOREIGN ORDER'!D158</f>
        <v>FPO13193</v>
      </c>
      <c r="B536" t="str">
        <f>'OPEN FOREIGN ORDER'!F158</f>
        <v>RESILUX NV</v>
      </c>
      <c r="C536" t="str">
        <f>'OPEN FOREIGN ORDER'!Z158</f>
        <v>60 days invoice date</v>
      </c>
      <c r="D536" s="123">
        <f>'OPEN FOREIGN ORDER'!AA158</f>
        <v>46290</v>
      </c>
      <c r="E536" s="112">
        <f>'OPEN FOREIGN ORDER'!AB158</f>
        <v>0</v>
      </c>
      <c r="F536" s="112">
        <f>'OPEN FOREIGN ORDER'!AC158</f>
        <v>211237.71</v>
      </c>
      <c r="G536" s="112">
        <f>'OPEN FOREIGN ORDER'!AD158</f>
        <v>0</v>
      </c>
      <c r="H536" s="112">
        <f>'OPEN FOREIGN ORDER'!AE158</f>
        <v>0</v>
      </c>
      <c r="I536" s="112">
        <f>'OPEN FOREIGN ORDER'!AF158</f>
        <v>0</v>
      </c>
      <c r="J536" s="112">
        <f>'OPEN FOREIGN ORDER'!AG158</f>
        <v>0</v>
      </c>
    </row>
    <row r="537" spans="1:10">
      <c r="A537" t="str">
        <f>'OPEN FOREIGN ORDER'!D160</f>
        <v>FPO13196</v>
      </c>
      <c r="B537" t="str">
        <f>'OPEN FOREIGN ORDER'!F160</f>
        <v>CANPACK FRANCE SAS</v>
      </c>
      <c r="C537" t="str">
        <f>'OPEN FOREIGN ORDER'!Z160</f>
        <v>60 days invoice date</v>
      </c>
      <c r="D537" s="123">
        <f>'OPEN FOREIGN ORDER'!AA160</f>
        <v>46290</v>
      </c>
      <c r="E537" s="112">
        <f>'OPEN FOREIGN ORDER'!AB160</f>
        <v>0</v>
      </c>
      <c r="F537" s="112">
        <f>'OPEN FOREIGN ORDER'!AC160</f>
        <v>42509.279999999999</v>
      </c>
      <c r="G537" s="112">
        <f>'OPEN FOREIGN ORDER'!AD160</f>
        <v>0</v>
      </c>
      <c r="H537" s="112">
        <f>'OPEN FOREIGN ORDER'!AE160</f>
        <v>0</v>
      </c>
      <c r="I537" s="112">
        <f>'OPEN FOREIGN ORDER'!AF160</f>
        <v>0</v>
      </c>
      <c r="J537" s="112">
        <f>'OPEN FOREIGN ORDER'!AG160</f>
        <v>0</v>
      </c>
    </row>
    <row r="538" spans="1:10">
      <c r="A538" t="str">
        <f>'OPEN FOREIGN ORDER'!D164</f>
        <v>FPO13201</v>
      </c>
      <c r="B538" t="str">
        <f>'OPEN FOREIGN ORDER'!F164</f>
        <v xml:space="preserve">Greyson Trading LTD </v>
      </c>
      <c r="C538" t="str">
        <f>'OPEN FOREIGN ORDER'!Z164</f>
        <v xml:space="preserve">60 DAYS BL DATE </v>
      </c>
      <c r="D538" s="123">
        <f>'OPEN FOREIGN ORDER'!AA164</f>
        <v>46280</v>
      </c>
      <c r="E538" s="112">
        <f>'OPEN FOREIGN ORDER'!AB164</f>
        <v>588872.26</v>
      </c>
      <c r="F538" s="112">
        <f>'OPEN FOREIGN ORDER'!AC164</f>
        <v>0</v>
      </c>
      <c r="G538" s="112">
        <f>'OPEN FOREIGN ORDER'!AD164</f>
        <v>0</v>
      </c>
      <c r="H538" s="112">
        <f>'OPEN FOREIGN ORDER'!AE164</f>
        <v>0</v>
      </c>
      <c r="I538" s="112">
        <f>'OPEN FOREIGN ORDER'!AF164</f>
        <v>0</v>
      </c>
      <c r="J538" s="112">
        <f>'OPEN FOREIGN ORDER'!AG164</f>
        <v>0</v>
      </c>
    </row>
    <row r="539" spans="1:10">
      <c r="A539">
        <f>'OPEN FOREIGN ORDER'!D165</f>
        <v>0</v>
      </c>
      <c r="B539">
        <f>'OPEN FOREIGN ORDER'!F165</f>
        <v>0</v>
      </c>
      <c r="C539">
        <f>'OPEN FOREIGN ORDER'!Z165</f>
        <v>0</v>
      </c>
      <c r="D539" s="123">
        <f>'OPEN FOREIGN ORDER'!AA165</f>
        <v>0</v>
      </c>
      <c r="E539" s="112">
        <f>'OPEN FOREIGN ORDER'!AB165</f>
        <v>0</v>
      </c>
      <c r="F539" s="112">
        <f>'OPEN FOREIGN ORDER'!AC165</f>
        <v>0</v>
      </c>
      <c r="G539" s="112">
        <f>'OPEN FOREIGN ORDER'!AD165</f>
        <v>0</v>
      </c>
      <c r="H539" s="112">
        <f>'OPEN FOREIGN ORDER'!AE165</f>
        <v>0</v>
      </c>
      <c r="I539" s="112">
        <f>'OPEN FOREIGN ORDER'!AF165</f>
        <v>0</v>
      </c>
      <c r="J539" s="112">
        <f>'OPEN FOREIGN ORDER'!AG165</f>
        <v>0</v>
      </c>
    </row>
    <row r="540" spans="1:10">
      <c r="A540">
        <f>'OPEN FOREIGN ORDER'!D166</f>
        <v>0</v>
      </c>
      <c r="B540">
        <f>'OPEN FOREIGN ORDER'!F166</f>
        <v>0</v>
      </c>
      <c r="C540">
        <f>'OPEN FOREIGN ORDER'!Z166</f>
        <v>0</v>
      </c>
      <c r="D540" s="123">
        <f>'OPEN FOREIGN ORDER'!AA166</f>
        <v>0</v>
      </c>
      <c r="E540" s="112">
        <f>'OPEN FOREIGN ORDER'!AB166</f>
        <v>0</v>
      </c>
      <c r="F540" s="112">
        <f>'OPEN FOREIGN ORDER'!AC166</f>
        <v>0</v>
      </c>
      <c r="G540" s="112">
        <f>'OPEN FOREIGN ORDER'!AD166</f>
        <v>0</v>
      </c>
      <c r="H540" s="112">
        <f>'OPEN FOREIGN ORDER'!AE166</f>
        <v>0</v>
      </c>
      <c r="I540" s="112">
        <f>'OPEN FOREIGN ORDER'!AF166</f>
        <v>0</v>
      </c>
      <c r="J540" s="112">
        <f>'OPEN FOREIGN ORDER'!AG166</f>
        <v>0</v>
      </c>
    </row>
    <row r="541" spans="1:10">
      <c r="A541">
        <f>'OPEN FOREIGN ORDER'!D167</f>
        <v>0</v>
      </c>
      <c r="B541">
        <f>'OPEN FOREIGN ORDER'!F167</f>
        <v>0</v>
      </c>
      <c r="C541">
        <f>'OPEN FOREIGN ORDER'!Z167</f>
        <v>0</v>
      </c>
      <c r="D541" s="123">
        <f>'OPEN FOREIGN ORDER'!AA167</f>
        <v>0</v>
      </c>
      <c r="E541" s="112">
        <f>'OPEN FOREIGN ORDER'!AB167</f>
        <v>0</v>
      </c>
      <c r="F541" s="112">
        <f>'OPEN FOREIGN ORDER'!AC167</f>
        <v>0</v>
      </c>
      <c r="G541" s="112">
        <f>'OPEN FOREIGN ORDER'!AD167</f>
        <v>0</v>
      </c>
      <c r="H541" s="112">
        <f>'OPEN FOREIGN ORDER'!AE167</f>
        <v>0</v>
      </c>
      <c r="I541" s="112">
        <f>'OPEN FOREIGN ORDER'!AF167</f>
        <v>0</v>
      </c>
      <c r="J541" s="112">
        <f>'OPEN FOREIGN ORDER'!AG167</f>
        <v>0</v>
      </c>
    </row>
    <row r="542" spans="1:10">
      <c r="A542">
        <f>'OPEN FOREIGN ORDER'!D168</f>
        <v>0</v>
      </c>
      <c r="B542">
        <f>'OPEN FOREIGN ORDER'!F168</f>
        <v>0</v>
      </c>
      <c r="C542">
        <f>'OPEN FOREIGN ORDER'!Z168</f>
        <v>0</v>
      </c>
      <c r="D542" s="123">
        <f>'OPEN FOREIGN ORDER'!AA168</f>
        <v>0</v>
      </c>
      <c r="E542" s="112">
        <f>'OPEN FOREIGN ORDER'!AB168</f>
        <v>0</v>
      </c>
      <c r="F542" s="112">
        <f>'OPEN FOREIGN ORDER'!AC168</f>
        <v>0</v>
      </c>
      <c r="G542" s="112">
        <f>'OPEN FOREIGN ORDER'!AD168</f>
        <v>0</v>
      </c>
      <c r="H542" s="112">
        <f>'OPEN FOREIGN ORDER'!AE168</f>
        <v>0</v>
      </c>
      <c r="I542" s="112">
        <f>'OPEN FOREIGN ORDER'!AF168</f>
        <v>0</v>
      </c>
      <c r="J542" s="112">
        <f>'OPEN FOREIGN ORDER'!AG168</f>
        <v>0</v>
      </c>
    </row>
    <row r="543" spans="1:10">
      <c r="A543">
        <f>'OPEN FOREIGN ORDER'!D169</f>
        <v>0</v>
      </c>
      <c r="B543">
        <f>'OPEN FOREIGN ORDER'!F169</f>
        <v>0</v>
      </c>
      <c r="C543">
        <f>'OPEN FOREIGN ORDER'!Z169</f>
        <v>0</v>
      </c>
      <c r="D543" s="123">
        <f>'OPEN FOREIGN ORDER'!AA169</f>
        <v>0</v>
      </c>
      <c r="E543" s="112">
        <f>'OPEN FOREIGN ORDER'!AB169</f>
        <v>0</v>
      </c>
      <c r="F543" s="112">
        <f>'OPEN FOREIGN ORDER'!AC169</f>
        <v>0</v>
      </c>
      <c r="G543" s="112">
        <f>'OPEN FOREIGN ORDER'!AD169</f>
        <v>0</v>
      </c>
      <c r="H543" s="112">
        <f>'OPEN FOREIGN ORDER'!AE169</f>
        <v>0</v>
      </c>
      <c r="I543" s="112">
        <f>'OPEN FOREIGN ORDER'!AF169</f>
        <v>0</v>
      </c>
      <c r="J543" s="112">
        <f>'OPEN FOREIGN ORDER'!AG169</f>
        <v>0</v>
      </c>
    </row>
    <row r="544" spans="1:10">
      <c r="A544">
        <f>'OPEN FOREIGN ORDER'!D170</f>
        <v>0</v>
      </c>
      <c r="B544">
        <f>'OPEN FOREIGN ORDER'!F170</f>
        <v>0</v>
      </c>
      <c r="C544">
        <f>'OPEN FOREIGN ORDER'!Z170</f>
        <v>0</v>
      </c>
      <c r="D544" s="123">
        <f>'OPEN FOREIGN ORDER'!AA170</f>
        <v>0</v>
      </c>
      <c r="E544" s="112">
        <f>'OPEN FOREIGN ORDER'!AB170</f>
        <v>0</v>
      </c>
      <c r="F544" s="112">
        <f>'OPEN FOREIGN ORDER'!AC170</f>
        <v>0</v>
      </c>
      <c r="G544" s="112">
        <f>'OPEN FOREIGN ORDER'!AD170</f>
        <v>0</v>
      </c>
      <c r="H544" s="112">
        <f>'OPEN FOREIGN ORDER'!AE170</f>
        <v>0</v>
      </c>
      <c r="I544" s="112">
        <f>'OPEN FOREIGN ORDER'!AF170</f>
        <v>0</v>
      </c>
      <c r="J544" s="112">
        <f>'OPEN FOREIGN ORDER'!AG170</f>
        <v>0</v>
      </c>
    </row>
    <row r="545" spans="1:10">
      <c r="A545">
        <f>'OPEN FOREIGN ORDER'!D171</f>
        <v>0</v>
      </c>
      <c r="B545">
        <f>'OPEN FOREIGN ORDER'!F171</f>
        <v>0</v>
      </c>
      <c r="C545">
        <f>'OPEN FOREIGN ORDER'!Z171</f>
        <v>0</v>
      </c>
      <c r="D545" s="123">
        <f>'OPEN FOREIGN ORDER'!AA171</f>
        <v>0</v>
      </c>
      <c r="E545" s="112">
        <f>'OPEN FOREIGN ORDER'!AB171</f>
        <v>0</v>
      </c>
      <c r="F545" s="112">
        <f>'OPEN FOREIGN ORDER'!AC171</f>
        <v>0</v>
      </c>
      <c r="G545" s="112">
        <f>'OPEN FOREIGN ORDER'!AD171</f>
        <v>0</v>
      </c>
      <c r="H545" s="112">
        <f>'OPEN FOREIGN ORDER'!AE171</f>
        <v>0</v>
      </c>
      <c r="I545" s="112">
        <f>'OPEN FOREIGN ORDER'!AF171</f>
        <v>0</v>
      </c>
      <c r="J545" s="112">
        <f>'OPEN FOREIGN ORDER'!AG171</f>
        <v>0</v>
      </c>
    </row>
    <row r="546" spans="1:10">
      <c r="A546">
        <f>'OPEN FOREIGN ORDER'!D172</f>
        <v>0</v>
      </c>
      <c r="B546">
        <f>'OPEN FOREIGN ORDER'!F172</f>
        <v>0</v>
      </c>
      <c r="C546">
        <f>'OPEN FOREIGN ORDER'!Z172</f>
        <v>0</v>
      </c>
      <c r="D546" s="123">
        <f>'OPEN FOREIGN ORDER'!AA172</f>
        <v>0</v>
      </c>
      <c r="E546" s="112">
        <f>'OPEN FOREIGN ORDER'!AB172</f>
        <v>0</v>
      </c>
      <c r="F546" s="112">
        <f>'OPEN FOREIGN ORDER'!AC172</f>
        <v>0</v>
      </c>
      <c r="G546" s="112">
        <f>'OPEN FOREIGN ORDER'!AD172</f>
        <v>0</v>
      </c>
      <c r="H546" s="112">
        <f>'OPEN FOREIGN ORDER'!AE172</f>
        <v>0</v>
      </c>
      <c r="I546" s="112">
        <f>'OPEN FOREIGN ORDER'!AF172</f>
        <v>0</v>
      </c>
      <c r="J546" s="112">
        <f>'OPEN FOREIGN ORDER'!AG172</f>
        <v>0</v>
      </c>
    </row>
    <row r="547" spans="1:10">
      <c r="A547">
        <f>'OPEN FOREIGN ORDER'!D173</f>
        <v>0</v>
      </c>
      <c r="B547">
        <f>'OPEN FOREIGN ORDER'!F173</f>
        <v>0</v>
      </c>
      <c r="C547">
        <f>'OPEN FOREIGN ORDER'!Z173</f>
        <v>0</v>
      </c>
      <c r="D547" s="123">
        <f>'OPEN FOREIGN ORDER'!AA173</f>
        <v>0</v>
      </c>
      <c r="E547" s="112">
        <f>'OPEN FOREIGN ORDER'!AB173</f>
        <v>0</v>
      </c>
      <c r="F547" s="112">
        <f>'OPEN FOREIGN ORDER'!AC173</f>
        <v>0</v>
      </c>
      <c r="G547" s="112">
        <f>'OPEN FOREIGN ORDER'!AD173</f>
        <v>0</v>
      </c>
      <c r="H547" s="112">
        <f>'OPEN FOREIGN ORDER'!AE173</f>
        <v>0</v>
      </c>
      <c r="I547" s="112">
        <f>'OPEN FOREIGN ORDER'!AF173</f>
        <v>0</v>
      </c>
      <c r="J547" s="112">
        <f>'OPEN FOREIGN ORDER'!AG173</f>
        <v>0</v>
      </c>
    </row>
    <row r="548" spans="1:10">
      <c r="A548">
        <f>'OPEN FOREIGN ORDER'!D174</f>
        <v>0</v>
      </c>
      <c r="B548">
        <f>'OPEN FOREIGN ORDER'!F174</f>
        <v>0</v>
      </c>
      <c r="C548">
        <f>'OPEN FOREIGN ORDER'!Z174</f>
        <v>0</v>
      </c>
      <c r="D548" s="123">
        <f>'OPEN FOREIGN ORDER'!AA174</f>
        <v>0</v>
      </c>
      <c r="E548" s="112">
        <f>'OPEN FOREIGN ORDER'!AB174</f>
        <v>0</v>
      </c>
      <c r="F548" s="112">
        <f>'OPEN FOREIGN ORDER'!AC174</f>
        <v>0</v>
      </c>
      <c r="G548" s="112">
        <f>'OPEN FOREIGN ORDER'!AD174</f>
        <v>0</v>
      </c>
      <c r="H548" s="112">
        <f>'OPEN FOREIGN ORDER'!AE174</f>
        <v>0</v>
      </c>
      <c r="I548" s="112">
        <f>'OPEN FOREIGN ORDER'!AF174</f>
        <v>0</v>
      </c>
      <c r="J548" s="112">
        <f>'OPEN FOREIGN ORDER'!AG174</f>
        <v>0</v>
      </c>
    </row>
    <row r="549" spans="1:10">
      <c r="A549">
        <f>'OPEN FOREIGN ORDER'!D175</f>
        <v>0</v>
      </c>
      <c r="B549">
        <f>'OPEN FOREIGN ORDER'!F175</f>
        <v>0</v>
      </c>
      <c r="C549">
        <f>'OPEN FOREIGN ORDER'!Z175</f>
        <v>0</v>
      </c>
      <c r="D549" s="123">
        <f>'OPEN FOREIGN ORDER'!AA175</f>
        <v>0</v>
      </c>
      <c r="E549" s="112">
        <f>'OPEN FOREIGN ORDER'!AB175</f>
        <v>0</v>
      </c>
      <c r="F549" s="112">
        <f>'OPEN FOREIGN ORDER'!AC175</f>
        <v>0</v>
      </c>
      <c r="G549" s="112">
        <f>'OPEN FOREIGN ORDER'!AD175</f>
        <v>0</v>
      </c>
      <c r="H549" s="112">
        <f>'OPEN FOREIGN ORDER'!AE175</f>
        <v>0</v>
      </c>
      <c r="I549" s="112">
        <f>'OPEN FOREIGN ORDER'!AF175</f>
        <v>0</v>
      </c>
      <c r="J549" s="112">
        <f>'OPEN FOREIGN ORDER'!AG175</f>
        <v>0</v>
      </c>
    </row>
    <row r="550" spans="1:10">
      <c r="A550">
        <f>'OPEN FOREIGN ORDER'!D176</f>
        <v>0</v>
      </c>
      <c r="B550">
        <f>'OPEN FOREIGN ORDER'!F176</f>
        <v>0</v>
      </c>
      <c r="C550">
        <f>'OPEN FOREIGN ORDER'!Z176</f>
        <v>0</v>
      </c>
      <c r="D550" s="123">
        <f>'OPEN FOREIGN ORDER'!AA176</f>
        <v>0</v>
      </c>
      <c r="E550" s="112">
        <f>'OPEN FOREIGN ORDER'!AB176</f>
        <v>0</v>
      </c>
      <c r="F550" s="112">
        <f>'OPEN FOREIGN ORDER'!AC176</f>
        <v>0</v>
      </c>
      <c r="G550" s="112">
        <f>'OPEN FOREIGN ORDER'!AD176</f>
        <v>0</v>
      </c>
      <c r="H550" s="112">
        <f>'OPEN FOREIGN ORDER'!AE176</f>
        <v>0</v>
      </c>
      <c r="I550" s="112">
        <f>'OPEN FOREIGN ORDER'!AF176</f>
        <v>0</v>
      </c>
      <c r="J550" s="112">
        <f>'OPEN FOREIGN ORDER'!AG176</f>
        <v>0</v>
      </c>
    </row>
    <row r="551" spans="1:10">
      <c r="A551">
        <f>'OPEN FOREIGN ORDER'!D177</f>
        <v>0</v>
      </c>
      <c r="B551">
        <f>'OPEN FOREIGN ORDER'!F177</f>
        <v>0</v>
      </c>
      <c r="C551">
        <f>'OPEN FOREIGN ORDER'!Z177</f>
        <v>0</v>
      </c>
      <c r="D551" s="123">
        <f>'OPEN FOREIGN ORDER'!AA177</f>
        <v>0</v>
      </c>
      <c r="E551" s="112">
        <f>'OPEN FOREIGN ORDER'!AB177</f>
        <v>0</v>
      </c>
      <c r="F551" s="112">
        <f>'OPEN FOREIGN ORDER'!AC177</f>
        <v>0</v>
      </c>
      <c r="G551" s="112">
        <f>'OPEN FOREIGN ORDER'!AD177</f>
        <v>0</v>
      </c>
      <c r="H551" s="112">
        <f>'OPEN FOREIGN ORDER'!AE177</f>
        <v>0</v>
      </c>
      <c r="I551" s="112">
        <f>'OPEN FOREIGN ORDER'!AF177</f>
        <v>0</v>
      </c>
      <c r="J551" s="112">
        <f>'OPEN FOREIGN ORDER'!AG177</f>
        <v>0</v>
      </c>
    </row>
    <row r="552" spans="1:10">
      <c r="A552">
        <f>'OPEN FOREIGN ORDER'!D178</f>
        <v>0</v>
      </c>
      <c r="B552">
        <f>'OPEN FOREIGN ORDER'!F178</f>
        <v>0</v>
      </c>
      <c r="C552">
        <f>'OPEN FOREIGN ORDER'!Z178</f>
        <v>0</v>
      </c>
      <c r="D552" s="123">
        <f>'OPEN FOREIGN ORDER'!AA178</f>
        <v>0</v>
      </c>
      <c r="E552" s="112">
        <f>'OPEN FOREIGN ORDER'!AB178</f>
        <v>0</v>
      </c>
      <c r="F552" s="112">
        <f>'OPEN FOREIGN ORDER'!AC178</f>
        <v>0</v>
      </c>
      <c r="G552" s="112">
        <f>'OPEN FOREIGN ORDER'!AD178</f>
        <v>0</v>
      </c>
      <c r="H552" s="112">
        <f>'OPEN FOREIGN ORDER'!AE178</f>
        <v>0</v>
      </c>
      <c r="I552" s="112">
        <f>'OPEN FOREIGN ORDER'!AF178</f>
        <v>0</v>
      </c>
      <c r="J552" s="112">
        <f>'OPEN FOREIGN ORDER'!AG178</f>
        <v>0</v>
      </c>
    </row>
    <row r="553" spans="1:10">
      <c r="A553">
        <f>'OPEN FOREIGN ORDER'!D179</f>
        <v>0</v>
      </c>
      <c r="B553">
        <f>'OPEN FOREIGN ORDER'!F179</f>
        <v>0</v>
      </c>
      <c r="C553">
        <f>'OPEN FOREIGN ORDER'!Z179</f>
        <v>0</v>
      </c>
      <c r="D553" s="123">
        <f>'OPEN FOREIGN ORDER'!AA179</f>
        <v>0</v>
      </c>
      <c r="E553" s="112">
        <f>'OPEN FOREIGN ORDER'!AB179</f>
        <v>0</v>
      </c>
      <c r="F553" s="112">
        <f>'OPEN FOREIGN ORDER'!AC179</f>
        <v>0</v>
      </c>
      <c r="G553" s="112">
        <f>'OPEN FOREIGN ORDER'!AD179</f>
        <v>0</v>
      </c>
      <c r="H553" s="112">
        <f>'OPEN FOREIGN ORDER'!AE179</f>
        <v>0</v>
      </c>
      <c r="I553" s="112">
        <f>'OPEN FOREIGN ORDER'!AF179</f>
        <v>0</v>
      </c>
      <c r="J553" s="112">
        <f>'OPEN FOREIGN ORDER'!AG179</f>
        <v>0</v>
      </c>
    </row>
    <row r="554" spans="1:10">
      <c r="A554">
        <f>'OPEN FOREIGN ORDER'!D180</f>
        <v>0</v>
      </c>
      <c r="B554">
        <f>'OPEN FOREIGN ORDER'!F180</f>
        <v>0</v>
      </c>
      <c r="C554">
        <f>'OPEN FOREIGN ORDER'!Z180</f>
        <v>0</v>
      </c>
      <c r="D554" s="123">
        <f>'OPEN FOREIGN ORDER'!AA180</f>
        <v>0</v>
      </c>
      <c r="E554" s="112">
        <f>'OPEN FOREIGN ORDER'!AB180</f>
        <v>0</v>
      </c>
      <c r="F554" s="112">
        <f>'OPEN FOREIGN ORDER'!AC180</f>
        <v>0</v>
      </c>
      <c r="G554" s="112">
        <f>'OPEN FOREIGN ORDER'!AD180</f>
        <v>0</v>
      </c>
      <c r="H554" s="112">
        <f>'OPEN FOREIGN ORDER'!AE180</f>
        <v>0</v>
      </c>
      <c r="I554" s="112">
        <f>'OPEN FOREIGN ORDER'!AF180</f>
        <v>0</v>
      </c>
      <c r="J554" s="112">
        <f>'OPEN FOREIGN ORDER'!AG180</f>
        <v>0</v>
      </c>
    </row>
    <row r="555" spans="1:10">
      <c r="A555">
        <f>'OPEN FOREIGN ORDER'!D181</f>
        <v>0</v>
      </c>
      <c r="B555">
        <f>'OPEN FOREIGN ORDER'!F181</f>
        <v>0</v>
      </c>
      <c r="C555">
        <f>'OPEN FOREIGN ORDER'!Z181</f>
        <v>0</v>
      </c>
      <c r="D555" s="123">
        <f>'OPEN FOREIGN ORDER'!AA181</f>
        <v>0</v>
      </c>
      <c r="E555" s="112">
        <f>'OPEN FOREIGN ORDER'!AB181</f>
        <v>0</v>
      </c>
      <c r="F555" s="112">
        <f>'OPEN FOREIGN ORDER'!AC181</f>
        <v>0</v>
      </c>
      <c r="G555" s="112">
        <f>'OPEN FOREIGN ORDER'!AD181</f>
        <v>0</v>
      </c>
      <c r="H555" s="112">
        <f>'OPEN FOREIGN ORDER'!AE181</f>
        <v>0</v>
      </c>
      <c r="I555" s="112">
        <f>'OPEN FOREIGN ORDER'!AF181</f>
        <v>0</v>
      </c>
      <c r="J555" s="112">
        <f>'OPEN FOREIGN ORDER'!AG181</f>
        <v>0</v>
      </c>
    </row>
    <row r="556" spans="1:10">
      <c r="A556">
        <f>'OPEN FOREIGN ORDER'!D182</f>
        <v>0</v>
      </c>
      <c r="B556">
        <f>'OPEN FOREIGN ORDER'!F182</f>
        <v>0</v>
      </c>
      <c r="C556">
        <f>'OPEN FOREIGN ORDER'!Z182</f>
        <v>0</v>
      </c>
      <c r="D556" s="123">
        <f>'OPEN FOREIGN ORDER'!AA182</f>
        <v>0</v>
      </c>
      <c r="E556" s="112">
        <f>'OPEN FOREIGN ORDER'!AB182</f>
        <v>0</v>
      </c>
      <c r="F556" s="112">
        <f>'OPEN FOREIGN ORDER'!AC182</f>
        <v>0</v>
      </c>
      <c r="G556" s="112">
        <f>'OPEN FOREIGN ORDER'!AD182</f>
        <v>0</v>
      </c>
      <c r="H556" s="112">
        <f>'OPEN FOREIGN ORDER'!AE182</f>
        <v>0</v>
      </c>
      <c r="I556" s="112">
        <f>'OPEN FOREIGN ORDER'!AF182</f>
        <v>0</v>
      </c>
      <c r="J556" s="112">
        <f>'OPEN FOREIGN ORDER'!AG182</f>
        <v>0</v>
      </c>
    </row>
    <row r="557" spans="1:10">
      <c r="A557">
        <f>'OPEN FOREIGN ORDER'!D183</f>
        <v>0</v>
      </c>
      <c r="B557">
        <f>'OPEN FOREIGN ORDER'!F183</f>
        <v>0</v>
      </c>
      <c r="C557">
        <f>'OPEN FOREIGN ORDER'!Z183</f>
        <v>0</v>
      </c>
      <c r="D557" s="123">
        <f>'OPEN FOREIGN ORDER'!AA183</f>
        <v>0</v>
      </c>
      <c r="E557" s="112">
        <f>'OPEN FOREIGN ORDER'!AB183</f>
        <v>0</v>
      </c>
      <c r="F557" s="112">
        <f>'OPEN FOREIGN ORDER'!AC183</f>
        <v>0</v>
      </c>
      <c r="G557" s="112">
        <f>'OPEN FOREIGN ORDER'!AD183</f>
        <v>0</v>
      </c>
      <c r="H557" s="112">
        <f>'OPEN FOREIGN ORDER'!AE183</f>
        <v>0</v>
      </c>
      <c r="I557" s="112">
        <f>'OPEN FOREIGN ORDER'!AF183</f>
        <v>0</v>
      </c>
      <c r="J557" s="112">
        <f>'OPEN FOREIGN ORDER'!AG183</f>
        <v>0</v>
      </c>
    </row>
    <row r="558" spans="1:10">
      <c r="A558">
        <f>'OPEN FOREIGN ORDER'!D184</f>
        <v>0</v>
      </c>
      <c r="B558">
        <f>'OPEN FOREIGN ORDER'!F184</f>
        <v>0</v>
      </c>
      <c r="C558">
        <f>'OPEN FOREIGN ORDER'!Z184</f>
        <v>0</v>
      </c>
      <c r="D558" s="123">
        <f>'OPEN FOREIGN ORDER'!AA184</f>
        <v>0</v>
      </c>
      <c r="E558" s="112">
        <f>'OPEN FOREIGN ORDER'!AB184</f>
        <v>0</v>
      </c>
      <c r="F558" s="112">
        <f>'OPEN FOREIGN ORDER'!AC184</f>
        <v>0</v>
      </c>
      <c r="G558" s="112">
        <f>'OPEN FOREIGN ORDER'!AD184</f>
        <v>0</v>
      </c>
      <c r="H558" s="112">
        <f>'OPEN FOREIGN ORDER'!AE184</f>
        <v>0</v>
      </c>
      <c r="I558" s="112">
        <f>'OPEN FOREIGN ORDER'!AF184</f>
        <v>0</v>
      </c>
      <c r="J558" s="112">
        <f>'OPEN FOREIGN ORDER'!AG184</f>
        <v>0</v>
      </c>
    </row>
    <row r="559" spans="1:10">
      <c r="A559">
        <f>'OPEN FOREIGN ORDER'!D185</f>
        <v>0</v>
      </c>
      <c r="B559">
        <f>'OPEN FOREIGN ORDER'!F185</f>
        <v>0</v>
      </c>
      <c r="C559">
        <f>'OPEN FOREIGN ORDER'!Z185</f>
        <v>0</v>
      </c>
      <c r="D559" s="123">
        <f>'OPEN FOREIGN ORDER'!AA185</f>
        <v>0</v>
      </c>
      <c r="E559" s="112">
        <f>'OPEN FOREIGN ORDER'!AB185</f>
        <v>0</v>
      </c>
      <c r="F559" s="112">
        <f>'OPEN FOREIGN ORDER'!AC185</f>
        <v>0</v>
      </c>
      <c r="G559" s="112">
        <f>'OPEN FOREIGN ORDER'!AD185</f>
        <v>0</v>
      </c>
      <c r="H559" s="112">
        <f>'OPEN FOREIGN ORDER'!AE185</f>
        <v>0</v>
      </c>
      <c r="I559" s="112">
        <f>'OPEN FOREIGN ORDER'!AF185</f>
        <v>0</v>
      </c>
      <c r="J559" s="112">
        <f>'OPEN FOREIGN ORDER'!AG185</f>
        <v>0</v>
      </c>
    </row>
    <row r="560" spans="1:10">
      <c r="A560">
        <f>'OPEN FOREIGN ORDER'!D186</f>
        <v>0</v>
      </c>
      <c r="B560">
        <f>'OPEN FOREIGN ORDER'!F186</f>
        <v>0</v>
      </c>
      <c r="C560">
        <f>'OPEN FOREIGN ORDER'!Z186</f>
        <v>0</v>
      </c>
      <c r="D560" s="123">
        <f>'OPEN FOREIGN ORDER'!AA186</f>
        <v>0</v>
      </c>
      <c r="E560" s="112">
        <f>'OPEN FOREIGN ORDER'!AB186</f>
        <v>0</v>
      </c>
      <c r="F560" s="112">
        <f>'OPEN FOREIGN ORDER'!AC186</f>
        <v>0</v>
      </c>
      <c r="G560" s="112">
        <f>'OPEN FOREIGN ORDER'!AD186</f>
        <v>0</v>
      </c>
      <c r="H560" s="112">
        <f>'OPEN FOREIGN ORDER'!AE186</f>
        <v>0</v>
      </c>
      <c r="I560" s="112">
        <f>'OPEN FOREIGN ORDER'!AF186</f>
        <v>0</v>
      </c>
      <c r="J560" s="112">
        <f>'OPEN FOREIGN ORDER'!AG186</f>
        <v>0</v>
      </c>
    </row>
    <row r="561" spans="1:10">
      <c r="A561">
        <f>'OPEN FOREIGN ORDER'!D187</f>
        <v>0</v>
      </c>
      <c r="B561">
        <f>'OPEN FOREIGN ORDER'!F187</f>
        <v>0</v>
      </c>
      <c r="C561">
        <f>'OPEN FOREIGN ORDER'!Z187</f>
        <v>0</v>
      </c>
      <c r="D561" s="123">
        <f>'OPEN FOREIGN ORDER'!AA187</f>
        <v>0</v>
      </c>
      <c r="E561" s="112">
        <f>'OPEN FOREIGN ORDER'!AB187</f>
        <v>0</v>
      </c>
      <c r="F561" s="112">
        <f>'OPEN FOREIGN ORDER'!AC187</f>
        <v>0</v>
      </c>
      <c r="G561" s="112">
        <f>'OPEN FOREIGN ORDER'!AD187</f>
        <v>0</v>
      </c>
      <c r="H561" s="112">
        <f>'OPEN FOREIGN ORDER'!AE187</f>
        <v>0</v>
      </c>
      <c r="I561" s="112">
        <f>'OPEN FOREIGN ORDER'!AF187</f>
        <v>0</v>
      </c>
      <c r="J561" s="112">
        <f>'OPEN FOREIGN ORDER'!AG187</f>
        <v>0</v>
      </c>
    </row>
    <row r="562" spans="1:10">
      <c r="A562">
        <f>'OPEN FOREIGN ORDER'!D188</f>
        <v>0</v>
      </c>
      <c r="B562">
        <f>'OPEN FOREIGN ORDER'!F188</f>
        <v>0</v>
      </c>
      <c r="C562">
        <f>'OPEN FOREIGN ORDER'!Z188</f>
        <v>0</v>
      </c>
      <c r="D562" s="123">
        <f>'OPEN FOREIGN ORDER'!AA188</f>
        <v>0</v>
      </c>
      <c r="E562" s="112">
        <f>'OPEN FOREIGN ORDER'!AB188</f>
        <v>0</v>
      </c>
      <c r="F562" s="112">
        <f>'OPEN FOREIGN ORDER'!AC188</f>
        <v>0</v>
      </c>
      <c r="G562" s="112">
        <f>'OPEN FOREIGN ORDER'!AD188</f>
        <v>0</v>
      </c>
      <c r="H562" s="112">
        <f>'OPEN FOREIGN ORDER'!AE188</f>
        <v>0</v>
      </c>
      <c r="I562" s="112">
        <f>'OPEN FOREIGN ORDER'!AF188</f>
        <v>0</v>
      </c>
      <c r="J562" s="112">
        <f>'OPEN FOREIGN ORDER'!AG188</f>
        <v>0</v>
      </c>
    </row>
    <row r="563" spans="1:10">
      <c r="A563">
        <f>'OPEN FOREIGN ORDER'!D189</f>
        <v>0</v>
      </c>
      <c r="B563">
        <f>'OPEN FOREIGN ORDER'!F189</f>
        <v>0</v>
      </c>
      <c r="C563">
        <f>'OPEN FOREIGN ORDER'!Z189</f>
        <v>0</v>
      </c>
      <c r="D563" s="123">
        <f>'OPEN FOREIGN ORDER'!AA189</f>
        <v>0</v>
      </c>
      <c r="E563" s="112">
        <f>'OPEN FOREIGN ORDER'!AB189</f>
        <v>0</v>
      </c>
      <c r="F563" s="112">
        <f>'OPEN FOREIGN ORDER'!AC189</f>
        <v>0</v>
      </c>
      <c r="G563" s="112">
        <f>'OPEN FOREIGN ORDER'!AD189</f>
        <v>0</v>
      </c>
      <c r="H563" s="112">
        <f>'OPEN FOREIGN ORDER'!AE189</f>
        <v>0</v>
      </c>
      <c r="I563" s="112">
        <f>'OPEN FOREIGN ORDER'!AF189</f>
        <v>0</v>
      </c>
      <c r="J563" s="112">
        <f>'OPEN FOREIGN ORDER'!AG189</f>
        <v>0</v>
      </c>
    </row>
    <row r="564" spans="1:10">
      <c r="A564">
        <f>'OPEN FOREIGN ORDER'!D190</f>
        <v>0</v>
      </c>
      <c r="B564">
        <f>'OPEN FOREIGN ORDER'!F190</f>
        <v>0</v>
      </c>
      <c r="C564">
        <f>'OPEN FOREIGN ORDER'!Z190</f>
        <v>0</v>
      </c>
      <c r="D564" s="123">
        <f>'OPEN FOREIGN ORDER'!AA190</f>
        <v>0</v>
      </c>
      <c r="E564" s="112">
        <f>'OPEN FOREIGN ORDER'!AB190</f>
        <v>0</v>
      </c>
      <c r="F564" s="112">
        <f>'OPEN FOREIGN ORDER'!AC190</f>
        <v>0</v>
      </c>
      <c r="G564" s="112">
        <f>'OPEN FOREIGN ORDER'!AD190</f>
        <v>0</v>
      </c>
      <c r="H564" s="112">
        <f>'OPEN FOREIGN ORDER'!AE190</f>
        <v>0</v>
      </c>
      <c r="I564" s="112">
        <f>'OPEN FOREIGN ORDER'!AF190</f>
        <v>0</v>
      </c>
      <c r="J564" s="112">
        <f>'OPEN FOREIGN ORDER'!AG190</f>
        <v>0</v>
      </c>
    </row>
    <row r="565" spans="1:10">
      <c r="A565">
        <f>'OPEN FOREIGN ORDER'!D191</f>
        <v>0</v>
      </c>
      <c r="B565">
        <f>'OPEN FOREIGN ORDER'!F191</f>
        <v>0</v>
      </c>
      <c r="C565">
        <f>'OPEN FOREIGN ORDER'!Z191</f>
        <v>0</v>
      </c>
      <c r="D565" s="123">
        <f>'OPEN FOREIGN ORDER'!AA191</f>
        <v>0</v>
      </c>
      <c r="E565" s="112">
        <f>'OPEN FOREIGN ORDER'!AB191</f>
        <v>0</v>
      </c>
      <c r="F565" s="112">
        <f>'OPEN FOREIGN ORDER'!AC191</f>
        <v>0</v>
      </c>
      <c r="G565" s="112">
        <f>'OPEN FOREIGN ORDER'!AD191</f>
        <v>0</v>
      </c>
      <c r="H565" s="112">
        <f>'OPEN FOREIGN ORDER'!AE191</f>
        <v>0</v>
      </c>
      <c r="I565" s="112">
        <f>'OPEN FOREIGN ORDER'!AF191</f>
        <v>0</v>
      </c>
      <c r="J565" s="112">
        <f>'OPEN FOREIGN ORDER'!AG191</f>
        <v>0</v>
      </c>
    </row>
    <row r="566" spans="1:10">
      <c r="A566">
        <f>'OPEN FOREIGN ORDER'!D192</f>
        <v>0</v>
      </c>
      <c r="B566">
        <f>'OPEN FOREIGN ORDER'!F192</f>
        <v>0</v>
      </c>
      <c r="C566">
        <f>'OPEN FOREIGN ORDER'!Z192</f>
        <v>0</v>
      </c>
      <c r="D566" s="123">
        <f>'OPEN FOREIGN ORDER'!AA192</f>
        <v>0</v>
      </c>
      <c r="E566" s="112">
        <f>'OPEN FOREIGN ORDER'!AB192</f>
        <v>0</v>
      </c>
      <c r="F566" s="112">
        <f>'OPEN FOREIGN ORDER'!AC192</f>
        <v>0</v>
      </c>
      <c r="G566" s="112">
        <f>'OPEN FOREIGN ORDER'!AD192</f>
        <v>0</v>
      </c>
      <c r="H566" s="112">
        <f>'OPEN FOREIGN ORDER'!AE192</f>
        <v>0</v>
      </c>
      <c r="I566" s="112">
        <f>'OPEN FOREIGN ORDER'!AF192</f>
        <v>0</v>
      </c>
      <c r="J566" s="112">
        <f>'OPEN FOREIGN ORDER'!AG192</f>
        <v>0</v>
      </c>
    </row>
    <row r="567" spans="1:10">
      <c r="A567">
        <f>'OPEN FOREIGN ORDER'!D193</f>
        <v>0</v>
      </c>
      <c r="B567">
        <f>'OPEN FOREIGN ORDER'!F193</f>
        <v>0</v>
      </c>
      <c r="C567">
        <f>'OPEN FOREIGN ORDER'!Z193</f>
        <v>0</v>
      </c>
      <c r="D567" s="123">
        <f>'OPEN FOREIGN ORDER'!AA193</f>
        <v>0</v>
      </c>
      <c r="E567" s="112">
        <f>'OPEN FOREIGN ORDER'!AB193</f>
        <v>0</v>
      </c>
      <c r="F567" s="112">
        <f>'OPEN FOREIGN ORDER'!AC193</f>
        <v>0</v>
      </c>
      <c r="G567" s="112">
        <f>'OPEN FOREIGN ORDER'!AD193</f>
        <v>0</v>
      </c>
      <c r="H567" s="112">
        <f>'OPEN FOREIGN ORDER'!AE193</f>
        <v>0</v>
      </c>
      <c r="I567" s="112">
        <f>'OPEN FOREIGN ORDER'!AF193</f>
        <v>0</v>
      </c>
      <c r="J567" s="112">
        <f>'OPEN FOREIGN ORDER'!AG193</f>
        <v>0</v>
      </c>
    </row>
    <row r="568" spans="1:10">
      <c r="A568">
        <f>'OPEN FOREIGN ORDER'!D194</f>
        <v>0</v>
      </c>
      <c r="B568">
        <f>'OPEN FOREIGN ORDER'!F194</f>
        <v>0</v>
      </c>
      <c r="C568">
        <f>'OPEN FOREIGN ORDER'!Z194</f>
        <v>0</v>
      </c>
      <c r="D568" s="123">
        <f>'OPEN FOREIGN ORDER'!AA194</f>
        <v>0</v>
      </c>
      <c r="E568" s="112">
        <f>'OPEN FOREIGN ORDER'!AB194</f>
        <v>0</v>
      </c>
      <c r="F568" s="112">
        <f>'OPEN FOREIGN ORDER'!AC194</f>
        <v>0</v>
      </c>
      <c r="G568" s="112">
        <f>'OPEN FOREIGN ORDER'!AD194</f>
        <v>0</v>
      </c>
      <c r="H568" s="112">
        <f>'OPEN FOREIGN ORDER'!AE194</f>
        <v>0</v>
      </c>
      <c r="I568" s="112">
        <f>'OPEN FOREIGN ORDER'!AF194</f>
        <v>0</v>
      </c>
      <c r="J568" s="112">
        <f>'OPEN FOREIGN ORDER'!AG194</f>
        <v>0</v>
      </c>
    </row>
    <row r="569" spans="1:10">
      <c r="A569">
        <f>'OPEN FOREIGN ORDER'!D195</f>
        <v>0</v>
      </c>
      <c r="B569">
        <f>'OPEN FOREIGN ORDER'!F195</f>
        <v>0</v>
      </c>
      <c r="C569">
        <f>'OPEN FOREIGN ORDER'!Z195</f>
        <v>0</v>
      </c>
      <c r="D569" s="123">
        <f>'OPEN FOREIGN ORDER'!AA195</f>
        <v>0</v>
      </c>
      <c r="E569" s="112">
        <f>'OPEN FOREIGN ORDER'!AB195</f>
        <v>0</v>
      </c>
      <c r="F569" s="112">
        <f>'OPEN FOREIGN ORDER'!AC195</f>
        <v>0</v>
      </c>
      <c r="G569" s="112">
        <f>'OPEN FOREIGN ORDER'!AD195</f>
        <v>0</v>
      </c>
      <c r="H569" s="112">
        <f>'OPEN FOREIGN ORDER'!AE195</f>
        <v>0</v>
      </c>
      <c r="I569" s="112">
        <f>'OPEN FOREIGN ORDER'!AF195</f>
        <v>0</v>
      </c>
      <c r="J569" s="112">
        <f>'OPEN FOREIGN ORDER'!AG195</f>
        <v>0</v>
      </c>
    </row>
    <row r="570" spans="1:10">
      <c r="A570">
        <f>'OPEN FOREIGN ORDER'!D196</f>
        <v>0</v>
      </c>
      <c r="B570">
        <f>'OPEN FOREIGN ORDER'!F196</f>
        <v>0</v>
      </c>
      <c r="C570">
        <f>'OPEN FOREIGN ORDER'!Z196</f>
        <v>0</v>
      </c>
      <c r="D570" s="123">
        <f>'OPEN FOREIGN ORDER'!AA196</f>
        <v>0</v>
      </c>
      <c r="E570" s="112">
        <f>'OPEN FOREIGN ORDER'!AB196</f>
        <v>0</v>
      </c>
      <c r="F570" s="112">
        <f>'OPEN FOREIGN ORDER'!AC196</f>
        <v>0</v>
      </c>
      <c r="G570" s="112">
        <f>'OPEN FOREIGN ORDER'!AD196</f>
        <v>0</v>
      </c>
      <c r="H570" s="112">
        <f>'OPEN FOREIGN ORDER'!AE196</f>
        <v>0</v>
      </c>
      <c r="I570" s="112">
        <f>'OPEN FOREIGN ORDER'!AF196</f>
        <v>0</v>
      </c>
      <c r="J570" s="112">
        <f>'OPEN FOREIGN ORDER'!AG196</f>
        <v>0</v>
      </c>
    </row>
    <row r="571" spans="1:10">
      <c r="A571">
        <f>'OPEN FOREIGN ORDER'!D197</f>
        <v>0</v>
      </c>
      <c r="B571">
        <f>'OPEN FOREIGN ORDER'!F197</f>
        <v>0</v>
      </c>
      <c r="C571">
        <f>'OPEN FOREIGN ORDER'!Z197</f>
        <v>0</v>
      </c>
      <c r="D571" s="123">
        <f>'OPEN FOREIGN ORDER'!AA197</f>
        <v>0</v>
      </c>
      <c r="E571" s="112">
        <f>'OPEN FOREIGN ORDER'!AB197</f>
        <v>0</v>
      </c>
      <c r="F571" s="112">
        <f>'OPEN FOREIGN ORDER'!AC197</f>
        <v>0</v>
      </c>
      <c r="G571" s="112">
        <f>'OPEN FOREIGN ORDER'!AD197</f>
        <v>0</v>
      </c>
      <c r="H571" s="112">
        <f>'OPEN FOREIGN ORDER'!AE197</f>
        <v>0</v>
      </c>
      <c r="I571" s="112">
        <f>'OPEN FOREIGN ORDER'!AF197</f>
        <v>0</v>
      </c>
      <c r="J571" s="112">
        <f>'OPEN FOREIGN ORDER'!AG197</f>
        <v>0</v>
      </c>
    </row>
    <row r="572" spans="1:10">
      <c r="A572">
        <f>'OPEN FOREIGN ORDER'!D198</f>
        <v>0</v>
      </c>
      <c r="B572">
        <f>'OPEN FOREIGN ORDER'!F198</f>
        <v>0</v>
      </c>
      <c r="C572">
        <f>'OPEN FOREIGN ORDER'!Z198</f>
        <v>0</v>
      </c>
      <c r="D572" s="123">
        <f>'OPEN FOREIGN ORDER'!AA198</f>
        <v>0</v>
      </c>
      <c r="E572" s="112">
        <f>'OPEN FOREIGN ORDER'!AB198</f>
        <v>0</v>
      </c>
      <c r="F572" s="112">
        <f>'OPEN FOREIGN ORDER'!AC198</f>
        <v>0</v>
      </c>
      <c r="G572" s="112">
        <f>'OPEN FOREIGN ORDER'!AD198</f>
        <v>0</v>
      </c>
      <c r="H572" s="112">
        <f>'OPEN FOREIGN ORDER'!AE198</f>
        <v>0</v>
      </c>
      <c r="I572" s="112">
        <f>'OPEN FOREIGN ORDER'!AF198</f>
        <v>0</v>
      </c>
      <c r="J572" s="112">
        <f>'OPEN FOREIGN ORDER'!AG198</f>
        <v>0</v>
      </c>
    </row>
    <row r="573" spans="1:10">
      <c r="A573">
        <f>'OPEN FOREIGN ORDER'!D199</f>
        <v>0</v>
      </c>
      <c r="B573">
        <f>'OPEN FOREIGN ORDER'!F199</f>
        <v>0</v>
      </c>
      <c r="C573">
        <f>'OPEN FOREIGN ORDER'!Z199</f>
        <v>0</v>
      </c>
      <c r="D573" s="123">
        <f>'OPEN FOREIGN ORDER'!AA199</f>
        <v>0</v>
      </c>
      <c r="E573" s="112">
        <f>'OPEN FOREIGN ORDER'!AB199</f>
        <v>0</v>
      </c>
      <c r="F573" s="112">
        <f>'OPEN FOREIGN ORDER'!AC199</f>
        <v>0</v>
      </c>
      <c r="G573" s="112">
        <f>'OPEN FOREIGN ORDER'!AD199</f>
        <v>0</v>
      </c>
      <c r="H573" s="112">
        <f>'OPEN FOREIGN ORDER'!AE199</f>
        <v>0</v>
      </c>
      <c r="I573" s="112">
        <f>'OPEN FOREIGN ORDER'!AF199</f>
        <v>0</v>
      </c>
      <c r="J573" s="112">
        <f>'OPEN FOREIGN ORDER'!AG199</f>
        <v>0</v>
      </c>
    </row>
    <row r="574" spans="1:10">
      <c r="A574">
        <f>'OPEN FOREIGN ORDER'!D200</f>
        <v>0</v>
      </c>
      <c r="B574">
        <f>'OPEN FOREIGN ORDER'!F200</f>
        <v>0</v>
      </c>
      <c r="C574">
        <f>'OPEN FOREIGN ORDER'!Z200</f>
        <v>0</v>
      </c>
      <c r="D574" s="123">
        <f>'OPEN FOREIGN ORDER'!AA200</f>
        <v>0</v>
      </c>
      <c r="E574" s="112">
        <f>'OPEN FOREIGN ORDER'!AB200</f>
        <v>0</v>
      </c>
      <c r="F574" s="112">
        <f>'OPEN FOREIGN ORDER'!AC200</f>
        <v>0</v>
      </c>
      <c r="G574" s="112">
        <f>'OPEN FOREIGN ORDER'!AD200</f>
        <v>0</v>
      </c>
      <c r="H574" s="112">
        <f>'OPEN FOREIGN ORDER'!AE200</f>
        <v>0</v>
      </c>
      <c r="I574" s="112">
        <f>'OPEN FOREIGN ORDER'!AF200</f>
        <v>0</v>
      </c>
      <c r="J574" s="112">
        <f>'OPEN FOREIGN ORDER'!AG200</f>
        <v>0</v>
      </c>
    </row>
    <row r="575" spans="1:10">
      <c r="A575">
        <f>'OPEN FOREIGN ORDER'!D201</f>
        <v>0</v>
      </c>
      <c r="B575">
        <f>'OPEN FOREIGN ORDER'!F201</f>
        <v>0</v>
      </c>
      <c r="C575">
        <f>'OPEN FOREIGN ORDER'!Z201</f>
        <v>0</v>
      </c>
      <c r="D575" s="123">
        <f>'OPEN FOREIGN ORDER'!AA201</f>
        <v>0</v>
      </c>
      <c r="E575" s="112">
        <f>'OPEN FOREIGN ORDER'!AB201</f>
        <v>0</v>
      </c>
      <c r="F575" s="112">
        <f>'OPEN FOREIGN ORDER'!AC201</f>
        <v>0</v>
      </c>
      <c r="G575" s="112">
        <f>'OPEN FOREIGN ORDER'!AD201</f>
        <v>0</v>
      </c>
      <c r="H575" s="112">
        <f>'OPEN FOREIGN ORDER'!AE201</f>
        <v>0</v>
      </c>
      <c r="I575" s="112">
        <f>'OPEN FOREIGN ORDER'!AF201</f>
        <v>0</v>
      </c>
      <c r="J575" s="112">
        <f>'OPEN FOREIGN ORDER'!AG201</f>
        <v>0</v>
      </c>
    </row>
    <row r="576" spans="1:10">
      <c r="A576">
        <f>'OPEN FOREIGN ORDER'!D202</f>
        <v>0</v>
      </c>
      <c r="B576">
        <f>'OPEN FOREIGN ORDER'!F202</f>
        <v>0</v>
      </c>
      <c r="C576">
        <f>'OPEN FOREIGN ORDER'!Z202</f>
        <v>0</v>
      </c>
      <c r="D576" s="123">
        <f>'OPEN FOREIGN ORDER'!AA202</f>
        <v>0</v>
      </c>
      <c r="E576" s="112">
        <f>'OPEN FOREIGN ORDER'!AB202</f>
        <v>0</v>
      </c>
      <c r="F576" s="112">
        <f>'OPEN FOREIGN ORDER'!AC202</f>
        <v>0</v>
      </c>
      <c r="G576" s="112">
        <f>'OPEN FOREIGN ORDER'!AD202</f>
        <v>0</v>
      </c>
      <c r="H576" s="112">
        <f>'OPEN FOREIGN ORDER'!AE202</f>
        <v>0</v>
      </c>
      <c r="I576" s="112">
        <f>'OPEN FOREIGN ORDER'!AF202</f>
        <v>0</v>
      </c>
      <c r="J576" s="112">
        <f>'OPEN FOREIGN ORDER'!AG202</f>
        <v>0</v>
      </c>
    </row>
    <row r="577" spans="1:10">
      <c r="A577">
        <f>'OPEN FOREIGN ORDER'!D203</f>
        <v>0</v>
      </c>
      <c r="B577">
        <f>'OPEN FOREIGN ORDER'!F203</f>
        <v>0</v>
      </c>
      <c r="C577">
        <f>'OPEN FOREIGN ORDER'!Z203</f>
        <v>0</v>
      </c>
      <c r="D577" s="123">
        <f>'OPEN FOREIGN ORDER'!AA203</f>
        <v>0</v>
      </c>
      <c r="E577" s="112">
        <f>'OPEN FOREIGN ORDER'!AB203</f>
        <v>0</v>
      </c>
      <c r="F577" s="112">
        <f>'OPEN FOREIGN ORDER'!AC203</f>
        <v>0</v>
      </c>
      <c r="G577" s="112">
        <f>'OPEN FOREIGN ORDER'!AD203</f>
        <v>0</v>
      </c>
      <c r="H577" s="112">
        <f>'OPEN FOREIGN ORDER'!AE203</f>
        <v>0</v>
      </c>
      <c r="I577" s="112">
        <f>'OPEN FOREIGN ORDER'!AF203</f>
        <v>0</v>
      </c>
      <c r="J577" s="112">
        <f>'OPEN FOREIGN ORDER'!AG203</f>
        <v>0</v>
      </c>
    </row>
    <row r="578" spans="1:10">
      <c r="A578">
        <f>'OPEN FOREIGN ORDER'!D204</f>
        <v>0</v>
      </c>
      <c r="B578">
        <f>'OPEN FOREIGN ORDER'!F204</f>
        <v>0</v>
      </c>
      <c r="C578">
        <f>'OPEN FOREIGN ORDER'!Z204</f>
        <v>0</v>
      </c>
      <c r="D578" s="123">
        <f>'OPEN FOREIGN ORDER'!AA204</f>
        <v>0</v>
      </c>
      <c r="E578" s="112">
        <f>'OPEN FOREIGN ORDER'!AB204</f>
        <v>0</v>
      </c>
      <c r="F578" s="112">
        <f>'OPEN FOREIGN ORDER'!AC204</f>
        <v>0</v>
      </c>
      <c r="G578" s="112">
        <f>'OPEN FOREIGN ORDER'!AD204</f>
        <v>0</v>
      </c>
      <c r="H578" s="112">
        <f>'OPEN FOREIGN ORDER'!AE204</f>
        <v>0</v>
      </c>
      <c r="I578" s="112">
        <f>'OPEN FOREIGN ORDER'!AF204</f>
        <v>0</v>
      </c>
      <c r="J578" s="112">
        <f>'OPEN FOREIGN ORDER'!AG204</f>
        <v>0</v>
      </c>
    </row>
    <row r="579" spans="1:10">
      <c r="A579">
        <f>'OPEN FOREIGN ORDER'!D205</f>
        <v>0</v>
      </c>
      <c r="B579">
        <f>'OPEN FOREIGN ORDER'!F205</f>
        <v>0</v>
      </c>
      <c r="C579">
        <f>'OPEN FOREIGN ORDER'!Z205</f>
        <v>0</v>
      </c>
      <c r="D579" s="123">
        <f>'OPEN FOREIGN ORDER'!AA205</f>
        <v>0</v>
      </c>
      <c r="E579" s="112">
        <f>'OPEN FOREIGN ORDER'!AB205</f>
        <v>0</v>
      </c>
      <c r="F579" s="112">
        <f>'OPEN FOREIGN ORDER'!AC205</f>
        <v>0</v>
      </c>
      <c r="G579" s="112">
        <f>'OPEN FOREIGN ORDER'!AD205</f>
        <v>0</v>
      </c>
      <c r="H579" s="112">
        <f>'OPEN FOREIGN ORDER'!AE205</f>
        <v>0</v>
      </c>
      <c r="I579" s="112">
        <f>'OPEN FOREIGN ORDER'!AF205</f>
        <v>0</v>
      </c>
      <c r="J579" s="112">
        <f>'OPEN FOREIGN ORDER'!AG205</f>
        <v>0</v>
      </c>
    </row>
    <row r="580" spans="1:10">
      <c r="A580">
        <f>'OPEN FOREIGN ORDER'!D206</f>
        <v>0</v>
      </c>
      <c r="B580">
        <f>'OPEN FOREIGN ORDER'!F206</f>
        <v>0</v>
      </c>
      <c r="C580">
        <f>'OPEN FOREIGN ORDER'!Z206</f>
        <v>0</v>
      </c>
      <c r="D580" s="123">
        <f>'OPEN FOREIGN ORDER'!AA206</f>
        <v>0</v>
      </c>
      <c r="E580" s="112">
        <f>'OPEN FOREIGN ORDER'!AB206</f>
        <v>0</v>
      </c>
      <c r="F580" s="112">
        <f>'OPEN FOREIGN ORDER'!AC206</f>
        <v>0</v>
      </c>
      <c r="G580" s="112">
        <f>'OPEN FOREIGN ORDER'!AD206</f>
        <v>0</v>
      </c>
      <c r="H580" s="112">
        <f>'OPEN FOREIGN ORDER'!AE206</f>
        <v>0</v>
      </c>
      <c r="I580" s="112">
        <f>'OPEN FOREIGN ORDER'!AF206</f>
        <v>0</v>
      </c>
      <c r="J580" s="112">
        <f>'OPEN FOREIGN ORDER'!AG206</f>
        <v>0</v>
      </c>
    </row>
    <row r="581" spans="1:10">
      <c r="A581">
        <f>'OPEN FOREIGN ORDER'!D207</f>
        <v>0</v>
      </c>
      <c r="B581">
        <f>'OPEN FOREIGN ORDER'!F207</f>
        <v>0</v>
      </c>
      <c r="C581">
        <f>'OPEN FOREIGN ORDER'!Z207</f>
        <v>0</v>
      </c>
      <c r="D581" s="123">
        <f>'OPEN FOREIGN ORDER'!AA207</f>
        <v>0</v>
      </c>
      <c r="E581" s="112">
        <f>'OPEN FOREIGN ORDER'!AB207</f>
        <v>0</v>
      </c>
      <c r="F581" s="112">
        <f>'OPEN FOREIGN ORDER'!AC207</f>
        <v>0</v>
      </c>
      <c r="G581" s="112">
        <f>'OPEN FOREIGN ORDER'!AD207</f>
        <v>0</v>
      </c>
      <c r="H581" s="112">
        <f>'OPEN FOREIGN ORDER'!AE207</f>
        <v>0</v>
      </c>
      <c r="I581" s="112">
        <f>'OPEN FOREIGN ORDER'!AF207</f>
        <v>0</v>
      </c>
      <c r="J581" s="112">
        <f>'OPEN FOREIGN ORDER'!AG207</f>
        <v>0</v>
      </c>
    </row>
    <row r="582" spans="1:10">
      <c r="A582">
        <f>'OPEN FOREIGN ORDER'!D208</f>
        <v>0</v>
      </c>
      <c r="B582">
        <f>'OPEN FOREIGN ORDER'!F208</f>
        <v>0</v>
      </c>
      <c r="C582">
        <f>'OPEN FOREIGN ORDER'!Z208</f>
        <v>0</v>
      </c>
      <c r="D582" s="123">
        <f>'OPEN FOREIGN ORDER'!AA208</f>
        <v>0</v>
      </c>
      <c r="E582" s="112">
        <f>'OPEN FOREIGN ORDER'!AB208</f>
        <v>0</v>
      </c>
      <c r="F582" s="112">
        <f>'OPEN FOREIGN ORDER'!AC208</f>
        <v>0</v>
      </c>
      <c r="G582" s="112">
        <f>'OPEN FOREIGN ORDER'!AD208</f>
        <v>0</v>
      </c>
      <c r="H582" s="112">
        <f>'OPEN FOREIGN ORDER'!AE208</f>
        <v>0</v>
      </c>
      <c r="I582" s="112">
        <f>'OPEN FOREIGN ORDER'!AF208</f>
        <v>0</v>
      </c>
      <c r="J582" s="112">
        <f>'OPEN FOREIGN ORDER'!AG208</f>
        <v>0</v>
      </c>
    </row>
    <row r="583" spans="1:10">
      <c r="A583">
        <f>'OPEN FOREIGN ORDER'!D209</f>
        <v>0</v>
      </c>
      <c r="B583">
        <f>'OPEN FOREIGN ORDER'!F209</f>
        <v>0</v>
      </c>
      <c r="C583">
        <f>'OPEN FOREIGN ORDER'!Z209</f>
        <v>0</v>
      </c>
      <c r="D583" s="123">
        <f>'OPEN FOREIGN ORDER'!AA209</f>
        <v>0</v>
      </c>
      <c r="E583" s="112">
        <f>'OPEN FOREIGN ORDER'!AB209</f>
        <v>0</v>
      </c>
      <c r="F583" s="112">
        <f>'OPEN FOREIGN ORDER'!AC209</f>
        <v>0</v>
      </c>
      <c r="G583" s="112">
        <f>'OPEN FOREIGN ORDER'!AD209</f>
        <v>0</v>
      </c>
      <c r="H583" s="112">
        <f>'OPEN FOREIGN ORDER'!AE209</f>
        <v>0</v>
      </c>
      <c r="I583" s="112">
        <f>'OPEN FOREIGN ORDER'!AF209</f>
        <v>0</v>
      </c>
      <c r="J583" s="112">
        <f>'OPEN FOREIGN ORDER'!AG209</f>
        <v>0</v>
      </c>
    </row>
    <row r="584" spans="1:10">
      <c r="A584">
        <f>'OPEN FOREIGN ORDER'!D210</f>
        <v>0</v>
      </c>
      <c r="B584">
        <f>'OPEN FOREIGN ORDER'!F210</f>
        <v>0</v>
      </c>
      <c r="C584">
        <f>'OPEN FOREIGN ORDER'!Z210</f>
        <v>0</v>
      </c>
      <c r="D584" s="123">
        <f>'OPEN FOREIGN ORDER'!AA210</f>
        <v>0</v>
      </c>
      <c r="E584" s="112">
        <f>'OPEN FOREIGN ORDER'!AB210</f>
        <v>0</v>
      </c>
      <c r="F584" s="112">
        <f>'OPEN FOREIGN ORDER'!AC210</f>
        <v>0</v>
      </c>
      <c r="G584" s="112">
        <f>'OPEN FOREIGN ORDER'!AD210</f>
        <v>0</v>
      </c>
      <c r="H584" s="112">
        <f>'OPEN FOREIGN ORDER'!AE210</f>
        <v>0</v>
      </c>
      <c r="I584" s="112">
        <f>'OPEN FOREIGN ORDER'!AF210</f>
        <v>0</v>
      </c>
      <c r="J584" s="112">
        <f>'OPEN FOREIGN ORDER'!AG210</f>
        <v>0</v>
      </c>
    </row>
    <row r="585" spans="1:10">
      <c r="A585">
        <f>'OPEN FOREIGN ORDER'!D211</f>
        <v>0</v>
      </c>
      <c r="B585">
        <f>'OPEN FOREIGN ORDER'!F211</f>
        <v>0</v>
      </c>
      <c r="C585">
        <f>'OPEN FOREIGN ORDER'!Z211</f>
        <v>0</v>
      </c>
      <c r="D585" s="123">
        <f>'OPEN FOREIGN ORDER'!AA211</f>
        <v>0</v>
      </c>
      <c r="E585" s="112">
        <f>'OPEN FOREIGN ORDER'!AB211</f>
        <v>0</v>
      </c>
      <c r="F585" s="112">
        <f>'OPEN FOREIGN ORDER'!AC211</f>
        <v>0</v>
      </c>
      <c r="G585" s="112">
        <f>'OPEN FOREIGN ORDER'!AD211</f>
        <v>0</v>
      </c>
      <c r="H585" s="112">
        <f>'OPEN FOREIGN ORDER'!AE211</f>
        <v>0</v>
      </c>
      <c r="I585" s="112">
        <f>'OPEN FOREIGN ORDER'!AF211</f>
        <v>0</v>
      </c>
      <c r="J585" s="112">
        <f>'OPEN FOREIGN ORDER'!AG211</f>
        <v>0</v>
      </c>
    </row>
    <row r="586" spans="1:10">
      <c r="A586">
        <f>'OPEN FOREIGN ORDER'!D212</f>
        <v>0</v>
      </c>
      <c r="B586">
        <f>'OPEN FOREIGN ORDER'!F212</f>
        <v>0</v>
      </c>
      <c r="C586">
        <f>'OPEN FOREIGN ORDER'!Z212</f>
        <v>0</v>
      </c>
      <c r="D586" s="123">
        <f>'OPEN FOREIGN ORDER'!AA212</f>
        <v>0</v>
      </c>
      <c r="E586" s="112">
        <f>'OPEN FOREIGN ORDER'!AB212</f>
        <v>0</v>
      </c>
      <c r="F586" s="112">
        <f>'OPEN FOREIGN ORDER'!AC212</f>
        <v>0</v>
      </c>
      <c r="G586" s="112">
        <f>'OPEN FOREIGN ORDER'!AD212</f>
        <v>0</v>
      </c>
      <c r="H586" s="112">
        <f>'OPEN FOREIGN ORDER'!AE212</f>
        <v>0</v>
      </c>
      <c r="I586" s="112">
        <f>'OPEN FOREIGN ORDER'!AF212</f>
        <v>0</v>
      </c>
      <c r="J586" s="112">
        <f>'OPEN FOREIGN ORDER'!AG212</f>
        <v>0</v>
      </c>
    </row>
    <row r="587" spans="1:10">
      <c r="A587">
        <f>'OPEN FOREIGN ORDER'!D213</f>
        <v>0</v>
      </c>
      <c r="B587">
        <f>'OPEN FOREIGN ORDER'!F213</f>
        <v>0</v>
      </c>
      <c r="C587">
        <f>'OPEN FOREIGN ORDER'!Z213</f>
        <v>0</v>
      </c>
      <c r="D587" s="123">
        <f>'OPEN FOREIGN ORDER'!AA213</f>
        <v>0</v>
      </c>
      <c r="E587" s="112">
        <f>'OPEN FOREIGN ORDER'!AB213</f>
        <v>0</v>
      </c>
      <c r="F587" s="112">
        <f>'OPEN FOREIGN ORDER'!AC213</f>
        <v>0</v>
      </c>
      <c r="G587" s="112">
        <f>'OPEN FOREIGN ORDER'!AD213</f>
        <v>0</v>
      </c>
      <c r="H587" s="112">
        <f>'OPEN FOREIGN ORDER'!AE213</f>
        <v>0</v>
      </c>
      <c r="I587" s="112">
        <f>'OPEN FOREIGN ORDER'!AF213</f>
        <v>0</v>
      </c>
      <c r="J587" s="112">
        <f>'OPEN FOREIGN ORDER'!AG213</f>
        <v>0</v>
      </c>
    </row>
    <row r="588" spans="1:10">
      <c r="A588">
        <f>'OPEN FOREIGN ORDER'!D214</f>
        <v>0</v>
      </c>
      <c r="B588">
        <f>'OPEN FOREIGN ORDER'!F214</f>
        <v>0</v>
      </c>
      <c r="C588">
        <f>'OPEN FOREIGN ORDER'!Z214</f>
        <v>0</v>
      </c>
      <c r="D588" s="123">
        <f>'OPEN FOREIGN ORDER'!AA214</f>
        <v>0</v>
      </c>
      <c r="E588" s="112">
        <f>'OPEN FOREIGN ORDER'!AB214</f>
        <v>0</v>
      </c>
      <c r="F588" s="112">
        <f>'OPEN FOREIGN ORDER'!AC214</f>
        <v>0</v>
      </c>
      <c r="G588" s="112">
        <f>'OPEN FOREIGN ORDER'!AD214</f>
        <v>0</v>
      </c>
      <c r="H588" s="112">
        <f>'OPEN FOREIGN ORDER'!AE214</f>
        <v>0</v>
      </c>
      <c r="I588" s="112">
        <f>'OPEN FOREIGN ORDER'!AF214</f>
        <v>0</v>
      </c>
      <c r="J588" s="112">
        <f>'OPEN FOREIGN ORDER'!AG214</f>
        <v>0</v>
      </c>
    </row>
    <row r="589" spans="1:10">
      <c r="A589">
        <f>'OPEN FOREIGN ORDER'!D215</f>
        <v>0</v>
      </c>
      <c r="B589">
        <f>'OPEN FOREIGN ORDER'!F215</f>
        <v>0</v>
      </c>
      <c r="C589">
        <f>'OPEN FOREIGN ORDER'!Z215</f>
        <v>0</v>
      </c>
      <c r="D589" s="123">
        <f>'OPEN FOREIGN ORDER'!AA215</f>
        <v>0</v>
      </c>
      <c r="E589" s="112">
        <f>'OPEN FOREIGN ORDER'!AB215</f>
        <v>0</v>
      </c>
      <c r="F589" s="112">
        <f>'OPEN FOREIGN ORDER'!AC215</f>
        <v>0</v>
      </c>
      <c r="G589" s="112">
        <f>'OPEN FOREIGN ORDER'!AD215</f>
        <v>0</v>
      </c>
      <c r="H589" s="112">
        <f>'OPEN FOREIGN ORDER'!AE215</f>
        <v>0</v>
      </c>
      <c r="I589" s="112">
        <f>'OPEN FOREIGN ORDER'!AF215</f>
        <v>0</v>
      </c>
      <c r="J589" s="112">
        <f>'OPEN FOREIGN ORDER'!AG215</f>
        <v>0</v>
      </c>
    </row>
    <row r="590" spans="1:10">
      <c r="A590">
        <f>'OPEN FOREIGN ORDER'!D216</f>
        <v>0</v>
      </c>
      <c r="B590">
        <f>'OPEN FOREIGN ORDER'!F216</f>
        <v>0</v>
      </c>
      <c r="C590">
        <f>'OPEN FOREIGN ORDER'!Z216</f>
        <v>0</v>
      </c>
      <c r="D590" s="123">
        <f>'OPEN FOREIGN ORDER'!AA216</f>
        <v>0</v>
      </c>
      <c r="E590" s="112">
        <f>'OPEN FOREIGN ORDER'!AB216</f>
        <v>0</v>
      </c>
      <c r="F590" s="112">
        <f>'OPEN FOREIGN ORDER'!AC216</f>
        <v>0</v>
      </c>
      <c r="G590" s="112">
        <f>'OPEN FOREIGN ORDER'!AD216</f>
        <v>0</v>
      </c>
      <c r="H590" s="112">
        <f>'OPEN FOREIGN ORDER'!AE216</f>
        <v>0</v>
      </c>
      <c r="I590" s="112">
        <f>'OPEN FOREIGN ORDER'!AF216</f>
        <v>0</v>
      </c>
      <c r="J590" s="112">
        <f>'OPEN FOREIGN ORDER'!AG216</f>
        <v>0</v>
      </c>
    </row>
    <row r="591" spans="1:10">
      <c r="A591">
        <f>'OPEN FOREIGN ORDER'!D217</f>
        <v>0</v>
      </c>
      <c r="B591">
        <f>'OPEN FOREIGN ORDER'!F217</f>
        <v>0</v>
      </c>
      <c r="C591">
        <f>'OPEN FOREIGN ORDER'!Z217</f>
        <v>0</v>
      </c>
      <c r="D591" s="123">
        <f>'OPEN FOREIGN ORDER'!AA217</f>
        <v>0</v>
      </c>
      <c r="E591" s="112">
        <f>'OPEN FOREIGN ORDER'!AB217</f>
        <v>0</v>
      </c>
      <c r="F591" s="112">
        <f>'OPEN FOREIGN ORDER'!AC217</f>
        <v>0</v>
      </c>
      <c r="G591" s="112">
        <f>'OPEN FOREIGN ORDER'!AD217</f>
        <v>0</v>
      </c>
      <c r="H591" s="112">
        <f>'OPEN FOREIGN ORDER'!AE217</f>
        <v>0</v>
      </c>
      <c r="I591" s="112">
        <f>'OPEN FOREIGN ORDER'!AF217</f>
        <v>0</v>
      </c>
      <c r="J591" s="112">
        <f>'OPEN FOREIGN ORDER'!AG217</f>
        <v>0</v>
      </c>
    </row>
    <row r="592" spans="1:10">
      <c r="A592">
        <f>'OPEN FOREIGN ORDER'!D218</f>
        <v>0</v>
      </c>
      <c r="B592">
        <f>'OPEN FOREIGN ORDER'!F218</f>
        <v>0</v>
      </c>
      <c r="C592">
        <f>'OPEN FOREIGN ORDER'!Z218</f>
        <v>0</v>
      </c>
      <c r="D592" s="123">
        <f>'OPEN FOREIGN ORDER'!AA218</f>
        <v>0</v>
      </c>
      <c r="E592" s="112">
        <f>'OPEN FOREIGN ORDER'!AB218</f>
        <v>0</v>
      </c>
      <c r="F592" s="112">
        <f>'OPEN FOREIGN ORDER'!AC218</f>
        <v>0</v>
      </c>
      <c r="G592" s="112">
        <f>'OPEN FOREIGN ORDER'!AD218</f>
        <v>0</v>
      </c>
      <c r="H592" s="112">
        <f>'OPEN FOREIGN ORDER'!AE218</f>
        <v>0</v>
      </c>
      <c r="I592" s="112">
        <f>'OPEN FOREIGN ORDER'!AF218</f>
        <v>0</v>
      </c>
      <c r="J592" s="112">
        <f>'OPEN FOREIGN ORDER'!AG218</f>
        <v>0</v>
      </c>
    </row>
    <row r="593" spans="1:10">
      <c r="A593">
        <f>'OPEN FOREIGN ORDER'!D219</f>
        <v>0</v>
      </c>
      <c r="B593">
        <f>'OPEN FOREIGN ORDER'!F219</f>
        <v>0</v>
      </c>
      <c r="C593">
        <f>'OPEN FOREIGN ORDER'!Z219</f>
        <v>0</v>
      </c>
      <c r="D593" s="123">
        <f>'OPEN FOREIGN ORDER'!AA219</f>
        <v>0</v>
      </c>
      <c r="E593" s="112">
        <f>'OPEN FOREIGN ORDER'!AB219</f>
        <v>0</v>
      </c>
      <c r="F593" s="112">
        <f>'OPEN FOREIGN ORDER'!AC219</f>
        <v>0</v>
      </c>
      <c r="G593" s="112">
        <f>'OPEN FOREIGN ORDER'!AD219</f>
        <v>0</v>
      </c>
      <c r="H593" s="112">
        <f>'OPEN FOREIGN ORDER'!AE219</f>
        <v>0</v>
      </c>
      <c r="I593" s="112">
        <f>'OPEN FOREIGN ORDER'!AF219</f>
        <v>0</v>
      </c>
      <c r="J593" s="112">
        <f>'OPEN FOREIGN ORDER'!AG219</f>
        <v>0</v>
      </c>
    </row>
    <row r="594" spans="1:10">
      <c r="A594">
        <f>'OPEN FOREIGN ORDER'!D220</f>
        <v>0</v>
      </c>
      <c r="B594">
        <f>'OPEN FOREIGN ORDER'!F220</f>
        <v>0</v>
      </c>
      <c r="C594">
        <f>'OPEN FOREIGN ORDER'!Z220</f>
        <v>0</v>
      </c>
      <c r="D594" s="123">
        <f>'OPEN FOREIGN ORDER'!AA220</f>
        <v>0</v>
      </c>
      <c r="E594" s="112">
        <f>'OPEN FOREIGN ORDER'!AB220</f>
        <v>0</v>
      </c>
      <c r="F594" s="112">
        <f>'OPEN FOREIGN ORDER'!AC220</f>
        <v>0</v>
      </c>
      <c r="G594" s="112">
        <f>'OPEN FOREIGN ORDER'!AD220</f>
        <v>0</v>
      </c>
      <c r="H594" s="112">
        <f>'OPEN FOREIGN ORDER'!AE220</f>
        <v>0</v>
      </c>
      <c r="I594" s="112">
        <f>'OPEN FOREIGN ORDER'!AF220</f>
        <v>0</v>
      </c>
      <c r="J594" s="112">
        <f>'OPEN FOREIGN ORDER'!AG220</f>
        <v>0</v>
      </c>
    </row>
    <row r="595" spans="1:10">
      <c r="A595">
        <f>'OPEN FOREIGN ORDER'!D221</f>
        <v>0</v>
      </c>
      <c r="B595">
        <f>'OPEN FOREIGN ORDER'!F221</f>
        <v>0</v>
      </c>
      <c r="C595">
        <f>'OPEN FOREIGN ORDER'!Z221</f>
        <v>0</v>
      </c>
      <c r="D595" s="123">
        <f>'OPEN FOREIGN ORDER'!AA221</f>
        <v>0</v>
      </c>
      <c r="E595" s="112">
        <f>'OPEN FOREIGN ORDER'!AB221</f>
        <v>0</v>
      </c>
      <c r="F595" s="112">
        <f>'OPEN FOREIGN ORDER'!AC221</f>
        <v>0</v>
      </c>
      <c r="G595" s="112">
        <f>'OPEN FOREIGN ORDER'!AD221</f>
        <v>0</v>
      </c>
      <c r="H595" s="112">
        <f>'OPEN FOREIGN ORDER'!AE221</f>
        <v>0</v>
      </c>
      <c r="I595" s="112">
        <f>'OPEN FOREIGN ORDER'!AF221</f>
        <v>0</v>
      </c>
      <c r="J595" s="112">
        <f>'OPEN FOREIGN ORDER'!AG221</f>
        <v>0</v>
      </c>
    </row>
    <row r="596" spans="1:10">
      <c r="A596">
        <f>'OPEN FOREIGN ORDER'!D222</f>
        <v>0</v>
      </c>
      <c r="B596">
        <f>'OPEN FOREIGN ORDER'!F222</f>
        <v>0</v>
      </c>
      <c r="C596">
        <f>'OPEN FOREIGN ORDER'!Z222</f>
        <v>0</v>
      </c>
      <c r="D596" s="123">
        <f>'OPEN FOREIGN ORDER'!AA222</f>
        <v>0</v>
      </c>
      <c r="E596" s="112">
        <f>'OPEN FOREIGN ORDER'!AB222</f>
        <v>0</v>
      </c>
      <c r="F596" s="112">
        <f>'OPEN FOREIGN ORDER'!AC222</f>
        <v>0</v>
      </c>
      <c r="G596" s="112">
        <f>'OPEN FOREIGN ORDER'!AD222</f>
        <v>0</v>
      </c>
      <c r="H596" s="112">
        <f>'OPEN FOREIGN ORDER'!AE222</f>
        <v>0</v>
      </c>
      <c r="I596" s="112">
        <f>'OPEN FOREIGN ORDER'!AF222</f>
        <v>0</v>
      </c>
      <c r="J596" s="112">
        <f>'OPEN FOREIGN ORDER'!AG222</f>
        <v>0</v>
      </c>
    </row>
    <row r="597" spans="1:10">
      <c r="A597">
        <f>'OPEN FOREIGN ORDER'!D223</f>
        <v>0</v>
      </c>
      <c r="B597">
        <f>'OPEN FOREIGN ORDER'!F223</f>
        <v>0</v>
      </c>
      <c r="C597">
        <f>'OPEN FOREIGN ORDER'!Z223</f>
        <v>0</v>
      </c>
      <c r="D597" s="123">
        <f>'OPEN FOREIGN ORDER'!AA223</f>
        <v>0</v>
      </c>
      <c r="E597" s="112">
        <f>'OPEN FOREIGN ORDER'!AB223</f>
        <v>0</v>
      </c>
      <c r="F597" s="112">
        <f>'OPEN FOREIGN ORDER'!AC223</f>
        <v>0</v>
      </c>
      <c r="G597" s="112">
        <f>'OPEN FOREIGN ORDER'!AD223</f>
        <v>0</v>
      </c>
      <c r="H597" s="112">
        <f>'OPEN FOREIGN ORDER'!AE223</f>
        <v>0</v>
      </c>
      <c r="I597" s="112">
        <f>'OPEN FOREIGN ORDER'!AF223</f>
        <v>0</v>
      </c>
      <c r="J597" s="112">
        <f>'OPEN FOREIGN ORDER'!AG223</f>
        <v>0</v>
      </c>
    </row>
    <row r="598" spans="1:10">
      <c r="A598">
        <f>'OPEN FOREIGN ORDER'!D224</f>
        <v>0</v>
      </c>
      <c r="B598">
        <f>'OPEN FOREIGN ORDER'!F224</f>
        <v>0</v>
      </c>
      <c r="C598">
        <f>'OPEN FOREIGN ORDER'!Z224</f>
        <v>0</v>
      </c>
      <c r="D598" s="123">
        <f>'OPEN FOREIGN ORDER'!AA224</f>
        <v>0</v>
      </c>
      <c r="E598" s="112">
        <f>'OPEN FOREIGN ORDER'!AB224</f>
        <v>0</v>
      </c>
      <c r="F598" s="112">
        <f>'OPEN FOREIGN ORDER'!AC224</f>
        <v>0</v>
      </c>
      <c r="G598" s="112">
        <f>'OPEN FOREIGN ORDER'!AD224</f>
        <v>0</v>
      </c>
      <c r="H598" s="112">
        <f>'OPEN FOREIGN ORDER'!AE224</f>
        <v>0</v>
      </c>
      <c r="I598" s="112">
        <f>'OPEN FOREIGN ORDER'!AF224</f>
        <v>0</v>
      </c>
      <c r="J598" s="112">
        <f>'OPEN FOREIGN ORDER'!AG224</f>
        <v>0</v>
      </c>
    </row>
    <row r="599" spans="1:10">
      <c r="A599">
        <f>'OPEN FOREIGN ORDER'!D225</f>
        <v>0</v>
      </c>
      <c r="B599">
        <f>'OPEN FOREIGN ORDER'!F225</f>
        <v>0</v>
      </c>
      <c r="C599">
        <f>'OPEN FOREIGN ORDER'!Z225</f>
        <v>0</v>
      </c>
      <c r="D599" s="123">
        <f>'OPEN FOREIGN ORDER'!AA225</f>
        <v>0</v>
      </c>
      <c r="E599" s="112">
        <f>'OPEN FOREIGN ORDER'!AB225</f>
        <v>0</v>
      </c>
      <c r="F599" s="112">
        <f>'OPEN FOREIGN ORDER'!AC225</f>
        <v>0</v>
      </c>
      <c r="G599" s="112">
        <f>'OPEN FOREIGN ORDER'!AD225</f>
        <v>0</v>
      </c>
      <c r="H599" s="112">
        <f>'OPEN FOREIGN ORDER'!AE225</f>
        <v>0</v>
      </c>
      <c r="I599" s="112">
        <f>'OPEN FOREIGN ORDER'!AF225</f>
        <v>0</v>
      </c>
      <c r="J599" s="112">
        <f>'OPEN FOREIGN ORDER'!AG225</f>
        <v>0</v>
      </c>
    </row>
    <row r="600" spans="1:10">
      <c r="A600">
        <f>'OPEN FOREIGN ORDER'!D226</f>
        <v>0</v>
      </c>
      <c r="B600">
        <f>'OPEN FOREIGN ORDER'!F226</f>
        <v>0</v>
      </c>
      <c r="C600">
        <f>'OPEN FOREIGN ORDER'!Z226</f>
        <v>0</v>
      </c>
      <c r="D600" s="123">
        <f>'OPEN FOREIGN ORDER'!AA226</f>
        <v>0</v>
      </c>
      <c r="E600" s="112">
        <f>'OPEN FOREIGN ORDER'!AB226</f>
        <v>0</v>
      </c>
      <c r="F600" s="112">
        <f>'OPEN FOREIGN ORDER'!AC226</f>
        <v>0</v>
      </c>
      <c r="G600" s="112">
        <f>'OPEN FOREIGN ORDER'!AD226</f>
        <v>0</v>
      </c>
      <c r="H600" s="112">
        <f>'OPEN FOREIGN ORDER'!AE226</f>
        <v>0</v>
      </c>
      <c r="I600" s="112">
        <f>'OPEN FOREIGN ORDER'!AF226</f>
        <v>0</v>
      </c>
      <c r="J600" s="112">
        <f>'OPEN FOREIGN ORDER'!AG226</f>
        <v>0</v>
      </c>
    </row>
    <row r="601" spans="1:10">
      <c r="A601">
        <f>'OPEN FOREIGN ORDER'!D227</f>
        <v>0</v>
      </c>
      <c r="B601">
        <f>'OPEN FOREIGN ORDER'!F227</f>
        <v>0</v>
      </c>
      <c r="C601">
        <f>'OPEN FOREIGN ORDER'!Z227</f>
        <v>0</v>
      </c>
      <c r="D601" s="123">
        <f>'OPEN FOREIGN ORDER'!AA227</f>
        <v>0</v>
      </c>
      <c r="E601" s="112">
        <f>'OPEN FOREIGN ORDER'!AB227</f>
        <v>0</v>
      </c>
      <c r="F601" s="112">
        <f>'OPEN FOREIGN ORDER'!AC227</f>
        <v>0</v>
      </c>
      <c r="G601" s="112">
        <f>'OPEN FOREIGN ORDER'!AD227</f>
        <v>0</v>
      </c>
      <c r="H601" s="112">
        <f>'OPEN FOREIGN ORDER'!AE227</f>
        <v>0</v>
      </c>
      <c r="I601" s="112">
        <f>'OPEN FOREIGN ORDER'!AF227</f>
        <v>0</v>
      </c>
      <c r="J601" s="112">
        <f>'OPEN FOREIGN ORDER'!AG227</f>
        <v>0</v>
      </c>
    </row>
    <row r="602" spans="1:10">
      <c r="A602">
        <f>'OPEN FOREIGN ORDER'!D228</f>
        <v>0</v>
      </c>
      <c r="B602">
        <f>'OPEN FOREIGN ORDER'!F228</f>
        <v>0</v>
      </c>
      <c r="C602">
        <f>'OPEN FOREIGN ORDER'!Z228</f>
        <v>0</v>
      </c>
      <c r="D602" s="123">
        <f>'OPEN FOREIGN ORDER'!AA228</f>
        <v>0</v>
      </c>
      <c r="E602" s="112">
        <f>'OPEN FOREIGN ORDER'!AB228</f>
        <v>0</v>
      </c>
      <c r="F602" s="112">
        <f>'OPEN FOREIGN ORDER'!AC228</f>
        <v>0</v>
      </c>
      <c r="G602" s="112">
        <f>'OPEN FOREIGN ORDER'!AD228</f>
        <v>0</v>
      </c>
      <c r="H602" s="112">
        <f>'OPEN FOREIGN ORDER'!AE228</f>
        <v>0</v>
      </c>
      <c r="I602" s="112">
        <f>'OPEN FOREIGN ORDER'!AF228</f>
        <v>0</v>
      </c>
      <c r="J602" s="112">
        <f>'OPEN FOREIGN ORDER'!AG228</f>
        <v>0</v>
      </c>
    </row>
    <row r="603" spans="1:10">
      <c r="A603">
        <f>'OPEN FOREIGN ORDER'!D229</f>
        <v>0</v>
      </c>
      <c r="B603">
        <f>'OPEN FOREIGN ORDER'!F229</f>
        <v>0</v>
      </c>
      <c r="C603">
        <f>'OPEN FOREIGN ORDER'!Z229</f>
        <v>0</v>
      </c>
      <c r="D603" s="123">
        <f>'OPEN FOREIGN ORDER'!AA229</f>
        <v>0</v>
      </c>
      <c r="E603" s="112">
        <f>'OPEN FOREIGN ORDER'!AB229</f>
        <v>0</v>
      </c>
      <c r="F603" s="112">
        <f>'OPEN FOREIGN ORDER'!AC229</f>
        <v>0</v>
      </c>
      <c r="G603" s="112">
        <f>'OPEN FOREIGN ORDER'!AD229</f>
        <v>0</v>
      </c>
      <c r="H603" s="112">
        <f>'OPEN FOREIGN ORDER'!AE229</f>
        <v>0</v>
      </c>
      <c r="I603" s="112">
        <f>'OPEN FOREIGN ORDER'!AF229</f>
        <v>0</v>
      </c>
      <c r="J603" s="112">
        <f>'OPEN FOREIGN ORDER'!AG229</f>
        <v>0</v>
      </c>
    </row>
    <row r="604" spans="1:10">
      <c r="A604">
        <f>'OPEN FOREIGN ORDER'!D230</f>
        <v>0</v>
      </c>
      <c r="B604">
        <f>'OPEN FOREIGN ORDER'!F230</f>
        <v>0</v>
      </c>
      <c r="C604">
        <f>'OPEN FOREIGN ORDER'!Z230</f>
        <v>0</v>
      </c>
      <c r="D604" s="123">
        <f>'OPEN FOREIGN ORDER'!AA230</f>
        <v>0</v>
      </c>
      <c r="E604" s="112">
        <f>'OPEN FOREIGN ORDER'!AB230</f>
        <v>0</v>
      </c>
      <c r="F604" s="112">
        <f>'OPEN FOREIGN ORDER'!AC230</f>
        <v>0</v>
      </c>
      <c r="G604" s="112">
        <f>'OPEN FOREIGN ORDER'!AD230</f>
        <v>0</v>
      </c>
      <c r="H604" s="112">
        <f>'OPEN FOREIGN ORDER'!AE230</f>
        <v>0</v>
      </c>
      <c r="I604" s="112">
        <f>'OPEN FOREIGN ORDER'!AF230</f>
        <v>0</v>
      </c>
      <c r="J604" s="112">
        <f>'OPEN FOREIGN ORDER'!AG230</f>
        <v>0</v>
      </c>
    </row>
    <row r="605" spans="1:10">
      <c r="A605">
        <f>'OPEN FOREIGN ORDER'!D231</f>
        <v>0</v>
      </c>
      <c r="B605">
        <f>'OPEN FOREIGN ORDER'!F231</f>
        <v>0</v>
      </c>
      <c r="C605">
        <f>'OPEN FOREIGN ORDER'!Z231</f>
        <v>0</v>
      </c>
      <c r="D605" s="123">
        <f>'OPEN FOREIGN ORDER'!AA231</f>
        <v>0</v>
      </c>
      <c r="E605" s="112">
        <f>'OPEN FOREIGN ORDER'!AB231</f>
        <v>0</v>
      </c>
      <c r="F605" s="112">
        <f>'OPEN FOREIGN ORDER'!AC231</f>
        <v>0</v>
      </c>
      <c r="G605" s="112">
        <f>'OPEN FOREIGN ORDER'!AD231</f>
        <v>0</v>
      </c>
      <c r="H605" s="112">
        <f>'OPEN FOREIGN ORDER'!AE231</f>
        <v>0</v>
      </c>
      <c r="I605" s="112">
        <f>'OPEN FOREIGN ORDER'!AF231</f>
        <v>0</v>
      </c>
      <c r="J605" s="112">
        <f>'OPEN FOREIGN ORDER'!AG231</f>
        <v>0</v>
      </c>
    </row>
    <row r="606" spans="1:10">
      <c r="A606">
        <f>'OPEN FOREIGN ORDER'!D232</f>
        <v>0</v>
      </c>
      <c r="B606">
        <f>'OPEN FOREIGN ORDER'!F232</f>
        <v>0</v>
      </c>
      <c r="C606">
        <f>'OPEN FOREIGN ORDER'!Z232</f>
        <v>0</v>
      </c>
      <c r="D606" s="123">
        <f>'OPEN FOREIGN ORDER'!AA232</f>
        <v>0</v>
      </c>
      <c r="E606" s="112">
        <f>'OPEN FOREIGN ORDER'!AB232</f>
        <v>0</v>
      </c>
      <c r="F606" s="112">
        <f>'OPEN FOREIGN ORDER'!AC232</f>
        <v>0</v>
      </c>
      <c r="G606" s="112">
        <f>'OPEN FOREIGN ORDER'!AD232</f>
        <v>0</v>
      </c>
      <c r="H606" s="112">
        <f>'OPEN FOREIGN ORDER'!AE232</f>
        <v>0</v>
      </c>
      <c r="I606" s="112">
        <f>'OPEN FOREIGN ORDER'!AF232</f>
        <v>0</v>
      </c>
      <c r="J606" s="112">
        <f>'OPEN FOREIGN ORDER'!AG232</f>
        <v>0</v>
      </c>
    </row>
    <row r="607" spans="1:10">
      <c r="A607">
        <f>'OPEN FOREIGN ORDER'!D233</f>
        <v>0</v>
      </c>
      <c r="B607">
        <f>'OPEN FOREIGN ORDER'!F233</f>
        <v>0</v>
      </c>
      <c r="C607">
        <f>'OPEN FOREIGN ORDER'!Z233</f>
        <v>0</v>
      </c>
      <c r="D607" s="123">
        <f>'OPEN FOREIGN ORDER'!AA233</f>
        <v>0</v>
      </c>
      <c r="E607" s="112">
        <f>'OPEN FOREIGN ORDER'!AB233</f>
        <v>0</v>
      </c>
      <c r="F607" s="112">
        <f>'OPEN FOREIGN ORDER'!AC233</f>
        <v>0</v>
      </c>
      <c r="G607" s="112">
        <f>'OPEN FOREIGN ORDER'!AD233</f>
        <v>0</v>
      </c>
      <c r="H607" s="112">
        <f>'OPEN FOREIGN ORDER'!AE233</f>
        <v>0</v>
      </c>
      <c r="I607" s="112">
        <f>'OPEN FOREIGN ORDER'!AF233</f>
        <v>0</v>
      </c>
      <c r="J607" s="112">
        <f>'OPEN FOREIGN ORDER'!AG233</f>
        <v>0</v>
      </c>
    </row>
    <row r="608" spans="1:10">
      <c r="A608">
        <f>'OPEN FOREIGN ORDER'!D234</f>
        <v>0</v>
      </c>
      <c r="B608">
        <f>'OPEN FOREIGN ORDER'!F234</f>
        <v>0</v>
      </c>
      <c r="C608">
        <f>'OPEN FOREIGN ORDER'!Z234</f>
        <v>0</v>
      </c>
      <c r="D608" s="123">
        <f>'OPEN FOREIGN ORDER'!AA234</f>
        <v>0</v>
      </c>
      <c r="E608" s="112">
        <f>'OPEN FOREIGN ORDER'!AB234</f>
        <v>0</v>
      </c>
      <c r="F608" s="112">
        <f>'OPEN FOREIGN ORDER'!AC234</f>
        <v>0</v>
      </c>
      <c r="G608" s="112">
        <f>'OPEN FOREIGN ORDER'!AD234</f>
        <v>0</v>
      </c>
      <c r="H608" s="112">
        <f>'OPEN FOREIGN ORDER'!AE234</f>
        <v>0</v>
      </c>
      <c r="I608" s="112">
        <f>'OPEN FOREIGN ORDER'!AF234</f>
        <v>0</v>
      </c>
      <c r="J608" s="112">
        <f>'OPEN FOREIGN ORDER'!AG234</f>
        <v>0</v>
      </c>
    </row>
    <row r="609" spans="1:10">
      <c r="A609">
        <f>'OPEN FOREIGN ORDER'!D235</f>
        <v>0</v>
      </c>
      <c r="B609">
        <f>'OPEN FOREIGN ORDER'!F235</f>
        <v>0</v>
      </c>
      <c r="C609">
        <f>'OPEN FOREIGN ORDER'!Z235</f>
        <v>0</v>
      </c>
      <c r="D609" s="123">
        <f>'OPEN FOREIGN ORDER'!AA235</f>
        <v>0</v>
      </c>
      <c r="E609" s="112">
        <f>'OPEN FOREIGN ORDER'!AB235</f>
        <v>0</v>
      </c>
      <c r="F609" s="112">
        <f>'OPEN FOREIGN ORDER'!AC235</f>
        <v>0</v>
      </c>
      <c r="G609" s="112">
        <f>'OPEN FOREIGN ORDER'!AD235</f>
        <v>0</v>
      </c>
      <c r="H609" s="112">
        <f>'OPEN FOREIGN ORDER'!AE235</f>
        <v>0</v>
      </c>
      <c r="I609" s="112">
        <f>'OPEN FOREIGN ORDER'!AF235</f>
        <v>0</v>
      </c>
      <c r="J609" s="112">
        <f>'OPEN FOREIGN ORDER'!AG235</f>
        <v>0</v>
      </c>
    </row>
    <row r="610" spans="1:10">
      <c r="A610">
        <f>'OPEN FOREIGN ORDER'!D236</f>
        <v>0</v>
      </c>
      <c r="B610">
        <f>'OPEN FOREIGN ORDER'!F236</f>
        <v>0</v>
      </c>
      <c r="C610">
        <f>'OPEN FOREIGN ORDER'!Z236</f>
        <v>0</v>
      </c>
      <c r="D610" s="123">
        <f>'OPEN FOREIGN ORDER'!AA236</f>
        <v>0</v>
      </c>
      <c r="E610" s="112">
        <f>'OPEN FOREIGN ORDER'!AB236</f>
        <v>0</v>
      </c>
      <c r="F610" s="112">
        <f>'OPEN FOREIGN ORDER'!AC236</f>
        <v>0</v>
      </c>
      <c r="G610" s="112">
        <f>'OPEN FOREIGN ORDER'!AD236</f>
        <v>0</v>
      </c>
      <c r="H610" s="112">
        <f>'OPEN FOREIGN ORDER'!AE236</f>
        <v>0</v>
      </c>
      <c r="I610" s="112">
        <f>'OPEN FOREIGN ORDER'!AF236</f>
        <v>0</v>
      </c>
      <c r="J610" s="112">
        <f>'OPEN FOREIGN ORDER'!AG236</f>
        <v>0</v>
      </c>
    </row>
    <row r="611" spans="1:10">
      <c r="A611">
        <f>'OPEN FOREIGN ORDER'!D237</f>
        <v>0</v>
      </c>
      <c r="B611">
        <f>'OPEN FOREIGN ORDER'!F237</f>
        <v>0</v>
      </c>
      <c r="C611">
        <f>'OPEN FOREIGN ORDER'!Z237</f>
        <v>0</v>
      </c>
      <c r="D611" s="123">
        <f>'OPEN FOREIGN ORDER'!AA237</f>
        <v>0</v>
      </c>
      <c r="E611" s="112">
        <f>'OPEN FOREIGN ORDER'!AB237</f>
        <v>0</v>
      </c>
      <c r="F611" s="112">
        <f>'OPEN FOREIGN ORDER'!AC237</f>
        <v>0</v>
      </c>
      <c r="G611" s="112">
        <f>'OPEN FOREIGN ORDER'!AD237</f>
        <v>0</v>
      </c>
      <c r="H611" s="112">
        <f>'OPEN FOREIGN ORDER'!AE237</f>
        <v>0</v>
      </c>
      <c r="I611" s="112">
        <f>'OPEN FOREIGN ORDER'!AF237</f>
        <v>0</v>
      </c>
      <c r="J611" s="112">
        <f>'OPEN FOREIGN ORDER'!AG237</f>
        <v>0</v>
      </c>
    </row>
    <row r="612" spans="1:10">
      <c r="A612">
        <f>'OPEN FOREIGN ORDER'!D238</f>
        <v>0</v>
      </c>
      <c r="B612">
        <f>'OPEN FOREIGN ORDER'!F238</f>
        <v>0</v>
      </c>
      <c r="C612">
        <f>'OPEN FOREIGN ORDER'!Z238</f>
        <v>0</v>
      </c>
      <c r="D612" s="123">
        <f>'OPEN FOREIGN ORDER'!AA238</f>
        <v>0</v>
      </c>
      <c r="E612" s="112">
        <f>'OPEN FOREIGN ORDER'!AB238</f>
        <v>0</v>
      </c>
      <c r="F612" s="112">
        <f>'OPEN FOREIGN ORDER'!AC238</f>
        <v>0</v>
      </c>
      <c r="G612" s="112">
        <f>'OPEN FOREIGN ORDER'!AD238</f>
        <v>0</v>
      </c>
      <c r="H612" s="112">
        <f>'OPEN FOREIGN ORDER'!AE238</f>
        <v>0</v>
      </c>
      <c r="I612" s="112">
        <f>'OPEN FOREIGN ORDER'!AF238</f>
        <v>0</v>
      </c>
      <c r="J612" s="112">
        <f>'OPEN FOREIGN ORDER'!AG238</f>
        <v>0</v>
      </c>
    </row>
    <row r="613" spans="1:10">
      <c r="A613">
        <f>'OPEN FOREIGN ORDER'!D239</f>
        <v>0</v>
      </c>
      <c r="B613">
        <f>'OPEN FOREIGN ORDER'!F239</f>
        <v>0</v>
      </c>
      <c r="C613">
        <f>'OPEN FOREIGN ORDER'!Z239</f>
        <v>0</v>
      </c>
      <c r="D613" s="123">
        <f>'OPEN FOREIGN ORDER'!AA239</f>
        <v>0</v>
      </c>
      <c r="E613" s="112">
        <f>'OPEN FOREIGN ORDER'!AB239</f>
        <v>0</v>
      </c>
      <c r="F613" s="112">
        <f>'OPEN FOREIGN ORDER'!AC239</f>
        <v>0</v>
      </c>
      <c r="G613" s="112">
        <f>'OPEN FOREIGN ORDER'!AD239</f>
        <v>0</v>
      </c>
      <c r="H613" s="112">
        <f>'OPEN FOREIGN ORDER'!AE239</f>
        <v>0</v>
      </c>
      <c r="I613" s="112">
        <f>'OPEN FOREIGN ORDER'!AF239</f>
        <v>0</v>
      </c>
      <c r="J613" s="112">
        <f>'OPEN FOREIGN ORDER'!AG239</f>
        <v>0</v>
      </c>
    </row>
    <row r="614" spans="1:10">
      <c r="A614">
        <f>'OPEN FOREIGN ORDER'!D240</f>
        <v>0</v>
      </c>
      <c r="B614">
        <f>'OPEN FOREIGN ORDER'!F240</f>
        <v>0</v>
      </c>
      <c r="C614">
        <f>'OPEN FOREIGN ORDER'!Z240</f>
        <v>0</v>
      </c>
      <c r="D614" s="123">
        <f>'OPEN FOREIGN ORDER'!AA240</f>
        <v>0</v>
      </c>
      <c r="E614" s="112">
        <f>'OPEN FOREIGN ORDER'!AB240</f>
        <v>0</v>
      </c>
      <c r="F614" s="112">
        <f>'OPEN FOREIGN ORDER'!AC240</f>
        <v>0</v>
      </c>
      <c r="G614" s="112">
        <f>'OPEN FOREIGN ORDER'!AD240</f>
        <v>0</v>
      </c>
      <c r="H614" s="112">
        <f>'OPEN FOREIGN ORDER'!AE240</f>
        <v>0</v>
      </c>
      <c r="I614" s="112">
        <f>'OPEN FOREIGN ORDER'!AF240</f>
        <v>0</v>
      </c>
      <c r="J614" s="112">
        <f>'OPEN FOREIGN ORDER'!AG240</f>
        <v>0</v>
      </c>
    </row>
    <row r="615" spans="1:10">
      <c r="A615">
        <f>'OPEN FOREIGN ORDER'!D241</f>
        <v>0</v>
      </c>
      <c r="B615">
        <f>'OPEN FOREIGN ORDER'!F241</f>
        <v>0</v>
      </c>
      <c r="C615">
        <f>'OPEN FOREIGN ORDER'!Z241</f>
        <v>0</v>
      </c>
      <c r="D615" s="123">
        <f>'OPEN FOREIGN ORDER'!AA241</f>
        <v>0</v>
      </c>
      <c r="E615" s="112">
        <f>'OPEN FOREIGN ORDER'!AB241</f>
        <v>0</v>
      </c>
      <c r="F615" s="112">
        <f>'OPEN FOREIGN ORDER'!AC241</f>
        <v>0</v>
      </c>
      <c r="G615" s="112">
        <f>'OPEN FOREIGN ORDER'!AD241</f>
        <v>0</v>
      </c>
      <c r="H615" s="112">
        <f>'OPEN FOREIGN ORDER'!AE241</f>
        <v>0</v>
      </c>
      <c r="I615" s="112">
        <f>'OPEN FOREIGN ORDER'!AF241</f>
        <v>0</v>
      </c>
      <c r="J615" s="112">
        <f>'OPEN FOREIGN ORDER'!AG241</f>
        <v>0</v>
      </c>
    </row>
    <row r="616" spans="1:10">
      <c r="A616">
        <f>'OPEN FOREIGN ORDER'!D242</f>
        <v>0</v>
      </c>
      <c r="B616">
        <f>'OPEN FOREIGN ORDER'!F242</f>
        <v>0</v>
      </c>
      <c r="C616">
        <f>'OPEN FOREIGN ORDER'!Z242</f>
        <v>0</v>
      </c>
      <c r="D616" s="123">
        <f>'OPEN FOREIGN ORDER'!AA242</f>
        <v>0</v>
      </c>
      <c r="E616" s="112">
        <f>'OPEN FOREIGN ORDER'!AB242</f>
        <v>0</v>
      </c>
      <c r="F616" s="112">
        <f>'OPEN FOREIGN ORDER'!AC242</f>
        <v>0</v>
      </c>
      <c r="G616" s="112">
        <f>'OPEN FOREIGN ORDER'!AD242</f>
        <v>0</v>
      </c>
      <c r="H616" s="112">
        <f>'OPEN FOREIGN ORDER'!AE242</f>
        <v>0</v>
      </c>
      <c r="I616" s="112">
        <f>'OPEN FOREIGN ORDER'!AF242</f>
        <v>0</v>
      </c>
      <c r="J616" s="112">
        <f>'OPEN FOREIGN ORDER'!AG242</f>
        <v>0</v>
      </c>
    </row>
    <row r="617" spans="1:10">
      <c r="A617">
        <f>'OPEN FOREIGN ORDER'!D243</f>
        <v>0</v>
      </c>
      <c r="B617">
        <f>'OPEN FOREIGN ORDER'!F243</f>
        <v>0</v>
      </c>
      <c r="C617">
        <f>'OPEN FOREIGN ORDER'!Z243</f>
        <v>0</v>
      </c>
      <c r="D617" s="123">
        <f>'OPEN FOREIGN ORDER'!AA243</f>
        <v>0</v>
      </c>
      <c r="E617" s="112">
        <f>'OPEN FOREIGN ORDER'!AB243</f>
        <v>0</v>
      </c>
      <c r="F617" s="112">
        <f>'OPEN FOREIGN ORDER'!AC243</f>
        <v>0</v>
      </c>
      <c r="G617" s="112">
        <f>'OPEN FOREIGN ORDER'!AD243</f>
        <v>0</v>
      </c>
      <c r="H617" s="112">
        <f>'OPEN FOREIGN ORDER'!AE243</f>
        <v>0</v>
      </c>
      <c r="I617" s="112">
        <f>'OPEN FOREIGN ORDER'!AF243</f>
        <v>0</v>
      </c>
      <c r="J617" s="112">
        <f>'OPEN FOREIGN ORDER'!AG243</f>
        <v>0</v>
      </c>
    </row>
    <row r="618" spans="1:10">
      <c r="A618">
        <f>'OPEN FOREIGN ORDER'!D244</f>
        <v>0</v>
      </c>
      <c r="B618">
        <f>'OPEN FOREIGN ORDER'!F244</f>
        <v>0</v>
      </c>
      <c r="C618">
        <f>'OPEN FOREIGN ORDER'!Z244</f>
        <v>0</v>
      </c>
      <c r="D618" s="123">
        <f>'OPEN FOREIGN ORDER'!AA244</f>
        <v>0</v>
      </c>
      <c r="E618" s="112">
        <f>'OPEN FOREIGN ORDER'!AB244</f>
        <v>0</v>
      </c>
      <c r="F618" s="112">
        <f>'OPEN FOREIGN ORDER'!AC244</f>
        <v>0</v>
      </c>
      <c r="G618" s="112">
        <f>'OPEN FOREIGN ORDER'!AD244</f>
        <v>0</v>
      </c>
      <c r="H618" s="112">
        <f>'OPEN FOREIGN ORDER'!AE244</f>
        <v>0</v>
      </c>
      <c r="I618" s="112">
        <f>'OPEN FOREIGN ORDER'!AF244</f>
        <v>0</v>
      </c>
      <c r="J618" s="112">
        <f>'OPEN FOREIGN ORDER'!AG244</f>
        <v>0</v>
      </c>
    </row>
    <row r="619" spans="1:10">
      <c r="A619">
        <f>'OPEN FOREIGN ORDER'!D245</f>
        <v>0</v>
      </c>
      <c r="B619">
        <f>'OPEN FOREIGN ORDER'!F245</f>
        <v>0</v>
      </c>
      <c r="C619">
        <f>'OPEN FOREIGN ORDER'!Z245</f>
        <v>0</v>
      </c>
      <c r="D619" s="123">
        <f>'OPEN FOREIGN ORDER'!AA245</f>
        <v>0</v>
      </c>
      <c r="E619" s="112">
        <f>'OPEN FOREIGN ORDER'!AB245</f>
        <v>0</v>
      </c>
      <c r="F619" s="112">
        <f>'OPEN FOREIGN ORDER'!AC245</f>
        <v>0</v>
      </c>
      <c r="G619" s="112">
        <f>'OPEN FOREIGN ORDER'!AD245</f>
        <v>0</v>
      </c>
      <c r="H619" s="112">
        <f>'OPEN FOREIGN ORDER'!AE245</f>
        <v>0</v>
      </c>
      <c r="I619" s="112">
        <f>'OPEN FOREIGN ORDER'!AF245</f>
        <v>0</v>
      </c>
      <c r="J619" s="112">
        <f>'OPEN FOREIGN ORDER'!AG245</f>
        <v>0</v>
      </c>
    </row>
    <row r="620" spans="1:10">
      <c r="A620">
        <f>'OPEN FOREIGN ORDER'!D246</f>
        <v>0</v>
      </c>
      <c r="B620">
        <f>'OPEN FOREIGN ORDER'!F246</f>
        <v>0</v>
      </c>
      <c r="C620">
        <f>'OPEN FOREIGN ORDER'!Z246</f>
        <v>0</v>
      </c>
      <c r="D620" s="123">
        <f>'OPEN FOREIGN ORDER'!AA246</f>
        <v>0</v>
      </c>
      <c r="E620" s="112">
        <f>'OPEN FOREIGN ORDER'!AB246</f>
        <v>0</v>
      </c>
      <c r="F620" s="112">
        <f>'OPEN FOREIGN ORDER'!AC246</f>
        <v>0</v>
      </c>
      <c r="G620" s="112">
        <f>'OPEN FOREIGN ORDER'!AD246</f>
        <v>0</v>
      </c>
      <c r="H620" s="112">
        <f>'OPEN FOREIGN ORDER'!AE246</f>
        <v>0</v>
      </c>
      <c r="I620" s="112">
        <f>'OPEN FOREIGN ORDER'!AF246</f>
        <v>0</v>
      </c>
      <c r="J620" s="112">
        <f>'OPEN FOREIGN ORDER'!AG246</f>
        <v>0</v>
      </c>
    </row>
    <row r="621" spans="1:10">
      <c r="A621">
        <f>'OPEN FOREIGN ORDER'!D247</f>
        <v>0</v>
      </c>
      <c r="B621">
        <f>'OPEN FOREIGN ORDER'!F247</f>
        <v>0</v>
      </c>
      <c r="C621">
        <f>'OPEN FOREIGN ORDER'!Z247</f>
        <v>0</v>
      </c>
      <c r="D621" s="123">
        <f>'OPEN FOREIGN ORDER'!AA247</f>
        <v>0</v>
      </c>
      <c r="E621" s="112">
        <f>'OPEN FOREIGN ORDER'!AB247</f>
        <v>0</v>
      </c>
      <c r="F621" s="112">
        <f>'OPEN FOREIGN ORDER'!AC247</f>
        <v>0</v>
      </c>
      <c r="G621" s="112">
        <f>'OPEN FOREIGN ORDER'!AD247</f>
        <v>0</v>
      </c>
      <c r="H621" s="112">
        <f>'OPEN FOREIGN ORDER'!AE247</f>
        <v>0</v>
      </c>
      <c r="I621" s="112">
        <f>'OPEN FOREIGN ORDER'!AF247</f>
        <v>0</v>
      </c>
      <c r="J621" s="112">
        <f>'OPEN FOREIGN ORDER'!AG247</f>
        <v>0</v>
      </c>
    </row>
    <row r="622" spans="1:10">
      <c r="A622">
        <f>'OPEN FOREIGN ORDER'!D248</f>
        <v>0</v>
      </c>
      <c r="B622">
        <f>'OPEN FOREIGN ORDER'!F248</f>
        <v>0</v>
      </c>
      <c r="C622">
        <f>'OPEN FOREIGN ORDER'!Z248</f>
        <v>0</v>
      </c>
      <c r="D622" s="123">
        <f>'OPEN FOREIGN ORDER'!AA248</f>
        <v>0</v>
      </c>
      <c r="E622" s="112">
        <f>'OPEN FOREIGN ORDER'!AB248</f>
        <v>0</v>
      </c>
      <c r="F622" s="112">
        <f>'OPEN FOREIGN ORDER'!AC248</f>
        <v>0</v>
      </c>
      <c r="G622" s="112">
        <f>'OPEN FOREIGN ORDER'!AD248</f>
        <v>0</v>
      </c>
      <c r="H622" s="112">
        <f>'OPEN FOREIGN ORDER'!AE248</f>
        <v>0</v>
      </c>
      <c r="I622" s="112">
        <f>'OPEN FOREIGN ORDER'!AF248</f>
        <v>0</v>
      </c>
      <c r="J622" s="112">
        <f>'OPEN FOREIGN ORDER'!AG248</f>
        <v>0</v>
      </c>
    </row>
    <row r="623" spans="1:10">
      <c r="A623">
        <f>'OPEN FOREIGN ORDER'!D249</f>
        <v>0</v>
      </c>
      <c r="B623">
        <f>'OPEN FOREIGN ORDER'!F249</f>
        <v>0</v>
      </c>
      <c r="C623">
        <f>'OPEN FOREIGN ORDER'!Z249</f>
        <v>0</v>
      </c>
      <c r="D623" s="123">
        <f>'OPEN FOREIGN ORDER'!AA249</f>
        <v>0</v>
      </c>
      <c r="E623" s="112">
        <f>'OPEN FOREIGN ORDER'!AB249</f>
        <v>0</v>
      </c>
      <c r="F623" s="112">
        <f>'OPEN FOREIGN ORDER'!AC249</f>
        <v>0</v>
      </c>
      <c r="G623" s="112">
        <f>'OPEN FOREIGN ORDER'!AD249</f>
        <v>0</v>
      </c>
      <c r="H623" s="112">
        <f>'OPEN FOREIGN ORDER'!AE249</f>
        <v>0</v>
      </c>
      <c r="I623" s="112">
        <f>'OPEN FOREIGN ORDER'!AF249</f>
        <v>0</v>
      </c>
      <c r="J623" s="112">
        <f>'OPEN FOREIGN ORDER'!AG249</f>
        <v>0</v>
      </c>
    </row>
    <row r="624" spans="1:10">
      <c r="A624">
        <f>'OPEN FOREIGN ORDER'!D250</f>
        <v>0</v>
      </c>
      <c r="B624">
        <f>'OPEN FOREIGN ORDER'!F250</f>
        <v>0</v>
      </c>
      <c r="C624">
        <f>'OPEN FOREIGN ORDER'!Z250</f>
        <v>0</v>
      </c>
      <c r="D624" s="123">
        <f>'OPEN FOREIGN ORDER'!AA250</f>
        <v>0</v>
      </c>
      <c r="E624" s="112">
        <f>'OPEN FOREIGN ORDER'!AB250</f>
        <v>0</v>
      </c>
      <c r="F624" s="112">
        <f>'OPEN FOREIGN ORDER'!AC250</f>
        <v>0</v>
      </c>
      <c r="G624" s="112">
        <f>'OPEN FOREIGN ORDER'!AD250</f>
        <v>0</v>
      </c>
      <c r="H624" s="112">
        <f>'OPEN FOREIGN ORDER'!AE250</f>
        <v>0</v>
      </c>
      <c r="I624" s="112">
        <f>'OPEN FOREIGN ORDER'!AF250</f>
        <v>0</v>
      </c>
      <c r="J624" s="112">
        <f>'OPEN FOREIGN ORDER'!AG250</f>
        <v>0</v>
      </c>
    </row>
    <row r="625" spans="1:10">
      <c r="A625">
        <f>'OPEN FOREIGN ORDER'!D251</f>
        <v>0</v>
      </c>
      <c r="B625">
        <f>'OPEN FOREIGN ORDER'!F251</f>
        <v>0</v>
      </c>
      <c r="C625">
        <f>'OPEN FOREIGN ORDER'!Z251</f>
        <v>0</v>
      </c>
      <c r="D625" s="123">
        <f>'OPEN FOREIGN ORDER'!AA251</f>
        <v>0</v>
      </c>
      <c r="E625" s="112">
        <f>'OPEN FOREIGN ORDER'!AB251</f>
        <v>0</v>
      </c>
      <c r="F625" s="112">
        <f>'OPEN FOREIGN ORDER'!AC251</f>
        <v>0</v>
      </c>
      <c r="G625" s="112">
        <f>'OPEN FOREIGN ORDER'!AD251</f>
        <v>0</v>
      </c>
      <c r="H625" s="112">
        <f>'OPEN FOREIGN ORDER'!AE251</f>
        <v>0</v>
      </c>
      <c r="I625" s="112">
        <f>'OPEN FOREIGN ORDER'!AF251</f>
        <v>0</v>
      </c>
      <c r="J625" s="112">
        <f>'OPEN FOREIGN ORDER'!AG251</f>
        <v>0</v>
      </c>
    </row>
    <row r="626" spans="1:10">
      <c r="A626">
        <f>'OPEN FOREIGN ORDER'!D252</f>
        <v>0</v>
      </c>
      <c r="B626">
        <f>'OPEN FOREIGN ORDER'!F252</f>
        <v>0</v>
      </c>
      <c r="C626">
        <f>'OPEN FOREIGN ORDER'!Z252</f>
        <v>0</v>
      </c>
      <c r="D626" s="123">
        <f>'OPEN FOREIGN ORDER'!AA252</f>
        <v>0</v>
      </c>
      <c r="E626" s="112">
        <f>'OPEN FOREIGN ORDER'!AB252</f>
        <v>0</v>
      </c>
      <c r="F626" s="112">
        <f>'OPEN FOREIGN ORDER'!AC252</f>
        <v>0</v>
      </c>
      <c r="G626" s="112">
        <f>'OPEN FOREIGN ORDER'!AD252</f>
        <v>0</v>
      </c>
      <c r="H626" s="112">
        <f>'OPEN FOREIGN ORDER'!AE252</f>
        <v>0</v>
      </c>
      <c r="I626" s="112">
        <f>'OPEN FOREIGN ORDER'!AF252</f>
        <v>0</v>
      </c>
      <c r="J626" s="112">
        <f>'OPEN FOREIGN ORDER'!AG252</f>
        <v>0</v>
      </c>
    </row>
    <row r="627" spans="1:10">
      <c r="A627">
        <f>'OPEN FOREIGN ORDER'!D253</f>
        <v>0</v>
      </c>
      <c r="B627">
        <f>'OPEN FOREIGN ORDER'!F253</f>
        <v>0</v>
      </c>
      <c r="C627">
        <f>'OPEN FOREIGN ORDER'!Z253</f>
        <v>0</v>
      </c>
      <c r="D627" s="123">
        <f>'OPEN FOREIGN ORDER'!AA253</f>
        <v>0</v>
      </c>
      <c r="E627" s="112">
        <f>'OPEN FOREIGN ORDER'!AB253</f>
        <v>0</v>
      </c>
      <c r="F627" s="112">
        <f>'OPEN FOREIGN ORDER'!AC253</f>
        <v>0</v>
      </c>
      <c r="G627" s="112">
        <f>'OPEN FOREIGN ORDER'!AD253</f>
        <v>0</v>
      </c>
      <c r="H627" s="112">
        <f>'OPEN FOREIGN ORDER'!AE253</f>
        <v>0</v>
      </c>
      <c r="I627" s="112">
        <f>'OPEN FOREIGN ORDER'!AF253</f>
        <v>0</v>
      </c>
      <c r="J627" s="112">
        <f>'OPEN FOREIGN ORDER'!AG253</f>
        <v>0</v>
      </c>
    </row>
    <row r="628" spans="1:10">
      <c r="A628">
        <f>'OPEN FOREIGN ORDER'!D254</f>
        <v>0</v>
      </c>
      <c r="B628">
        <f>'OPEN FOREIGN ORDER'!F254</f>
        <v>0</v>
      </c>
      <c r="C628">
        <f>'OPEN FOREIGN ORDER'!Z254</f>
        <v>0</v>
      </c>
      <c r="D628" s="123">
        <f>'OPEN FOREIGN ORDER'!AA254</f>
        <v>0</v>
      </c>
      <c r="E628" s="112">
        <f>'OPEN FOREIGN ORDER'!AB254</f>
        <v>0</v>
      </c>
      <c r="F628" s="112">
        <f>'OPEN FOREIGN ORDER'!AC254</f>
        <v>0</v>
      </c>
      <c r="G628" s="112">
        <f>'OPEN FOREIGN ORDER'!AD254</f>
        <v>0</v>
      </c>
      <c r="H628" s="112">
        <f>'OPEN FOREIGN ORDER'!AE254</f>
        <v>0</v>
      </c>
      <c r="I628" s="112">
        <f>'OPEN FOREIGN ORDER'!AF254</f>
        <v>0</v>
      </c>
      <c r="J628" s="112">
        <f>'OPEN FOREIGN ORDER'!AG254</f>
        <v>0</v>
      </c>
    </row>
    <row r="629" spans="1:10">
      <c r="A629">
        <f>'OPEN FOREIGN ORDER'!D255</f>
        <v>0</v>
      </c>
      <c r="B629">
        <f>'OPEN FOREIGN ORDER'!F255</f>
        <v>0</v>
      </c>
      <c r="C629">
        <f>'OPEN FOREIGN ORDER'!Z255</f>
        <v>0</v>
      </c>
      <c r="D629" s="123">
        <f>'OPEN FOREIGN ORDER'!AA255</f>
        <v>0</v>
      </c>
      <c r="E629" s="112">
        <f>'OPEN FOREIGN ORDER'!AB255</f>
        <v>0</v>
      </c>
      <c r="F629" s="112">
        <f>'OPEN FOREIGN ORDER'!AC255</f>
        <v>0</v>
      </c>
      <c r="G629" s="112">
        <f>'OPEN FOREIGN ORDER'!AD255</f>
        <v>0</v>
      </c>
      <c r="H629" s="112">
        <f>'OPEN FOREIGN ORDER'!AE255</f>
        <v>0</v>
      </c>
      <c r="I629" s="112">
        <f>'OPEN FOREIGN ORDER'!AF255</f>
        <v>0</v>
      </c>
      <c r="J629" s="112">
        <f>'OPEN FOREIGN ORDER'!AG255</f>
        <v>0</v>
      </c>
    </row>
    <row r="630" spans="1:10">
      <c r="A630">
        <f>'OPEN FOREIGN ORDER'!D256</f>
        <v>0</v>
      </c>
      <c r="B630">
        <f>'OPEN FOREIGN ORDER'!F256</f>
        <v>0</v>
      </c>
      <c r="C630">
        <f>'OPEN FOREIGN ORDER'!Z256</f>
        <v>0</v>
      </c>
      <c r="D630" s="123">
        <f>'OPEN FOREIGN ORDER'!AA256</f>
        <v>0</v>
      </c>
      <c r="E630" s="112">
        <f>'OPEN FOREIGN ORDER'!AB256</f>
        <v>0</v>
      </c>
      <c r="F630" s="112">
        <f>'OPEN FOREIGN ORDER'!AC256</f>
        <v>0</v>
      </c>
      <c r="G630" s="112">
        <f>'OPEN FOREIGN ORDER'!AD256</f>
        <v>0</v>
      </c>
      <c r="H630" s="112">
        <f>'OPEN FOREIGN ORDER'!AE256</f>
        <v>0</v>
      </c>
      <c r="I630" s="112">
        <f>'OPEN FOREIGN ORDER'!AF256</f>
        <v>0</v>
      </c>
      <c r="J630" s="112">
        <f>'OPEN FOREIGN ORDER'!AG256</f>
        <v>0</v>
      </c>
    </row>
    <row r="631" spans="1:10">
      <c r="A631">
        <f>'OPEN FOREIGN ORDER'!D257</f>
        <v>0</v>
      </c>
      <c r="B631">
        <f>'OPEN FOREIGN ORDER'!F257</f>
        <v>0</v>
      </c>
      <c r="C631">
        <f>'OPEN FOREIGN ORDER'!Z257</f>
        <v>0</v>
      </c>
      <c r="D631" s="123">
        <f>'OPEN FOREIGN ORDER'!AA257</f>
        <v>0</v>
      </c>
      <c r="E631" s="112">
        <f>'OPEN FOREIGN ORDER'!AB257</f>
        <v>0</v>
      </c>
      <c r="F631" s="112">
        <f>'OPEN FOREIGN ORDER'!AC257</f>
        <v>0</v>
      </c>
      <c r="G631" s="112">
        <f>'OPEN FOREIGN ORDER'!AD257</f>
        <v>0</v>
      </c>
      <c r="H631" s="112">
        <f>'OPEN FOREIGN ORDER'!AE257</f>
        <v>0</v>
      </c>
      <c r="I631" s="112">
        <f>'OPEN FOREIGN ORDER'!AF257</f>
        <v>0</v>
      </c>
      <c r="J631" s="112">
        <f>'OPEN FOREIGN ORDER'!AG257</f>
        <v>0</v>
      </c>
    </row>
    <row r="632" spans="1:10">
      <c r="A632">
        <f>'OPEN FOREIGN ORDER'!D258</f>
        <v>0</v>
      </c>
      <c r="B632">
        <f>'OPEN FOREIGN ORDER'!F258</f>
        <v>0</v>
      </c>
      <c r="C632">
        <f>'OPEN FOREIGN ORDER'!Z258</f>
        <v>0</v>
      </c>
      <c r="D632" s="123">
        <f>'OPEN FOREIGN ORDER'!AA258</f>
        <v>0</v>
      </c>
      <c r="E632" s="112">
        <f>'OPEN FOREIGN ORDER'!AB258</f>
        <v>0</v>
      </c>
      <c r="F632" s="112">
        <f>'OPEN FOREIGN ORDER'!AC258</f>
        <v>0</v>
      </c>
      <c r="G632" s="112">
        <f>'OPEN FOREIGN ORDER'!AD258</f>
        <v>0</v>
      </c>
      <c r="H632" s="112">
        <f>'OPEN FOREIGN ORDER'!AE258</f>
        <v>0</v>
      </c>
      <c r="I632" s="112">
        <f>'OPEN FOREIGN ORDER'!AF258</f>
        <v>0</v>
      </c>
      <c r="J632" s="112">
        <f>'OPEN FOREIGN ORDER'!AG258</f>
        <v>0</v>
      </c>
    </row>
    <row r="633" spans="1:10">
      <c r="A633">
        <f>'OPEN FOREIGN ORDER'!D259</f>
        <v>0</v>
      </c>
      <c r="B633">
        <f>'OPEN FOREIGN ORDER'!F259</f>
        <v>0</v>
      </c>
      <c r="C633">
        <f>'OPEN FOREIGN ORDER'!Z259</f>
        <v>0</v>
      </c>
      <c r="D633" s="123">
        <f>'OPEN FOREIGN ORDER'!AA259</f>
        <v>0</v>
      </c>
      <c r="E633" s="112">
        <f>'OPEN FOREIGN ORDER'!AB259</f>
        <v>0</v>
      </c>
      <c r="F633" s="112">
        <f>'OPEN FOREIGN ORDER'!AC259</f>
        <v>0</v>
      </c>
      <c r="G633" s="112">
        <f>'OPEN FOREIGN ORDER'!AD259</f>
        <v>0</v>
      </c>
      <c r="H633" s="112">
        <f>'OPEN FOREIGN ORDER'!AE259</f>
        <v>0</v>
      </c>
      <c r="I633" s="112">
        <f>'OPEN FOREIGN ORDER'!AF259</f>
        <v>0</v>
      </c>
      <c r="J633" s="112">
        <f>'OPEN FOREIGN ORDER'!AG259</f>
        <v>0</v>
      </c>
    </row>
    <row r="634" spans="1:10">
      <c r="A634">
        <f>'OPEN FOREIGN ORDER'!D260</f>
        <v>0</v>
      </c>
      <c r="B634">
        <f>'OPEN FOREIGN ORDER'!F260</f>
        <v>0</v>
      </c>
      <c r="C634">
        <f>'OPEN FOREIGN ORDER'!Z260</f>
        <v>0</v>
      </c>
      <c r="D634" s="123">
        <f>'OPEN FOREIGN ORDER'!AA260</f>
        <v>0</v>
      </c>
      <c r="E634" s="112">
        <f>'OPEN FOREIGN ORDER'!AB260</f>
        <v>0</v>
      </c>
      <c r="F634" s="112">
        <f>'OPEN FOREIGN ORDER'!AC260</f>
        <v>0</v>
      </c>
      <c r="G634" s="112">
        <f>'OPEN FOREIGN ORDER'!AD260</f>
        <v>0</v>
      </c>
      <c r="H634" s="112">
        <f>'OPEN FOREIGN ORDER'!AE260</f>
        <v>0</v>
      </c>
      <c r="I634" s="112">
        <f>'OPEN FOREIGN ORDER'!AF260</f>
        <v>0</v>
      </c>
      <c r="J634" s="112">
        <f>'OPEN FOREIGN ORDER'!AG260</f>
        <v>0</v>
      </c>
    </row>
    <row r="635" spans="1:10">
      <c r="A635">
        <f>'OPEN FOREIGN ORDER'!D261</f>
        <v>0</v>
      </c>
      <c r="B635">
        <f>'OPEN FOREIGN ORDER'!F261</f>
        <v>0</v>
      </c>
      <c r="C635">
        <f>'OPEN FOREIGN ORDER'!Z261</f>
        <v>0</v>
      </c>
      <c r="D635" s="123">
        <f>'OPEN FOREIGN ORDER'!AA261</f>
        <v>0</v>
      </c>
      <c r="E635" s="112">
        <f>'OPEN FOREIGN ORDER'!AB261</f>
        <v>0</v>
      </c>
      <c r="F635" s="112">
        <f>'OPEN FOREIGN ORDER'!AC261</f>
        <v>0</v>
      </c>
      <c r="G635" s="112">
        <f>'OPEN FOREIGN ORDER'!AD261</f>
        <v>0</v>
      </c>
      <c r="H635" s="112">
        <f>'OPEN FOREIGN ORDER'!AE261</f>
        <v>0</v>
      </c>
      <c r="I635" s="112">
        <f>'OPEN FOREIGN ORDER'!AF261</f>
        <v>0</v>
      </c>
      <c r="J635" s="112">
        <f>'OPEN FOREIGN ORDER'!AG261</f>
        <v>0</v>
      </c>
    </row>
    <row r="636" spans="1:10">
      <c r="A636">
        <f>'OPEN FOREIGN ORDER'!D262</f>
        <v>0</v>
      </c>
      <c r="B636">
        <f>'OPEN FOREIGN ORDER'!F262</f>
        <v>0</v>
      </c>
      <c r="C636">
        <f>'OPEN FOREIGN ORDER'!Z262</f>
        <v>0</v>
      </c>
      <c r="D636" s="123">
        <f>'OPEN FOREIGN ORDER'!AA262</f>
        <v>0</v>
      </c>
      <c r="E636" s="112">
        <f>'OPEN FOREIGN ORDER'!AB262</f>
        <v>0</v>
      </c>
      <c r="F636" s="112">
        <f>'OPEN FOREIGN ORDER'!AC262</f>
        <v>0</v>
      </c>
      <c r="G636" s="112">
        <f>'OPEN FOREIGN ORDER'!AD262</f>
        <v>0</v>
      </c>
      <c r="H636" s="112">
        <f>'OPEN FOREIGN ORDER'!AE262</f>
        <v>0</v>
      </c>
      <c r="I636" s="112">
        <f>'OPEN FOREIGN ORDER'!AF262</f>
        <v>0</v>
      </c>
      <c r="J636" s="112">
        <f>'OPEN FOREIGN ORDER'!AG262</f>
        <v>0</v>
      </c>
    </row>
    <row r="637" spans="1:10">
      <c r="A637">
        <f>'OPEN FOREIGN ORDER'!D263</f>
        <v>0</v>
      </c>
      <c r="B637">
        <f>'OPEN FOREIGN ORDER'!F263</f>
        <v>0</v>
      </c>
      <c r="C637">
        <f>'OPEN FOREIGN ORDER'!Z263</f>
        <v>0</v>
      </c>
      <c r="D637" s="123">
        <f>'OPEN FOREIGN ORDER'!AA263</f>
        <v>0</v>
      </c>
      <c r="E637" s="112">
        <f>'OPEN FOREIGN ORDER'!AB263</f>
        <v>0</v>
      </c>
      <c r="F637" s="112">
        <f>'OPEN FOREIGN ORDER'!AC263</f>
        <v>0</v>
      </c>
      <c r="G637" s="112">
        <f>'OPEN FOREIGN ORDER'!AD263</f>
        <v>0</v>
      </c>
      <c r="H637" s="112">
        <f>'OPEN FOREIGN ORDER'!AE263</f>
        <v>0</v>
      </c>
      <c r="I637" s="112">
        <f>'OPEN FOREIGN ORDER'!AF263</f>
        <v>0</v>
      </c>
      <c r="J637" s="112">
        <f>'OPEN FOREIGN ORDER'!AG263</f>
        <v>0</v>
      </c>
    </row>
    <row r="638" spans="1:10">
      <c r="A638">
        <f>'OPEN FOREIGN ORDER'!D264</f>
        <v>0</v>
      </c>
      <c r="B638">
        <f>'OPEN FOREIGN ORDER'!F264</f>
        <v>0</v>
      </c>
      <c r="C638">
        <f>'OPEN FOREIGN ORDER'!Z264</f>
        <v>0</v>
      </c>
      <c r="D638" s="123">
        <f>'OPEN FOREIGN ORDER'!AA264</f>
        <v>0</v>
      </c>
      <c r="E638" s="112">
        <f>'OPEN FOREIGN ORDER'!AB264</f>
        <v>0</v>
      </c>
      <c r="F638" s="112">
        <f>'OPEN FOREIGN ORDER'!AC264</f>
        <v>0</v>
      </c>
      <c r="G638" s="112">
        <f>'OPEN FOREIGN ORDER'!AD264</f>
        <v>0</v>
      </c>
      <c r="H638" s="112">
        <f>'OPEN FOREIGN ORDER'!AE264</f>
        <v>0</v>
      </c>
      <c r="I638" s="112">
        <f>'OPEN FOREIGN ORDER'!AF264</f>
        <v>0</v>
      </c>
      <c r="J638" s="112">
        <f>'OPEN FOREIGN ORDER'!AG264</f>
        <v>0</v>
      </c>
    </row>
    <row r="639" spans="1:10">
      <c r="A639">
        <f>'OPEN FOREIGN ORDER'!D265</f>
        <v>0</v>
      </c>
      <c r="B639">
        <f>'OPEN FOREIGN ORDER'!F265</f>
        <v>0</v>
      </c>
      <c r="C639">
        <f>'OPEN FOREIGN ORDER'!Z265</f>
        <v>0</v>
      </c>
      <c r="D639" s="123">
        <f>'OPEN FOREIGN ORDER'!AA265</f>
        <v>0</v>
      </c>
      <c r="E639" s="112">
        <f>'OPEN FOREIGN ORDER'!AB265</f>
        <v>0</v>
      </c>
      <c r="F639" s="112">
        <f>'OPEN FOREIGN ORDER'!AC265</f>
        <v>0</v>
      </c>
      <c r="G639" s="112">
        <f>'OPEN FOREIGN ORDER'!AD265</f>
        <v>0</v>
      </c>
      <c r="H639" s="112">
        <f>'OPEN FOREIGN ORDER'!AE265</f>
        <v>0</v>
      </c>
      <c r="I639" s="112">
        <f>'OPEN FOREIGN ORDER'!AF265</f>
        <v>0</v>
      </c>
      <c r="J639" s="112">
        <f>'OPEN FOREIGN ORDER'!AG265</f>
        <v>0</v>
      </c>
    </row>
    <row r="640" spans="1:10">
      <c r="A640">
        <f>'OPEN FOREIGN ORDER'!D266</f>
        <v>0</v>
      </c>
      <c r="B640">
        <f>'OPEN FOREIGN ORDER'!F266</f>
        <v>0</v>
      </c>
      <c r="C640">
        <f>'OPEN FOREIGN ORDER'!Z266</f>
        <v>0</v>
      </c>
      <c r="D640" s="123">
        <f>'OPEN FOREIGN ORDER'!AA266</f>
        <v>0</v>
      </c>
      <c r="E640" s="112">
        <f>'OPEN FOREIGN ORDER'!AB266</f>
        <v>0</v>
      </c>
      <c r="F640" s="112">
        <f>'OPEN FOREIGN ORDER'!AC266</f>
        <v>0</v>
      </c>
      <c r="G640" s="112">
        <f>'OPEN FOREIGN ORDER'!AD266</f>
        <v>0</v>
      </c>
      <c r="H640" s="112">
        <f>'OPEN FOREIGN ORDER'!AE266</f>
        <v>0</v>
      </c>
      <c r="I640" s="112">
        <f>'OPEN FOREIGN ORDER'!AF266</f>
        <v>0</v>
      </c>
      <c r="J640" s="112">
        <f>'OPEN FOREIGN ORDER'!AG266</f>
        <v>0</v>
      </c>
    </row>
    <row r="641" spans="1:10">
      <c r="A641">
        <f>'OPEN FOREIGN ORDER'!D267</f>
        <v>0</v>
      </c>
      <c r="B641">
        <f>'OPEN FOREIGN ORDER'!F267</f>
        <v>0</v>
      </c>
      <c r="C641">
        <f>'OPEN FOREIGN ORDER'!Z267</f>
        <v>0</v>
      </c>
      <c r="D641" s="123">
        <f>'OPEN FOREIGN ORDER'!AA267</f>
        <v>0</v>
      </c>
      <c r="E641" s="112">
        <f>'OPEN FOREIGN ORDER'!AB267</f>
        <v>0</v>
      </c>
      <c r="F641" s="112">
        <f>'OPEN FOREIGN ORDER'!AC267</f>
        <v>0</v>
      </c>
      <c r="G641" s="112">
        <f>'OPEN FOREIGN ORDER'!AD267</f>
        <v>0</v>
      </c>
      <c r="H641" s="112">
        <f>'OPEN FOREIGN ORDER'!AE267</f>
        <v>0</v>
      </c>
      <c r="I641" s="112">
        <f>'OPEN FOREIGN ORDER'!AF267</f>
        <v>0</v>
      </c>
      <c r="J641" s="112">
        <f>'OPEN FOREIGN ORDER'!AG267</f>
        <v>0</v>
      </c>
    </row>
    <row r="642" spans="1:10">
      <c r="A642">
        <f>'OPEN FOREIGN ORDER'!D268</f>
        <v>0</v>
      </c>
      <c r="B642">
        <f>'OPEN FOREIGN ORDER'!F268</f>
        <v>0</v>
      </c>
      <c r="C642">
        <f>'OPEN FOREIGN ORDER'!Z268</f>
        <v>0</v>
      </c>
      <c r="D642" s="123">
        <f>'OPEN FOREIGN ORDER'!AA268</f>
        <v>0</v>
      </c>
      <c r="E642" s="112">
        <f>'OPEN FOREIGN ORDER'!AB268</f>
        <v>0</v>
      </c>
      <c r="F642" s="112">
        <f>'OPEN FOREIGN ORDER'!AC268</f>
        <v>0</v>
      </c>
      <c r="G642" s="112">
        <f>'OPEN FOREIGN ORDER'!AD268</f>
        <v>0</v>
      </c>
      <c r="H642" s="112">
        <f>'OPEN FOREIGN ORDER'!AE268</f>
        <v>0</v>
      </c>
      <c r="I642" s="112">
        <f>'OPEN FOREIGN ORDER'!AF268</f>
        <v>0</v>
      </c>
      <c r="J642" s="112">
        <f>'OPEN FOREIGN ORDER'!AG268</f>
        <v>0</v>
      </c>
    </row>
    <row r="643" spans="1:10">
      <c r="A643">
        <f>'OPEN FOREIGN ORDER'!D269</f>
        <v>0</v>
      </c>
      <c r="B643">
        <f>'OPEN FOREIGN ORDER'!F269</f>
        <v>0</v>
      </c>
      <c r="C643">
        <f>'OPEN FOREIGN ORDER'!Z269</f>
        <v>0</v>
      </c>
      <c r="D643" s="123">
        <f>'OPEN FOREIGN ORDER'!AA269</f>
        <v>0</v>
      </c>
      <c r="E643" s="112">
        <f>'OPEN FOREIGN ORDER'!AB269</f>
        <v>0</v>
      </c>
      <c r="F643" s="112">
        <f>'OPEN FOREIGN ORDER'!AC269</f>
        <v>0</v>
      </c>
      <c r="G643" s="112">
        <f>'OPEN FOREIGN ORDER'!AD269</f>
        <v>0</v>
      </c>
      <c r="H643" s="112">
        <f>'OPEN FOREIGN ORDER'!AE269</f>
        <v>0</v>
      </c>
      <c r="I643" s="112">
        <f>'OPEN FOREIGN ORDER'!AF269</f>
        <v>0</v>
      </c>
      <c r="J643" s="112">
        <f>'OPEN FOREIGN ORDER'!AG269</f>
        <v>0</v>
      </c>
    </row>
    <row r="644" spans="1:10">
      <c r="A644">
        <f>'OPEN FOREIGN ORDER'!D270</f>
        <v>0</v>
      </c>
      <c r="B644">
        <f>'OPEN FOREIGN ORDER'!F270</f>
        <v>0</v>
      </c>
      <c r="C644">
        <f>'OPEN FOREIGN ORDER'!Z270</f>
        <v>0</v>
      </c>
      <c r="D644" s="123">
        <f>'OPEN FOREIGN ORDER'!AA270</f>
        <v>0</v>
      </c>
      <c r="E644" s="112">
        <f>'OPEN FOREIGN ORDER'!AB270</f>
        <v>0</v>
      </c>
      <c r="F644" s="112">
        <f>'OPEN FOREIGN ORDER'!AC270</f>
        <v>0</v>
      </c>
      <c r="G644" s="112">
        <f>'OPEN FOREIGN ORDER'!AD270</f>
        <v>0</v>
      </c>
      <c r="H644" s="112">
        <f>'OPEN FOREIGN ORDER'!AE270</f>
        <v>0</v>
      </c>
      <c r="I644" s="112">
        <f>'OPEN FOREIGN ORDER'!AF270</f>
        <v>0</v>
      </c>
      <c r="J644" s="112">
        <f>'OPEN FOREIGN ORDER'!AG270</f>
        <v>0</v>
      </c>
    </row>
    <row r="645" spans="1:10">
      <c r="A645">
        <f>'OPEN FOREIGN ORDER'!D271</f>
        <v>0</v>
      </c>
      <c r="B645">
        <f>'OPEN FOREIGN ORDER'!F271</f>
        <v>0</v>
      </c>
      <c r="C645">
        <f>'OPEN FOREIGN ORDER'!Z271</f>
        <v>0</v>
      </c>
      <c r="D645" s="123">
        <f>'OPEN FOREIGN ORDER'!AA271</f>
        <v>0</v>
      </c>
      <c r="E645" s="112">
        <f>'OPEN FOREIGN ORDER'!AB271</f>
        <v>0</v>
      </c>
      <c r="F645" s="112">
        <f>'OPEN FOREIGN ORDER'!AC271</f>
        <v>0</v>
      </c>
      <c r="G645" s="112">
        <f>'OPEN FOREIGN ORDER'!AD271</f>
        <v>0</v>
      </c>
      <c r="H645" s="112">
        <f>'OPEN FOREIGN ORDER'!AE271</f>
        <v>0</v>
      </c>
      <c r="I645" s="112">
        <f>'OPEN FOREIGN ORDER'!AF271</f>
        <v>0</v>
      </c>
      <c r="J645" s="112">
        <f>'OPEN FOREIGN ORDER'!AG271</f>
        <v>0</v>
      </c>
    </row>
    <row r="646" spans="1:10">
      <c r="A646">
        <f>'OPEN FOREIGN ORDER'!D272</f>
        <v>0</v>
      </c>
      <c r="B646">
        <f>'OPEN FOREIGN ORDER'!F272</f>
        <v>0</v>
      </c>
      <c r="C646">
        <f>'OPEN FOREIGN ORDER'!Z272</f>
        <v>0</v>
      </c>
      <c r="D646" s="123">
        <f>'OPEN FOREIGN ORDER'!AA272</f>
        <v>0</v>
      </c>
      <c r="E646" s="112">
        <f>'OPEN FOREIGN ORDER'!AB272</f>
        <v>0</v>
      </c>
      <c r="F646" s="112">
        <f>'OPEN FOREIGN ORDER'!AC272</f>
        <v>0</v>
      </c>
      <c r="G646" s="112">
        <f>'OPEN FOREIGN ORDER'!AD272</f>
        <v>0</v>
      </c>
      <c r="H646" s="112">
        <f>'OPEN FOREIGN ORDER'!AE272</f>
        <v>0</v>
      </c>
      <c r="I646" s="112">
        <f>'OPEN FOREIGN ORDER'!AF272</f>
        <v>0</v>
      </c>
      <c r="J646" s="112">
        <f>'OPEN FOREIGN ORDER'!AG272</f>
        <v>0</v>
      </c>
    </row>
    <row r="647" spans="1:10">
      <c r="A647">
        <f>'OPEN FOREIGN ORDER'!D273</f>
        <v>0</v>
      </c>
      <c r="B647">
        <f>'OPEN FOREIGN ORDER'!F273</f>
        <v>0</v>
      </c>
      <c r="C647">
        <f>'OPEN FOREIGN ORDER'!Z273</f>
        <v>0</v>
      </c>
      <c r="D647" s="123">
        <f>'OPEN FOREIGN ORDER'!AA273</f>
        <v>0</v>
      </c>
      <c r="E647" s="112">
        <f>'OPEN FOREIGN ORDER'!AB273</f>
        <v>0</v>
      </c>
      <c r="F647" s="112">
        <f>'OPEN FOREIGN ORDER'!AC273</f>
        <v>0</v>
      </c>
      <c r="G647" s="112">
        <f>'OPEN FOREIGN ORDER'!AD273</f>
        <v>0</v>
      </c>
      <c r="H647" s="112">
        <f>'OPEN FOREIGN ORDER'!AE273</f>
        <v>0</v>
      </c>
      <c r="I647" s="112">
        <f>'OPEN FOREIGN ORDER'!AF273</f>
        <v>0</v>
      </c>
      <c r="J647" s="112">
        <f>'OPEN FOREIGN ORDER'!AG273</f>
        <v>0</v>
      </c>
    </row>
    <row r="648" spans="1:10">
      <c r="A648">
        <f>'OPEN FOREIGN ORDER'!D274</f>
        <v>0</v>
      </c>
      <c r="B648">
        <f>'OPEN FOREIGN ORDER'!F274</f>
        <v>0</v>
      </c>
      <c r="C648">
        <f>'OPEN FOREIGN ORDER'!Z274</f>
        <v>0</v>
      </c>
      <c r="D648" s="123">
        <f>'OPEN FOREIGN ORDER'!AA274</f>
        <v>0</v>
      </c>
      <c r="E648" s="112">
        <f>'OPEN FOREIGN ORDER'!AB274</f>
        <v>0</v>
      </c>
      <c r="F648" s="112">
        <f>'OPEN FOREIGN ORDER'!AC274</f>
        <v>0</v>
      </c>
      <c r="G648" s="112">
        <f>'OPEN FOREIGN ORDER'!AD274</f>
        <v>0</v>
      </c>
      <c r="H648" s="112">
        <f>'OPEN FOREIGN ORDER'!AE274</f>
        <v>0</v>
      </c>
      <c r="I648" s="112">
        <f>'OPEN FOREIGN ORDER'!AF274</f>
        <v>0</v>
      </c>
      <c r="J648" s="112">
        <f>'OPEN FOREIGN ORDER'!AG274</f>
        <v>0</v>
      </c>
    </row>
    <row r="649" spans="1:10">
      <c r="A649">
        <f>'OPEN FOREIGN ORDER'!D275</f>
        <v>0</v>
      </c>
      <c r="B649">
        <f>'OPEN FOREIGN ORDER'!F275</f>
        <v>0</v>
      </c>
      <c r="C649">
        <f>'OPEN FOREIGN ORDER'!Z275</f>
        <v>0</v>
      </c>
      <c r="D649" s="123">
        <f>'OPEN FOREIGN ORDER'!AA275</f>
        <v>0</v>
      </c>
      <c r="E649" s="112">
        <f>'OPEN FOREIGN ORDER'!AB275</f>
        <v>0</v>
      </c>
      <c r="F649" s="112">
        <f>'OPEN FOREIGN ORDER'!AC275</f>
        <v>0</v>
      </c>
      <c r="G649" s="112">
        <f>'OPEN FOREIGN ORDER'!AD275</f>
        <v>0</v>
      </c>
      <c r="H649" s="112">
        <f>'OPEN FOREIGN ORDER'!AE275</f>
        <v>0</v>
      </c>
      <c r="I649" s="112">
        <f>'OPEN FOREIGN ORDER'!AF275</f>
        <v>0</v>
      </c>
      <c r="J649" s="112">
        <f>'OPEN FOREIGN ORDER'!AG275</f>
        <v>0</v>
      </c>
    </row>
    <row r="650" spans="1:10">
      <c r="A650">
        <f>'OPEN FOREIGN ORDER'!D276</f>
        <v>0</v>
      </c>
      <c r="B650">
        <f>'OPEN FOREIGN ORDER'!F276</f>
        <v>0</v>
      </c>
      <c r="C650">
        <f>'OPEN FOREIGN ORDER'!Z276</f>
        <v>0</v>
      </c>
      <c r="D650" s="123">
        <f>'OPEN FOREIGN ORDER'!AA276</f>
        <v>0</v>
      </c>
      <c r="E650" s="112">
        <f>'OPEN FOREIGN ORDER'!AB276</f>
        <v>0</v>
      </c>
      <c r="F650" s="112">
        <f>'OPEN FOREIGN ORDER'!AC276</f>
        <v>0</v>
      </c>
      <c r="G650" s="112">
        <f>'OPEN FOREIGN ORDER'!AD276</f>
        <v>0</v>
      </c>
      <c r="H650" s="112">
        <f>'OPEN FOREIGN ORDER'!AE276</f>
        <v>0</v>
      </c>
      <c r="I650" s="112">
        <f>'OPEN FOREIGN ORDER'!AF276</f>
        <v>0</v>
      </c>
      <c r="J650" s="112">
        <f>'OPEN FOREIGN ORDER'!AG276</f>
        <v>0</v>
      </c>
    </row>
    <row r="651" spans="1:10">
      <c r="A651">
        <f>'OPEN FOREIGN ORDER'!D277</f>
        <v>0</v>
      </c>
      <c r="B651">
        <f>'OPEN FOREIGN ORDER'!F277</f>
        <v>0</v>
      </c>
      <c r="C651">
        <f>'OPEN FOREIGN ORDER'!Z277</f>
        <v>0</v>
      </c>
      <c r="D651" s="123">
        <f>'OPEN FOREIGN ORDER'!AA277</f>
        <v>0</v>
      </c>
      <c r="E651" s="112">
        <f>'OPEN FOREIGN ORDER'!AB277</f>
        <v>0</v>
      </c>
      <c r="F651" s="112">
        <f>'OPEN FOREIGN ORDER'!AC277</f>
        <v>0</v>
      </c>
      <c r="G651" s="112">
        <f>'OPEN FOREIGN ORDER'!AD277</f>
        <v>0</v>
      </c>
      <c r="H651" s="112">
        <f>'OPEN FOREIGN ORDER'!AE277</f>
        <v>0</v>
      </c>
      <c r="I651" s="112">
        <f>'OPEN FOREIGN ORDER'!AF277</f>
        <v>0</v>
      </c>
      <c r="J651" s="112">
        <f>'OPEN FOREIGN ORDER'!AG277</f>
        <v>0</v>
      </c>
    </row>
    <row r="652" spans="1:10">
      <c r="A652">
        <f>'OPEN FOREIGN ORDER'!D278</f>
        <v>0</v>
      </c>
      <c r="B652">
        <f>'OPEN FOREIGN ORDER'!F278</f>
        <v>0</v>
      </c>
      <c r="C652">
        <f>'OPEN FOREIGN ORDER'!Z278</f>
        <v>0</v>
      </c>
      <c r="D652" s="123">
        <f>'OPEN FOREIGN ORDER'!AA278</f>
        <v>0</v>
      </c>
      <c r="E652" s="112">
        <f>'OPEN FOREIGN ORDER'!AB278</f>
        <v>0</v>
      </c>
      <c r="F652" s="112">
        <f>'OPEN FOREIGN ORDER'!AC278</f>
        <v>0</v>
      </c>
      <c r="G652" s="112">
        <f>'OPEN FOREIGN ORDER'!AD278</f>
        <v>0</v>
      </c>
      <c r="H652" s="112">
        <f>'OPEN FOREIGN ORDER'!AE278</f>
        <v>0</v>
      </c>
      <c r="I652" s="112">
        <f>'OPEN FOREIGN ORDER'!AF278</f>
        <v>0</v>
      </c>
      <c r="J652" s="112">
        <f>'OPEN FOREIGN ORDER'!AG278</f>
        <v>0</v>
      </c>
    </row>
    <row r="653" spans="1:10">
      <c r="A653">
        <f>'OPEN FOREIGN ORDER'!D279</f>
        <v>0</v>
      </c>
      <c r="B653">
        <f>'OPEN FOREIGN ORDER'!F279</f>
        <v>0</v>
      </c>
      <c r="C653">
        <f>'OPEN FOREIGN ORDER'!Z279</f>
        <v>0</v>
      </c>
      <c r="D653" s="123">
        <f>'OPEN FOREIGN ORDER'!AA279</f>
        <v>0</v>
      </c>
      <c r="E653" s="112">
        <f>'OPEN FOREIGN ORDER'!AB279</f>
        <v>0</v>
      </c>
      <c r="F653" s="112">
        <f>'OPEN FOREIGN ORDER'!AC279</f>
        <v>0</v>
      </c>
      <c r="G653" s="112">
        <f>'OPEN FOREIGN ORDER'!AD279</f>
        <v>0</v>
      </c>
      <c r="H653" s="112">
        <f>'OPEN FOREIGN ORDER'!AE279</f>
        <v>0</v>
      </c>
      <c r="I653" s="112">
        <f>'OPEN FOREIGN ORDER'!AF279</f>
        <v>0</v>
      </c>
      <c r="J653" s="112">
        <f>'OPEN FOREIGN ORDER'!AG279</f>
        <v>0</v>
      </c>
    </row>
    <row r="654" spans="1:10">
      <c r="A654">
        <f>'OPEN FOREIGN ORDER'!D280</f>
        <v>0</v>
      </c>
      <c r="B654">
        <f>'OPEN FOREIGN ORDER'!F280</f>
        <v>0</v>
      </c>
      <c r="C654">
        <f>'OPEN FOREIGN ORDER'!Z280</f>
        <v>0</v>
      </c>
      <c r="D654" s="123">
        <f>'OPEN FOREIGN ORDER'!AA280</f>
        <v>0</v>
      </c>
      <c r="E654" s="112">
        <f>'OPEN FOREIGN ORDER'!AB280</f>
        <v>0</v>
      </c>
      <c r="F654" s="112">
        <f>'OPEN FOREIGN ORDER'!AC280</f>
        <v>0</v>
      </c>
      <c r="G654" s="112">
        <f>'OPEN FOREIGN ORDER'!AD280</f>
        <v>0</v>
      </c>
      <c r="H654" s="112">
        <f>'OPEN FOREIGN ORDER'!AE280</f>
        <v>0</v>
      </c>
      <c r="I654" s="112">
        <f>'OPEN FOREIGN ORDER'!AF280</f>
        <v>0</v>
      </c>
      <c r="J654" s="112">
        <f>'OPEN FOREIGN ORDER'!AG280</f>
        <v>0</v>
      </c>
    </row>
    <row r="655" spans="1:10">
      <c r="A655">
        <f>'OPEN FOREIGN ORDER'!D281</f>
        <v>0</v>
      </c>
      <c r="B655">
        <f>'OPEN FOREIGN ORDER'!F281</f>
        <v>0</v>
      </c>
      <c r="C655">
        <f>'OPEN FOREIGN ORDER'!Z281</f>
        <v>0</v>
      </c>
      <c r="D655" s="123">
        <f>'OPEN FOREIGN ORDER'!AA281</f>
        <v>0</v>
      </c>
      <c r="E655" s="112">
        <f>'OPEN FOREIGN ORDER'!AB281</f>
        <v>0</v>
      </c>
      <c r="F655" s="112">
        <f>'OPEN FOREIGN ORDER'!AC281</f>
        <v>0</v>
      </c>
      <c r="G655" s="112">
        <f>'OPEN FOREIGN ORDER'!AD281</f>
        <v>0</v>
      </c>
      <c r="H655" s="112">
        <f>'OPEN FOREIGN ORDER'!AE281</f>
        <v>0</v>
      </c>
      <c r="I655" s="112">
        <f>'OPEN FOREIGN ORDER'!AF281</f>
        <v>0</v>
      </c>
      <c r="J655" s="112">
        <f>'OPEN FOREIGN ORDER'!AG281</f>
        <v>0</v>
      </c>
    </row>
    <row r="656" spans="1:10">
      <c r="A656">
        <f>'OPEN FOREIGN ORDER'!D282</f>
        <v>0</v>
      </c>
      <c r="B656">
        <f>'OPEN FOREIGN ORDER'!F282</f>
        <v>0</v>
      </c>
      <c r="C656">
        <f>'OPEN FOREIGN ORDER'!Z282</f>
        <v>0</v>
      </c>
      <c r="D656" s="123">
        <f>'OPEN FOREIGN ORDER'!AA282</f>
        <v>0</v>
      </c>
      <c r="E656" s="112">
        <f>'OPEN FOREIGN ORDER'!AB282</f>
        <v>0</v>
      </c>
      <c r="F656" s="112">
        <f>'OPEN FOREIGN ORDER'!AC282</f>
        <v>0</v>
      </c>
      <c r="G656" s="112">
        <f>'OPEN FOREIGN ORDER'!AD282</f>
        <v>0</v>
      </c>
      <c r="H656" s="112">
        <f>'OPEN FOREIGN ORDER'!AE282</f>
        <v>0</v>
      </c>
      <c r="I656" s="112">
        <f>'OPEN FOREIGN ORDER'!AF282</f>
        <v>0</v>
      </c>
      <c r="J656" s="112">
        <f>'OPEN FOREIGN ORDER'!AG282</f>
        <v>0</v>
      </c>
    </row>
    <row r="657" spans="1:10">
      <c r="A657">
        <f>'OPEN FOREIGN ORDER'!D283</f>
        <v>0</v>
      </c>
      <c r="B657">
        <f>'OPEN FOREIGN ORDER'!F283</f>
        <v>0</v>
      </c>
      <c r="C657">
        <f>'OPEN FOREIGN ORDER'!Z283</f>
        <v>0</v>
      </c>
      <c r="D657" s="123">
        <f>'OPEN FOREIGN ORDER'!AA283</f>
        <v>0</v>
      </c>
      <c r="E657" s="112">
        <f>'OPEN FOREIGN ORDER'!AB283</f>
        <v>0</v>
      </c>
      <c r="F657" s="112">
        <f>'OPEN FOREIGN ORDER'!AC283</f>
        <v>0</v>
      </c>
      <c r="G657" s="112">
        <f>'OPEN FOREIGN ORDER'!AD283</f>
        <v>0</v>
      </c>
      <c r="H657" s="112">
        <f>'OPEN FOREIGN ORDER'!AE283</f>
        <v>0</v>
      </c>
      <c r="I657" s="112">
        <f>'OPEN FOREIGN ORDER'!AF283</f>
        <v>0</v>
      </c>
      <c r="J657" s="112">
        <f>'OPEN FOREIGN ORDER'!AG283</f>
        <v>0</v>
      </c>
    </row>
    <row r="658" spans="1:10">
      <c r="A658">
        <f>'OPEN FOREIGN ORDER'!D284</f>
        <v>0</v>
      </c>
      <c r="B658">
        <f>'OPEN FOREIGN ORDER'!F284</f>
        <v>0</v>
      </c>
      <c r="C658">
        <f>'OPEN FOREIGN ORDER'!Z284</f>
        <v>0</v>
      </c>
      <c r="D658" s="123">
        <f>'OPEN FOREIGN ORDER'!AA284</f>
        <v>0</v>
      </c>
      <c r="E658" s="112">
        <f>'OPEN FOREIGN ORDER'!AB284</f>
        <v>0</v>
      </c>
      <c r="F658" s="112">
        <f>'OPEN FOREIGN ORDER'!AC284</f>
        <v>0</v>
      </c>
      <c r="G658" s="112">
        <f>'OPEN FOREIGN ORDER'!AD284</f>
        <v>0</v>
      </c>
      <c r="H658" s="112">
        <f>'OPEN FOREIGN ORDER'!AE284</f>
        <v>0</v>
      </c>
      <c r="I658" s="112">
        <f>'OPEN FOREIGN ORDER'!AF284</f>
        <v>0</v>
      </c>
      <c r="J658" s="112">
        <f>'OPEN FOREIGN ORDER'!AG284</f>
        <v>0</v>
      </c>
    </row>
    <row r="659" spans="1:10">
      <c r="A659">
        <f>'OPEN FOREIGN ORDER'!D285</f>
        <v>0</v>
      </c>
      <c r="B659">
        <f>'OPEN FOREIGN ORDER'!F285</f>
        <v>0</v>
      </c>
      <c r="C659">
        <f>'OPEN FOREIGN ORDER'!Z285</f>
        <v>0</v>
      </c>
      <c r="D659" s="123">
        <f>'OPEN FOREIGN ORDER'!AA285</f>
        <v>0</v>
      </c>
      <c r="E659" s="112">
        <f>'OPEN FOREIGN ORDER'!AB285</f>
        <v>0</v>
      </c>
      <c r="F659" s="112">
        <f>'OPEN FOREIGN ORDER'!AC285</f>
        <v>0</v>
      </c>
      <c r="G659" s="112">
        <f>'OPEN FOREIGN ORDER'!AD285</f>
        <v>0</v>
      </c>
      <c r="H659" s="112">
        <f>'OPEN FOREIGN ORDER'!AE285</f>
        <v>0</v>
      </c>
      <c r="I659" s="112">
        <f>'OPEN FOREIGN ORDER'!AF285</f>
        <v>0</v>
      </c>
      <c r="J659" s="112">
        <f>'OPEN FOREIGN ORDER'!AG285</f>
        <v>0</v>
      </c>
    </row>
    <row r="660" spans="1:10">
      <c r="A660">
        <f>'OPEN FOREIGN ORDER'!D286</f>
        <v>0</v>
      </c>
      <c r="B660">
        <f>'OPEN FOREIGN ORDER'!F286</f>
        <v>0</v>
      </c>
      <c r="C660">
        <f>'OPEN FOREIGN ORDER'!Z286</f>
        <v>0</v>
      </c>
      <c r="D660" s="123">
        <f>'OPEN FOREIGN ORDER'!AA286</f>
        <v>0</v>
      </c>
      <c r="E660" s="112">
        <f>'OPEN FOREIGN ORDER'!AB286</f>
        <v>0</v>
      </c>
      <c r="F660" s="112">
        <f>'OPEN FOREIGN ORDER'!AC286</f>
        <v>0</v>
      </c>
      <c r="G660" s="112">
        <f>'OPEN FOREIGN ORDER'!AD286</f>
        <v>0</v>
      </c>
      <c r="H660" s="112">
        <f>'OPEN FOREIGN ORDER'!AE286</f>
        <v>0</v>
      </c>
      <c r="I660" s="112">
        <f>'OPEN FOREIGN ORDER'!AF286</f>
        <v>0</v>
      </c>
      <c r="J660" s="112">
        <f>'OPEN FOREIGN ORDER'!AG286</f>
        <v>0</v>
      </c>
    </row>
    <row r="661" spans="1:10">
      <c r="A661">
        <f>'OPEN FOREIGN ORDER'!D287</f>
        <v>0</v>
      </c>
      <c r="B661">
        <f>'OPEN FOREIGN ORDER'!F287</f>
        <v>0</v>
      </c>
      <c r="C661">
        <f>'OPEN FOREIGN ORDER'!Z287</f>
        <v>0</v>
      </c>
      <c r="D661" s="123">
        <f>'OPEN FOREIGN ORDER'!AA287</f>
        <v>0</v>
      </c>
      <c r="E661" s="112">
        <f>'OPEN FOREIGN ORDER'!AB287</f>
        <v>0</v>
      </c>
      <c r="F661" s="112">
        <f>'OPEN FOREIGN ORDER'!AC287</f>
        <v>0</v>
      </c>
      <c r="G661" s="112">
        <f>'OPEN FOREIGN ORDER'!AD287</f>
        <v>0</v>
      </c>
      <c r="H661" s="112">
        <f>'OPEN FOREIGN ORDER'!AE287</f>
        <v>0</v>
      </c>
      <c r="I661" s="112">
        <f>'OPEN FOREIGN ORDER'!AF287</f>
        <v>0</v>
      </c>
      <c r="J661" s="112">
        <f>'OPEN FOREIGN ORDER'!AG287</f>
        <v>0</v>
      </c>
    </row>
    <row r="662" spans="1:10">
      <c r="A662">
        <f>'OPEN FOREIGN ORDER'!D288</f>
        <v>0</v>
      </c>
      <c r="B662">
        <f>'OPEN FOREIGN ORDER'!F288</f>
        <v>0</v>
      </c>
      <c r="C662">
        <f>'OPEN FOREIGN ORDER'!Z288</f>
        <v>0</v>
      </c>
      <c r="D662" s="123">
        <f>'OPEN FOREIGN ORDER'!AA288</f>
        <v>0</v>
      </c>
      <c r="E662" s="112">
        <f>'OPEN FOREIGN ORDER'!AB288</f>
        <v>0</v>
      </c>
      <c r="F662" s="112">
        <f>'OPEN FOREIGN ORDER'!AC288</f>
        <v>0</v>
      </c>
      <c r="G662" s="112">
        <f>'OPEN FOREIGN ORDER'!AD288</f>
        <v>0</v>
      </c>
      <c r="H662" s="112">
        <f>'OPEN FOREIGN ORDER'!AE288</f>
        <v>0</v>
      </c>
      <c r="I662" s="112">
        <f>'OPEN FOREIGN ORDER'!AF288</f>
        <v>0</v>
      </c>
      <c r="J662" s="112">
        <f>'OPEN FOREIGN ORDER'!AG288</f>
        <v>0</v>
      </c>
    </row>
    <row r="663" spans="1:10">
      <c r="A663">
        <f>'OPEN FOREIGN ORDER'!D289</f>
        <v>0</v>
      </c>
      <c r="B663">
        <f>'OPEN FOREIGN ORDER'!F289</f>
        <v>0</v>
      </c>
      <c r="C663">
        <f>'OPEN FOREIGN ORDER'!Z289</f>
        <v>0</v>
      </c>
      <c r="D663" s="123">
        <f>'OPEN FOREIGN ORDER'!AA289</f>
        <v>0</v>
      </c>
      <c r="E663" s="112">
        <f>'OPEN FOREIGN ORDER'!AB289</f>
        <v>0</v>
      </c>
      <c r="F663" s="112">
        <f>'OPEN FOREIGN ORDER'!AC289</f>
        <v>0</v>
      </c>
      <c r="G663" s="112">
        <f>'OPEN FOREIGN ORDER'!AD289</f>
        <v>0</v>
      </c>
      <c r="H663" s="112">
        <f>'OPEN FOREIGN ORDER'!AE289</f>
        <v>0</v>
      </c>
      <c r="I663" s="112">
        <f>'OPEN FOREIGN ORDER'!AF289</f>
        <v>0</v>
      </c>
      <c r="J663" s="112">
        <f>'OPEN FOREIGN ORDER'!AG289</f>
        <v>0</v>
      </c>
    </row>
    <row r="664" spans="1:10">
      <c r="A664">
        <f>'OPEN FOREIGN ORDER'!D290</f>
        <v>0</v>
      </c>
      <c r="B664">
        <f>'OPEN FOREIGN ORDER'!F290</f>
        <v>0</v>
      </c>
      <c r="C664">
        <f>'OPEN FOREIGN ORDER'!Z290</f>
        <v>0</v>
      </c>
      <c r="D664" s="123">
        <f>'OPEN FOREIGN ORDER'!AA290</f>
        <v>0</v>
      </c>
      <c r="E664" s="112">
        <f>'OPEN FOREIGN ORDER'!AB290</f>
        <v>0</v>
      </c>
      <c r="F664" s="112">
        <f>'OPEN FOREIGN ORDER'!AC290</f>
        <v>0</v>
      </c>
      <c r="G664" s="112">
        <f>'OPEN FOREIGN ORDER'!AD290</f>
        <v>0</v>
      </c>
      <c r="H664" s="112">
        <f>'OPEN FOREIGN ORDER'!AE290</f>
        <v>0</v>
      </c>
      <c r="I664" s="112">
        <f>'OPEN FOREIGN ORDER'!AF290</f>
        <v>0</v>
      </c>
      <c r="J664" s="112">
        <f>'OPEN FOREIGN ORDER'!AG290</f>
        <v>0</v>
      </c>
    </row>
    <row r="665" spans="1:10">
      <c r="A665">
        <f>'OPEN FOREIGN ORDER'!D291</f>
        <v>0</v>
      </c>
      <c r="B665">
        <f>'OPEN FOREIGN ORDER'!F291</f>
        <v>0</v>
      </c>
      <c r="C665">
        <f>'OPEN FOREIGN ORDER'!Z291</f>
        <v>0</v>
      </c>
      <c r="D665" s="123">
        <f>'OPEN FOREIGN ORDER'!AA291</f>
        <v>0</v>
      </c>
      <c r="E665" s="112">
        <f>'OPEN FOREIGN ORDER'!AB291</f>
        <v>0</v>
      </c>
      <c r="F665" s="112">
        <f>'OPEN FOREIGN ORDER'!AC291</f>
        <v>0</v>
      </c>
      <c r="G665" s="112">
        <f>'OPEN FOREIGN ORDER'!AD291</f>
        <v>0</v>
      </c>
      <c r="H665" s="112">
        <f>'OPEN FOREIGN ORDER'!AE291</f>
        <v>0</v>
      </c>
      <c r="I665" s="112">
        <f>'OPEN FOREIGN ORDER'!AF291</f>
        <v>0</v>
      </c>
      <c r="J665" s="112">
        <f>'OPEN FOREIGN ORDER'!AG291</f>
        <v>0</v>
      </c>
    </row>
    <row r="666" spans="1:10">
      <c r="A666">
        <f>'OPEN FOREIGN ORDER'!D292</f>
        <v>0</v>
      </c>
      <c r="B666">
        <f>'OPEN FOREIGN ORDER'!F292</f>
        <v>0</v>
      </c>
      <c r="C666">
        <f>'OPEN FOREIGN ORDER'!Z292</f>
        <v>0</v>
      </c>
      <c r="D666" s="123">
        <f>'OPEN FOREIGN ORDER'!AA292</f>
        <v>0</v>
      </c>
      <c r="E666" s="112">
        <f>'OPEN FOREIGN ORDER'!AB292</f>
        <v>0</v>
      </c>
      <c r="F666" s="112">
        <f>'OPEN FOREIGN ORDER'!AC292</f>
        <v>0</v>
      </c>
      <c r="G666" s="112">
        <f>'OPEN FOREIGN ORDER'!AD292</f>
        <v>0</v>
      </c>
      <c r="H666" s="112">
        <f>'OPEN FOREIGN ORDER'!AE292</f>
        <v>0</v>
      </c>
      <c r="I666" s="112">
        <f>'OPEN FOREIGN ORDER'!AF292</f>
        <v>0</v>
      </c>
      <c r="J666" s="112">
        <f>'OPEN FOREIGN ORDER'!AG292</f>
        <v>0</v>
      </c>
    </row>
    <row r="667" spans="1:10">
      <c r="A667">
        <f>'OPEN FOREIGN ORDER'!D293</f>
        <v>0</v>
      </c>
      <c r="B667">
        <f>'OPEN FOREIGN ORDER'!F293</f>
        <v>0</v>
      </c>
      <c r="C667">
        <f>'OPEN FOREIGN ORDER'!Z293</f>
        <v>0</v>
      </c>
      <c r="D667" s="123">
        <f>'OPEN FOREIGN ORDER'!AA293</f>
        <v>0</v>
      </c>
      <c r="E667" s="112">
        <f>'OPEN FOREIGN ORDER'!AB293</f>
        <v>0</v>
      </c>
      <c r="F667" s="112">
        <f>'OPEN FOREIGN ORDER'!AC293</f>
        <v>0</v>
      </c>
      <c r="G667" s="112">
        <f>'OPEN FOREIGN ORDER'!AD293</f>
        <v>0</v>
      </c>
      <c r="H667" s="112">
        <f>'OPEN FOREIGN ORDER'!AE293</f>
        <v>0</v>
      </c>
      <c r="I667" s="112">
        <f>'OPEN FOREIGN ORDER'!AF293</f>
        <v>0</v>
      </c>
      <c r="J667" s="112">
        <f>'OPEN FOREIGN ORDER'!AG293</f>
        <v>0</v>
      </c>
    </row>
    <row r="668" spans="1:10">
      <c r="A668">
        <f>'OPEN FOREIGN ORDER'!D294</f>
        <v>0</v>
      </c>
      <c r="B668">
        <f>'OPEN FOREIGN ORDER'!F294</f>
        <v>0</v>
      </c>
      <c r="C668">
        <f>'OPEN FOREIGN ORDER'!Z294</f>
        <v>0</v>
      </c>
      <c r="D668" s="123">
        <f>'OPEN FOREIGN ORDER'!AA294</f>
        <v>0</v>
      </c>
      <c r="E668" s="112">
        <f>'OPEN FOREIGN ORDER'!AB294</f>
        <v>0</v>
      </c>
      <c r="F668" s="112">
        <f>'OPEN FOREIGN ORDER'!AC294</f>
        <v>0</v>
      </c>
      <c r="G668" s="112">
        <f>'OPEN FOREIGN ORDER'!AD294</f>
        <v>0</v>
      </c>
      <c r="H668" s="112">
        <f>'OPEN FOREIGN ORDER'!AE294</f>
        <v>0</v>
      </c>
      <c r="I668" s="112">
        <f>'OPEN FOREIGN ORDER'!AF294</f>
        <v>0</v>
      </c>
      <c r="J668" s="112">
        <f>'OPEN FOREIGN ORDER'!AG294</f>
        <v>0</v>
      </c>
    </row>
    <row r="669" spans="1:10">
      <c r="A669">
        <f>'OPEN FOREIGN ORDER'!D295</f>
        <v>0</v>
      </c>
      <c r="B669">
        <f>'OPEN FOREIGN ORDER'!F295</f>
        <v>0</v>
      </c>
      <c r="C669">
        <f>'OPEN FOREIGN ORDER'!Z295</f>
        <v>0</v>
      </c>
      <c r="D669" s="123">
        <f>'OPEN FOREIGN ORDER'!AA295</f>
        <v>0</v>
      </c>
      <c r="E669" s="112">
        <f>'OPEN FOREIGN ORDER'!AB295</f>
        <v>0</v>
      </c>
      <c r="F669" s="112">
        <f>'OPEN FOREIGN ORDER'!AC295</f>
        <v>0</v>
      </c>
      <c r="G669" s="112">
        <f>'OPEN FOREIGN ORDER'!AD295</f>
        <v>0</v>
      </c>
      <c r="H669" s="112">
        <f>'OPEN FOREIGN ORDER'!AE295</f>
        <v>0</v>
      </c>
      <c r="I669" s="112">
        <f>'OPEN FOREIGN ORDER'!AF295</f>
        <v>0</v>
      </c>
      <c r="J669" s="112">
        <f>'OPEN FOREIGN ORDER'!AG295</f>
        <v>0</v>
      </c>
    </row>
    <row r="670" spans="1:10">
      <c r="A670">
        <f>'OPEN FOREIGN ORDER'!D296</f>
        <v>0</v>
      </c>
      <c r="B670">
        <f>'OPEN FOREIGN ORDER'!F296</f>
        <v>0</v>
      </c>
      <c r="C670">
        <f>'OPEN FOREIGN ORDER'!Z296</f>
        <v>0</v>
      </c>
      <c r="D670" s="123">
        <f>'OPEN FOREIGN ORDER'!AA296</f>
        <v>0</v>
      </c>
      <c r="E670" s="112">
        <f>'OPEN FOREIGN ORDER'!AB296</f>
        <v>0</v>
      </c>
      <c r="F670" s="112">
        <f>'OPEN FOREIGN ORDER'!AC296</f>
        <v>0</v>
      </c>
      <c r="G670" s="112">
        <f>'OPEN FOREIGN ORDER'!AD296</f>
        <v>0</v>
      </c>
      <c r="H670" s="112">
        <f>'OPEN FOREIGN ORDER'!AE296</f>
        <v>0</v>
      </c>
      <c r="I670" s="112">
        <f>'OPEN FOREIGN ORDER'!AF296</f>
        <v>0</v>
      </c>
      <c r="J670" s="112">
        <f>'OPEN FOREIGN ORDER'!AG296</f>
        <v>0</v>
      </c>
    </row>
    <row r="671" spans="1:10">
      <c r="A671">
        <f>'OPEN FOREIGN ORDER'!D297</f>
        <v>0</v>
      </c>
      <c r="B671">
        <f>'OPEN FOREIGN ORDER'!F297</f>
        <v>0</v>
      </c>
      <c r="C671">
        <f>'OPEN FOREIGN ORDER'!Z297</f>
        <v>0</v>
      </c>
      <c r="D671" s="123">
        <f>'OPEN FOREIGN ORDER'!AA297</f>
        <v>0</v>
      </c>
      <c r="E671" s="112">
        <f>'OPEN FOREIGN ORDER'!AB297</f>
        <v>0</v>
      </c>
      <c r="F671" s="112">
        <f>'OPEN FOREIGN ORDER'!AC297</f>
        <v>0</v>
      </c>
      <c r="G671" s="112">
        <f>'OPEN FOREIGN ORDER'!AD297</f>
        <v>0</v>
      </c>
      <c r="H671" s="112">
        <f>'OPEN FOREIGN ORDER'!AE297</f>
        <v>0</v>
      </c>
      <c r="I671" s="112">
        <f>'OPEN FOREIGN ORDER'!AF297</f>
        <v>0</v>
      </c>
      <c r="J671" s="112">
        <f>'OPEN FOREIGN ORDER'!AG297</f>
        <v>0</v>
      </c>
    </row>
    <row r="672" spans="1:10">
      <c r="A672">
        <f>'OPEN FOREIGN ORDER'!D298</f>
        <v>0</v>
      </c>
      <c r="B672">
        <f>'OPEN FOREIGN ORDER'!F298</f>
        <v>0</v>
      </c>
      <c r="C672">
        <f>'OPEN FOREIGN ORDER'!Z298</f>
        <v>0</v>
      </c>
      <c r="D672" s="123">
        <f>'OPEN FOREIGN ORDER'!AA298</f>
        <v>0</v>
      </c>
      <c r="E672" s="112">
        <f>'OPEN FOREIGN ORDER'!AB298</f>
        <v>0</v>
      </c>
      <c r="F672" s="112">
        <f>'OPEN FOREIGN ORDER'!AC298</f>
        <v>0</v>
      </c>
      <c r="G672" s="112">
        <f>'OPEN FOREIGN ORDER'!AD298</f>
        <v>0</v>
      </c>
      <c r="H672" s="112">
        <f>'OPEN FOREIGN ORDER'!AE298</f>
        <v>0</v>
      </c>
      <c r="I672" s="112">
        <f>'OPEN FOREIGN ORDER'!AF298</f>
        <v>0</v>
      </c>
      <c r="J672" s="112">
        <f>'OPEN FOREIGN ORDER'!AG298</f>
        <v>0</v>
      </c>
    </row>
    <row r="673" spans="1:10">
      <c r="A673">
        <f>'OPEN FOREIGN ORDER'!D299</f>
        <v>0</v>
      </c>
      <c r="B673">
        <f>'OPEN FOREIGN ORDER'!F299</f>
        <v>0</v>
      </c>
      <c r="C673">
        <f>'OPEN FOREIGN ORDER'!Z299</f>
        <v>0</v>
      </c>
      <c r="D673" s="123">
        <f>'OPEN FOREIGN ORDER'!AA299</f>
        <v>0</v>
      </c>
      <c r="E673" s="112">
        <f>'OPEN FOREIGN ORDER'!AB299</f>
        <v>0</v>
      </c>
      <c r="F673" s="112">
        <f>'OPEN FOREIGN ORDER'!AC299</f>
        <v>0</v>
      </c>
      <c r="G673" s="112">
        <f>'OPEN FOREIGN ORDER'!AD299</f>
        <v>0</v>
      </c>
      <c r="H673" s="112">
        <f>'OPEN FOREIGN ORDER'!AE299</f>
        <v>0</v>
      </c>
      <c r="I673" s="112">
        <f>'OPEN FOREIGN ORDER'!AF299</f>
        <v>0</v>
      </c>
      <c r="J673" s="112">
        <f>'OPEN FOREIGN ORDER'!AG299</f>
        <v>0</v>
      </c>
    </row>
    <row r="674" spans="1:10">
      <c r="A674">
        <f>'OPEN FOREIGN ORDER'!D300</f>
        <v>0</v>
      </c>
      <c r="B674">
        <f>'OPEN FOREIGN ORDER'!F300</f>
        <v>0</v>
      </c>
      <c r="C674">
        <f>'OPEN FOREIGN ORDER'!Z300</f>
        <v>0</v>
      </c>
      <c r="D674" s="123">
        <f>'OPEN FOREIGN ORDER'!AA300</f>
        <v>0</v>
      </c>
      <c r="E674" s="112">
        <f>'OPEN FOREIGN ORDER'!AB300</f>
        <v>0</v>
      </c>
      <c r="F674" s="112">
        <f>'OPEN FOREIGN ORDER'!AC300</f>
        <v>0</v>
      </c>
      <c r="G674" s="112">
        <f>'OPEN FOREIGN ORDER'!AD300</f>
        <v>0</v>
      </c>
      <c r="H674" s="112">
        <f>'OPEN FOREIGN ORDER'!AE300</f>
        <v>0</v>
      </c>
      <c r="I674" s="112">
        <f>'OPEN FOREIGN ORDER'!AF300</f>
        <v>0</v>
      </c>
      <c r="J674" s="112">
        <f>'OPEN FOREIGN ORDER'!AG300</f>
        <v>0</v>
      </c>
    </row>
    <row r="675" spans="1:10">
      <c r="A675">
        <f>'OPEN FOREIGN ORDER'!D301</f>
        <v>0</v>
      </c>
      <c r="B675">
        <f>'OPEN FOREIGN ORDER'!F301</f>
        <v>0</v>
      </c>
      <c r="C675">
        <f>'OPEN FOREIGN ORDER'!Z301</f>
        <v>0</v>
      </c>
      <c r="D675" s="123">
        <f>'OPEN FOREIGN ORDER'!AA301</f>
        <v>0</v>
      </c>
      <c r="E675" s="112">
        <f>'OPEN FOREIGN ORDER'!AB301</f>
        <v>0</v>
      </c>
      <c r="F675" s="112">
        <f>'OPEN FOREIGN ORDER'!AC301</f>
        <v>0</v>
      </c>
      <c r="G675" s="112">
        <f>'OPEN FOREIGN ORDER'!AD301</f>
        <v>0</v>
      </c>
      <c r="H675" s="112">
        <f>'OPEN FOREIGN ORDER'!AE301</f>
        <v>0</v>
      </c>
      <c r="I675" s="112">
        <f>'OPEN FOREIGN ORDER'!AF301</f>
        <v>0</v>
      </c>
      <c r="J675" s="112">
        <f>'OPEN FOREIGN ORDER'!AG301</f>
        <v>0</v>
      </c>
    </row>
    <row r="676" spans="1:10">
      <c r="A676">
        <f>'OPEN FOREIGN ORDER'!D302</f>
        <v>0</v>
      </c>
      <c r="B676">
        <f>'OPEN FOREIGN ORDER'!F302</f>
        <v>0</v>
      </c>
      <c r="C676">
        <f>'OPEN FOREIGN ORDER'!Z302</f>
        <v>0</v>
      </c>
      <c r="D676" s="123">
        <f>'OPEN FOREIGN ORDER'!AA302</f>
        <v>0</v>
      </c>
      <c r="E676" s="112">
        <f>'OPEN FOREIGN ORDER'!AB302</f>
        <v>0</v>
      </c>
      <c r="F676" s="112">
        <f>'OPEN FOREIGN ORDER'!AC302</f>
        <v>0</v>
      </c>
      <c r="G676" s="112">
        <f>'OPEN FOREIGN ORDER'!AD302</f>
        <v>0</v>
      </c>
      <c r="H676" s="112">
        <f>'OPEN FOREIGN ORDER'!AE302</f>
        <v>0</v>
      </c>
      <c r="I676" s="112">
        <f>'OPEN FOREIGN ORDER'!AF302</f>
        <v>0</v>
      </c>
      <c r="J676" s="112">
        <f>'OPEN FOREIGN ORDER'!AG302</f>
        <v>0</v>
      </c>
    </row>
    <row r="677" spans="1:10">
      <c r="A677">
        <f>'OPEN FOREIGN ORDER'!D303</f>
        <v>0</v>
      </c>
      <c r="B677">
        <f>'OPEN FOREIGN ORDER'!F303</f>
        <v>0</v>
      </c>
      <c r="C677">
        <f>'OPEN FOREIGN ORDER'!Z303</f>
        <v>0</v>
      </c>
      <c r="D677" s="123">
        <f>'OPEN FOREIGN ORDER'!AA303</f>
        <v>0</v>
      </c>
      <c r="E677" s="112">
        <f>'OPEN FOREIGN ORDER'!AB303</f>
        <v>0</v>
      </c>
      <c r="F677" s="112">
        <f>'OPEN FOREIGN ORDER'!AC303</f>
        <v>0</v>
      </c>
      <c r="G677" s="112">
        <f>'OPEN FOREIGN ORDER'!AD303</f>
        <v>0</v>
      </c>
      <c r="H677" s="112">
        <f>'OPEN FOREIGN ORDER'!AE303</f>
        <v>0</v>
      </c>
      <c r="I677" s="112">
        <f>'OPEN FOREIGN ORDER'!AF303</f>
        <v>0</v>
      </c>
      <c r="J677" s="112">
        <f>'OPEN FOREIGN ORDER'!AG303</f>
        <v>0</v>
      </c>
    </row>
    <row r="678" spans="1:10">
      <c r="A678">
        <f>'OPEN FOREIGN ORDER'!D304</f>
        <v>0</v>
      </c>
      <c r="B678">
        <f>'OPEN FOREIGN ORDER'!F304</f>
        <v>0</v>
      </c>
      <c r="C678">
        <f>'OPEN FOREIGN ORDER'!Z304</f>
        <v>0</v>
      </c>
      <c r="D678" s="123">
        <f>'OPEN FOREIGN ORDER'!AA304</f>
        <v>0</v>
      </c>
      <c r="E678" s="112">
        <f>'OPEN FOREIGN ORDER'!AB304</f>
        <v>0</v>
      </c>
      <c r="F678" s="112">
        <f>'OPEN FOREIGN ORDER'!AC304</f>
        <v>0</v>
      </c>
      <c r="G678" s="112">
        <f>'OPEN FOREIGN ORDER'!AD304</f>
        <v>0</v>
      </c>
      <c r="H678" s="112">
        <f>'OPEN FOREIGN ORDER'!AE304</f>
        <v>0</v>
      </c>
      <c r="I678" s="112">
        <f>'OPEN FOREIGN ORDER'!AF304</f>
        <v>0</v>
      </c>
      <c r="J678" s="112">
        <f>'OPEN FOREIGN ORDER'!AG304</f>
        <v>0</v>
      </c>
    </row>
    <row r="679" spans="1:10">
      <c r="A679">
        <f>'OPEN FOREIGN ORDER'!D305</f>
        <v>0</v>
      </c>
      <c r="B679">
        <f>'OPEN FOREIGN ORDER'!F305</f>
        <v>0</v>
      </c>
      <c r="C679">
        <f>'OPEN FOREIGN ORDER'!Z305</f>
        <v>0</v>
      </c>
      <c r="D679" s="123">
        <f>'OPEN FOREIGN ORDER'!AA305</f>
        <v>0</v>
      </c>
      <c r="E679" s="112">
        <f>'OPEN FOREIGN ORDER'!AB305</f>
        <v>0</v>
      </c>
      <c r="F679" s="112">
        <f>'OPEN FOREIGN ORDER'!AC305</f>
        <v>0</v>
      </c>
      <c r="G679" s="112">
        <f>'OPEN FOREIGN ORDER'!AD305</f>
        <v>0</v>
      </c>
      <c r="H679" s="112">
        <f>'OPEN FOREIGN ORDER'!AE305</f>
        <v>0</v>
      </c>
      <c r="I679" s="112">
        <f>'OPEN FOREIGN ORDER'!AF305</f>
        <v>0</v>
      </c>
      <c r="J679" s="112">
        <f>'OPEN FOREIGN ORDER'!AG305</f>
        <v>0</v>
      </c>
    </row>
    <row r="680" spans="1:10">
      <c r="A680">
        <f>'OPEN FOREIGN ORDER'!D306</f>
        <v>0</v>
      </c>
      <c r="B680">
        <f>'OPEN FOREIGN ORDER'!F306</f>
        <v>0</v>
      </c>
      <c r="C680">
        <f>'OPEN FOREIGN ORDER'!Z306</f>
        <v>0</v>
      </c>
      <c r="D680" s="123">
        <f>'OPEN FOREIGN ORDER'!AA306</f>
        <v>0</v>
      </c>
      <c r="E680" s="112">
        <f>'OPEN FOREIGN ORDER'!AB306</f>
        <v>0</v>
      </c>
      <c r="F680" s="112">
        <f>'OPEN FOREIGN ORDER'!AC306</f>
        <v>0</v>
      </c>
      <c r="G680" s="112">
        <f>'OPEN FOREIGN ORDER'!AD306</f>
        <v>0</v>
      </c>
      <c r="H680" s="112">
        <f>'OPEN FOREIGN ORDER'!AE306</f>
        <v>0</v>
      </c>
      <c r="I680" s="112">
        <f>'OPEN FOREIGN ORDER'!AF306</f>
        <v>0</v>
      </c>
      <c r="J680" s="112">
        <f>'OPEN FOREIGN ORDER'!AG306</f>
        <v>0</v>
      </c>
    </row>
    <row r="681" spans="1:10">
      <c r="A681">
        <f>'OPEN FOREIGN ORDER'!D307</f>
        <v>0</v>
      </c>
      <c r="B681">
        <f>'OPEN FOREIGN ORDER'!F307</f>
        <v>0</v>
      </c>
      <c r="C681">
        <f>'OPEN FOREIGN ORDER'!Z307</f>
        <v>0</v>
      </c>
      <c r="D681" s="123">
        <f>'OPEN FOREIGN ORDER'!AA307</f>
        <v>0</v>
      </c>
      <c r="E681" s="112">
        <f>'OPEN FOREIGN ORDER'!AB307</f>
        <v>0</v>
      </c>
      <c r="F681" s="112">
        <f>'OPEN FOREIGN ORDER'!AC307</f>
        <v>0</v>
      </c>
      <c r="G681" s="112">
        <f>'OPEN FOREIGN ORDER'!AD307</f>
        <v>0</v>
      </c>
      <c r="H681" s="112">
        <f>'OPEN FOREIGN ORDER'!AE307</f>
        <v>0</v>
      </c>
      <c r="I681" s="112">
        <f>'OPEN FOREIGN ORDER'!AF307</f>
        <v>0</v>
      </c>
      <c r="J681" s="112">
        <f>'OPEN FOREIGN ORDER'!AG307</f>
        <v>0</v>
      </c>
    </row>
    <row r="682" spans="1:10">
      <c r="A682">
        <f>'OPEN FOREIGN ORDER'!D308</f>
        <v>0</v>
      </c>
      <c r="B682">
        <f>'OPEN FOREIGN ORDER'!F308</f>
        <v>0</v>
      </c>
      <c r="C682">
        <f>'OPEN FOREIGN ORDER'!Z308</f>
        <v>0</v>
      </c>
      <c r="D682" s="123">
        <f>'OPEN FOREIGN ORDER'!AA308</f>
        <v>0</v>
      </c>
      <c r="E682" s="112">
        <f>'OPEN FOREIGN ORDER'!AB308</f>
        <v>0</v>
      </c>
      <c r="F682" s="112">
        <f>'OPEN FOREIGN ORDER'!AC308</f>
        <v>0</v>
      </c>
      <c r="G682" s="112">
        <f>'OPEN FOREIGN ORDER'!AD308</f>
        <v>0</v>
      </c>
      <c r="H682" s="112">
        <f>'OPEN FOREIGN ORDER'!AE308</f>
        <v>0</v>
      </c>
      <c r="I682" s="112">
        <f>'OPEN FOREIGN ORDER'!AF308</f>
        <v>0</v>
      </c>
      <c r="J682" s="112">
        <f>'OPEN FOREIGN ORDER'!AG308</f>
        <v>0</v>
      </c>
    </row>
    <row r="683" spans="1:10">
      <c r="A683">
        <f>'OPEN FOREIGN ORDER'!D309</f>
        <v>0</v>
      </c>
      <c r="B683">
        <f>'OPEN FOREIGN ORDER'!F309</f>
        <v>0</v>
      </c>
      <c r="C683">
        <f>'OPEN FOREIGN ORDER'!Z309</f>
        <v>0</v>
      </c>
      <c r="D683" s="123">
        <f>'OPEN FOREIGN ORDER'!AA309</f>
        <v>0</v>
      </c>
      <c r="E683" s="112">
        <f>'OPEN FOREIGN ORDER'!AB309</f>
        <v>0</v>
      </c>
      <c r="F683" s="112">
        <f>'OPEN FOREIGN ORDER'!AC309</f>
        <v>0</v>
      </c>
      <c r="G683" s="112">
        <f>'OPEN FOREIGN ORDER'!AD309</f>
        <v>0</v>
      </c>
      <c r="H683" s="112">
        <f>'OPEN FOREIGN ORDER'!AE309</f>
        <v>0</v>
      </c>
      <c r="I683" s="112">
        <f>'OPEN FOREIGN ORDER'!AF309</f>
        <v>0</v>
      </c>
      <c r="J683" s="112">
        <f>'OPEN FOREIGN ORDER'!AG309</f>
        <v>0</v>
      </c>
    </row>
    <row r="684" spans="1:10">
      <c r="A684">
        <f>'OPEN FOREIGN ORDER'!D310</f>
        <v>0</v>
      </c>
      <c r="B684">
        <f>'OPEN FOREIGN ORDER'!F310</f>
        <v>0</v>
      </c>
      <c r="C684">
        <f>'OPEN FOREIGN ORDER'!Z310</f>
        <v>0</v>
      </c>
      <c r="D684" s="123">
        <f>'OPEN FOREIGN ORDER'!AA310</f>
        <v>0</v>
      </c>
      <c r="E684" s="112">
        <f>'OPEN FOREIGN ORDER'!AB310</f>
        <v>0</v>
      </c>
      <c r="F684" s="112">
        <f>'OPEN FOREIGN ORDER'!AC310</f>
        <v>0</v>
      </c>
      <c r="G684" s="112">
        <f>'OPEN FOREIGN ORDER'!AD310</f>
        <v>0</v>
      </c>
      <c r="H684" s="112">
        <f>'OPEN FOREIGN ORDER'!AE310</f>
        <v>0</v>
      </c>
      <c r="I684" s="112">
        <f>'OPEN FOREIGN ORDER'!AF310</f>
        <v>0</v>
      </c>
      <c r="J684" s="112">
        <f>'OPEN FOREIGN ORDER'!AG310</f>
        <v>0</v>
      </c>
    </row>
    <row r="685" spans="1:10">
      <c r="A685">
        <f>'OPEN FOREIGN ORDER'!D311</f>
        <v>0</v>
      </c>
      <c r="B685">
        <f>'OPEN FOREIGN ORDER'!F311</f>
        <v>0</v>
      </c>
      <c r="C685">
        <f>'OPEN FOREIGN ORDER'!Z311</f>
        <v>0</v>
      </c>
      <c r="D685" s="123">
        <f>'OPEN FOREIGN ORDER'!AA311</f>
        <v>0</v>
      </c>
      <c r="E685" s="112">
        <f>'OPEN FOREIGN ORDER'!AB311</f>
        <v>0</v>
      </c>
      <c r="F685" s="112">
        <f>'OPEN FOREIGN ORDER'!AC311</f>
        <v>0</v>
      </c>
      <c r="G685" s="112">
        <f>'OPEN FOREIGN ORDER'!AD311</f>
        <v>0</v>
      </c>
      <c r="H685" s="112">
        <f>'OPEN FOREIGN ORDER'!AE311</f>
        <v>0</v>
      </c>
      <c r="I685" s="112">
        <f>'OPEN FOREIGN ORDER'!AF311</f>
        <v>0</v>
      </c>
      <c r="J685" s="112">
        <f>'OPEN FOREIGN ORDER'!AG311</f>
        <v>0</v>
      </c>
    </row>
    <row r="686" spans="1:10">
      <c r="A686">
        <f>'OPEN FOREIGN ORDER'!D312</f>
        <v>0</v>
      </c>
      <c r="B686">
        <f>'OPEN FOREIGN ORDER'!F312</f>
        <v>0</v>
      </c>
      <c r="C686">
        <f>'OPEN FOREIGN ORDER'!Z312</f>
        <v>0</v>
      </c>
      <c r="D686" s="123">
        <f>'OPEN FOREIGN ORDER'!AA312</f>
        <v>0</v>
      </c>
      <c r="E686" s="112">
        <f>'OPEN FOREIGN ORDER'!AB312</f>
        <v>0</v>
      </c>
      <c r="F686" s="112">
        <f>'OPEN FOREIGN ORDER'!AC312</f>
        <v>0</v>
      </c>
      <c r="G686" s="112">
        <f>'OPEN FOREIGN ORDER'!AD312</f>
        <v>0</v>
      </c>
      <c r="H686" s="112">
        <f>'OPEN FOREIGN ORDER'!AE312</f>
        <v>0</v>
      </c>
      <c r="I686" s="112">
        <f>'OPEN FOREIGN ORDER'!AF312</f>
        <v>0</v>
      </c>
      <c r="J686" s="112">
        <f>'OPEN FOREIGN ORDER'!AG312</f>
        <v>0</v>
      </c>
    </row>
    <row r="687" spans="1:10">
      <c r="A687">
        <f>'OPEN FOREIGN ORDER'!D313</f>
        <v>0</v>
      </c>
      <c r="B687">
        <f>'OPEN FOREIGN ORDER'!F313</f>
        <v>0</v>
      </c>
      <c r="C687">
        <f>'OPEN FOREIGN ORDER'!Z313</f>
        <v>0</v>
      </c>
      <c r="D687" s="123">
        <f>'OPEN FOREIGN ORDER'!AA313</f>
        <v>0</v>
      </c>
      <c r="E687" s="112">
        <f>'OPEN FOREIGN ORDER'!AB313</f>
        <v>0</v>
      </c>
      <c r="F687" s="112">
        <f>'OPEN FOREIGN ORDER'!AC313</f>
        <v>0</v>
      </c>
      <c r="G687" s="112">
        <f>'OPEN FOREIGN ORDER'!AD313</f>
        <v>0</v>
      </c>
      <c r="H687" s="112">
        <f>'OPEN FOREIGN ORDER'!AE313</f>
        <v>0</v>
      </c>
      <c r="I687" s="112">
        <f>'OPEN FOREIGN ORDER'!AF313</f>
        <v>0</v>
      </c>
      <c r="J687" s="112">
        <f>'OPEN FOREIGN ORDER'!AG313</f>
        <v>0</v>
      </c>
    </row>
    <row r="688" spans="1:10">
      <c r="A688">
        <f>'OPEN FOREIGN ORDER'!D314</f>
        <v>0</v>
      </c>
      <c r="B688">
        <f>'OPEN FOREIGN ORDER'!F314</f>
        <v>0</v>
      </c>
      <c r="C688">
        <f>'OPEN FOREIGN ORDER'!Z314</f>
        <v>0</v>
      </c>
      <c r="D688" s="123">
        <f>'OPEN FOREIGN ORDER'!AA314</f>
        <v>0</v>
      </c>
      <c r="E688" s="112">
        <f>'OPEN FOREIGN ORDER'!AB314</f>
        <v>0</v>
      </c>
      <c r="F688" s="112">
        <f>'OPEN FOREIGN ORDER'!AC314</f>
        <v>0</v>
      </c>
      <c r="G688" s="112">
        <f>'OPEN FOREIGN ORDER'!AD314</f>
        <v>0</v>
      </c>
      <c r="H688" s="112">
        <f>'OPEN FOREIGN ORDER'!AE314</f>
        <v>0</v>
      </c>
      <c r="I688" s="112">
        <f>'OPEN FOREIGN ORDER'!AF314</f>
        <v>0</v>
      </c>
      <c r="J688" s="112">
        <f>'OPEN FOREIGN ORDER'!AG314</f>
        <v>0</v>
      </c>
    </row>
    <row r="689" spans="1:10">
      <c r="A689">
        <f>'OPEN FOREIGN ORDER'!D315</f>
        <v>0</v>
      </c>
      <c r="B689">
        <f>'OPEN FOREIGN ORDER'!F315</f>
        <v>0</v>
      </c>
      <c r="C689">
        <f>'OPEN FOREIGN ORDER'!Z315</f>
        <v>0</v>
      </c>
      <c r="D689" s="123">
        <f>'OPEN FOREIGN ORDER'!AA315</f>
        <v>0</v>
      </c>
      <c r="E689" s="112">
        <f>'OPEN FOREIGN ORDER'!AB315</f>
        <v>0</v>
      </c>
      <c r="F689" s="112">
        <f>'OPEN FOREIGN ORDER'!AC315</f>
        <v>0</v>
      </c>
      <c r="G689" s="112">
        <f>'OPEN FOREIGN ORDER'!AD315</f>
        <v>0</v>
      </c>
      <c r="H689" s="112">
        <f>'OPEN FOREIGN ORDER'!AE315</f>
        <v>0</v>
      </c>
      <c r="I689" s="112">
        <f>'OPEN FOREIGN ORDER'!AF315</f>
        <v>0</v>
      </c>
      <c r="J689" s="112">
        <f>'OPEN FOREIGN ORDER'!AG315</f>
        <v>0</v>
      </c>
    </row>
    <row r="690" spans="1:10">
      <c r="A690">
        <f>'OPEN FOREIGN ORDER'!D316</f>
        <v>0</v>
      </c>
      <c r="B690">
        <f>'OPEN FOREIGN ORDER'!F316</f>
        <v>0</v>
      </c>
      <c r="C690">
        <f>'OPEN FOREIGN ORDER'!Z316</f>
        <v>0</v>
      </c>
      <c r="D690" s="123">
        <f>'OPEN FOREIGN ORDER'!AA316</f>
        <v>0</v>
      </c>
      <c r="E690" s="112">
        <f>'OPEN FOREIGN ORDER'!AB316</f>
        <v>0</v>
      </c>
      <c r="F690" s="112">
        <f>'OPEN FOREIGN ORDER'!AC316</f>
        <v>0</v>
      </c>
      <c r="G690" s="112">
        <f>'OPEN FOREIGN ORDER'!AD316</f>
        <v>0</v>
      </c>
      <c r="H690" s="112">
        <f>'OPEN FOREIGN ORDER'!AE316</f>
        <v>0</v>
      </c>
      <c r="I690" s="112">
        <f>'OPEN FOREIGN ORDER'!AF316</f>
        <v>0</v>
      </c>
      <c r="J690" s="112">
        <f>'OPEN FOREIGN ORDER'!AG316</f>
        <v>0</v>
      </c>
    </row>
    <row r="691" spans="1:10">
      <c r="A691">
        <f>'OPEN FOREIGN ORDER'!D317</f>
        <v>0</v>
      </c>
      <c r="B691">
        <f>'OPEN FOREIGN ORDER'!F317</f>
        <v>0</v>
      </c>
      <c r="C691">
        <f>'OPEN FOREIGN ORDER'!Z317</f>
        <v>0</v>
      </c>
      <c r="D691" s="123">
        <f>'OPEN FOREIGN ORDER'!AA317</f>
        <v>0</v>
      </c>
      <c r="E691" s="112">
        <f>'OPEN FOREIGN ORDER'!AB317</f>
        <v>0</v>
      </c>
      <c r="F691" s="112">
        <f>'OPEN FOREIGN ORDER'!AC317</f>
        <v>0</v>
      </c>
      <c r="G691" s="112">
        <f>'OPEN FOREIGN ORDER'!AD317</f>
        <v>0</v>
      </c>
      <c r="H691" s="112">
        <f>'OPEN FOREIGN ORDER'!AE317</f>
        <v>0</v>
      </c>
      <c r="I691" s="112">
        <f>'OPEN FOREIGN ORDER'!AF317</f>
        <v>0</v>
      </c>
      <c r="J691" s="112">
        <f>'OPEN FOREIGN ORDER'!AG317</f>
        <v>0</v>
      </c>
    </row>
    <row r="692" spans="1:10">
      <c r="A692">
        <f>'OPEN FOREIGN ORDER'!D318</f>
        <v>0</v>
      </c>
      <c r="B692">
        <f>'OPEN FOREIGN ORDER'!F318</f>
        <v>0</v>
      </c>
      <c r="C692">
        <f>'OPEN FOREIGN ORDER'!Z318</f>
        <v>0</v>
      </c>
      <c r="D692" s="123">
        <f>'OPEN FOREIGN ORDER'!AA318</f>
        <v>0</v>
      </c>
      <c r="E692" s="112">
        <f>'OPEN FOREIGN ORDER'!AB318</f>
        <v>0</v>
      </c>
      <c r="F692" s="112">
        <f>'OPEN FOREIGN ORDER'!AC318</f>
        <v>0</v>
      </c>
      <c r="G692" s="112">
        <f>'OPEN FOREIGN ORDER'!AD318</f>
        <v>0</v>
      </c>
      <c r="H692" s="112">
        <f>'OPEN FOREIGN ORDER'!AE318</f>
        <v>0</v>
      </c>
      <c r="I692" s="112">
        <f>'OPEN FOREIGN ORDER'!AF318</f>
        <v>0</v>
      </c>
      <c r="J692" s="112">
        <f>'OPEN FOREIGN ORDER'!AG318</f>
        <v>0</v>
      </c>
    </row>
    <row r="693" spans="1:10">
      <c r="A693">
        <f>'OPEN FOREIGN ORDER'!D319</f>
        <v>0</v>
      </c>
      <c r="B693">
        <f>'OPEN FOREIGN ORDER'!F319</f>
        <v>0</v>
      </c>
      <c r="C693">
        <f>'OPEN FOREIGN ORDER'!Z319</f>
        <v>0</v>
      </c>
      <c r="D693" s="123">
        <f>'OPEN FOREIGN ORDER'!AA319</f>
        <v>0</v>
      </c>
      <c r="E693" s="112">
        <f>'OPEN FOREIGN ORDER'!AB319</f>
        <v>0</v>
      </c>
      <c r="F693" s="112">
        <f>'OPEN FOREIGN ORDER'!AC319</f>
        <v>0</v>
      </c>
      <c r="G693" s="112">
        <f>'OPEN FOREIGN ORDER'!AD319</f>
        <v>0</v>
      </c>
      <c r="H693" s="112">
        <f>'OPEN FOREIGN ORDER'!AE319</f>
        <v>0</v>
      </c>
      <c r="I693" s="112">
        <f>'OPEN FOREIGN ORDER'!AF319</f>
        <v>0</v>
      </c>
      <c r="J693" s="112">
        <f>'OPEN FOREIGN ORDER'!AG319</f>
        <v>0</v>
      </c>
    </row>
    <row r="694" spans="1:10">
      <c r="A694">
        <f>'OPEN FOREIGN ORDER'!D320</f>
        <v>0</v>
      </c>
      <c r="B694">
        <f>'OPEN FOREIGN ORDER'!F320</f>
        <v>0</v>
      </c>
      <c r="C694">
        <f>'OPEN FOREIGN ORDER'!Z320</f>
        <v>0</v>
      </c>
      <c r="D694" s="123">
        <f>'OPEN FOREIGN ORDER'!AA320</f>
        <v>0</v>
      </c>
      <c r="E694" s="112">
        <f>'OPEN FOREIGN ORDER'!AB320</f>
        <v>0</v>
      </c>
      <c r="F694" s="112">
        <f>'OPEN FOREIGN ORDER'!AC320</f>
        <v>0</v>
      </c>
      <c r="G694" s="112">
        <f>'OPEN FOREIGN ORDER'!AD320</f>
        <v>0</v>
      </c>
      <c r="H694" s="112">
        <f>'OPEN FOREIGN ORDER'!AE320</f>
        <v>0</v>
      </c>
      <c r="I694" s="112">
        <f>'OPEN FOREIGN ORDER'!AF320</f>
        <v>0</v>
      </c>
      <c r="J694" s="112">
        <f>'OPEN FOREIGN ORDER'!AG320</f>
        <v>0</v>
      </c>
    </row>
    <row r="695" spans="1:10">
      <c r="A695">
        <f>'OPEN FOREIGN ORDER'!D321</f>
        <v>0</v>
      </c>
      <c r="B695">
        <f>'OPEN FOREIGN ORDER'!F321</f>
        <v>0</v>
      </c>
      <c r="C695">
        <f>'OPEN FOREIGN ORDER'!Z321</f>
        <v>0</v>
      </c>
      <c r="D695" s="123">
        <f>'OPEN FOREIGN ORDER'!AA321</f>
        <v>0</v>
      </c>
      <c r="E695" s="112">
        <f>'OPEN FOREIGN ORDER'!AB321</f>
        <v>0</v>
      </c>
      <c r="F695" s="112">
        <f>'OPEN FOREIGN ORDER'!AC321</f>
        <v>0</v>
      </c>
      <c r="G695" s="112">
        <f>'OPEN FOREIGN ORDER'!AD321</f>
        <v>0</v>
      </c>
      <c r="H695" s="112">
        <f>'OPEN FOREIGN ORDER'!AE321</f>
        <v>0</v>
      </c>
      <c r="I695" s="112">
        <f>'OPEN FOREIGN ORDER'!AF321</f>
        <v>0</v>
      </c>
      <c r="J695" s="112">
        <f>'OPEN FOREIGN ORDER'!AG321</f>
        <v>0</v>
      </c>
    </row>
    <row r="696" spans="1:10">
      <c r="A696">
        <f>'OPEN FOREIGN ORDER'!D322</f>
        <v>0</v>
      </c>
      <c r="B696">
        <f>'OPEN FOREIGN ORDER'!F322</f>
        <v>0</v>
      </c>
      <c r="C696">
        <f>'OPEN FOREIGN ORDER'!Z322</f>
        <v>0</v>
      </c>
      <c r="D696" s="123">
        <f>'OPEN FOREIGN ORDER'!AA322</f>
        <v>0</v>
      </c>
      <c r="E696" s="112">
        <f>'OPEN FOREIGN ORDER'!AB322</f>
        <v>0</v>
      </c>
      <c r="F696" s="112">
        <f>'OPEN FOREIGN ORDER'!AC322</f>
        <v>0</v>
      </c>
      <c r="G696" s="112">
        <f>'OPEN FOREIGN ORDER'!AD322</f>
        <v>0</v>
      </c>
      <c r="H696" s="112">
        <f>'OPEN FOREIGN ORDER'!AE322</f>
        <v>0</v>
      </c>
      <c r="I696" s="112">
        <f>'OPEN FOREIGN ORDER'!AF322</f>
        <v>0</v>
      </c>
      <c r="J696" s="112">
        <f>'OPEN FOREIGN ORDER'!AG322</f>
        <v>0</v>
      </c>
    </row>
    <row r="697" spans="1:10">
      <c r="A697">
        <f>'OPEN FOREIGN ORDER'!D323</f>
        <v>0</v>
      </c>
      <c r="B697">
        <f>'OPEN FOREIGN ORDER'!F323</f>
        <v>0</v>
      </c>
      <c r="C697">
        <f>'OPEN FOREIGN ORDER'!Z323</f>
        <v>0</v>
      </c>
      <c r="D697" s="123">
        <f>'OPEN FOREIGN ORDER'!AA323</f>
        <v>0</v>
      </c>
      <c r="E697" s="112">
        <f>'OPEN FOREIGN ORDER'!AB323</f>
        <v>0</v>
      </c>
      <c r="F697" s="112">
        <f>'OPEN FOREIGN ORDER'!AC323</f>
        <v>0</v>
      </c>
      <c r="G697" s="112">
        <f>'OPEN FOREIGN ORDER'!AD323</f>
        <v>0</v>
      </c>
      <c r="H697" s="112">
        <f>'OPEN FOREIGN ORDER'!AE323</f>
        <v>0</v>
      </c>
      <c r="I697" s="112">
        <f>'OPEN FOREIGN ORDER'!AF323</f>
        <v>0</v>
      </c>
      <c r="J697" s="112">
        <f>'OPEN FOREIGN ORDER'!AG323</f>
        <v>0</v>
      </c>
    </row>
    <row r="698" spans="1:10">
      <c r="A698">
        <f>'OPEN FOREIGN ORDER'!D324</f>
        <v>0</v>
      </c>
      <c r="B698">
        <f>'OPEN FOREIGN ORDER'!F324</f>
        <v>0</v>
      </c>
      <c r="C698">
        <f>'OPEN FOREIGN ORDER'!Z324</f>
        <v>0</v>
      </c>
      <c r="D698" s="123">
        <f>'OPEN FOREIGN ORDER'!AA324</f>
        <v>0</v>
      </c>
      <c r="E698" s="112">
        <f>'OPEN FOREIGN ORDER'!AB324</f>
        <v>0</v>
      </c>
      <c r="F698" s="112">
        <f>'OPEN FOREIGN ORDER'!AC324</f>
        <v>0</v>
      </c>
      <c r="G698" s="112">
        <f>'OPEN FOREIGN ORDER'!AD324</f>
        <v>0</v>
      </c>
      <c r="H698" s="112">
        <f>'OPEN FOREIGN ORDER'!AE324</f>
        <v>0</v>
      </c>
      <c r="I698" s="112">
        <f>'OPEN FOREIGN ORDER'!AF324</f>
        <v>0</v>
      </c>
      <c r="J698" s="112">
        <f>'OPEN FOREIGN ORDER'!AG324</f>
        <v>0</v>
      </c>
    </row>
    <row r="699" spans="1:10">
      <c r="A699">
        <f>'OPEN FOREIGN ORDER'!D325</f>
        <v>0</v>
      </c>
      <c r="B699">
        <f>'OPEN FOREIGN ORDER'!F325</f>
        <v>0</v>
      </c>
      <c r="C699">
        <f>'OPEN FOREIGN ORDER'!Z325</f>
        <v>0</v>
      </c>
      <c r="D699" s="123">
        <f>'OPEN FOREIGN ORDER'!AA325</f>
        <v>0</v>
      </c>
      <c r="E699" s="112">
        <f>'OPEN FOREIGN ORDER'!AB325</f>
        <v>0</v>
      </c>
      <c r="F699" s="112">
        <f>'OPEN FOREIGN ORDER'!AC325</f>
        <v>0</v>
      </c>
      <c r="G699" s="112">
        <f>'OPEN FOREIGN ORDER'!AD325</f>
        <v>0</v>
      </c>
      <c r="H699" s="112">
        <f>'OPEN FOREIGN ORDER'!AE325</f>
        <v>0</v>
      </c>
      <c r="I699" s="112">
        <f>'OPEN FOREIGN ORDER'!AF325</f>
        <v>0</v>
      </c>
      <c r="J699" s="112">
        <f>'OPEN FOREIGN ORDER'!AG325</f>
        <v>0</v>
      </c>
    </row>
    <row r="700" spans="1:10">
      <c r="A700">
        <f>'OPEN FOREIGN ORDER'!D326</f>
        <v>0</v>
      </c>
      <c r="B700">
        <f>'OPEN FOREIGN ORDER'!F326</f>
        <v>0</v>
      </c>
      <c r="C700">
        <f>'OPEN FOREIGN ORDER'!Z326</f>
        <v>0</v>
      </c>
      <c r="D700" s="123">
        <f>'OPEN FOREIGN ORDER'!AA326</f>
        <v>0</v>
      </c>
      <c r="E700" s="112">
        <f>'OPEN FOREIGN ORDER'!AB326</f>
        <v>0</v>
      </c>
      <c r="F700" s="112">
        <f>'OPEN FOREIGN ORDER'!AC326</f>
        <v>0</v>
      </c>
      <c r="G700" s="112">
        <f>'OPEN FOREIGN ORDER'!AD326</f>
        <v>0</v>
      </c>
      <c r="H700" s="112">
        <f>'OPEN FOREIGN ORDER'!AE326</f>
        <v>0</v>
      </c>
      <c r="I700" s="112">
        <f>'OPEN FOREIGN ORDER'!AF326</f>
        <v>0</v>
      </c>
      <c r="J700" s="112">
        <f>'OPEN FOREIGN ORDER'!AG326</f>
        <v>0</v>
      </c>
    </row>
    <row r="701" spans="1:10">
      <c r="A701">
        <f>'OPEN FOREIGN ORDER'!D327</f>
        <v>0</v>
      </c>
      <c r="B701">
        <f>'OPEN FOREIGN ORDER'!F327</f>
        <v>0</v>
      </c>
      <c r="C701">
        <f>'OPEN FOREIGN ORDER'!Z327</f>
        <v>0</v>
      </c>
      <c r="D701" s="123">
        <f>'OPEN FOREIGN ORDER'!AA327</f>
        <v>0</v>
      </c>
      <c r="E701" s="112">
        <f>'OPEN FOREIGN ORDER'!AB327</f>
        <v>0</v>
      </c>
      <c r="F701" s="112">
        <f>'OPEN FOREIGN ORDER'!AC327</f>
        <v>0</v>
      </c>
      <c r="G701" s="112">
        <f>'OPEN FOREIGN ORDER'!AD327</f>
        <v>0</v>
      </c>
      <c r="H701" s="112">
        <f>'OPEN FOREIGN ORDER'!AE327</f>
        <v>0</v>
      </c>
      <c r="I701" s="112">
        <f>'OPEN FOREIGN ORDER'!AF327</f>
        <v>0</v>
      </c>
      <c r="J701" s="112">
        <f>'OPEN FOREIGN ORDER'!AG327</f>
        <v>0</v>
      </c>
    </row>
    <row r="702" spans="1:10">
      <c r="A702">
        <f>'OPEN FOREIGN ORDER'!D328</f>
        <v>0</v>
      </c>
      <c r="B702">
        <f>'OPEN FOREIGN ORDER'!F328</f>
        <v>0</v>
      </c>
      <c r="C702">
        <f>'OPEN FOREIGN ORDER'!Z328</f>
        <v>0</v>
      </c>
      <c r="D702" s="123">
        <f>'OPEN FOREIGN ORDER'!AA328</f>
        <v>0</v>
      </c>
      <c r="E702" s="112">
        <f>'OPEN FOREIGN ORDER'!AB328</f>
        <v>0</v>
      </c>
      <c r="F702" s="112">
        <f>'OPEN FOREIGN ORDER'!AC328</f>
        <v>0</v>
      </c>
      <c r="G702" s="112">
        <f>'OPEN FOREIGN ORDER'!AD328</f>
        <v>0</v>
      </c>
      <c r="H702" s="112">
        <f>'OPEN FOREIGN ORDER'!AE328</f>
        <v>0</v>
      </c>
      <c r="I702" s="112">
        <f>'OPEN FOREIGN ORDER'!AF328</f>
        <v>0</v>
      </c>
      <c r="J702" s="112">
        <f>'OPEN FOREIGN ORDER'!AG328</f>
        <v>0</v>
      </c>
    </row>
    <row r="703" spans="1:10">
      <c r="A703">
        <f>'OPEN FOREIGN ORDER'!D329</f>
        <v>0</v>
      </c>
      <c r="B703">
        <f>'OPEN FOREIGN ORDER'!F329</f>
        <v>0</v>
      </c>
      <c r="C703">
        <f>'OPEN FOREIGN ORDER'!Z329</f>
        <v>0</v>
      </c>
      <c r="D703" s="123">
        <f>'OPEN FOREIGN ORDER'!AA329</f>
        <v>0</v>
      </c>
      <c r="E703" s="112">
        <f>'OPEN FOREIGN ORDER'!AB329</f>
        <v>0</v>
      </c>
      <c r="F703" s="112">
        <f>'OPEN FOREIGN ORDER'!AC329</f>
        <v>0</v>
      </c>
      <c r="G703" s="112">
        <f>'OPEN FOREIGN ORDER'!AD329</f>
        <v>0</v>
      </c>
      <c r="H703" s="112">
        <f>'OPEN FOREIGN ORDER'!AE329</f>
        <v>0</v>
      </c>
      <c r="I703" s="112">
        <f>'OPEN FOREIGN ORDER'!AF329</f>
        <v>0</v>
      </c>
      <c r="J703" s="112">
        <f>'OPEN FOREIGN ORDER'!AG329</f>
        <v>0</v>
      </c>
    </row>
    <row r="704" spans="1:10">
      <c r="A704">
        <f>'OPEN FOREIGN ORDER'!D330</f>
        <v>0</v>
      </c>
      <c r="B704">
        <f>'OPEN FOREIGN ORDER'!F330</f>
        <v>0</v>
      </c>
      <c r="C704">
        <f>'OPEN FOREIGN ORDER'!Z330</f>
        <v>0</v>
      </c>
      <c r="D704" s="123">
        <f>'OPEN FOREIGN ORDER'!AA330</f>
        <v>0</v>
      </c>
      <c r="E704" s="112">
        <f>'OPEN FOREIGN ORDER'!AB330</f>
        <v>0</v>
      </c>
      <c r="F704" s="112">
        <f>'OPEN FOREIGN ORDER'!AC330</f>
        <v>0</v>
      </c>
      <c r="G704" s="112">
        <f>'OPEN FOREIGN ORDER'!AD330</f>
        <v>0</v>
      </c>
      <c r="H704" s="112">
        <f>'OPEN FOREIGN ORDER'!AE330</f>
        <v>0</v>
      </c>
      <c r="I704" s="112">
        <f>'OPEN FOREIGN ORDER'!AF330</f>
        <v>0</v>
      </c>
      <c r="J704" s="112">
        <f>'OPEN FOREIGN ORDER'!AG330</f>
        <v>0</v>
      </c>
    </row>
    <row r="705" spans="1:10">
      <c r="A705">
        <f>'OPEN FOREIGN ORDER'!D331</f>
        <v>0</v>
      </c>
      <c r="B705">
        <f>'OPEN FOREIGN ORDER'!F331</f>
        <v>0</v>
      </c>
      <c r="C705">
        <f>'OPEN FOREIGN ORDER'!Z331</f>
        <v>0</v>
      </c>
      <c r="D705" s="123">
        <f>'OPEN FOREIGN ORDER'!AA331</f>
        <v>0</v>
      </c>
      <c r="E705" s="112">
        <f>'OPEN FOREIGN ORDER'!AB331</f>
        <v>0</v>
      </c>
      <c r="F705" s="112">
        <f>'OPEN FOREIGN ORDER'!AC331</f>
        <v>0</v>
      </c>
      <c r="G705" s="112">
        <f>'OPEN FOREIGN ORDER'!AD331</f>
        <v>0</v>
      </c>
      <c r="H705" s="112">
        <f>'OPEN FOREIGN ORDER'!AE331</f>
        <v>0</v>
      </c>
      <c r="I705" s="112">
        <f>'OPEN FOREIGN ORDER'!AF331</f>
        <v>0</v>
      </c>
      <c r="J705" s="112">
        <f>'OPEN FOREIGN ORDER'!AG331</f>
        <v>0</v>
      </c>
    </row>
    <row r="706" spans="1:10">
      <c r="A706">
        <f>'OPEN FOREIGN ORDER'!D332</f>
        <v>0</v>
      </c>
      <c r="B706">
        <f>'OPEN FOREIGN ORDER'!F332</f>
        <v>0</v>
      </c>
      <c r="C706">
        <f>'OPEN FOREIGN ORDER'!Z332</f>
        <v>0</v>
      </c>
      <c r="D706" s="123">
        <f>'OPEN FOREIGN ORDER'!AA332</f>
        <v>0</v>
      </c>
      <c r="E706" s="112">
        <f>'OPEN FOREIGN ORDER'!AB332</f>
        <v>0</v>
      </c>
      <c r="F706" s="112">
        <f>'OPEN FOREIGN ORDER'!AC332</f>
        <v>0</v>
      </c>
      <c r="G706" s="112">
        <f>'OPEN FOREIGN ORDER'!AD332</f>
        <v>0</v>
      </c>
      <c r="H706" s="112">
        <f>'OPEN FOREIGN ORDER'!AE332</f>
        <v>0</v>
      </c>
      <c r="I706" s="112">
        <f>'OPEN FOREIGN ORDER'!AF332</f>
        <v>0</v>
      </c>
      <c r="J706" s="112">
        <f>'OPEN FOREIGN ORDER'!AG332</f>
        <v>0</v>
      </c>
    </row>
    <row r="707" spans="1:10">
      <c r="A707">
        <f>'OPEN FOREIGN ORDER'!D333</f>
        <v>0</v>
      </c>
      <c r="B707">
        <f>'OPEN FOREIGN ORDER'!F333</f>
        <v>0</v>
      </c>
      <c r="C707">
        <f>'OPEN FOREIGN ORDER'!Z333</f>
        <v>0</v>
      </c>
      <c r="D707" s="123">
        <f>'OPEN FOREIGN ORDER'!AA333</f>
        <v>0</v>
      </c>
      <c r="E707" s="112">
        <f>'OPEN FOREIGN ORDER'!AB333</f>
        <v>0</v>
      </c>
      <c r="F707" s="112">
        <f>'OPEN FOREIGN ORDER'!AC333</f>
        <v>0</v>
      </c>
      <c r="G707" s="112">
        <f>'OPEN FOREIGN ORDER'!AD333</f>
        <v>0</v>
      </c>
      <c r="H707" s="112">
        <f>'OPEN FOREIGN ORDER'!AE333</f>
        <v>0</v>
      </c>
      <c r="I707" s="112">
        <f>'OPEN FOREIGN ORDER'!AF333</f>
        <v>0</v>
      </c>
      <c r="J707" s="112">
        <f>'OPEN FOREIGN ORDER'!AG333</f>
        <v>0</v>
      </c>
    </row>
    <row r="708" spans="1:10">
      <c r="A708">
        <f>'OPEN FOREIGN ORDER'!D334</f>
        <v>0</v>
      </c>
      <c r="B708">
        <f>'OPEN FOREIGN ORDER'!F334</f>
        <v>0</v>
      </c>
      <c r="C708">
        <f>'OPEN FOREIGN ORDER'!Z334</f>
        <v>0</v>
      </c>
      <c r="D708" s="123">
        <f>'OPEN FOREIGN ORDER'!AA334</f>
        <v>0</v>
      </c>
      <c r="E708" s="112">
        <f>'OPEN FOREIGN ORDER'!AB334</f>
        <v>0</v>
      </c>
      <c r="F708" s="112">
        <f>'OPEN FOREIGN ORDER'!AC334</f>
        <v>0</v>
      </c>
      <c r="G708" s="112">
        <f>'OPEN FOREIGN ORDER'!AD334</f>
        <v>0</v>
      </c>
      <c r="H708" s="112">
        <f>'OPEN FOREIGN ORDER'!AE334</f>
        <v>0</v>
      </c>
      <c r="I708" s="112">
        <f>'OPEN FOREIGN ORDER'!AF334</f>
        <v>0</v>
      </c>
      <c r="J708" s="112">
        <f>'OPEN FOREIGN ORDER'!AG334</f>
        <v>0</v>
      </c>
    </row>
    <row r="709" spans="1:10">
      <c r="A709">
        <f>'OPEN FOREIGN ORDER'!D335</f>
        <v>0</v>
      </c>
      <c r="B709">
        <f>'OPEN FOREIGN ORDER'!F335</f>
        <v>0</v>
      </c>
      <c r="C709">
        <f>'OPEN FOREIGN ORDER'!Z335</f>
        <v>0</v>
      </c>
      <c r="D709" s="123">
        <f>'OPEN FOREIGN ORDER'!AA335</f>
        <v>0</v>
      </c>
      <c r="E709" s="112">
        <f>'OPEN FOREIGN ORDER'!AB335</f>
        <v>0</v>
      </c>
      <c r="F709" s="112">
        <f>'OPEN FOREIGN ORDER'!AC335</f>
        <v>0</v>
      </c>
      <c r="G709" s="112">
        <f>'OPEN FOREIGN ORDER'!AD335</f>
        <v>0</v>
      </c>
      <c r="H709" s="112">
        <f>'OPEN FOREIGN ORDER'!AE335</f>
        <v>0</v>
      </c>
      <c r="I709" s="112">
        <f>'OPEN FOREIGN ORDER'!AF335</f>
        <v>0</v>
      </c>
      <c r="J709" s="112">
        <f>'OPEN FOREIGN ORDER'!AG335</f>
        <v>0</v>
      </c>
    </row>
    <row r="710" spans="1:10">
      <c r="A710">
        <f>'OPEN FOREIGN ORDER'!D336</f>
        <v>0</v>
      </c>
      <c r="B710">
        <f>'OPEN FOREIGN ORDER'!F336</f>
        <v>0</v>
      </c>
      <c r="C710">
        <f>'OPEN FOREIGN ORDER'!Z336</f>
        <v>0</v>
      </c>
      <c r="D710" s="123">
        <f>'OPEN FOREIGN ORDER'!AA336</f>
        <v>0</v>
      </c>
      <c r="E710" s="112">
        <f>'OPEN FOREIGN ORDER'!AB336</f>
        <v>0</v>
      </c>
      <c r="F710" s="112">
        <f>'OPEN FOREIGN ORDER'!AC336</f>
        <v>0</v>
      </c>
      <c r="G710" s="112">
        <f>'OPEN FOREIGN ORDER'!AD336</f>
        <v>0</v>
      </c>
      <c r="H710" s="112">
        <f>'OPEN FOREIGN ORDER'!AE336</f>
        <v>0</v>
      </c>
      <c r="I710" s="112">
        <f>'OPEN FOREIGN ORDER'!AF336</f>
        <v>0</v>
      </c>
      <c r="J710" s="112">
        <f>'OPEN FOREIGN ORDER'!AG336</f>
        <v>0</v>
      </c>
    </row>
    <row r="711" spans="1:10">
      <c r="A711">
        <f>'OPEN FOREIGN ORDER'!D337</f>
        <v>0</v>
      </c>
      <c r="B711">
        <f>'OPEN FOREIGN ORDER'!F337</f>
        <v>0</v>
      </c>
      <c r="C711">
        <f>'OPEN FOREIGN ORDER'!Z337</f>
        <v>0</v>
      </c>
      <c r="D711" s="123">
        <f>'OPEN FOREIGN ORDER'!AA337</f>
        <v>0</v>
      </c>
      <c r="E711" s="112">
        <f>'OPEN FOREIGN ORDER'!AB337</f>
        <v>0</v>
      </c>
      <c r="F711" s="112">
        <f>'OPEN FOREIGN ORDER'!AC337</f>
        <v>0</v>
      </c>
      <c r="G711" s="112">
        <f>'OPEN FOREIGN ORDER'!AD337</f>
        <v>0</v>
      </c>
      <c r="H711" s="112">
        <f>'OPEN FOREIGN ORDER'!AE337</f>
        <v>0</v>
      </c>
      <c r="I711" s="112">
        <f>'OPEN FOREIGN ORDER'!AF337</f>
        <v>0</v>
      </c>
      <c r="J711" s="112">
        <f>'OPEN FOREIGN ORDER'!AG337</f>
        <v>0</v>
      </c>
    </row>
    <row r="712" spans="1:10">
      <c r="A712">
        <f>'OPEN FOREIGN ORDER'!D338</f>
        <v>0</v>
      </c>
      <c r="B712">
        <f>'OPEN FOREIGN ORDER'!F338</f>
        <v>0</v>
      </c>
      <c r="C712">
        <f>'OPEN FOREIGN ORDER'!Z338</f>
        <v>0</v>
      </c>
      <c r="D712" s="123">
        <f>'OPEN FOREIGN ORDER'!AA338</f>
        <v>0</v>
      </c>
      <c r="E712" s="112">
        <f>'OPEN FOREIGN ORDER'!AB338</f>
        <v>0</v>
      </c>
      <c r="F712" s="112">
        <f>'OPEN FOREIGN ORDER'!AC338</f>
        <v>0</v>
      </c>
      <c r="G712" s="112">
        <f>'OPEN FOREIGN ORDER'!AD338</f>
        <v>0</v>
      </c>
      <c r="H712" s="112">
        <f>'OPEN FOREIGN ORDER'!AE338</f>
        <v>0</v>
      </c>
      <c r="I712" s="112">
        <f>'OPEN FOREIGN ORDER'!AF338</f>
        <v>0</v>
      </c>
      <c r="J712" s="112">
        <f>'OPEN FOREIGN ORDER'!AG338</f>
        <v>0</v>
      </c>
    </row>
    <row r="713" spans="1:10">
      <c r="A713">
        <f>'OPEN FOREIGN ORDER'!D339</f>
        <v>0</v>
      </c>
      <c r="B713">
        <f>'OPEN FOREIGN ORDER'!F339</f>
        <v>0</v>
      </c>
      <c r="C713">
        <f>'OPEN FOREIGN ORDER'!Z339</f>
        <v>0</v>
      </c>
      <c r="D713" s="123">
        <f>'OPEN FOREIGN ORDER'!AA339</f>
        <v>0</v>
      </c>
      <c r="E713" s="112">
        <f>'OPEN FOREIGN ORDER'!AB339</f>
        <v>0</v>
      </c>
      <c r="F713" s="112">
        <f>'OPEN FOREIGN ORDER'!AC339</f>
        <v>0</v>
      </c>
      <c r="G713" s="112">
        <f>'OPEN FOREIGN ORDER'!AD339</f>
        <v>0</v>
      </c>
      <c r="H713" s="112">
        <f>'OPEN FOREIGN ORDER'!AE339</f>
        <v>0</v>
      </c>
      <c r="I713" s="112">
        <f>'OPEN FOREIGN ORDER'!AF339</f>
        <v>0</v>
      </c>
      <c r="J713" s="112">
        <f>'OPEN FOREIGN ORDER'!AG339</f>
        <v>0</v>
      </c>
    </row>
    <row r="714" spans="1:10">
      <c r="A714">
        <f>'OPEN FOREIGN ORDER'!D340</f>
        <v>0</v>
      </c>
      <c r="B714">
        <f>'OPEN FOREIGN ORDER'!F340</f>
        <v>0</v>
      </c>
      <c r="C714">
        <f>'OPEN FOREIGN ORDER'!Z340</f>
        <v>0</v>
      </c>
      <c r="D714" s="123">
        <f>'OPEN FOREIGN ORDER'!AA340</f>
        <v>0</v>
      </c>
      <c r="E714" s="112">
        <f>'OPEN FOREIGN ORDER'!AB340</f>
        <v>0</v>
      </c>
      <c r="F714" s="112">
        <f>'OPEN FOREIGN ORDER'!AC340</f>
        <v>0</v>
      </c>
      <c r="G714" s="112">
        <f>'OPEN FOREIGN ORDER'!AD340</f>
        <v>0</v>
      </c>
      <c r="H714" s="112">
        <f>'OPEN FOREIGN ORDER'!AE340</f>
        <v>0</v>
      </c>
      <c r="I714" s="112">
        <f>'OPEN FOREIGN ORDER'!AF340</f>
        <v>0</v>
      </c>
      <c r="J714" s="112">
        <f>'OPEN FOREIGN ORDER'!AG340</f>
        <v>0</v>
      </c>
    </row>
    <row r="715" spans="1:10">
      <c r="A715">
        <f>'OPEN FOREIGN ORDER'!D341</f>
        <v>0</v>
      </c>
      <c r="B715">
        <f>'OPEN FOREIGN ORDER'!F341</f>
        <v>0</v>
      </c>
      <c r="C715">
        <f>'OPEN FOREIGN ORDER'!Z341</f>
        <v>0</v>
      </c>
      <c r="D715" s="123">
        <f>'OPEN FOREIGN ORDER'!AA341</f>
        <v>0</v>
      </c>
      <c r="E715" s="112">
        <f>'OPEN FOREIGN ORDER'!AB341</f>
        <v>0</v>
      </c>
      <c r="F715" s="112">
        <f>'OPEN FOREIGN ORDER'!AC341</f>
        <v>0</v>
      </c>
      <c r="G715" s="112">
        <f>'OPEN FOREIGN ORDER'!AD341</f>
        <v>0</v>
      </c>
      <c r="H715" s="112">
        <f>'OPEN FOREIGN ORDER'!AE341</f>
        <v>0</v>
      </c>
      <c r="I715" s="112">
        <f>'OPEN FOREIGN ORDER'!AF341</f>
        <v>0</v>
      </c>
      <c r="J715" s="112">
        <f>'OPEN FOREIGN ORDER'!AG341</f>
        <v>0</v>
      </c>
    </row>
    <row r="716" spans="1:10">
      <c r="A716">
        <f>'OPEN FOREIGN ORDER'!D342</f>
        <v>0</v>
      </c>
      <c r="B716">
        <f>'OPEN FOREIGN ORDER'!F342</f>
        <v>0</v>
      </c>
      <c r="C716">
        <f>'OPEN FOREIGN ORDER'!Z342</f>
        <v>0</v>
      </c>
      <c r="D716" s="123">
        <f>'OPEN FOREIGN ORDER'!AA342</f>
        <v>0</v>
      </c>
      <c r="E716" s="112">
        <f>'OPEN FOREIGN ORDER'!AB342</f>
        <v>0</v>
      </c>
      <c r="F716" s="112">
        <f>'OPEN FOREIGN ORDER'!AC342</f>
        <v>0</v>
      </c>
      <c r="G716" s="112">
        <f>'OPEN FOREIGN ORDER'!AD342</f>
        <v>0</v>
      </c>
      <c r="H716" s="112">
        <f>'OPEN FOREIGN ORDER'!AE342</f>
        <v>0</v>
      </c>
      <c r="I716" s="112">
        <f>'OPEN FOREIGN ORDER'!AF342</f>
        <v>0</v>
      </c>
      <c r="J716" s="112">
        <f>'OPEN FOREIGN ORDER'!AG342</f>
        <v>0</v>
      </c>
    </row>
    <row r="717" spans="1:10">
      <c r="A717">
        <f>'OPEN FOREIGN ORDER'!D343</f>
        <v>0</v>
      </c>
      <c r="B717">
        <f>'OPEN FOREIGN ORDER'!F343</f>
        <v>0</v>
      </c>
      <c r="C717">
        <f>'OPEN FOREIGN ORDER'!Z343</f>
        <v>0</v>
      </c>
      <c r="D717" s="123">
        <f>'OPEN FOREIGN ORDER'!AA343</f>
        <v>0</v>
      </c>
      <c r="E717" s="112">
        <f>'OPEN FOREIGN ORDER'!AB343</f>
        <v>0</v>
      </c>
      <c r="F717" s="112">
        <f>'OPEN FOREIGN ORDER'!AC343</f>
        <v>0</v>
      </c>
      <c r="G717" s="112">
        <f>'OPEN FOREIGN ORDER'!AD343</f>
        <v>0</v>
      </c>
      <c r="H717" s="112">
        <f>'OPEN FOREIGN ORDER'!AE343</f>
        <v>0</v>
      </c>
      <c r="I717" s="112">
        <f>'OPEN FOREIGN ORDER'!AF343</f>
        <v>0</v>
      </c>
      <c r="J717" s="112">
        <f>'OPEN FOREIGN ORDER'!AG343</f>
        <v>0</v>
      </c>
    </row>
    <row r="718" spans="1:10">
      <c r="A718">
        <f>'OPEN FOREIGN ORDER'!D344</f>
        <v>0</v>
      </c>
      <c r="B718">
        <f>'OPEN FOREIGN ORDER'!F344</f>
        <v>0</v>
      </c>
      <c r="C718">
        <f>'OPEN FOREIGN ORDER'!Z344</f>
        <v>0</v>
      </c>
      <c r="D718" s="123">
        <f>'OPEN FOREIGN ORDER'!AA344</f>
        <v>0</v>
      </c>
      <c r="E718" s="112">
        <f>'OPEN FOREIGN ORDER'!AB344</f>
        <v>0</v>
      </c>
      <c r="F718" s="112">
        <f>'OPEN FOREIGN ORDER'!AC344</f>
        <v>0</v>
      </c>
      <c r="G718" s="112">
        <f>'OPEN FOREIGN ORDER'!AD344</f>
        <v>0</v>
      </c>
      <c r="H718" s="112">
        <f>'OPEN FOREIGN ORDER'!AE344</f>
        <v>0</v>
      </c>
      <c r="I718" s="112">
        <f>'OPEN FOREIGN ORDER'!AF344</f>
        <v>0</v>
      </c>
      <c r="J718" s="112">
        <f>'OPEN FOREIGN ORDER'!AG344</f>
        <v>0</v>
      </c>
    </row>
    <row r="719" spans="1:10">
      <c r="A719">
        <f>'OPEN FOREIGN ORDER'!D345</f>
        <v>0</v>
      </c>
      <c r="B719">
        <f>'OPEN FOREIGN ORDER'!F345</f>
        <v>0</v>
      </c>
      <c r="C719">
        <f>'OPEN FOREIGN ORDER'!Z345</f>
        <v>0</v>
      </c>
      <c r="D719" s="123">
        <f>'OPEN FOREIGN ORDER'!AA345</f>
        <v>0</v>
      </c>
      <c r="E719" s="112">
        <f>'OPEN FOREIGN ORDER'!AB345</f>
        <v>0</v>
      </c>
      <c r="F719" s="112">
        <f>'OPEN FOREIGN ORDER'!AC345</f>
        <v>0</v>
      </c>
      <c r="G719" s="112">
        <f>'OPEN FOREIGN ORDER'!AD345</f>
        <v>0</v>
      </c>
      <c r="H719" s="112">
        <f>'OPEN FOREIGN ORDER'!AE345</f>
        <v>0</v>
      </c>
      <c r="I719" s="112">
        <f>'OPEN FOREIGN ORDER'!AF345</f>
        <v>0</v>
      </c>
      <c r="J719" s="112">
        <f>'OPEN FOREIGN ORDER'!AG345</f>
        <v>0</v>
      </c>
    </row>
    <row r="720" spans="1:10">
      <c r="A720">
        <f>'OPEN FOREIGN ORDER'!D346</f>
        <v>0</v>
      </c>
      <c r="B720">
        <f>'OPEN FOREIGN ORDER'!F346</f>
        <v>0</v>
      </c>
      <c r="C720">
        <f>'OPEN FOREIGN ORDER'!Z346</f>
        <v>0</v>
      </c>
      <c r="D720" s="123">
        <f>'OPEN FOREIGN ORDER'!AA346</f>
        <v>0</v>
      </c>
      <c r="E720" s="112">
        <f>'OPEN FOREIGN ORDER'!AB346</f>
        <v>0</v>
      </c>
      <c r="F720" s="112">
        <f>'OPEN FOREIGN ORDER'!AC346</f>
        <v>0</v>
      </c>
      <c r="G720" s="112">
        <f>'OPEN FOREIGN ORDER'!AD346</f>
        <v>0</v>
      </c>
      <c r="H720" s="112">
        <f>'OPEN FOREIGN ORDER'!AE346</f>
        <v>0</v>
      </c>
      <c r="I720" s="112">
        <f>'OPEN FOREIGN ORDER'!AF346</f>
        <v>0</v>
      </c>
      <c r="J720" s="112">
        <f>'OPEN FOREIGN ORDER'!AG346</f>
        <v>0</v>
      </c>
    </row>
    <row r="721" spans="1:10">
      <c r="A721">
        <f>'OPEN FOREIGN ORDER'!D347</f>
        <v>0</v>
      </c>
      <c r="B721">
        <f>'OPEN FOREIGN ORDER'!F347</f>
        <v>0</v>
      </c>
      <c r="C721">
        <f>'OPEN FOREIGN ORDER'!Z347</f>
        <v>0</v>
      </c>
      <c r="D721" s="123">
        <f>'OPEN FOREIGN ORDER'!AA347</f>
        <v>0</v>
      </c>
      <c r="E721" s="112">
        <f>'OPEN FOREIGN ORDER'!AB347</f>
        <v>0</v>
      </c>
      <c r="F721" s="112">
        <f>'OPEN FOREIGN ORDER'!AC347</f>
        <v>0</v>
      </c>
      <c r="G721" s="112">
        <f>'OPEN FOREIGN ORDER'!AD347</f>
        <v>0</v>
      </c>
      <c r="H721" s="112">
        <f>'OPEN FOREIGN ORDER'!AE347</f>
        <v>0</v>
      </c>
      <c r="I721" s="112">
        <f>'OPEN FOREIGN ORDER'!AF347</f>
        <v>0</v>
      </c>
      <c r="J721" s="112">
        <f>'OPEN FOREIGN ORDER'!AG347</f>
        <v>0</v>
      </c>
    </row>
    <row r="722" spans="1:10">
      <c r="A722">
        <f>'OPEN FOREIGN ORDER'!D348</f>
        <v>0</v>
      </c>
      <c r="B722">
        <f>'OPEN FOREIGN ORDER'!F348</f>
        <v>0</v>
      </c>
      <c r="C722">
        <f>'OPEN FOREIGN ORDER'!Z348</f>
        <v>0</v>
      </c>
      <c r="D722" s="123">
        <f>'OPEN FOREIGN ORDER'!AA348</f>
        <v>0</v>
      </c>
      <c r="E722" s="112">
        <f>'OPEN FOREIGN ORDER'!AB348</f>
        <v>0</v>
      </c>
      <c r="F722" s="112">
        <f>'OPEN FOREIGN ORDER'!AC348</f>
        <v>0</v>
      </c>
      <c r="G722" s="112">
        <f>'OPEN FOREIGN ORDER'!AD348</f>
        <v>0</v>
      </c>
      <c r="H722" s="112">
        <f>'OPEN FOREIGN ORDER'!AE348</f>
        <v>0</v>
      </c>
      <c r="I722" s="112">
        <f>'OPEN FOREIGN ORDER'!AF348</f>
        <v>0</v>
      </c>
      <c r="J722" s="112">
        <f>'OPEN FOREIGN ORDER'!AG348</f>
        <v>0</v>
      </c>
    </row>
    <row r="723" spans="1:10">
      <c r="A723">
        <f>'OPEN FOREIGN ORDER'!D349</f>
        <v>0</v>
      </c>
      <c r="B723">
        <f>'OPEN FOREIGN ORDER'!F349</f>
        <v>0</v>
      </c>
      <c r="C723">
        <f>'OPEN FOREIGN ORDER'!Z349</f>
        <v>0</v>
      </c>
      <c r="D723" s="123">
        <f>'OPEN FOREIGN ORDER'!AA349</f>
        <v>0</v>
      </c>
      <c r="E723" s="112">
        <f>'OPEN FOREIGN ORDER'!AB349</f>
        <v>0</v>
      </c>
      <c r="F723" s="112">
        <f>'OPEN FOREIGN ORDER'!AC349</f>
        <v>0</v>
      </c>
      <c r="G723" s="112">
        <f>'OPEN FOREIGN ORDER'!AD349</f>
        <v>0</v>
      </c>
      <c r="H723" s="112">
        <f>'OPEN FOREIGN ORDER'!AE349</f>
        <v>0</v>
      </c>
      <c r="I723" s="112">
        <f>'OPEN FOREIGN ORDER'!AF349</f>
        <v>0</v>
      </c>
      <c r="J723" s="112">
        <f>'OPEN FOREIGN ORDER'!AG349</f>
        <v>0</v>
      </c>
    </row>
    <row r="724" spans="1:10">
      <c r="A724">
        <f>'OPEN FOREIGN ORDER'!D350</f>
        <v>0</v>
      </c>
      <c r="B724">
        <f>'OPEN FOREIGN ORDER'!F350</f>
        <v>0</v>
      </c>
      <c r="C724">
        <f>'OPEN FOREIGN ORDER'!Z350</f>
        <v>0</v>
      </c>
      <c r="D724" s="123">
        <f>'OPEN FOREIGN ORDER'!AA350</f>
        <v>0</v>
      </c>
      <c r="E724" s="112">
        <f>'OPEN FOREIGN ORDER'!AB350</f>
        <v>0</v>
      </c>
      <c r="F724" s="112">
        <f>'OPEN FOREIGN ORDER'!AC350</f>
        <v>0</v>
      </c>
      <c r="G724" s="112">
        <f>'OPEN FOREIGN ORDER'!AD350</f>
        <v>0</v>
      </c>
      <c r="H724" s="112">
        <f>'OPEN FOREIGN ORDER'!AE350</f>
        <v>0</v>
      </c>
      <c r="I724" s="112">
        <f>'OPEN FOREIGN ORDER'!AF350</f>
        <v>0</v>
      </c>
      <c r="J724" s="112">
        <f>'OPEN FOREIGN ORDER'!AG350</f>
        <v>0</v>
      </c>
    </row>
    <row r="725" spans="1:10">
      <c r="A725">
        <f>'OPEN FOREIGN ORDER'!D351</f>
        <v>0</v>
      </c>
      <c r="B725">
        <f>'OPEN FOREIGN ORDER'!F351</f>
        <v>0</v>
      </c>
      <c r="C725">
        <f>'OPEN FOREIGN ORDER'!Z351</f>
        <v>0</v>
      </c>
      <c r="D725" s="123">
        <f>'OPEN FOREIGN ORDER'!AA351</f>
        <v>0</v>
      </c>
      <c r="E725" s="112">
        <f>'OPEN FOREIGN ORDER'!AB351</f>
        <v>0</v>
      </c>
      <c r="F725" s="112">
        <f>'OPEN FOREIGN ORDER'!AC351</f>
        <v>0</v>
      </c>
      <c r="G725" s="112">
        <f>'OPEN FOREIGN ORDER'!AD351</f>
        <v>0</v>
      </c>
      <c r="H725" s="112">
        <f>'OPEN FOREIGN ORDER'!AE351</f>
        <v>0</v>
      </c>
      <c r="I725" s="112">
        <f>'OPEN FOREIGN ORDER'!AF351</f>
        <v>0</v>
      </c>
      <c r="J725" s="112">
        <f>'OPEN FOREIGN ORDER'!AG351</f>
        <v>0</v>
      </c>
    </row>
    <row r="726" spans="1:10">
      <c r="A726">
        <f>'OPEN FOREIGN ORDER'!D352</f>
        <v>0</v>
      </c>
      <c r="B726">
        <f>'OPEN FOREIGN ORDER'!F352</f>
        <v>0</v>
      </c>
      <c r="C726">
        <f>'OPEN FOREIGN ORDER'!Z352</f>
        <v>0</v>
      </c>
      <c r="D726" s="123">
        <f>'OPEN FOREIGN ORDER'!AA352</f>
        <v>0</v>
      </c>
      <c r="E726" s="112">
        <f>'OPEN FOREIGN ORDER'!AB352</f>
        <v>0</v>
      </c>
      <c r="F726" s="112">
        <f>'OPEN FOREIGN ORDER'!AC352</f>
        <v>0</v>
      </c>
      <c r="G726" s="112">
        <f>'OPEN FOREIGN ORDER'!AD352</f>
        <v>0</v>
      </c>
      <c r="H726" s="112">
        <f>'OPEN FOREIGN ORDER'!AE352</f>
        <v>0</v>
      </c>
      <c r="I726" s="112">
        <f>'OPEN FOREIGN ORDER'!AF352</f>
        <v>0</v>
      </c>
      <c r="J726" s="112">
        <f>'OPEN FOREIGN ORDER'!AG352</f>
        <v>0</v>
      </c>
    </row>
    <row r="727" spans="1:10">
      <c r="A727">
        <f>'OPEN FOREIGN ORDER'!D353</f>
        <v>0</v>
      </c>
      <c r="B727">
        <f>'OPEN FOREIGN ORDER'!F353</f>
        <v>0</v>
      </c>
      <c r="C727">
        <f>'OPEN FOREIGN ORDER'!Z353</f>
        <v>0</v>
      </c>
      <c r="D727" s="123">
        <f>'OPEN FOREIGN ORDER'!AA353</f>
        <v>0</v>
      </c>
      <c r="E727" s="112">
        <f>'OPEN FOREIGN ORDER'!AB353</f>
        <v>0</v>
      </c>
      <c r="F727" s="112">
        <f>'OPEN FOREIGN ORDER'!AC353</f>
        <v>0</v>
      </c>
      <c r="G727" s="112">
        <f>'OPEN FOREIGN ORDER'!AD353</f>
        <v>0</v>
      </c>
      <c r="H727" s="112">
        <f>'OPEN FOREIGN ORDER'!AE353</f>
        <v>0</v>
      </c>
      <c r="I727" s="112">
        <f>'OPEN FOREIGN ORDER'!AF353</f>
        <v>0</v>
      </c>
      <c r="J727" s="112">
        <f>'OPEN FOREIGN ORDER'!AG353</f>
        <v>0</v>
      </c>
    </row>
    <row r="728" spans="1:10">
      <c r="A728">
        <f>'OPEN FOREIGN ORDER'!D354</f>
        <v>0</v>
      </c>
      <c r="B728">
        <f>'OPEN FOREIGN ORDER'!F354</f>
        <v>0</v>
      </c>
      <c r="C728">
        <f>'OPEN FOREIGN ORDER'!Z354</f>
        <v>0</v>
      </c>
      <c r="D728" s="123">
        <f>'OPEN FOREIGN ORDER'!AA354</f>
        <v>0</v>
      </c>
      <c r="E728" s="112">
        <f>'OPEN FOREIGN ORDER'!AB354</f>
        <v>0</v>
      </c>
      <c r="F728" s="112">
        <f>'OPEN FOREIGN ORDER'!AC354</f>
        <v>0</v>
      </c>
      <c r="G728" s="112">
        <f>'OPEN FOREIGN ORDER'!AD354</f>
        <v>0</v>
      </c>
      <c r="H728" s="112">
        <f>'OPEN FOREIGN ORDER'!AE354</f>
        <v>0</v>
      </c>
      <c r="I728" s="112">
        <f>'OPEN FOREIGN ORDER'!AF354</f>
        <v>0</v>
      </c>
      <c r="J728" s="112">
        <f>'OPEN FOREIGN ORDER'!AG354</f>
        <v>0</v>
      </c>
    </row>
    <row r="729" spans="1:10">
      <c r="A729">
        <f>'OPEN FOREIGN ORDER'!D355</f>
        <v>0</v>
      </c>
      <c r="B729">
        <f>'OPEN FOREIGN ORDER'!F355</f>
        <v>0</v>
      </c>
      <c r="C729">
        <f>'OPEN FOREIGN ORDER'!Z355</f>
        <v>0</v>
      </c>
      <c r="D729" s="123">
        <f>'OPEN FOREIGN ORDER'!AA355</f>
        <v>0</v>
      </c>
      <c r="E729" s="112">
        <f>'OPEN FOREIGN ORDER'!AB355</f>
        <v>0</v>
      </c>
      <c r="F729" s="112">
        <f>'OPEN FOREIGN ORDER'!AC355</f>
        <v>0</v>
      </c>
      <c r="G729" s="112">
        <f>'OPEN FOREIGN ORDER'!AD355</f>
        <v>0</v>
      </c>
      <c r="H729" s="112">
        <f>'OPEN FOREIGN ORDER'!AE355</f>
        <v>0</v>
      </c>
      <c r="I729" s="112">
        <f>'OPEN FOREIGN ORDER'!AF355</f>
        <v>0</v>
      </c>
      <c r="J729" s="112">
        <f>'OPEN FOREIGN ORDER'!AG355</f>
        <v>0</v>
      </c>
    </row>
    <row r="730" spans="1:10">
      <c r="A730">
        <f>'OPEN FOREIGN ORDER'!D356</f>
        <v>0</v>
      </c>
      <c r="B730">
        <f>'OPEN FOREIGN ORDER'!F356</f>
        <v>0</v>
      </c>
      <c r="C730">
        <f>'OPEN FOREIGN ORDER'!Z356</f>
        <v>0</v>
      </c>
      <c r="D730" s="123">
        <f>'OPEN FOREIGN ORDER'!AA356</f>
        <v>0</v>
      </c>
      <c r="E730" s="112">
        <f>'OPEN FOREIGN ORDER'!AB356</f>
        <v>0</v>
      </c>
      <c r="F730" s="112">
        <f>'OPEN FOREIGN ORDER'!AC356</f>
        <v>0</v>
      </c>
      <c r="G730" s="112">
        <f>'OPEN FOREIGN ORDER'!AD356</f>
        <v>0</v>
      </c>
      <c r="H730" s="112">
        <f>'OPEN FOREIGN ORDER'!AE356</f>
        <v>0</v>
      </c>
      <c r="I730" s="112">
        <f>'OPEN FOREIGN ORDER'!AF356</f>
        <v>0</v>
      </c>
      <c r="J730" s="112">
        <f>'OPEN FOREIGN ORDER'!AG356</f>
        <v>0</v>
      </c>
    </row>
    <row r="731" spans="1:10">
      <c r="A731">
        <f>'OPEN FOREIGN ORDER'!D357</f>
        <v>0</v>
      </c>
      <c r="B731">
        <f>'OPEN FOREIGN ORDER'!F357</f>
        <v>0</v>
      </c>
      <c r="C731">
        <f>'OPEN FOREIGN ORDER'!Z357</f>
        <v>0</v>
      </c>
      <c r="D731" s="123">
        <f>'OPEN FOREIGN ORDER'!AA357</f>
        <v>0</v>
      </c>
      <c r="E731" s="112">
        <f>'OPEN FOREIGN ORDER'!AB357</f>
        <v>0</v>
      </c>
      <c r="F731" s="112">
        <f>'OPEN FOREIGN ORDER'!AC357</f>
        <v>0</v>
      </c>
      <c r="G731" s="112">
        <f>'OPEN FOREIGN ORDER'!AD357</f>
        <v>0</v>
      </c>
      <c r="H731" s="112">
        <f>'OPEN FOREIGN ORDER'!AE357</f>
        <v>0</v>
      </c>
      <c r="I731" s="112">
        <f>'OPEN FOREIGN ORDER'!AF357</f>
        <v>0</v>
      </c>
      <c r="J731" s="112">
        <f>'OPEN FOREIGN ORDER'!AG357</f>
        <v>0</v>
      </c>
    </row>
    <row r="732" spans="1:10">
      <c r="A732">
        <f>'OPEN FOREIGN ORDER'!D358</f>
        <v>0</v>
      </c>
      <c r="B732">
        <f>'OPEN FOREIGN ORDER'!F358</f>
        <v>0</v>
      </c>
      <c r="C732">
        <f>'OPEN FOREIGN ORDER'!Z358</f>
        <v>0</v>
      </c>
      <c r="D732" s="123">
        <f>'OPEN FOREIGN ORDER'!AA358</f>
        <v>0</v>
      </c>
      <c r="E732" s="112">
        <f>'OPEN FOREIGN ORDER'!AB358</f>
        <v>0</v>
      </c>
      <c r="F732" s="112">
        <f>'OPEN FOREIGN ORDER'!AC358</f>
        <v>0</v>
      </c>
      <c r="G732" s="112">
        <f>'OPEN FOREIGN ORDER'!AD358</f>
        <v>0</v>
      </c>
      <c r="H732" s="112">
        <f>'OPEN FOREIGN ORDER'!AE358</f>
        <v>0</v>
      </c>
      <c r="I732" s="112">
        <f>'OPEN FOREIGN ORDER'!AF358</f>
        <v>0</v>
      </c>
      <c r="J732" s="112">
        <f>'OPEN FOREIGN ORDER'!AG358</f>
        <v>0</v>
      </c>
    </row>
    <row r="733" spans="1:10">
      <c r="A733">
        <f>'OPEN FOREIGN ORDER'!D359</f>
        <v>0</v>
      </c>
      <c r="B733">
        <f>'OPEN FOREIGN ORDER'!F359</f>
        <v>0</v>
      </c>
      <c r="C733">
        <f>'OPEN FOREIGN ORDER'!Z359</f>
        <v>0</v>
      </c>
      <c r="D733" s="123">
        <f>'OPEN FOREIGN ORDER'!AA359</f>
        <v>0</v>
      </c>
      <c r="E733" s="112">
        <f>'OPEN FOREIGN ORDER'!AB359</f>
        <v>0</v>
      </c>
      <c r="F733" s="112">
        <f>'OPEN FOREIGN ORDER'!AC359</f>
        <v>0</v>
      </c>
      <c r="G733" s="112">
        <f>'OPEN FOREIGN ORDER'!AD359</f>
        <v>0</v>
      </c>
      <c r="H733" s="112">
        <f>'OPEN FOREIGN ORDER'!AE359</f>
        <v>0</v>
      </c>
      <c r="I733" s="112">
        <f>'OPEN FOREIGN ORDER'!AF359</f>
        <v>0</v>
      </c>
      <c r="J733" s="112">
        <f>'OPEN FOREIGN ORDER'!AG359</f>
        <v>0</v>
      </c>
    </row>
    <row r="734" spans="1:10">
      <c r="A734">
        <f>'OPEN FOREIGN ORDER'!D360</f>
        <v>0</v>
      </c>
      <c r="B734">
        <f>'OPEN FOREIGN ORDER'!F360</f>
        <v>0</v>
      </c>
      <c r="C734">
        <f>'OPEN FOREIGN ORDER'!Z360</f>
        <v>0</v>
      </c>
      <c r="D734" s="123">
        <f>'OPEN FOREIGN ORDER'!AA360</f>
        <v>0</v>
      </c>
      <c r="E734" s="112">
        <f>'OPEN FOREIGN ORDER'!AB360</f>
        <v>0</v>
      </c>
      <c r="F734" s="112">
        <f>'OPEN FOREIGN ORDER'!AC360</f>
        <v>0</v>
      </c>
      <c r="G734" s="112">
        <f>'OPEN FOREIGN ORDER'!AD360</f>
        <v>0</v>
      </c>
      <c r="H734" s="112">
        <f>'OPEN FOREIGN ORDER'!AE360</f>
        <v>0</v>
      </c>
      <c r="I734" s="112">
        <f>'OPEN FOREIGN ORDER'!AF360</f>
        <v>0</v>
      </c>
      <c r="J734" s="112">
        <f>'OPEN FOREIGN ORDER'!AG360</f>
        <v>0</v>
      </c>
    </row>
    <row r="735" spans="1:10">
      <c r="A735">
        <f>'OPEN FOREIGN ORDER'!D361</f>
        <v>0</v>
      </c>
      <c r="B735">
        <f>'OPEN FOREIGN ORDER'!F361</f>
        <v>0</v>
      </c>
      <c r="C735">
        <f>'OPEN FOREIGN ORDER'!Z361</f>
        <v>0</v>
      </c>
      <c r="D735" s="123">
        <f>'OPEN FOREIGN ORDER'!AA361</f>
        <v>0</v>
      </c>
      <c r="E735" s="112">
        <f>'OPEN FOREIGN ORDER'!AB361</f>
        <v>0</v>
      </c>
      <c r="F735" s="112">
        <f>'OPEN FOREIGN ORDER'!AC361</f>
        <v>0</v>
      </c>
      <c r="G735" s="112">
        <f>'OPEN FOREIGN ORDER'!AD361</f>
        <v>0</v>
      </c>
      <c r="H735" s="112">
        <f>'OPEN FOREIGN ORDER'!AE361</f>
        <v>0</v>
      </c>
      <c r="I735" s="112">
        <f>'OPEN FOREIGN ORDER'!AF361</f>
        <v>0</v>
      </c>
      <c r="J735" s="112">
        <f>'OPEN FOREIGN ORDER'!AG361</f>
        <v>0</v>
      </c>
    </row>
    <row r="736" spans="1:10">
      <c r="A736">
        <f>'OPEN FOREIGN ORDER'!D362</f>
        <v>0</v>
      </c>
      <c r="B736">
        <f>'OPEN FOREIGN ORDER'!F362</f>
        <v>0</v>
      </c>
      <c r="C736">
        <f>'OPEN FOREIGN ORDER'!Z362</f>
        <v>0</v>
      </c>
      <c r="D736" s="123">
        <f>'OPEN FOREIGN ORDER'!AA362</f>
        <v>0</v>
      </c>
      <c r="E736" s="112">
        <f>'OPEN FOREIGN ORDER'!AB362</f>
        <v>0</v>
      </c>
      <c r="F736" s="112">
        <f>'OPEN FOREIGN ORDER'!AC362</f>
        <v>0</v>
      </c>
      <c r="G736" s="112">
        <f>'OPEN FOREIGN ORDER'!AD362</f>
        <v>0</v>
      </c>
      <c r="H736" s="112">
        <f>'OPEN FOREIGN ORDER'!AE362</f>
        <v>0</v>
      </c>
      <c r="I736" s="112">
        <f>'OPEN FOREIGN ORDER'!AF362</f>
        <v>0</v>
      </c>
      <c r="J736" s="112">
        <f>'OPEN FOREIGN ORDER'!AG362</f>
        <v>0</v>
      </c>
    </row>
    <row r="737" spans="1:10">
      <c r="A737">
        <f>'OPEN FOREIGN ORDER'!D363</f>
        <v>0</v>
      </c>
      <c r="B737">
        <f>'OPEN FOREIGN ORDER'!F363</f>
        <v>0</v>
      </c>
      <c r="C737">
        <f>'OPEN FOREIGN ORDER'!Z363</f>
        <v>0</v>
      </c>
      <c r="D737" s="123">
        <f>'OPEN FOREIGN ORDER'!AA363</f>
        <v>0</v>
      </c>
      <c r="E737" s="112">
        <f>'OPEN FOREIGN ORDER'!AB363</f>
        <v>0</v>
      </c>
      <c r="F737" s="112">
        <f>'OPEN FOREIGN ORDER'!AC363</f>
        <v>0</v>
      </c>
      <c r="G737" s="112">
        <f>'OPEN FOREIGN ORDER'!AD363</f>
        <v>0</v>
      </c>
      <c r="H737" s="112">
        <f>'OPEN FOREIGN ORDER'!AE363</f>
        <v>0</v>
      </c>
      <c r="I737" s="112">
        <f>'OPEN FOREIGN ORDER'!AF363</f>
        <v>0</v>
      </c>
      <c r="J737" s="112">
        <f>'OPEN FOREIGN ORDER'!AG363</f>
        <v>0</v>
      </c>
    </row>
    <row r="738" spans="1:10">
      <c r="A738">
        <f>'OPEN FOREIGN ORDER'!D364</f>
        <v>0</v>
      </c>
      <c r="B738">
        <f>'OPEN FOREIGN ORDER'!F364</f>
        <v>0</v>
      </c>
      <c r="C738">
        <f>'OPEN FOREIGN ORDER'!Z364</f>
        <v>0</v>
      </c>
      <c r="D738" s="123">
        <f>'OPEN FOREIGN ORDER'!AA364</f>
        <v>0</v>
      </c>
      <c r="E738" s="112">
        <f>'OPEN FOREIGN ORDER'!AB364</f>
        <v>0</v>
      </c>
      <c r="F738" s="112">
        <f>'OPEN FOREIGN ORDER'!AC364</f>
        <v>0</v>
      </c>
      <c r="G738" s="112">
        <f>'OPEN FOREIGN ORDER'!AD364</f>
        <v>0</v>
      </c>
      <c r="H738" s="112">
        <f>'OPEN FOREIGN ORDER'!AE364</f>
        <v>0</v>
      </c>
      <c r="I738" s="112">
        <f>'OPEN FOREIGN ORDER'!AF364</f>
        <v>0</v>
      </c>
      <c r="J738" s="112">
        <f>'OPEN FOREIGN ORDER'!AG364</f>
        <v>0</v>
      </c>
    </row>
    <row r="739" spans="1:10">
      <c r="A739">
        <f>'OPEN FOREIGN ORDER'!D365</f>
        <v>0</v>
      </c>
      <c r="B739">
        <f>'OPEN FOREIGN ORDER'!F365</f>
        <v>0</v>
      </c>
      <c r="C739">
        <f>'OPEN FOREIGN ORDER'!Z365</f>
        <v>0</v>
      </c>
      <c r="D739" s="123">
        <f>'OPEN FOREIGN ORDER'!AA365</f>
        <v>0</v>
      </c>
      <c r="E739" s="112">
        <f>'OPEN FOREIGN ORDER'!AB365</f>
        <v>0</v>
      </c>
      <c r="F739" s="112">
        <f>'OPEN FOREIGN ORDER'!AC365</f>
        <v>0</v>
      </c>
      <c r="G739" s="112">
        <f>'OPEN FOREIGN ORDER'!AD365</f>
        <v>0</v>
      </c>
      <c r="H739" s="112">
        <f>'OPEN FOREIGN ORDER'!AE365</f>
        <v>0</v>
      </c>
      <c r="I739" s="112">
        <f>'OPEN FOREIGN ORDER'!AF365</f>
        <v>0</v>
      </c>
      <c r="J739" s="112">
        <f>'OPEN FOREIGN ORDER'!AG365</f>
        <v>0</v>
      </c>
    </row>
    <row r="740" spans="1:10">
      <c r="A740">
        <f>'OPEN FOREIGN ORDER'!D366</f>
        <v>0</v>
      </c>
      <c r="B740">
        <f>'OPEN FOREIGN ORDER'!F366</f>
        <v>0</v>
      </c>
      <c r="C740">
        <f>'OPEN FOREIGN ORDER'!Z366</f>
        <v>0</v>
      </c>
      <c r="D740" s="123">
        <f>'OPEN FOREIGN ORDER'!AA366</f>
        <v>0</v>
      </c>
      <c r="E740" s="112">
        <f>'OPEN FOREIGN ORDER'!AB366</f>
        <v>0</v>
      </c>
      <c r="F740" s="112">
        <f>'OPEN FOREIGN ORDER'!AC366</f>
        <v>0</v>
      </c>
      <c r="G740" s="112">
        <f>'OPEN FOREIGN ORDER'!AD366</f>
        <v>0</v>
      </c>
      <c r="H740" s="112">
        <f>'OPEN FOREIGN ORDER'!AE366</f>
        <v>0</v>
      </c>
      <c r="I740" s="112">
        <f>'OPEN FOREIGN ORDER'!AF366</f>
        <v>0</v>
      </c>
      <c r="J740" s="112">
        <f>'OPEN FOREIGN ORDER'!AG366</f>
        <v>0</v>
      </c>
    </row>
    <row r="741" spans="1:10">
      <c r="A741">
        <f>'OPEN FOREIGN ORDER'!D367</f>
        <v>0</v>
      </c>
      <c r="B741">
        <f>'OPEN FOREIGN ORDER'!F367</f>
        <v>0</v>
      </c>
      <c r="C741">
        <f>'OPEN FOREIGN ORDER'!Z367</f>
        <v>0</v>
      </c>
      <c r="D741" s="123">
        <f>'OPEN FOREIGN ORDER'!AA367</f>
        <v>0</v>
      </c>
      <c r="E741" s="112">
        <f>'OPEN FOREIGN ORDER'!AB367</f>
        <v>0</v>
      </c>
      <c r="F741" s="112">
        <f>'OPEN FOREIGN ORDER'!AC367</f>
        <v>0</v>
      </c>
      <c r="G741" s="112">
        <f>'OPEN FOREIGN ORDER'!AD367</f>
        <v>0</v>
      </c>
      <c r="H741" s="112">
        <f>'OPEN FOREIGN ORDER'!AE367</f>
        <v>0</v>
      </c>
      <c r="I741" s="112">
        <f>'OPEN FOREIGN ORDER'!AF367</f>
        <v>0</v>
      </c>
      <c r="J741" s="112">
        <f>'OPEN FOREIGN ORDER'!AG367</f>
        <v>0</v>
      </c>
    </row>
    <row r="742" spans="1:10">
      <c r="A742">
        <f>'OPEN FOREIGN ORDER'!D368</f>
        <v>0</v>
      </c>
      <c r="B742">
        <f>'OPEN FOREIGN ORDER'!F368</f>
        <v>0</v>
      </c>
      <c r="C742">
        <f>'OPEN FOREIGN ORDER'!Z368</f>
        <v>0</v>
      </c>
      <c r="D742" s="123">
        <f>'OPEN FOREIGN ORDER'!AA368</f>
        <v>0</v>
      </c>
      <c r="E742" s="112">
        <f>'OPEN FOREIGN ORDER'!AB368</f>
        <v>0</v>
      </c>
      <c r="F742" s="112">
        <f>'OPEN FOREIGN ORDER'!AC368</f>
        <v>0</v>
      </c>
      <c r="G742" s="112">
        <f>'OPEN FOREIGN ORDER'!AD368</f>
        <v>0</v>
      </c>
      <c r="H742" s="112">
        <f>'OPEN FOREIGN ORDER'!AE368</f>
        <v>0</v>
      </c>
      <c r="I742" s="112">
        <f>'OPEN FOREIGN ORDER'!AF368</f>
        <v>0</v>
      </c>
      <c r="J742" s="112">
        <f>'OPEN FOREIGN ORDER'!AG368</f>
        <v>0</v>
      </c>
    </row>
    <row r="743" spans="1:10">
      <c r="A743">
        <f>'OPEN FOREIGN ORDER'!D369</f>
        <v>0</v>
      </c>
      <c r="B743">
        <f>'OPEN FOREIGN ORDER'!F369</f>
        <v>0</v>
      </c>
      <c r="C743">
        <f>'OPEN FOREIGN ORDER'!Z369</f>
        <v>0</v>
      </c>
      <c r="D743" s="123">
        <f>'OPEN FOREIGN ORDER'!AA369</f>
        <v>0</v>
      </c>
      <c r="E743" s="112">
        <f>'OPEN FOREIGN ORDER'!AB369</f>
        <v>0</v>
      </c>
      <c r="F743" s="112">
        <f>'OPEN FOREIGN ORDER'!AC369</f>
        <v>0</v>
      </c>
      <c r="G743" s="112">
        <f>'OPEN FOREIGN ORDER'!AD369</f>
        <v>0</v>
      </c>
      <c r="H743" s="112">
        <f>'OPEN FOREIGN ORDER'!AE369</f>
        <v>0</v>
      </c>
      <c r="I743" s="112">
        <f>'OPEN FOREIGN ORDER'!AF369</f>
        <v>0</v>
      </c>
      <c r="J743" s="112">
        <f>'OPEN FOREIGN ORDER'!AG369</f>
        <v>0</v>
      </c>
    </row>
    <row r="744" spans="1:10">
      <c r="A744">
        <f>'OPEN FOREIGN ORDER'!D370</f>
        <v>0</v>
      </c>
      <c r="B744">
        <f>'OPEN FOREIGN ORDER'!F370</f>
        <v>0</v>
      </c>
      <c r="C744">
        <f>'OPEN FOREIGN ORDER'!Z370</f>
        <v>0</v>
      </c>
      <c r="D744" s="123">
        <f>'OPEN FOREIGN ORDER'!AA370</f>
        <v>0</v>
      </c>
      <c r="E744" s="112">
        <f>'OPEN FOREIGN ORDER'!AB370</f>
        <v>0</v>
      </c>
      <c r="F744" s="112">
        <f>'OPEN FOREIGN ORDER'!AC370</f>
        <v>0</v>
      </c>
      <c r="G744" s="112">
        <f>'OPEN FOREIGN ORDER'!AD370</f>
        <v>0</v>
      </c>
      <c r="H744" s="112">
        <f>'OPEN FOREIGN ORDER'!AE370</f>
        <v>0</v>
      </c>
      <c r="I744" s="112">
        <f>'OPEN FOREIGN ORDER'!AF370</f>
        <v>0</v>
      </c>
      <c r="J744" s="112">
        <f>'OPEN FOREIGN ORDER'!AG370</f>
        <v>0</v>
      </c>
    </row>
    <row r="745" spans="1:10">
      <c r="A745">
        <f>'OPEN FOREIGN ORDER'!D371</f>
        <v>0</v>
      </c>
      <c r="B745">
        <f>'OPEN FOREIGN ORDER'!F371</f>
        <v>0</v>
      </c>
      <c r="C745">
        <f>'OPEN FOREIGN ORDER'!Z371</f>
        <v>0</v>
      </c>
      <c r="D745" s="123">
        <f>'OPEN FOREIGN ORDER'!AA371</f>
        <v>0</v>
      </c>
      <c r="E745" s="112">
        <f>'OPEN FOREIGN ORDER'!AB371</f>
        <v>0</v>
      </c>
      <c r="F745" s="112">
        <f>'OPEN FOREIGN ORDER'!AC371</f>
        <v>0</v>
      </c>
      <c r="G745" s="112">
        <f>'OPEN FOREIGN ORDER'!AD371</f>
        <v>0</v>
      </c>
      <c r="H745" s="112">
        <f>'OPEN FOREIGN ORDER'!AE371</f>
        <v>0</v>
      </c>
      <c r="I745" s="112">
        <f>'OPEN FOREIGN ORDER'!AF371</f>
        <v>0</v>
      </c>
      <c r="J745" s="112">
        <f>'OPEN FOREIGN ORDER'!AG371</f>
        <v>0</v>
      </c>
    </row>
    <row r="746" spans="1:10">
      <c r="A746">
        <f>'OPEN FOREIGN ORDER'!D372</f>
        <v>0</v>
      </c>
      <c r="B746">
        <f>'OPEN FOREIGN ORDER'!F372</f>
        <v>0</v>
      </c>
      <c r="C746">
        <f>'OPEN FOREIGN ORDER'!Z372</f>
        <v>0</v>
      </c>
      <c r="D746" s="123">
        <f>'OPEN FOREIGN ORDER'!AA372</f>
        <v>0</v>
      </c>
      <c r="E746" s="112">
        <f>'OPEN FOREIGN ORDER'!AB372</f>
        <v>0</v>
      </c>
      <c r="F746" s="112">
        <f>'OPEN FOREIGN ORDER'!AC372</f>
        <v>0</v>
      </c>
      <c r="G746" s="112">
        <f>'OPEN FOREIGN ORDER'!AD372</f>
        <v>0</v>
      </c>
      <c r="H746" s="112">
        <f>'OPEN FOREIGN ORDER'!AE372</f>
        <v>0</v>
      </c>
      <c r="I746" s="112">
        <f>'OPEN FOREIGN ORDER'!AF372</f>
        <v>0</v>
      </c>
      <c r="J746" s="112">
        <f>'OPEN FOREIGN ORDER'!AG372</f>
        <v>0</v>
      </c>
    </row>
    <row r="747" spans="1:10">
      <c r="A747">
        <f>'OPEN FOREIGN ORDER'!D373</f>
        <v>0</v>
      </c>
      <c r="B747">
        <f>'OPEN FOREIGN ORDER'!F373</f>
        <v>0</v>
      </c>
      <c r="C747">
        <f>'OPEN FOREIGN ORDER'!Z373</f>
        <v>0</v>
      </c>
      <c r="D747" s="123">
        <f>'OPEN FOREIGN ORDER'!AA373</f>
        <v>0</v>
      </c>
      <c r="E747" s="112">
        <f>'OPEN FOREIGN ORDER'!AB373</f>
        <v>0</v>
      </c>
      <c r="F747" s="112">
        <f>'OPEN FOREIGN ORDER'!AC373</f>
        <v>0</v>
      </c>
      <c r="G747" s="112">
        <f>'OPEN FOREIGN ORDER'!AD373</f>
        <v>0</v>
      </c>
      <c r="H747" s="112">
        <f>'OPEN FOREIGN ORDER'!AE373</f>
        <v>0</v>
      </c>
      <c r="I747" s="112">
        <f>'OPEN FOREIGN ORDER'!AF373</f>
        <v>0</v>
      </c>
      <c r="J747" s="112">
        <f>'OPEN FOREIGN ORDER'!AG373</f>
        <v>0</v>
      </c>
    </row>
    <row r="748" spans="1:10">
      <c r="A748">
        <f>'OPEN FOREIGN ORDER'!D374</f>
        <v>0</v>
      </c>
      <c r="B748">
        <f>'OPEN FOREIGN ORDER'!F374</f>
        <v>0</v>
      </c>
      <c r="C748">
        <f>'OPEN FOREIGN ORDER'!Z374</f>
        <v>0</v>
      </c>
      <c r="D748" s="123">
        <f>'OPEN FOREIGN ORDER'!AA374</f>
        <v>0</v>
      </c>
      <c r="E748" s="112">
        <f>'OPEN FOREIGN ORDER'!AB374</f>
        <v>0</v>
      </c>
      <c r="F748" s="112">
        <f>'OPEN FOREIGN ORDER'!AC374</f>
        <v>0</v>
      </c>
      <c r="G748" s="112">
        <f>'OPEN FOREIGN ORDER'!AD374</f>
        <v>0</v>
      </c>
      <c r="H748" s="112">
        <f>'OPEN FOREIGN ORDER'!AE374</f>
        <v>0</v>
      </c>
      <c r="I748" s="112">
        <f>'OPEN FOREIGN ORDER'!AF374</f>
        <v>0</v>
      </c>
      <c r="J748" s="112">
        <f>'OPEN FOREIGN ORDER'!AG374</f>
        <v>0</v>
      </c>
    </row>
    <row r="749" spans="1:10">
      <c r="A749">
        <f>'OPEN FOREIGN ORDER'!D375</f>
        <v>0</v>
      </c>
      <c r="B749">
        <f>'OPEN FOREIGN ORDER'!F375</f>
        <v>0</v>
      </c>
      <c r="C749">
        <f>'OPEN FOREIGN ORDER'!Z375</f>
        <v>0</v>
      </c>
      <c r="D749" s="123">
        <f>'OPEN FOREIGN ORDER'!AA375</f>
        <v>0</v>
      </c>
      <c r="E749" s="112">
        <f>'OPEN FOREIGN ORDER'!AB375</f>
        <v>0</v>
      </c>
      <c r="F749" s="112">
        <f>'OPEN FOREIGN ORDER'!AC375</f>
        <v>0</v>
      </c>
      <c r="G749" s="112">
        <f>'OPEN FOREIGN ORDER'!AD375</f>
        <v>0</v>
      </c>
      <c r="H749" s="112">
        <f>'OPEN FOREIGN ORDER'!AE375</f>
        <v>0</v>
      </c>
      <c r="I749" s="112">
        <f>'OPEN FOREIGN ORDER'!AF375</f>
        <v>0</v>
      </c>
      <c r="J749" s="112">
        <f>'OPEN FOREIGN ORDER'!AG375</f>
        <v>0</v>
      </c>
    </row>
    <row r="750" spans="1:10">
      <c r="A750">
        <f>'OPEN FOREIGN ORDER'!D376</f>
        <v>0</v>
      </c>
      <c r="B750">
        <f>'OPEN FOREIGN ORDER'!F376</f>
        <v>0</v>
      </c>
      <c r="C750">
        <f>'OPEN FOREIGN ORDER'!Z376</f>
        <v>0</v>
      </c>
      <c r="D750" s="123">
        <f>'OPEN FOREIGN ORDER'!AA376</f>
        <v>0</v>
      </c>
      <c r="E750" s="112">
        <f>'OPEN FOREIGN ORDER'!AB376</f>
        <v>0</v>
      </c>
      <c r="F750" s="112">
        <f>'OPEN FOREIGN ORDER'!AC376</f>
        <v>0</v>
      </c>
      <c r="G750" s="112">
        <f>'OPEN FOREIGN ORDER'!AD376</f>
        <v>0</v>
      </c>
      <c r="H750" s="112">
        <f>'OPEN FOREIGN ORDER'!AE376</f>
        <v>0</v>
      </c>
      <c r="I750" s="112">
        <f>'OPEN FOREIGN ORDER'!AF376</f>
        <v>0</v>
      </c>
      <c r="J750" s="112">
        <f>'OPEN FOREIGN ORDER'!AG376</f>
        <v>0</v>
      </c>
    </row>
    <row r="751" spans="1:10">
      <c r="A751">
        <f>'OPEN FOREIGN ORDER'!D377</f>
        <v>0</v>
      </c>
      <c r="B751">
        <f>'OPEN FOREIGN ORDER'!F377</f>
        <v>0</v>
      </c>
      <c r="C751">
        <f>'OPEN FOREIGN ORDER'!Z377</f>
        <v>0</v>
      </c>
      <c r="D751" s="123">
        <f>'OPEN FOREIGN ORDER'!AA377</f>
        <v>0</v>
      </c>
      <c r="E751" s="112">
        <f>'OPEN FOREIGN ORDER'!AB377</f>
        <v>0</v>
      </c>
      <c r="F751" s="112">
        <f>'OPEN FOREIGN ORDER'!AC377</f>
        <v>0</v>
      </c>
      <c r="G751" s="112">
        <f>'OPEN FOREIGN ORDER'!AD377</f>
        <v>0</v>
      </c>
      <c r="H751" s="112">
        <f>'OPEN FOREIGN ORDER'!AE377</f>
        <v>0</v>
      </c>
      <c r="I751" s="112">
        <f>'OPEN FOREIGN ORDER'!AF377</f>
        <v>0</v>
      </c>
      <c r="J751" s="112">
        <f>'OPEN FOREIGN ORDER'!AG377</f>
        <v>0</v>
      </c>
    </row>
    <row r="752" spans="1:10">
      <c r="A752">
        <f>'OPEN FOREIGN ORDER'!D378</f>
        <v>0</v>
      </c>
      <c r="B752">
        <f>'OPEN FOREIGN ORDER'!F378</f>
        <v>0</v>
      </c>
      <c r="C752">
        <f>'OPEN FOREIGN ORDER'!Z378</f>
        <v>0</v>
      </c>
      <c r="D752" s="123">
        <f>'OPEN FOREIGN ORDER'!AA378</f>
        <v>0</v>
      </c>
      <c r="E752" s="112">
        <f>'OPEN FOREIGN ORDER'!AB378</f>
        <v>0</v>
      </c>
      <c r="F752" s="112">
        <f>'OPEN FOREIGN ORDER'!AC378</f>
        <v>0</v>
      </c>
      <c r="G752" s="112">
        <f>'OPEN FOREIGN ORDER'!AD378</f>
        <v>0</v>
      </c>
      <c r="H752" s="112">
        <f>'OPEN FOREIGN ORDER'!AE378</f>
        <v>0</v>
      </c>
      <c r="I752" s="112">
        <f>'OPEN FOREIGN ORDER'!AF378</f>
        <v>0</v>
      </c>
      <c r="J752" s="112">
        <f>'OPEN FOREIGN ORDER'!AG378</f>
        <v>0</v>
      </c>
    </row>
    <row r="753" spans="1:10">
      <c r="A753">
        <f>'OPEN FOREIGN ORDER'!D379</f>
        <v>0</v>
      </c>
      <c r="B753">
        <f>'OPEN FOREIGN ORDER'!F379</f>
        <v>0</v>
      </c>
      <c r="C753">
        <f>'OPEN FOREIGN ORDER'!Z379</f>
        <v>0</v>
      </c>
      <c r="D753" s="123">
        <f>'OPEN FOREIGN ORDER'!AA379</f>
        <v>0</v>
      </c>
      <c r="E753" s="112">
        <f>'OPEN FOREIGN ORDER'!AB379</f>
        <v>0</v>
      </c>
      <c r="F753" s="112">
        <f>'OPEN FOREIGN ORDER'!AC379</f>
        <v>0</v>
      </c>
      <c r="G753" s="112">
        <f>'OPEN FOREIGN ORDER'!AD379</f>
        <v>0</v>
      </c>
      <c r="H753" s="112">
        <f>'OPEN FOREIGN ORDER'!AE379</f>
        <v>0</v>
      </c>
      <c r="I753" s="112">
        <f>'OPEN FOREIGN ORDER'!AF379</f>
        <v>0</v>
      </c>
      <c r="J753" s="112">
        <f>'OPEN FOREIGN ORDER'!AG379</f>
        <v>0</v>
      </c>
    </row>
    <row r="754" spans="1:10">
      <c r="A754">
        <f>'OPEN FOREIGN ORDER'!D380</f>
        <v>0</v>
      </c>
      <c r="B754">
        <f>'OPEN FOREIGN ORDER'!F380</f>
        <v>0</v>
      </c>
      <c r="C754">
        <f>'OPEN FOREIGN ORDER'!Z380</f>
        <v>0</v>
      </c>
      <c r="D754" s="123">
        <f>'OPEN FOREIGN ORDER'!AA380</f>
        <v>0</v>
      </c>
      <c r="E754" s="112">
        <f>'OPEN FOREIGN ORDER'!AB380</f>
        <v>0</v>
      </c>
      <c r="F754" s="112">
        <f>'OPEN FOREIGN ORDER'!AC380</f>
        <v>0</v>
      </c>
      <c r="G754" s="112">
        <f>'OPEN FOREIGN ORDER'!AD380</f>
        <v>0</v>
      </c>
      <c r="H754" s="112">
        <f>'OPEN FOREIGN ORDER'!AE380</f>
        <v>0</v>
      </c>
      <c r="I754" s="112">
        <f>'OPEN FOREIGN ORDER'!AF380</f>
        <v>0</v>
      </c>
      <c r="J754" s="112">
        <f>'OPEN FOREIGN ORDER'!AG380</f>
        <v>0</v>
      </c>
    </row>
    <row r="755" spans="1:10">
      <c r="A755">
        <f>'OPEN FOREIGN ORDER'!D381</f>
        <v>0</v>
      </c>
      <c r="B755">
        <f>'OPEN FOREIGN ORDER'!F381</f>
        <v>0</v>
      </c>
      <c r="C755">
        <f>'OPEN FOREIGN ORDER'!Z381</f>
        <v>0</v>
      </c>
      <c r="D755" s="123">
        <f>'OPEN FOREIGN ORDER'!AA381</f>
        <v>0</v>
      </c>
      <c r="E755" s="112">
        <f>'OPEN FOREIGN ORDER'!AB381</f>
        <v>0</v>
      </c>
      <c r="F755" s="112">
        <f>'OPEN FOREIGN ORDER'!AC381</f>
        <v>0</v>
      </c>
      <c r="G755" s="112">
        <f>'OPEN FOREIGN ORDER'!AD381</f>
        <v>0</v>
      </c>
      <c r="H755" s="112">
        <f>'OPEN FOREIGN ORDER'!AE381</f>
        <v>0</v>
      </c>
      <c r="I755" s="112">
        <f>'OPEN FOREIGN ORDER'!AF381</f>
        <v>0</v>
      </c>
      <c r="J755" s="112">
        <f>'OPEN FOREIGN ORDER'!AG381</f>
        <v>0</v>
      </c>
    </row>
    <row r="756" spans="1:10">
      <c r="A756">
        <f>'OPEN FOREIGN ORDER'!D382</f>
        <v>0</v>
      </c>
      <c r="B756">
        <f>'OPEN FOREIGN ORDER'!F382</f>
        <v>0</v>
      </c>
      <c r="C756">
        <f>'OPEN FOREIGN ORDER'!Z382</f>
        <v>0</v>
      </c>
      <c r="D756" s="123">
        <f>'OPEN FOREIGN ORDER'!AA382</f>
        <v>0</v>
      </c>
      <c r="E756" s="112">
        <f>'OPEN FOREIGN ORDER'!AB382</f>
        <v>0</v>
      </c>
      <c r="F756" s="112">
        <f>'OPEN FOREIGN ORDER'!AC382</f>
        <v>0</v>
      </c>
      <c r="G756" s="112">
        <f>'OPEN FOREIGN ORDER'!AD382</f>
        <v>0</v>
      </c>
      <c r="H756" s="112">
        <f>'OPEN FOREIGN ORDER'!AE382</f>
        <v>0</v>
      </c>
      <c r="I756" s="112">
        <f>'OPEN FOREIGN ORDER'!AF382</f>
        <v>0</v>
      </c>
      <c r="J756" s="112">
        <f>'OPEN FOREIGN ORDER'!AG382</f>
        <v>0</v>
      </c>
    </row>
    <row r="757" spans="1:10">
      <c r="A757">
        <f>'OPEN FOREIGN ORDER'!D383</f>
        <v>0</v>
      </c>
      <c r="B757">
        <f>'OPEN FOREIGN ORDER'!F383</f>
        <v>0</v>
      </c>
      <c r="C757">
        <f>'OPEN FOREIGN ORDER'!Z383</f>
        <v>0</v>
      </c>
      <c r="D757" s="123">
        <f>'OPEN FOREIGN ORDER'!AA383</f>
        <v>0</v>
      </c>
      <c r="E757" s="112">
        <f>'OPEN FOREIGN ORDER'!AB383</f>
        <v>0</v>
      </c>
      <c r="F757" s="112">
        <f>'OPEN FOREIGN ORDER'!AC383</f>
        <v>0</v>
      </c>
      <c r="G757" s="112">
        <f>'OPEN FOREIGN ORDER'!AD383</f>
        <v>0</v>
      </c>
      <c r="H757" s="112">
        <f>'OPEN FOREIGN ORDER'!AE383</f>
        <v>0</v>
      </c>
      <c r="I757" s="112">
        <f>'OPEN FOREIGN ORDER'!AF383</f>
        <v>0</v>
      </c>
      <c r="J757" s="112">
        <f>'OPEN FOREIGN ORDER'!AG383</f>
        <v>0</v>
      </c>
    </row>
    <row r="758" spans="1:10">
      <c r="A758">
        <f>'OPEN FOREIGN ORDER'!D384</f>
        <v>0</v>
      </c>
      <c r="B758">
        <f>'OPEN FOREIGN ORDER'!F384</f>
        <v>0</v>
      </c>
      <c r="C758">
        <f>'OPEN FOREIGN ORDER'!Z384</f>
        <v>0</v>
      </c>
      <c r="D758" s="123">
        <f>'OPEN FOREIGN ORDER'!AA384</f>
        <v>0</v>
      </c>
      <c r="E758" s="112">
        <f>'OPEN FOREIGN ORDER'!AB384</f>
        <v>0</v>
      </c>
      <c r="F758" s="112">
        <f>'OPEN FOREIGN ORDER'!AC384</f>
        <v>0</v>
      </c>
      <c r="G758" s="112">
        <f>'OPEN FOREIGN ORDER'!AD384</f>
        <v>0</v>
      </c>
      <c r="H758" s="112">
        <f>'OPEN FOREIGN ORDER'!AE384</f>
        <v>0</v>
      </c>
      <c r="I758" s="112">
        <f>'OPEN FOREIGN ORDER'!AF384</f>
        <v>0</v>
      </c>
      <c r="J758" s="112">
        <f>'OPEN FOREIGN ORDER'!AG384</f>
        <v>0</v>
      </c>
    </row>
    <row r="759" spans="1:10">
      <c r="A759">
        <f>'OPEN FOREIGN ORDER'!D385</f>
        <v>0</v>
      </c>
      <c r="B759">
        <f>'OPEN FOREIGN ORDER'!F385</f>
        <v>0</v>
      </c>
      <c r="C759">
        <f>'OPEN FOREIGN ORDER'!Z385</f>
        <v>0</v>
      </c>
      <c r="D759" s="123">
        <f>'OPEN FOREIGN ORDER'!AA385</f>
        <v>0</v>
      </c>
      <c r="E759" s="112">
        <f>'OPEN FOREIGN ORDER'!AB385</f>
        <v>0</v>
      </c>
      <c r="F759" s="112">
        <f>'OPEN FOREIGN ORDER'!AC385</f>
        <v>0</v>
      </c>
      <c r="G759" s="112">
        <f>'OPEN FOREIGN ORDER'!AD385</f>
        <v>0</v>
      </c>
      <c r="H759" s="112">
        <f>'OPEN FOREIGN ORDER'!AE385</f>
        <v>0</v>
      </c>
      <c r="I759" s="112">
        <f>'OPEN FOREIGN ORDER'!AF385</f>
        <v>0</v>
      </c>
      <c r="J759" s="112">
        <f>'OPEN FOREIGN ORDER'!AG385</f>
        <v>0</v>
      </c>
    </row>
    <row r="760" spans="1:10">
      <c r="A760">
        <f>'OPEN FOREIGN ORDER'!D386</f>
        <v>0</v>
      </c>
      <c r="B760">
        <f>'OPEN FOREIGN ORDER'!F386</f>
        <v>0</v>
      </c>
      <c r="C760">
        <f>'OPEN FOREIGN ORDER'!Z386</f>
        <v>0</v>
      </c>
      <c r="D760" s="123">
        <f>'OPEN FOREIGN ORDER'!AA386</f>
        <v>0</v>
      </c>
      <c r="E760" s="112">
        <f>'OPEN FOREIGN ORDER'!AB386</f>
        <v>0</v>
      </c>
      <c r="F760" s="112">
        <f>'OPEN FOREIGN ORDER'!AC386</f>
        <v>0</v>
      </c>
      <c r="G760" s="112">
        <f>'OPEN FOREIGN ORDER'!AD386</f>
        <v>0</v>
      </c>
      <c r="H760" s="112">
        <f>'OPEN FOREIGN ORDER'!AE386</f>
        <v>0</v>
      </c>
      <c r="I760" s="112">
        <f>'OPEN FOREIGN ORDER'!AF386</f>
        <v>0</v>
      </c>
      <c r="J760" s="112">
        <f>'OPEN FOREIGN ORDER'!AG386</f>
        <v>0</v>
      </c>
    </row>
    <row r="761" spans="1:10">
      <c r="A761">
        <f>'OPEN FOREIGN ORDER'!D387</f>
        <v>0</v>
      </c>
      <c r="B761">
        <f>'OPEN FOREIGN ORDER'!F387</f>
        <v>0</v>
      </c>
      <c r="C761">
        <f>'OPEN FOREIGN ORDER'!Z387</f>
        <v>0</v>
      </c>
      <c r="D761" s="123">
        <f>'OPEN FOREIGN ORDER'!AA387</f>
        <v>0</v>
      </c>
      <c r="E761" s="112">
        <f>'OPEN FOREIGN ORDER'!AB387</f>
        <v>0</v>
      </c>
      <c r="F761" s="112">
        <f>'OPEN FOREIGN ORDER'!AC387</f>
        <v>0</v>
      </c>
      <c r="G761" s="112">
        <f>'OPEN FOREIGN ORDER'!AD387</f>
        <v>0</v>
      </c>
      <c r="H761" s="112">
        <f>'OPEN FOREIGN ORDER'!AE387</f>
        <v>0</v>
      </c>
      <c r="I761" s="112">
        <f>'OPEN FOREIGN ORDER'!AF387</f>
        <v>0</v>
      </c>
      <c r="J761" s="112">
        <f>'OPEN FOREIGN ORDER'!AG387</f>
        <v>0</v>
      </c>
    </row>
    <row r="762" spans="1:10">
      <c r="A762">
        <f>'OPEN FOREIGN ORDER'!D388</f>
        <v>0</v>
      </c>
      <c r="B762">
        <f>'OPEN FOREIGN ORDER'!F388</f>
        <v>0</v>
      </c>
      <c r="C762">
        <f>'OPEN FOREIGN ORDER'!Z388</f>
        <v>0</v>
      </c>
      <c r="D762" s="123">
        <f>'OPEN FOREIGN ORDER'!AA388</f>
        <v>0</v>
      </c>
      <c r="E762" s="112">
        <f>'OPEN FOREIGN ORDER'!AB388</f>
        <v>0</v>
      </c>
      <c r="F762" s="112">
        <f>'OPEN FOREIGN ORDER'!AC388</f>
        <v>0</v>
      </c>
      <c r="G762" s="112">
        <f>'OPEN FOREIGN ORDER'!AD388</f>
        <v>0</v>
      </c>
      <c r="H762" s="112">
        <f>'OPEN FOREIGN ORDER'!AE388</f>
        <v>0</v>
      </c>
      <c r="I762" s="112">
        <f>'OPEN FOREIGN ORDER'!AF388</f>
        <v>0</v>
      </c>
      <c r="J762" s="112">
        <f>'OPEN FOREIGN ORDER'!AG388</f>
        <v>0</v>
      </c>
    </row>
    <row r="763" spans="1:10">
      <c r="A763">
        <f>'OPEN FOREIGN ORDER'!D389</f>
        <v>0</v>
      </c>
      <c r="B763">
        <f>'OPEN FOREIGN ORDER'!F389</f>
        <v>0</v>
      </c>
      <c r="C763">
        <f>'OPEN FOREIGN ORDER'!Z389</f>
        <v>0</v>
      </c>
      <c r="D763" s="123">
        <f>'OPEN FOREIGN ORDER'!AA389</f>
        <v>0</v>
      </c>
      <c r="E763" s="112">
        <f>'OPEN FOREIGN ORDER'!AB389</f>
        <v>0</v>
      </c>
      <c r="F763" s="112">
        <f>'OPEN FOREIGN ORDER'!AC389</f>
        <v>0</v>
      </c>
      <c r="G763" s="112">
        <f>'OPEN FOREIGN ORDER'!AD389</f>
        <v>0</v>
      </c>
      <c r="H763" s="112">
        <f>'OPEN FOREIGN ORDER'!AE389</f>
        <v>0</v>
      </c>
      <c r="I763" s="112">
        <f>'OPEN FOREIGN ORDER'!AF389</f>
        <v>0</v>
      </c>
      <c r="J763" s="112">
        <f>'OPEN FOREIGN ORDER'!AG389</f>
        <v>0</v>
      </c>
    </row>
    <row r="764" spans="1:10">
      <c r="A764">
        <f>'OPEN FOREIGN ORDER'!D390</f>
        <v>0</v>
      </c>
      <c r="B764">
        <f>'OPEN FOREIGN ORDER'!F390</f>
        <v>0</v>
      </c>
      <c r="C764">
        <f>'OPEN FOREIGN ORDER'!Z390</f>
        <v>0</v>
      </c>
      <c r="D764" s="123">
        <f>'OPEN FOREIGN ORDER'!AA390</f>
        <v>0</v>
      </c>
      <c r="E764" s="112">
        <f>'OPEN FOREIGN ORDER'!AB390</f>
        <v>0</v>
      </c>
      <c r="F764" s="112">
        <f>'OPEN FOREIGN ORDER'!AC390</f>
        <v>0</v>
      </c>
      <c r="G764" s="112">
        <f>'OPEN FOREIGN ORDER'!AD390</f>
        <v>0</v>
      </c>
      <c r="H764" s="112">
        <f>'OPEN FOREIGN ORDER'!AE390</f>
        <v>0</v>
      </c>
      <c r="I764" s="112">
        <f>'OPEN FOREIGN ORDER'!AF390</f>
        <v>0</v>
      </c>
      <c r="J764" s="112">
        <f>'OPEN FOREIGN ORDER'!AG390</f>
        <v>0</v>
      </c>
    </row>
    <row r="765" spans="1:10">
      <c r="A765">
        <f>'OPEN FOREIGN ORDER'!D391</f>
        <v>0</v>
      </c>
      <c r="B765">
        <f>'OPEN FOREIGN ORDER'!F391</f>
        <v>0</v>
      </c>
      <c r="C765">
        <f>'OPEN FOREIGN ORDER'!Z391</f>
        <v>0</v>
      </c>
      <c r="D765" s="123">
        <f>'OPEN FOREIGN ORDER'!AA391</f>
        <v>0</v>
      </c>
      <c r="E765" s="112">
        <f>'OPEN FOREIGN ORDER'!AB391</f>
        <v>0</v>
      </c>
      <c r="F765" s="112">
        <f>'OPEN FOREIGN ORDER'!AC391</f>
        <v>0</v>
      </c>
      <c r="G765" s="112">
        <f>'OPEN FOREIGN ORDER'!AD391</f>
        <v>0</v>
      </c>
      <c r="H765" s="112">
        <f>'OPEN FOREIGN ORDER'!AE391</f>
        <v>0</v>
      </c>
      <c r="I765" s="112">
        <f>'OPEN FOREIGN ORDER'!AF391</f>
        <v>0</v>
      </c>
      <c r="J765" s="112">
        <f>'OPEN FOREIGN ORDER'!AG391</f>
        <v>0</v>
      </c>
    </row>
    <row r="766" spans="1:10">
      <c r="A766">
        <f>'OPEN FOREIGN ORDER'!D392</f>
        <v>0</v>
      </c>
      <c r="B766">
        <f>'OPEN FOREIGN ORDER'!F392</f>
        <v>0</v>
      </c>
      <c r="C766">
        <f>'OPEN FOREIGN ORDER'!Z392</f>
        <v>0</v>
      </c>
      <c r="D766" s="123">
        <f>'OPEN FOREIGN ORDER'!AA392</f>
        <v>0</v>
      </c>
      <c r="E766" s="112">
        <f>'OPEN FOREIGN ORDER'!AB392</f>
        <v>0</v>
      </c>
      <c r="F766" s="112">
        <f>'OPEN FOREIGN ORDER'!AC392</f>
        <v>0</v>
      </c>
      <c r="G766" s="112">
        <f>'OPEN FOREIGN ORDER'!AD392</f>
        <v>0</v>
      </c>
      <c r="H766" s="112">
        <f>'OPEN FOREIGN ORDER'!AE392</f>
        <v>0</v>
      </c>
      <c r="I766" s="112">
        <f>'OPEN FOREIGN ORDER'!AF392</f>
        <v>0</v>
      </c>
      <c r="J766" s="112">
        <f>'OPEN FOREIGN ORDER'!AG392</f>
        <v>0</v>
      </c>
    </row>
    <row r="767" spans="1:10">
      <c r="A767">
        <f>'OPEN FOREIGN ORDER'!D393</f>
        <v>0</v>
      </c>
      <c r="B767">
        <f>'OPEN FOREIGN ORDER'!F393</f>
        <v>0</v>
      </c>
      <c r="C767">
        <f>'OPEN FOREIGN ORDER'!Z393</f>
        <v>0</v>
      </c>
      <c r="D767" s="123">
        <f>'OPEN FOREIGN ORDER'!AA393</f>
        <v>0</v>
      </c>
      <c r="E767" s="112">
        <f>'OPEN FOREIGN ORDER'!AB393</f>
        <v>0</v>
      </c>
      <c r="F767" s="112">
        <f>'OPEN FOREIGN ORDER'!AC393</f>
        <v>0</v>
      </c>
      <c r="G767" s="112">
        <f>'OPEN FOREIGN ORDER'!AD393</f>
        <v>0</v>
      </c>
      <c r="H767" s="112">
        <f>'OPEN FOREIGN ORDER'!AE393</f>
        <v>0</v>
      </c>
      <c r="I767" s="112">
        <f>'OPEN FOREIGN ORDER'!AF393</f>
        <v>0</v>
      </c>
      <c r="J767" s="112">
        <f>'OPEN FOREIGN ORDER'!AG393</f>
        <v>0</v>
      </c>
    </row>
    <row r="768" spans="1:10">
      <c r="A768">
        <f>'OPEN FOREIGN ORDER'!D394</f>
        <v>0</v>
      </c>
      <c r="B768">
        <f>'OPEN FOREIGN ORDER'!F394</f>
        <v>0</v>
      </c>
      <c r="C768">
        <f>'OPEN FOREIGN ORDER'!Z394</f>
        <v>0</v>
      </c>
      <c r="D768" s="123">
        <f>'OPEN FOREIGN ORDER'!AA394</f>
        <v>0</v>
      </c>
      <c r="E768" s="112">
        <f>'OPEN FOREIGN ORDER'!AB394</f>
        <v>0</v>
      </c>
      <c r="F768" s="112">
        <f>'OPEN FOREIGN ORDER'!AC394</f>
        <v>0</v>
      </c>
      <c r="G768" s="112">
        <f>'OPEN FOREIGN ORDER'!AD394</f>
        <v>0</v>
      </c>
      <c r="H768" s="112">
        <f>'OPEN FOREIGN ORDER'!AE394</f>
        <v>0</v>
      </c>
      <c r="I768" s="112">
        <f>'OPEN FOREIGN ORDER'!AF394</f>
        <v>0</v>
      </c>
      <c r="J768" s="112">
        <f>'OPEN FOREIGN ORDER'!AG394</f>
        <v>0</v>
      </c>
    </row>
    <row r="769" spans="1:10">
      <c r="A769">
        <f>'OPEN FOREIGN ORDER'!D395</f>
        <v>0</v>
      </c>
      <c r="B769">
        <f>'OPEN FOREIGN ORDER'!F395</f>
        <v>0</v>
      </c>
      <c r="C769">
        <f>'OPEN FOREIGN ORDER'!Z395</f>
        <v>0</v>
      </c>
      <c r="D769" s="123">
        <f>'OPEN FOREIGN ORDER'!AA395</f>
        <v>0</v>
      </c>
      <c r="E769" s="112">
        <f>'OPEN FOREIGN ORDER'!AB395</f>
        <v>0</v>
      </c>
      <c r="F769" s="112">
        <f>'OPEN FOREIGN ORDER'!AC395</f>
        <v>0</v>
      </c>
      <c r="G769" s="112">
        <f>'OPEN FOREIGN ORDER'!AD395</f>
        <v>0</v>
      </c>
      <c r="H769" s="112">
        <f>'OPEN FOREIGN ORDER'!AE395</f>
        <v>0</v>
      </c>
      <c r="I769" s="112">
        <f>'OPEN FOREIGN ORDER'!AF395</f>
        <v>0</v>
      </c>
      <c r="J769" s="112">
        <f>'OPEN FOREIGN ORDER'!AG395</f>
        <v>0</v>
      </c>
    </row>
    <row r="770" spans="1:10">
      <c r="A770">
        <f>'OPEN FOREIGN ORDER'!D396</f>
        <v>0</v>
      </c>
      <c r="B770">
        <f>'OPEN FOREIGN ORDER'!F396</f>
        <v>0</v>
      </c>
      <c r="C770">
        <f>'OPEN FOREIGN ORDER'!Z396</f>
        <v>0</v>
      </c>
      <c r="D770" s="123">
        <f>'OPEN FOREIGN ORDER'!AA396</f>
        <v>0</v>
      </c>
      <c r="E770" s="112">
        <f>'OPEN FOREIGN ORDER'!AB396</f>
        <v>0</v>
      </c>
      <c r="F770" s="112">
        <f>'OPEN FOREIGN ORDER'!AC396</f>
        <v>0</v>
      </c>
      <c r="G770" s="112">
        <f>'OPEN FOREIGN ORDER'!AD396</f>
        <v>0</v>
      </c>
      <c r="H770" s="112">
        <f>'OPEN FOREIGN ORDER'!AE396</f>
        <v>0</v>
      </c>
      <c r="I770" s="112">
        <f>'OPEN FOREIGN ORDER'!AF396</f>
        <v>0</v>
      </c>
      <c r="J770" s="112">
        <f>'OPEN FOREIGN ORDER'!AG396</f>
        <v>0</v>
      </c>
    </row>
    <row r="771" spans="1:10">
      <c r="A771">
        <f>'OPEN FOREIGN ORDER'!D397</f>
        <v>0</v>
      </c>
      <c r="B771">
        <f>'OPEN FOREIGN ORDER'!F397</f>
        <v>0</v>
      </c>
      <c r="C771">
        <f>'OPEN FOREIGN ORDER'!Z397</f>
        <v>0</v>
      </c>
      <c r="D771" s="123">
        <f>'OPEN FOREIGN ORDER'!AA397</f>
        <v>0</v>
      </c>
      <c r="E771" s="112">
        <f>'OPEN FOREIGN ORDER'!AB397</f>
        <v>0</v>
      </c>
      <c r="F771" s="112">
        <f>'OPEN FOREIGN ORDER'!AC397</f>
        <v>0</v>
      </c>
      <c r="G771" s="112">
        <f>'OPEN FOREIGN ORDER'!AD397</f>
        <v>0</v>
      </c>
      <c r="H771" s="112">
        <f>'OPEN FOREIGN ORDER'!AE397</f>
        <v>0</v>
      </c>
      <c r="I771" s="112">
        <f>'OPEN FOREIGN ORDER'!AF397</f>
        <v>0</v>
      </c>
      <c r="J771" s="112">
        <f>'OPEN FOREIGN ORDER'!AG397</f>
        <v>0</v>
      </c>
    </row>
    <row r="772" spans="1:10">
      <c r="A772">
        <f>'OPEN FOREIGN ORDER'!D398</f>
        <v>0</v>
      </c>
      <c r="B772">
        <f>'OPEN FOREIGN ORDER'!F398</f>
        <v>0</v>
      </c>
      <c r="C772">
        <f>'OPEN FOREIGN ORDER'!Z398</f>
        <v>0</v>
      </c>
      <c r="D772" s="123">
        <f>'OPEN FOREIGN ORDER'!AA398</f>
        <v>0</v>
      </c>
      <c r="E772" s="112">
        <f>'OPEN FOREIGN ORDER'!AB398</f>
        <v>0</v>
      </c>
      <c r="F772" s="112">
        <f>'OPEN FOREIGN ORDER'!AC398</f>
        <v>0</v>
      </c>
      <c r="G772" s="112">
        <f>'OPEN FOREIGN ORDER'!AD398</f>
        <v>0</v>
      </c>
      <c r="H772" s="112">
        <f>'OPEN FOREIGN ORDER'!AE398</f>
        <v>0</v>
      </c>
      <c r="I772" s="112">
        <f>'OPEN FOREIGN ORDER'!AF398</f>
        <v>0</v>
      </c>
      <c r="J772" s="112">
        <f>'OPEN FOREIGN ORDER'!AG398</f>
        <v>0</v>
      </c>
    </row>
    <row r="773" spans="1:10">
      <c r="A773">
        <f>'OPEN FOREIGN ORDER'!D399</f>
        <v>0</v>
      </c>
      <c r="B773">
        <f>'OPEN FOREIGN ORDER'!F399</f>
        <v>0</v>
      </c>
      <c r="C773">
        <f>'OPEN FOREIGN ORDER'!Z399</f>
        <v>0</v>
      </c>
      <c r="D773" s="123">
        <f>'OPEN FOREIGN ORDER'!AA399</f>
        <v>0</v>
      </c>
      <c r="E773" s="112">
        <f>'OPEN FOREIGN ORDER'!AB399</f>
        <v>0</v>
      </c>
      <c r="F773" s="112">
        <f>'OPEN FOREIGN ORDER'!AC399</f>
        <v>0</v>
      </c>
      <c r="G773" s="112">
        <f>'OPEN FOREIGN ORDER'!AD399</f>
        <v>0</v>
      </c>
      <c r="H773" s="112">
        <f>'OPEN FOREIGN ORDER'!AE399</f>
        <v>0</v>
      </c>
      <c r="I773" s="112">
        <f>'OPEN FOREIGN ORDER'!AF399</f>
        <v>0</v>
      </c>
      <c r="J773" s="112">
        <f>'OPEN FOREIGN ORDER'!AG399</f>
        <v>0</v>
      </c>
    </row>
    <row r="774" spans="1:10">
      <c r="A774">
        <f>'OPEN FOREIGN ORDER'!D400</f>
        <v>0</v>
      </c>
      <c r="B774">
        <f>'OPEN FOREIGN ORDER'!F400</f>
        <v>0</v>
      </c>
      <c r="C774">
        <f>'OPEN FOREIGN ORDER'!Z400</f>
        <v>0</v>
      </c>
      <c r="D774" s="123">
        <f>'OPEN FOREIGN ORDER'!AA400</f>
        <v>0</v>
      </c>
      <c r="E774" s="112">
        <f>'OPEN FOREIGN ORDER'!AB400</f>
        <v>0</v>
      </c>
      <c r="F774" s="112">
        <f>'OPEN FOREIGN ORDER'!AC400</f>
        <v>0</v>
      </c>
      <c r="G774" s="112">
        <f>'OPEN FOREIGN ORDER'!AD400</f>
        <v>0</v>
      </c>
      <c r="H774" s="112">
        <f>'OPEN FOREIGN ORDER'!AE400</f>
        <v>0</v>
      </c>
      <c r="I774" s="112">
        <f>'OPEN FOREIGN ORDER'!AF400</f>
        <v>0</v>
      </c>
      <c r="J774" s="112">
        <f>'OPEN FOREIGN ORDER'!AG400</f>
        <v>0</v>
      </c>
    </row>
    <row r="775" spans="1:10">
      <c r="A775">
        <f>'OPEN FOREIGN ORDER'!D401</f>
        <v>0</v>
      </c>
      <c r="B775">
        <f>'OPEN FOREIGN ORDER'!F401</f>
        <v>0</v>
      </c>
      <c r="C775">
        <f>'OPEN FOREIGN ORDER'!Z401</f>
        <v>0</v>
      </c>
      <c r="D775" s="123">
        <f>'OPEN FOREIGN ORDER'!AA401</f>
        <v>0</v>
      </c>
      <c r="E775" s="112">
        <f>'OPEN FOREIGN ORDER'!AB401</f>
        <v>0</v>
      </c>
      <c r="F775" s="112">
        <f>'OPEN FOREIGN ORDER'!AC401</f>
        <v>0</v>
      </c>
      <c r="G775" s="112">
        <f>'OPEN FOREIGN ORDER'!AD401</f>
        <v>0</v>
      </c>
      <c r="H775" s="112">
        <f>'OPEN FOREIGN ORDER'!AE401</f>
        <v>0</v>
      </c>
      <c r="I775" s="112">
        <f>'OPEN FOREIGN ORDER'!AF401</f>
        <v>0</v>
      </c>
      <c r="J775" s="112">
        <f>'OPEN FOREIGN ORDER'!AG401</f>
        <v>0</v>
      </c>
    </row>
    <row r="776" spans="1:10">
      <c r="A776">
        <f>'OPEN FOREIGN ORDER'!D402</f>
        <v>0</v>
      </c>
      <c r="B776">
        <f>'OPEN FOREIGN ORDER'!F402</f>
        <v>0</v>
      </c>
      <c r="C776">
        <f>'OPEN FOREIGN ORDER'!Z402</f>
        <v>0</v>
      </c>
      <c r="D776" s="123">
        <f>'OPEN FOREIGN ORDER'!AA402</f>
        <v>0</v>
      </c>
      <c r="E776" s="112">
        <f>'OPEN FOREIGN ORDER'!AB402</f>
        <v>0</v>
      </c>
      <c r="F776" s="112">
        <f>'OPEN FOREIGN ORDER'!AC402</f>
        <v>0</v>
      </c>
      <c r="G776" s="112">
        <f>'OPEN FOREIGN ORDER'!AD402</f>
        <v>0</v>
      </c>
      <c r="H776" s="112">
        <f>'OPEN FOREIGN ORDER'!AE402</f>
        <v>0</v>
      </c>
      <c r="I776" s="112">
        <f>'OPEN FOREIGN ORDER'!AF402</f>
        <v>0</v>
      </c>
      <c r="J776" s="112">
        <f>'OPEN FOREIGN ORDER'!AG402</f>
        <v>0</v>
      </c>
    </row>
    <row r="777" spans="1:10">
      <c r="A777">
        <f>'OPEN FOREIGN ORDER'!D403</f>
        <v>0</v>
      </c>
      <c r="B777">
        <f>'OPEN FOREIGN ORDER'!F403</f>
        <v>0</v>
      </c>
      <c r="C777">
        <f>'OPEN FOREIGN ORDER'!Z403</f>
        <v>0</v>
      </c>
      <c r="D777" s="123">
        <f>'OPEN FOREIGN ORDER'!AA403</f>
        <v>0</v>
      </c>
      <c r="E777" s="112">
        <f>'OPEN FOREIGN ORDER'!AB403</f>
        <v>0</v>
      </c>
      <c r="F777" s="112">
        <f>'OPEN FOREIGN ORDER'!AC403</f>
        <v>0</v>
      </c>
      <c r="G777" s="112">
        <f>'OPEN FOREIGN ORDER'!AD403</f>
        <v>0</v>
      </c>
      <c r="H777" s="112">
        <f>'OPEN FOREIGN ORDER'!AE403</f>
        <v>0</v>
      </c>
      <c r="I777" s="112">
        <f>'OPEN FOREIGN ORDER'!AF403</f>
        <v>0</v>
      </c>
      <c r="J777" s="112">
        <f>'OPEN FOREIGN ORDER'!AG403</f>
        <v>0</v>
      </c>
    </row>
    <row r="778" spans="1:10">
      <c r="A778">
        <f>'OPEN FOREIGN ORDER'!D404</f>
        <v>0</v>
      </c>
      <c r="B778">
        <f>'OPEN FOREIGN ORDER'!F404</f>
        <v>0</v>
      </c>
      <c r="C778">
        <f>'OPEN FOREIGN ORDER'!Z404</f>
        <v>0</v>
      </c>
      <c r="D778" s="123">
        <f>'OPEN FOREIGN ORDER'!AA404</f>
        <v>0</v>
      </c>
      <c r="E778" s="112">
        <f>'OPEN FOREIGN ORDER'!AB404</f>
        <v>0</v>
      </c>
      <c r="F778" s="112">
        <f>'OPEN FOREIGN ORDER'!AC404</f>
        <v>0</v>
      </c>
      <c r="G778" s="112">
        <f>'OPEN FOREIGN ORDER'!AD404</f>
        <v>0</v>
      </c>
      <c r="H778" s="112">
        <f>'OPEN FOREIGN ORDER'!AE404</f>
        <v>0</v>
      </c>
      <c r="I778" s="112">
        <f>'OPEN FOREIGN ORDER'!AF404</f>
        <v>0</v>
      </c>
      <c r="J778" s="112">
        <f>'OPEN FOREIGN ORDER'!AG404</f>
        <v>0</v>
      </c>
    </row>
    <row r="779" spans="1:10">
      <c r="A779">
        <f>'OPEN FOREIGN ORDER'!D405</f>
        <v>0</v>
      </c>
      <c r="B779">
        <f>'OPEN FOREIGN ORDER'!F405</f>
        <v>0</v>
      </c>
      <c r="C779">
        <f>'OPEN FOREIGN ORDER'!Z405</f>
        <v>0</v>
      </c>
      <c r="D779" s="123">
        <f>'OPEN FOREIGN ORDER'!AA405</f>
        <v>0</v>
      </c>
      <c r="E779" s="112">
        <f>'OPEN FOREIGN ORDER'!AB405</f>
        <v>0</v>
      </c>
      <c r="F779" s="112">
        <f>'OPEN FOREIGN ORDER'!AC405</f>
        <v>0</v>
      </c>
      <c r="G779" s="112">
        <f>'OPEN FOREIGN ORDER'!AD405</f>
        <v>0</v>
      </c>
      <c r="H779" s="112">
        <f>'OPEN FOREIGN ORDER'!AE405</f>
        <v>0</v>
      </c>
      <c r="I779" s="112">
        <f>'OPEN FOREIGN ORDER'!AF405</f>
        <v>0</v>
      </c>
      <c r="J779" s="112">
        <f>'OPEN FOREIGN ORDER'!AG405</f>
        <v>0</v>
      </c>
    </row>
    <row r="780" spans="1:10">
      <c r="A780">
        <f>'OPEN FOREIGN ORDER'!D406</f>
        <v>0</v>
      </c>
      <c r="B780">
        <f>'OPEN FOREIGN ORDER'!F406</f>
        <v>0</v>
      </c>
      <c r="C780">
        <f>'OPEN FOREIGN ORDER'!Z406</f>
        <v>0</v>
      </c>
      <c r="D780" s="123">
        <f>'OPEN FOREIGN ORDER'!AA406</f>
        <v>0</v>
      </c>
      <c r="E780" s="112">
        <f>'OPEN FOREIGN ORDER'!AB406</f>
        <v>0</v>
      </c>
      <c r="F780" s="112">
        <f>'OPEN FOREIGN ORDER'!AC406</f>
        <v>0</v>
      </c>
      <c r="G780" s="112">
        <f>'OPEN FOREIGN ORDER'!AD406</f>
        <v>0</v>
      </c>
      <c r="H780" s="112">
        <f>'OPEN FOREIGN ORDER'!AE406</f>
        <v>0</v>
      </c>
      <c r="I780" s="112">
        <f>'OPEN FOREIGN ORDER'!AF406</f>
        <v>0</v>
      </c>
      <c r="J780" s="112">
        <f>'OPEN FOREIGN ORDER'!AG406</f>
        <v>0</v>
      </c>
    </row>
    <row r="781" spans="1:10">
      <c r="A781">
        <f>'OPEN FOREIGN ORDER'!D407</f>
        <v>0</v>
      </c>
      <c r="B781">
        <f>'OPEN FOREIGN ORDER'!F407</f>
        <v>0</v>
      </c>
      <c r="C781">
        <f>'OPEN FOREIGN ORDER'!Z407</f>
        <v>0</v>
      </c>
      <c r="D781" s="123">
        <f>'OPEN FOREIGN ORDER'!AA407</f>
        <v>0</v>
      </c>
      <c r="E781" s="112">
        <f>'OPEN FOREIGN ORDER'!AB407</f>
        <v>0</v>
      </c>
      <c r="F781" s="112">
        <f>'OPEN FOREIGN ORDER'!AC407</f>
        <v>0</v>
      </c>
      <c r="G781" s="112">
        <f>'OPEN FOREIGN ORDER'!AD407</f>
        <v>0</v>
      </c>
      <c r="H781" s="112">
        <f>'OPEN FOREIGN ORDER'!AE407</f>
        <v>0</v>
      </c>
      <c r="I781" s="112">
        <f>'OPEN FOREIGN ORDER'!AF407</f>
        <v>0</v>
      </c>
      <c r="J781" s="112">
        <f>'OPEN FOREIGN ORDER'!AG407</f>
        <v>0</v>
      </c>
    </row>
    <row r="782" spans="1:10">
      <c r="A782">
        <f>'OPEN FOREIGN ORDER'!D408</f>
        <v>0</v>
      </c>
      <c r="B782">
        <f>'OPEN FOREIGN ORDER'!F408</f>
        <v>0</v>
      </c>
      <c r="C782">
        <f>'OPEN FOREIGN ORDER'!Z408</f>
        <v>0</v>
      </c>
      <c r="D782" s="123">
        <f>'OPEN FOREIGN ORDER'!AA408</f>
        <v>0</v>
      </c>
      <c r="E782" s="112">
        <f>'OPEN FOREIGN ORDER'!AB408</f>
        <v>0</v>
      </c>
      <c r="F782" s="112">
        <f>'OPEN FOREIGN ORDER'!AC408</f>
        <v>0</v>
      </c>
      <c r="G782" s="112">
        <f>'OPEN FOREIGN ORDER'!AD408</f>
        <v>0</v>
      </c>
      <c r="H782" s="112">
        <f>'OPEN FOREIGN ORDER'!AE408</f>
        <v>0</v>
      </c>
      <c r="I782" s="112">
        <f>'OPEN FOREIGN ORDER'!AF408</f>
        <v>0</v>
      </c>
      <c r="J782" s="112">
        <f>'OPEN FOREIGN ORDER'!AG408</f>
        <v>0</v>
      </c>
    </row>
    <row r="783" spans="1:10">
      <c r="A783">
        <f>'OPEN FOREIGN ORDER'!D409</f>
        <v>0</v>
      </c>
      <c r="B783">
        <f>'OPEN FOREIGN ORDER'!F409</f>
        <v>0</v>
      </c>
      <c r="C783">
        <f>'OPEN FOREIGN ORDER'!Z409</f>
        <v>0</v>
      </c>
      <c r="D783" s="123">
        <f>'OPEN FOREIGN ORDER'!AA409</f>
        <v>0</v>
      </c>
      <c r="E783" s="112">
        <f>'OPEN FOREIGN ORDER'!AB409</f>
        <v>0</v>
      </c>
      <c r="F783" s="112">
        <f>'OPEN FOREIGN ORDER'!AC409</f>
        <v>0</v>
      </c>
      <c r="G783" s="112">
        <f>'OPEN FOREIGN ORDER'!AD409</f>
        <v>0</v>
      </c>
      <c r="H783" s="112">
        <f>'OPEN FOREIGN ORDER'!AE409</f>
        <v>0</v>
      </c>
      <c r="I783" s="112">
        <f>'OPEN FOREIGN ORDER'!AF409</f>
        <v>0</v>
      </c>
      <c r="J783" s="112">
        <f>'OPEN FOREIGN ORDER'!AG409</f>
        <v>0</v>
      </c>
    </row>
    <row r="784" spans="1:10">
      <c r="A784">
        <f>'OPEN FOREIGN ORDER'!D410</f>
        <v>0</v>
      </c>
      <c r="B784">
        <f>'OPEN FOREIGN ORDER'!F410</f>
        <v>0</v>
      </c>
      <c r="C784">
        <f>'OPEN FOREIGN ORDER'!Z410</f>
        <v>0</v>
      </c>
      <c r="D784" s="123">
        <f>'OPEN FOREIGN ORDER'!AA410</f>
        <v>0</v>
      </c>
      <c r="E784" s="112">
        <f>'OPEN FOREIGN ORDER'!AB410</f>
        <v>0</v>
      </c>
      <c r="F784" s="112">
        <f>'OPEN FOREIGN ORDER'!AC410</f>
        <v>0</v>
      </c>
      <c r="G784" s="112">
        <f>'OPEN FOREIGN ORDER'!AD410</f>
        <v>0</v>
      </c>
      <c r="H784" s="112">
        <f>'OPEN FOREIGN ORDER'!AE410</f>
        <v>0</v>
      </c>
      <c r="I784" s="112">
        <f>'OPEN FOREIGN ORDER'!AF410</f>
        <v>0</v>
      </c>
      <c r="J784" s="112">
        <f>'OPEN FOREIGN ORDER'!AG410</f>
        <v>0</v>
      </c>
    </row>
    <row r="785" spans="1:10">
      <c r="A785">
        <f>'OPEN FOREIGN ORDER'!D411</f>
        <v>0</v>
      </c>
      <c r="B785">
        <f>'OPEN FOREIGN ORDER'!F411</f>
        <v>0</v>
      </c>
      <c r="C785">
        <f>'OPEN FOREIGN ORDER'!Z411</f>
        <v>0</v>
      </c>
      <c r="D785" s="123">
        <f>'OPEN FOREIGN ORDER'!AA411</f>
        <v>0</v>
      </c>
      <c r="E785" s="112">
        <f>'OPEN FOREIGN ORDER'!AB411</f>
        <v>0</v>
      </c>
      <c r="F785" s="112">
        <f>'OPEN FOREIGN ORDER'!AC411</f>
        <v>0</v>
      </c>
      <c r="G785" s="112">
        <f>'OPEN FOREIGN ORDER'!AD411</f>
        <v>0</v>
      </c>
      <c r="H785" s="112">
        <f>'OPEN FOREIGN ORDER'!AE411</f>
        <v>0</v>
      </c>
      <c r="I785" s="112">
        <f>'OPEN FOREIGN ORDER'!AF411</f>
        <v>0</v>
      </c>
      <c r="J785" s="112">
        <f>'OPEN FOREIGN ORDER'!AG411</f>
        <v>0</v>
      </c>
    </row>
    <row r="786" spans="1:10">
      <c r="A786">
        <f>'OPEN FOREIGN ORDER'!D412</f>
        <v>0</v>
      </c>
      <c r="B786">
        <f>'OPEN FOREIGN ORDER'!F412</f>
        <v>0</v>
      </c>
      <c r="C786">
        <f>'OPEN FOREIGN ORDER'!Z412</f>
        <v>0</v>
      </c>
      <c r="D786" s="123">
        <f>'OPEN FOREIGN ORDER'!AA412</f>
        <v>0</v>
      </c>
      <c r="E786" s="112">
        <f>'OPEN FOREIGN ORDER'!AB412</f>
        <v>0</v>
      </c>
      <c r="F786" s="112">
        <f>'OPEN FOREIGN ORDER'!AC412</f>
        <v>0</v>
      </c>
      <c r="G786" s="112">
        <f>'OPEN FOREIGN ORDER'!AD412</f>
        <v>0</v>
      </c>
      <c r="H786" s="112">
        <f>'OPEN FOREIGN ORDER'!AE412</f>
        <v>0</v>
      </c>
      <c r="I786" s="112">
        <f>'OPEN FOREIGN ORDER'!AF412</f>
        <v>0</v>
      </c>
      <c r="J786" s="112">
        <f>'OPEN FOREIGN ORDER'!AG412</f>
        <v>0</v>
      </c>
    </row>
    <row r="787" spans="1:10">
      <c r="A787">
        <f>'OPEN FOREIGN ORDER'!D413</f>
        <v>0</v>
      </c>
      <c r="B787">
        <f>'OPEN FOREIGN ORDER'!F413</f>
        <v>0</v>
      </c>
      <c r="C787">
        <f>'OPEN FOREIGN ORDER'!Z413</f>
        <v>0</v>
      </c>
      <c r="D787" s="123">
        <f>'OPEN FOREIGN ORDER'!AA413</f>
        <v>0</v>
      </c>
      <c r="E787" s="112">
        <f>'OPEN FOREIGN ORDER'!AB413</f>
        <v>0</v>
      </c>
      <c r="F787" s="112">
        <f>'OPEN FOREIGN ORDER'!AC413</f>
        <v>0</v>
      </c>
      <c r="G787" s="112">
        <f>'OPEN FOREIGN ORDER'!AD413</f>
        <v>0</v>
      </c>
      <c r="H787" s="112">
        <f>'OPEN FOREIGN ORDER'!AE413</f>
        <v>0</v>
      </c>
      <c r="I787" s="112">
        <f>'OPEN FOREIGN ORDER'!AF413</f>
        <v>0</v>
      </c>
      <c r="J787" s="112">
        <f>'OPEN FOREIGN ORDER'!AG413</f>
        <v>0</v>
      </c>
    </row>
    <row r="788" spans="1:10">
      <c r="A788">
        <f>'OPEN FOREIGN ORDER'!D414</f>
        <v>0</v>
      </c>
      <c r="B788">
        <f>'OPEN FOREIGN ORDER'!F414</f>
        <v>0</v>
      </c>
      <c r="C788">
        <f>'OPEN FOREIGN ORDER'!Z414</f>
        <v>0</v>
      </c>
      <c r="D788" s="123">
        <f>'OPEN FOREIGN ORDER'!AA414</f>
        <v>0</v>
      </c>
      <c r="E788" s="112">
        <f>'OPEN FOREIGN ORDER'!AB414</f>
        <v>0</v>
      </c>
      <c r="F788" s="112">
        <f>'OPEN FOREIGN ORDER'!AC414</f>
        <v>0</v>
      </c>
      <c r="G788" s="112">
        <f>'OPEN FOREIGN ORDER'!AD414</f>
        <v>0</v>
      </c>
      <c r="H788" s="112">
        <f>'OPEN FOREIGN ORDER'!AE414</f>
        <v>0</v>
      </c>
      <c r="I788" s="112">
        <f>'OPEN FOREIGN ORDER'!AF414</f>
        <v>0</v>
      </c>
      <c r="J788" s="112">
        <f>'OPEN FOREIGN ORDER'!AG414</f>
        <v>0</v>
      </c>
    </row>
    <row r="789" spans="1:10">
      <c r="A789">
        <f>'OPEN FOREIGN ORDER'!D415</f>
        <v>0</v>
      </c>
      <c r="B789">
        <f>'OPEN FOREIGN ORDER'!F415</f>
        <v>0</v>
      </c>
      <c r="C789">
        <f>'OPEN FOREIGN ORDER'!Z415</f>
        <v>0</v>
      </c>
      <c r="D789" s="123">
        <f>'OPEN FOREIGN ORDER'!AA415</f>
        <v>0</v>
      </c>
      <c r="E789" s="112">
        <f>'OPEN FOREIGN ORDER'!AB415</f>
        <v>0</v>
      </c>
      <c r="F789" s="112">
        <f>'OPEN FOREIGN ORDER'!AC415</f>
        <v>0</v>
      </c>
      <c r="G789" s="112">
        <f>'OPEN FOREIGN ORDER'!AD415</f>
        <v>0</v>
      </c>
      <c r="H789" s="112">
        <f>'OPEN FOREIGN ORDER'!AE415</f>
        <v>0</v>
      </c>
      <c r="I789" s="112">
        <f>'OPEN FOREIGN ORDER'!AF415</f>
        <v>0</v>
      </c>
      <c r="J789" s="112">
        <f>'OPEN FOREIGN ORDER'!AG415</f>
        <v>0</v>
      </c>
    </row>
    <row r="790" spans="1:10">
      <c r="A790">
        <f>'OPEN FOREIGN ORDER'!D416</f>
        <v>0</v>
      </c>
      <c r="B790">
        <f>'OPEN FOREIGN ORDER'!F416</f>
        <v>0</v>
      </c>
      <c r="C790">
        <f>'OPEN FOREIGN ORDER'!Z416</f>
        <v>0</v>
      </c>
      <c r="D790" s="123">
        <f>'OPEN FOREIGN ORDER'!AA416</f>
        <v>0</v>
      </c>
      <c r="E790" s="112">
        <f>'OPEN FOREIGN ORDER'!AB416</f>
        <v>0</v>
      </c>
      <c r="F790" s="112">
        <f>'OPEN FOREIGN ORDER'!AC416</f>
        <v>0</v>
      </c>
      <c r="G790" s="112">
        <f>'OPEN FOREIGN ORDER'!AD416</f>
        <v>0</v>
      </c>
      <c r="H790" s="112">
        <f>'OPEN FOREIGN ORDER'!AE416</f>
        <v>0</v>
      </c>
      <c r="I790" s="112">
        <f>'OPEN FOREIGN ORDER'!AF416</f>
        <v>0</v>
      </c>
      <c r="J790" s="112">
        <f>'OPEN FOREIGN ORDER'!AG416</f>
        <v>0</v>
      </c>
    </row>
    <row r="791" spans="1:10">
      <c r="A791">
        <f>'OPEN FOREIGN ORDER'!D417</f>
        <v>0</v>
      </c>
      <c r="B791">
        <f>'OPEN FOREIGN ORDER'!F417</f>
        <v>0</v>
      </c>
      <c r="C791">
        <f>'OPEN FOREIGN ORDER'!Z417</f>
        <v>0</v>
      </c>
      <c r="D791" s="123">
        <f>'OPEN FOREIGN ORDER'!AA417</f>
        <v>0</v>
      </c>
      <c r="E791" s="112">
        <f>'OPEN FOREIGN ORDER'!AB417</f>
        <v>0</v>
      </c>
      <c r="F791" s="112">
        <f>'OPEN FOREIGN ORDER'!AC417</f>
        <v>0</v>
      </c>
      <c r="G791" s="112">
        <f>'OPEN FOREIGN ORDER'!AD417</f>
        <v>0</v>
      </c>
      <c r="H791" s="112">
        <f>'OPEN FOREIGN ORDER'!AE417</f>
        <v>0</v>
      </c>
      <c r="I791" s="112">
        <f>'OPEN FOREIGN ORDER'!AF417</f>
        <v>0</v>
      </c>
      <c r="J791" s="112">
        <f>'OPEN FOREIGN ORDER'!AG417</f>
        <v>0</v>
      </c>
    </row>
    <row r="792" spans="1:10">
      <c r="A792">
        <f>'OPEN FOREIGN ORDER'!D418</f>
        <v>0</v>
      </c>
      <c r="B792">
        <f>'OPEN FOREIGN ORDER'!F418</f>
        <v>0</v>
      </c>
      <c r="C792">
        <f>'OPEN FOREIGN ORDER'!Z418</f>
        <v>0</v>
      </c>
      <c r="D792" s="123">
        <f>'OPEN FOREIGN ORDER'!AA418</f>
        <v>0</v>
      </c>
      <c r="E792" s="112">
        <f>'OPEN FOREIGN ORDER'!AB418</f>
        <v>0</v>
      </c>
      <c r="F792" s="112">
        <f>'OPEN FOREIGN ORDER'!AC418</f>
        <v>0</v>
      </c>
      <c r="G792" s="112">
        <f>'OPEN FOREIGN ORDER'!AD418</f>
        <v>0</v>
      </c>
      <c r="H792" s="112">
        <f>'OPEN FOREIGN ORDER'!AE418</f>
        <v>0</v>
      </c>
      <c r="I792" s="112">
        <f>'OPEN FOREIGN ORDER'!AF418</f>
        <v>0</v>
      </c>
      <c r="J792" s="112">
        <f>'OPEN FOREIGN ORDER'!AG418</f>
        <v>0</v>
      </c>
    </row>
    <row r="793" spans="1:10">
      <c r="A793">
        <f>'OPEN FOREIGN ORDER'!D419</f>
        <v>0</v>
      </c>
      <c r="B793">
        <f>'OPEN FOREIGN ORDER'!F419</f>
        <v>0</v>
      </c>
      <c r="C793">
        <f>'OPEN FOREIGN ORDER'!Z419</f>
        <v>0</v>
      </c>
      <c r="D793" s="123">
        <f>'OPEN FOREIGN ORDER'!AA419</f>
        <v>0</v>
      </c>
      <c r="E793" s="112">
        <f>'OPEN FOREIGN ORDER'!AB419</f>
        <v>0</v>
      </c>
      <c r="F793" s="112">
        <f>'OPEN FOREIGN ORDER'!AC419</f>
        <v>0</v>
      </c>
      <c r="G793" s="112">
        <f>'OPEN FOREIGN ORDER'!AD419</f>
        <v>0</v>
      </c>
      <c r="H793" s="112">
        <f>'OPEN FOREIGN ORDER'!AE419</f>
        <v>0</v>
      </c>
      <c r="I793" s="112">
        <f>'OPEN FOREIGN ORDER'!AF419</f>
        <v>0</v>
      </c>
      <c r="J793" s="112">
        <f>'OPEN FOREIGN ORDER'!AG419</f>
        <v>0</v>
      </c>
    </row>
    <row r="794" spans="1:10">
      <c r="A794">
        <f>'OPEN FOREIGN ORDER'!D420</f>
        <v>0</v>
      </c>
      <c r="B794">
        <f>'OPEN FOREIGN ORDER'!F420</f>
        <v>0</v>
      </c>
      <c r="C794">
        <f>'OPEN FOREIGN ORDER'!Z420</f>
        <v>0</v>
      </c>
      <c r="D794" s="123">
        <f>'OPEN FOREIGN ORDER'!AA420</f>
        <v>0</v>
      </c>
      <c r="E794" s="112">
        <f>'OPEN FOREIGN ORDER'!AB420</f>
        <v>0</v>
      </c>
      <c r="F794" s="112">
        <f>'OPEN FOREIGN ORDER'!AC420</f>
        <v>0</v>
      </c>
      <c r="G794" s="112">
        <f>'OPEN FOREIGN ORDER'!AD420</f>
        <v>0</v>
      </c>
      <c r="H794" s="112">
        <f>'OPEN FOREIGN ORDER'!AE420</f>
        <v>0</v>
      </c>
      <c r="I794" s="112">
        <f>'OPEN FOREIGN ORDER'!AF420</f>
        <v>0</v>
      </c>
      <c r="J794" s="112">
        <f>'OPEN FOREIGN ORDER'!AG420</f>
        <v>0</v>
      </c>
    </row>
    <row r="795" spans="1:10">
      <c r="A795">
        <f>'OPEN FOREIGN ORDER'!D421</f>
        <v>0</v>
      </c>
      <c r="B795">
        <f>'OPEN FOREIGN ORDER'!F421</f>
        <v>0</v>
      </c>
      <c r="C795">
        <f>'OPEN FOREIGN ORDER'!Z421</f>
        <v>0</v>
      </c>
      <c r="D795" s="123">
        <f>'OPEN FOREIGN ORDER'!AA421</f>
        <v>0</v>
      </c>
      <c r="E795" s="112">
        <f>'OPEN FOREIGN ORDER'!AB421</f>
        <v>0</v>
      </c>
      <c r="F795" s="112">
        <f>'OPEN FOREIGN ORDER'!AC421</f>
        <v>0</v>
      </c>
      <c r="G795" s="112">
        <f>'OPEN FOREIGN ORDER'!AD421</f>
        <v>0</v>
      </c>
      <c r="H795" s="112">
        <f>'OPEN FOREIGN ORDER'!AE421</f>
        <v>0</v>
      </c>
      <c r="I795" s="112">
        <f>'OPEN FOREIGN ORDER'!AF421</f>
        <v>0</v>
      </c>
      <c r="J795" s="112">
        <f>'OPEN FOREIGN ORDER'!AG421</f>
        <v>0</v>
      </c>
    </row>
    <row r="796" spans="1:10">
      <c r="A796">
        <f>'OPEN FOREIGN ORDER'!D422</f>
        <v>0</v>
      </c>
      <c r="B796">
        <f>'OPEN FOREIGN ORDER'!F422</f>
        <v>0</v>
      </c>
      <c r="C796">
        <f>'OPEN FOREIGN ORDER'!Z422</f>
        <v>0</v>
      </c>
      <c r="D796" s="123">
        <f>'OPEN FOREIGN ORDER'!AA422</f>
        <v>0</v>
      </c>
      <c r="E796" s="112">
        <f>'OPEN FOREIGN ORDER'!AB422</f>
        <v>0</v>
      </c>
      <c r="F796" s="112">
        <f>'OPEN FOREIGN ORDER'!AC422</f>
        <v>0</v>
      </c>
      <c r="G796" s="112">
        <f>'OPEN FOREIGN ORDER'!AD422</f>
        <v>0</v>
      </c>
      <c r="H796" s="112">
        <f>'OPEN FOREIGN ORDER'!AE422</f>
        <v>0</v>
      </c>
      <c r="I796" s="112">
        <f>'OPEN FOREIGN ORDER'!AF422</f>
        <v>0</v>
      </c>
      <c r="J796" s="112">
        <f>'OPEN FOREIGN ORDER'!AG422</f>
        <v>0</v>
      </c>
    </row>
    <row r="797" spans="1:10">
      <c r="A797">
        <f>'OPEN FOREIGN ORDER'!D423</f>
        <v>0</v>
      </c>
      <c r="B797">
        <f>'OPEN FOREIGN ORDER'!F423</f>
        <v>0</v>
      </c>
      <c r="C797">
        <f>'OPEN FOREIGN ORDER'!Z423</f>
        <v>0</v>
      </c>
      <c r="D797" s="123">
        <f>'OPEN FOREIGN ORDER'!AA423</f>
        <v>0</v>
      </c>
      <c r="E797" s="112">
        <f>'OPEN FOREIGN ORDER'!AB423</f>
        <v>0</v>
      </c>
      <c r="F797" s="112">
        <f>'OPEN FOREIGN ORDER'!AC423</f>
        <v>0</v>
      </c>
      <c r="G797" s="112">
        <f>'OPEN FOREIGN ORDER'!AD423</f>
        <v>0</v>
      </c>
      <c r="H797" s="112">
        <f>'OPEN FOREIGN ORDER'!AE423</f>
        <v>0</v>
      </c>
      <c r="I797" s="112">
        <f>'OPEN FOREIGN ORDER'!AF423</f>
        <v>0</v>
      </c>
      <c r="J797" s="112">
        <f>'OPEN FOREIGN ORDER'!AG423</f>
        <v>0</v>
      </c>
    </row>
    <row r="798" spans="1:10">
      <c r="A798">
        <f>'OPEN FOREIGN ORDER'!D424</f>
        <v>0</v>
      </c>
      <c r="B798">
        <f>'OPEN FOREIGN ORDER'!F424</f>
        <v>0</v>
      </c>
      <c r="C798">
        <f>'OPEN FOREIGN ORDER'!Z424</f>
        <v>0</v>
      </c>
      <c r="D798" s="123">
        <f>'OPEN FOREIGN ORDER'!AA424</f>
        <v>0</v>
      </c>
      <c r="E798" s="112">
        <f>'OPEN FOREIGN ORDER'!AB424</f>
        <v>0</v>
      </c>
      <c r="F798" s="112">
        <f>'OPEN FOREIGN ORDER'!AC424</f>
        <v>0</v>
      </c>
      <c r="G798" s="112">
        <f>'OPEN FOREIGN ORDER'!AD424</f>
        <v>0</v>
      </c>
      <c r="H798" s="112">
        <f>'OPEN FOREIGN ORDER'!AE424</f>
        <v>0</v>
      </c>
      <c r="I798" s="112">
        <f>'OPEN FOREIGN ORDER'!AF424</f>
        <v>0</v>
      </c>
      <c r="J798" s="112">
        <f>'OPEN FOREIGN ORDER'!AG424</f>
        <v>0</v>
      </c>
    </row>
    <row r="799" spans="1:10">
      <c r="A799">
        <f>'OPEN FOREIGN ORDER'!D425</f>
        <v>0</v>
      </c>
      <c r="B799">
        <f>'OPEN FOREIGN ORDER'!F425</f>
        <v>0</v>
      </c>
      <c r="C799">
        <f>'OPEN FOREIGN ORDER'!Z425</f>
        <v>0</v>
      </c>
      <c r="D799" s="123">
        <f>'OPEN FOREIGN ORDER'!AA425</f>
        <v>0</v>
      </c>
      <c r="E799" s="112">
        <f>'OPEN FOREIGN ORDER'!AB425</f>
        <v>0</v>
      </c>
      <c r="F799" s="112">
        <f>'OPEN FOREIGN ORDER'!AC425</f>
        <v>0</v>
      </c>
      <c r="G799" s="112">
        <f>'OPEN FOREIGN ORDER'!AD425</f>
        <v>0</v>
      </c>
      <c r="H799" s="112">
        <f>'OPEN FOREIGN ORDER'!AE425</f>
        <v>0</v>
      </c>
      <c r="I799" s="112">
        <f>'OPEN FOREIGN ORDER'!AF425</f>
        <v>0</v>
      </c>
      <c r="J799" s="112">
        <f>'OPEN FOREIGN ORDER'!AG425</f>
        <v>0</v>
      </c>
    </row>
    <row r="800" spans="1:10">
      <c r="A800">
        <f>'OPEN FOREIGN ORDER'!D426</f>
        <v>0</v>
      </c>
      <c r="B800">
        <f>'OPEN FOREIGN ORDER'!F426</f>
        <v>0</v>
      </c>
      <c r="C800">
        <f>'OPEN FOREIGN ORDER'!Z426</f>
        <v>0</v>
      </c>
      <c r="D800" s="123">
        <f>'OPEN FOREIGN ORDER'!AA426</f>
        <v>0</v>
      </c>
      <c r="E800" s="112">
        <f>'OPEN FOREIGN ORDER'!AB426</f>
        <v>0</v>
      </c>
      <c r="F800" s="112">
        <f>'OPEN FOREIGN ORDER'!AC426</f>
        <v>0</v>
      </c>
      <c r="G800" s="112">
        <f>'OPEN FOREIGN ORDER'!AD426</f>
        <v>0</v>
      </c>
      <c r="H800" s="112">
        <f>'OPEN FOREIGN ORDER'!AE426</f>
        <v>0</v>
      </c>
      <c r="I800" s="112">
        <f>'OPEN FOREIGN ORDER'!AF426</f>
        <v>0</v>
      </c>
      <c r="J800" s="112">
        <f>'OPEN FOREIGN ORDER'!AG426</f>
        <v>0</v>
      </c>
    </row>
    <row r="801" spans="1:10">
      <c r="A801">
        <f>'OPEN FOREIGN ORDER'!D427</f>
        <v>0</v>
      </c>
      <c r="B801">
        <f>'OPEN FOREIGN ORDER'!F427</f>
        <v>0</v>
      </c>
      <c r="C801">
        <f>'OPEN FOREIGN ORDER'!Z427</f>
        <v>0</v>
      </c>
      <c r="D801" s="123">
        <f>'OPEN FOREIGN ORDER'!AA427</f>
        <v>0</v>
      </c>
      <c r="E801" s="112">
        <f>'OPEN FOREIGN ORDER'!AB427</f>
        <v>0</v>
      </c>
      <c r="F801" s="112">
        <f>'OPEN FOREIGN ORDER'!AC427</f>
        <v>0</v>
      </c>
      <c r="G801" s="112">
        <f>'OPEN FOREIGN ORDER'!AD427</f>
        <v>0</v>
      </c>
      <c r="H801" s="112">
        <f>'OPEN FOREIGN ORDER'!AE427</f>
        <v>0</v>
      </c>
      <c r="I801" s="112">
        <f>'OPEN FOREIGN ORDER'!AF427</f>
        <v>0</v>
      </c>
      <c r="J801" s="112">
        <f>'OPEN FOREIGN ORDER'!AG427</f>
        <v>0</v>
      </c>
    </row>
    <row r="802" spans="1:10">
      <c r="A802">
        <f>'OPEN FOREIGN ORDER'!D428</f>
        <v>0</v>
      </c>
      <c r="B802">
        <f>'OPEN FOREIGN ORDER'!F428</f>
        <v>0</v>
      </c>
      <c r="C802">
        <f>'OPEN FOREIGN ORDER'!Z428</f>
        <v>0</v>
      </c>
      <c r="D802" s="123">
        <f>'OPEN FOREIGN ORDER'!AA428</f>
        <v>0</v>
      </c>
      <c r="E802" s="112">
        <f>'OPEN FOREIGN ORDER'!AB428</f>
        <v>0</v>
      </c>
      <c r="F802" s="112">
        <f>'OPEN FOREIGN ORDER'!AC428</f>
        <v>0</v>
      </c>
      <c r="G802" s="112">
        <f>'OPEN FOREIGN ORDER'!AD428</f>
        <v>0</v>
      </c>
      <c r="H802" s="112">
        <f>'OPEN FOREIGN ORDER'!AE428</f>
        <v>0</v>
      </c>
      <c r="I802" s="112">
        <f>'OPEN FOREIGN ORDER'!AF428</f>
        <v>0</v>
      </c>
      <c r="J802" s="112">
        <f>'OPEN FOREIGN ORDER'!AG428</f>
        <v>0</v>
      </c>
    </row>
    <row r="803" spans="1:10">
      <c r="A803">
        <f>'OPEN FOREIGN ORDER'!D429</f>
        <v>0</v>
      </c>
      <c r="B803">
        <f>'OPEN FOREIGN ORDER'!F429</f>
        <v>0</v>
      </c>
      <c r="C803">
        <f>'OPEN FOREIGN ORDER'!Z429</f>
        <v>0</v>
      </c>
      <c r="D803" s="123">
        <f>'OPEN FOREIGN ORDER'!AA429</f>
        <v>0</v>
      </c>
      <c r="E803" s="112">
        <f>'OPEN FOREIGN ORDER'!AB429</f>
        <v>0</v>
      </c>
      <c r="F803" s="112">
        <f>'OPEN FOREIGN ORDER'!AC429</f>
        <v>0</v>
      </c>
      <c r="G803" s="112">
        <f>'OPEN FOREIGN ORDER'!AD429</f>
        <v>0</v>
      </c>
      <c r="H803" s="112">
        <f>'OPEN FOREIGN ORDER'!AE429</f>
        <v>0</v>
      </c>
      <c r="I803" s="112">
        <f>'OPEN FOREIGN ORDER'!AF429</f>
        <v>0</v>
      </c>
      <c r="J803" s="112">
        <f>'OPEN FOREIGN ORDER'!AG429</f>
        <v>0</v>
      </c>
    </row>
    <row r="804" spans="1:10">
      <c r="A804">
        <f>'OPEN FOREIGN ORDER'!D430</f>
        <v>0</v>
      </c>
      <c r="B804">
        <f>'OPEN FOREIGN ORDER'!F430</f>
        <v>0</v>
      </c>
      <c r="C804">
        <f>'OPEN FOREIGN ORDER'!Z430</f>
        <v>0</v>
      </c>
      <c r="D804" s="123">
        <f>'OPEN FOREIGN ORDER'!AA430</f>
        <v>0</v>
      </c>
      <c r="E804" s="112">
        <f>'OPEN FOREIGN ORDER'!AB430</f>
        <v>0</v>
      </c>
      <c r="F804" s="112">
        <f>'OPEN FOREIGN ORDER'!AC430</f>
        <v>0</v>
      </c>
      <c r="G804" s="112">
        <f>'OPEN FOREIGN ORDER'!AD430</f>
        <v>0</v>
      </c>
      <c r="H804" s="112">
        <f>'OPEN FOREIGN ORDER'!AE430</f>
        <v>0</v>
      </c>
      <c r="I804" s="112">
        <f>'OPEN FOREIGN ORDER'!AF430</f>
        <v>0</v>
      </c>
      <c r="J804" s="112">
        <f>'OPEN FOREIGN ORDER'!AG430</f>
        <v>0</v>
      </c>
    </row>
    <row r="805" spans="1:10">
      <c r="A805">
        <f>'OPEN FOREIGN ORDER'!D431</f>
        <v>0</v>
      </c>
      <c r="B805">
        <f>'OPEN FOREIGN ORDER'!F431</f>
        <v>0</v>
      </c>
      <c r="C805">
        <f>'OPEN FOREIGN ORDER'!Z431</f>
        <v>0</v>
      </c>
      <c r="D805" s="123">
        <f>'OPEN FOREIGN ORDER'!AA431</f>
        <v>0</v>
      </c>
      <c r="E805" s="112">
        <f>'OPEN FOREIGN ORDER'!AB431</f>
        <v>0</v>
      </c>
      <c r="F805" s="112">
        <f>'OPEN FOREIGN ORDER'!AC431</f>
        <v>0</v>
      </c>
      <c r="G805" s="112">
        <f>'OPEN FOREIGN ORDER'!AD431</f>
        <v>0</v>
      </c>
      <c r="H805" s="112">
        <f>'OPEN FOREIGN ORDER'!AE431</f>
        <v>0</v>
      </c>
      <c r="I805" s="112">
        <f>'OPEN FOREIGN ORDER'!AF431</f>
        <v>0</v>
      </c>
      <c r="J805" s="112">
        <f>'OPEN FOREIGN ORDER'!AG431</f>
        <v>0</v>
      </c>
    </row>
    <row r="806" spans="1:10">
      <c r="A806">
        <f>'OPEN FOREIGN ORDER'!D432</f>
        <v>0</v>
      </c>
      <c r="B806">
        <f>'OPEN FOREIGN ORDER'!F432</f>
        <v>0</v>
      </c>
      <c r="C806">
        <f>'OPEN FOREIGN ORDER'!Z432</f>
        <v>0</v>
      </c>
      <c r="D806" s="123">
        <f>'OPEN FOREIGN ORDER'!AA432</f>
        <v>0</v>
      </c>
      <c r="E806" s="112">
        <f>'OPEN FOREIGN ORDER'!AB432</f>
        <v>0</v>
      </c>
      <c r="F806" s="112">
        <f>'OPEN FOREIGN ORDER'!AC432</f>
        <v>0</v>
      </c>
      <c r="G806" s="112">
        <f>'OPEN FOREIGN ORDER'!AD432</f>
        <v>0</v>
      </c>
      <c r="H806" s="112">
        <f>'OPEN FOREIGN ORDER'!AE432</f>
        <v>0</v>
      </c>
      <c r="I806" s="112">
        <f>'OPEN FOREIGN ORDER'!AF432</f>
        <v>0</v>
      </c>
      <c r="J806" s="112">
        <f>'OPEN FOREIGN ORDER'!AG432</f>
        <v>0</v>
      </c>
    </row>
    <row r="807" spans="1:10">
      <c r="A807">
        <f>'OPEN FOREIGN ORDER'!D433</f>
        <v>0</v>
      </c>
      <c r="B807">
        <f>'OPEN FOREIGN ORDER'!F433</f>
        <v>0</v>
      </c>
      <c r="C807">
        <f>'OPEN FOREIGN ORDER'!Z433</f>
        <v>0</v>
      </c>
      <c r="D807" s="123">
        <f>'OPEN FOREIGN ORDER'!AA433</f>
        <v>0</v>
      </c>
      <c r="E807" s="112">
        <f>'OPEN FOREIGN ORDER'!AB433</f>
        <v>0</v>
      </c>
      <c r="F807" s="112">
        <f>'OPEN FOREIGN ORDER'!AC433</f>
        <v>0</v>
      </c>
      <c r="G807" s="112">
        <f>'OPEN FOREIGN ORDER'!AD433</f>
        <v>0</v>
      </c>
      <c r="H807" s="112">
        <f>'OPEN FOREIGN ORDER'!AE433</f>
        <v>0</v>
      </c>
      <c r="I807" s="112">
        <f>'OPEN FOREIGN ORDER'!AF433</f>
        <v>0</v>
      </c>
      <c r="J807" s="112">
        <f>'OPEN FOREIGN ORDER'!AG433</f>
        <v>0</v>
      </c>
    </row>
    <row r="808" spans="1:10">
      <c r="A808">
        <f>'OPEN FOREIGN ORDER'!D434</f>
        <v>0</v>
      </c>
      <c r="B808">
        <f>'OPEN FOREIGN ORDER'!F434</f>
        <v>0</v>
      </c>
      <c r="C808">
        <f>'OPEN FOREIGN ORDER'!Z434</f>
        <v>0</v>
      </c>
      <c r="D808" s="123">
        <f>'OPEN FOREIGN ORDER'!AA434</f>
        <v>0</v>
      </c>
      <c r="E808" s="112">
        <f>'OPEN FOREIGN ORDER'!AB434</f>
        <v>0</v>
      </c>
      <c r="F808" s="112">
        <f>'OPEN FOREIGN ORDER'!AC434</f>
        <v>0</v>
      </c>
      <c r="G808" s="112">
        <f>'OPEN FOREIGN ORDER'!AD434</f>
        <v>0</v>
      </c>
      <c r="H808" s="112">
        <f>'OPEN FOREIGN ORDER'!AE434</f>
        <v>0</v>
      </c>
      <c r="I808" s="112">
        <f>'OPEN FOREIGN ORDER'!AF434</f>
        <v>0</v>
      </c>
      <c r="J808" s="112">
        <f>'OPEN FOREIGN ORDER'!AG434</f>
        <v>0</v>
      </c>
    </row>
    <row r="809" spans="1:10">
      <c r="A809">
        <f>'OPEN FOREIGN ORDER'!D435</f>
        <v>0</v>
      </c>
      <c r="B809">
        <f>'OPEN FOREIGN ORDER'!F435</f>
        <v>0</v>
      </c>
      <c r="C809">
        <f>'OPEN FOREIGN ORDER'!Z435</f>
        <v>0</v>
      </c>
      <c r="D809" s="123">
        <f>'OPEN FOREIGN ORDER'!AA435</f>
        <v>0</v>
      </c>
      <c r="E809" s="112">
        <f>'OPEN FOREIGN ORDER'!AB435</f>
        <v>0</v>
      </c>
      <c r="F809" s="112">
        <f>'OPEN FOREIGN ORDER'!AC435</f>
        <v>0</v>
      </c>
      <c r="G809" s="112">
        <f>'OPEN FOREIGN ORDER'!AD435</f>
        <v>0</v>
      </c>
      <c r="H809" s="112">
        <f>'OPEN FOREIGN ORDER'!AE435</f>
        <v>0</v>
      </c>
      <c r="I809" s="112">
        <f>'OPEN FOREIGN ORDER'!AF435</f>
        <v>0</v>
      </c>
      <c r="J809" s="112">
        <f>'OPEN FOREIGN ORDER'!AG435</f>
        <v>0</v>
      </c>
    </row>
    <row r="810" spans="1:10">
      <c r="A810">
        <f>'OPEN FOREIGN ORDER'!D436</f>
        <v>0</v>
      </c>
      <c r="B810">
        <f>'OPEN FOREIGN ORDER'!F436</f>
        <v>0</v>
      </c>
      <c r="C810">
        <f>'OPEN FOREIGN ORDER'!Z436</f>
        <v>0</v>
      </c>
      <c r="D810" s="123">
        <f>'OPEN FOREIGN ORDER'!AA436</f>
        <v>0</v>
      </c>
      <c r="E810" s="112">
        <f>'OPEN FOREIGN ORDER'!AB436</f>
        <v>0</v>
      </c>
      <c r="F810" s="112">
        <f>'OPEN FOREIGN ORDER'!AC436</f>
        <v>0</v>
      </c>
      <c r="G810" s="112">
        <f>'OPEN FOREIGN ORDER'!AD436</f>
        <v>0</v>
      </c>
      <c r="H810" s="112">
        <f>'OPEN FOREIGN ORDER'!AE436</f>
        <v>0</v>
      </c>
      <c r="I810" s="112">
        <f>'OPEN FOREIGN ORDER'!AF436</f>
        <v>0</v>
      </c>
      <c r="J810" s="112">
        <f>'OPEN FOREIGN ORDER'!AG436</f>
        <v>0</v>
      </c>
    </row>
    <row r="811" spans="1:10">
      <c r="A811">
        <f>'OPEN FOREIGN ORDER'!D437</f>
        <v>0</v>
      </c>
      <c r="B811">
        <f>'OPEN FOREIGN ORDER'!F437</f>
        <v>0</v>
      </c>
      <c r="C811">
        <f>'OPEN FOREIGN ORDER'!Z437</f>
        <v>0</v>
      </c>
      <c r="D811" s="123">
        <f>'OPEN FOREIGN ORDER'!AA437</f>
        <v>0</v>
      </c>
      <c r="E811" s="112">
        <f>'OPEN FOREIGN ORDER'!AB437</f>
        <v>0</v>
      </c>
      <c r="F811" s="112">
        <f>'OPEN FOREIGN ORDER'!AC437</f>
        <v>0</v>
      </c>
      <c r="G811" s="112">
        <f>'OPEN FOREIGN ORDER'!AD437</f>
        <v>0</v>
      </c>
      <c r="H811" s="112">
        <f>'OPEN FOREIGN ORDER'!AE437</f>
        <v>0</v>
      </c>
      <c r="I811" s="112">
        <f>'OPEN FOREIGN ORDER'!AF437</f>
        <v>0</v>
      </c>
      <c r="J811" s="112">
        <f>'OPEN FOREIGN ORDER'!AG437</f>
        <v>0</v>
      </c>
    </row>
    <row r="812" spans="1:10">
      <c r="A812">
        <f>'OPEN FOREIGN ORDER'!D438</f>
        <v>0</v>
      </c>
      <c r="B812">
        <f>'OPEN FOREIGN ORDER'!F438</f>
        <v>0</v>
      </c>
      <c r="C812">
        <f>'OPEN FOREIGN ORDER'!Z438</f>
        <v>0</v>
      </c>
      <c r="D812" s="123">
        <f>'OPEN FOREIGN ORDER'!AA438</f>
        <v>0</v>
      </c>
      <c r="E812" s="112">
        <f>'OPEN FOREIGN ORDER'!AB438</f>
        <v>0</v>
      </c>
      <c r="F812" s="112">
        <f>'OPEN FOREIGN ORDER'!AC438</f>
        <v>0</v>
      </c>
      <c r="G812" s="112">
        <f>'OPEN FOREIGN ORDER'!AD438</f>
        <v>0</v>
      </c>
      <c r="H812" s="112">
        <f>'OPEN FOREIGN ORDER'!AE438</f>
        <v>0</v>
      </c>
      <c r="I812" s="112">
        <f>'OPEN FOREIGN ORDER'!AF438</f>
        <v>0</v>
      </c>
      <c r="J812" s="112">
        <f>'OPEN FOREIGN ORDER'!AG438</f>
        <v>0</v>
      </c>
    </row>
    <row r="813" spans="1:10">
      <c r="A813">
        <f>'OPEN FOREIGN ORDER'!D439</f>
        <v>0</v>
      </c>
      <c r="B813">
        <f>'OPEN FOREIGN ORDER'!F439</f>
        <v>0</v>
      </c>
      <c r="C813">
        <f>'OPEN FOREIGN ORDER'!Z439</f>
        <v>0</v>
      </c>
      <c r="D813" s="123">
        <f>'OPEN FOREIGN ORDER'!AA439</f>
        <v>0</v>
      </c>
      <c r="E813" s="112">
        <f>'OPEN FOREIGN ORDER'!AB439</f>
        <v>0</v>
      </c>
      <c r="F813" s="112">
        <f>'OPEN FOREIGN ORDER'!AC439</f>
        <v>0</v>
      </c>
      <c r="G813" s="112">
        <f>'OPEN FOREIGN ORDER'!AD439</f>
        <v>0</v>
      </c>
      <c r="H813" s="112">
        <f>'OPEN FOREIGN ORDER'!AE439</f>
        <v>0</v>
      </c>
      <c r="I813" s="112">
        <f>'OPEN FOREIGN ORDER'!AF439</f>
        <v>0</v>
      </c>
      <c r="J813" s="112">
        <f>'OPEN FOREIGN ORDER'!AG439</f>
        <v>0</v>
      </c>
    </row>
    <row r="814" spans="1:10">
      <c r="A814">
        <f>'OPEN FOREIGN ORDER'!D440</f>
        <v>0</v>
      </c>
      <c r="B814">
        <f>'OPEN FOREIGN ORDER'!F440</f>
        <v>0</v>
      </c>
      <c r="C814">
        <f>'OPEN FOREIGN ORDER'!Z440</f>
        <v>0</v>
      </c>
      <c r="D814" s="123">
        <f>'OPEN FOREIGN ORDER'!AA440</f>
        <v>0</v>
      </c>
      <c r="E814" s="112">
        <f>'OPEN FOREIGN ORDER'!AB440</f>
        <v>0</v>
      </c>
      <c r="F814" s="112">
        <f>'OPEN FOREIGN ORDER'!AC440</f>
        <v>0</v>
      </c>
      <c r="G814" s="112">
        <f>'OPEN FOREIGN ORDER'!AD440</f>
        <v>0</v>
      </c>
      <c r="H814" s="112">
        <f>'OPEN FOREIGN ORDER'!AE440</f>
        <v>0</v>
      </c>
      <c r="I814" s="112">
        <f>'OPEN FOREIGN ORDER'!AF440</f>
        <v>0</v>
      </c>
      <c r="J814" s="112">
        <f>'OPEN FOREIGN ORDER'!AG440</f>
        <v>0</v>
      </c>
    </row>
    <row r="815" spans="1:10">
      <c r="A815">
        <f>'OPEN FOREIGN ORDER'!D441</f>
        <v>0</v>
      </c>
      <c r="B815">
        <f>'OPEN FOREIGN ORDER'!F441</f>
        <v>0</v>
      </c>
      <c r="C815">
        <f>'OPEN FOREIGN ORDER'!Z441</f>
        <v>0</v>
      </c>
      <c r="D815" s="123">
        <f>'OPEN FOREIGN ORDER'!AA441</f>
        <v>0</v>
      </c>
      <c r="E815" s="112">
        <f>'OPEN FOREIGN ORDER'!AB441</f>
        <v>0</v>
      </c>
      <c r="F815" s="112">
        <f>'OPEN FOREIGN ORDER'!AC441</f>
        <v>0</v>
      </c>
      <c r="G815" s="112">
        <f>'OPEN FOREIGN ORDER'!AD441</f>
        <v>0</v>
      </c>
      <c r="H815" s="112">
        <f>'OPEN FOREIGN ORDER'!AE441</f>
        <v>0</v>
      </c>
      <c r="I815" s="112">
        <f>'OPEN FOREIGN ORDER'!AF441</f>
        <v>0</v>
      </c>
      <c r="J815" s="112">
        <f>'OPEN FOREIGN ORDER'!AG441</f>
        <v>0</v>
      </c>
    </row>
    <row r="816" spans="1:10">
      <c r="A816">
        <f>'OPEN FOREIGN ORDER'!D442</f>
        <v>0</v>
      </c>
      <c r="B816">
        <f>'OPEN FOREIGN ORDER'!F442</f>
        <v>0</v>
      </c>
      <c r="C816">
        <f>'OPEN FOREIGN ORDER'!Z442</f>
        <v>0</v>
      </c>
      <c r="D816" s="123">
        <f>'OPEN FOREIGN ORDER'!AA442</f>
        <v>0</v>
      </c>
      <c r="E816" s="112">
        <f>'OPEN FOREIGN ORDER'!AB442</f>
        <v>0</v>
      </c>
      <c r="F816" s="112">
        <f>'OPEN FOREIGN ORDER'!AC442</f>
        <v>0</v>
      </c>
      <c r="G816" s="112">
        <f>'OPEN FOREIGN ORDER'!AD442</f>
        <v>0</v>
      </c>
      <c r="H816" s="112">
        <f>'OPEN FOREIGN ORDER'!AE442</f>
        <v>0</v>
      </c>
      <c r="I816" s="112">
        <f>'OPEN FOREIGN ORDER'!AF442</f>
        <v>0</v>
      </c>
      <c r="J816" s="112">
        <f>'OPEN FOREIGN ORDER'!AG442</f>
        <v>0</v>
      </c>
    </row>
    <row r="817" spans="1:10">
      <c r="A817">
        <f>'OPEN FOREIGN ORDER'!D443</f>
        <v>0</v>
      </c>
      <c r="B817">
        <f>'OPEN FOREIGN ORDER'!F443</f>
        <v>0</v>
      </c>
      <c r="C817">
        <f>'OPEN FOREIGN ORDER'!Z443</f>
        <v>0</v>
      </c>
      <c r="D817" s="123">
        <f>'OPEN FOREIGN ORDER'!AA443</f>
        <v>0</v>
      </c>
      <c r="E817" s="112">
        <f>'OPEN FOREIGN ORDER'!AB443</f>
        <v>0</v>
      </c>
      <c r="F817" s="112">
        <f>'OPEN FOREIGN ORDER'!AC443</f>
        <v>0</v>
      </c>
      <c r="G817" s="112">
        <f>'OPEN FOREIGN ORDER'!AD443</f>
        <v>0</v>
      </c>
      <c r="H817" s="112">
        <f>'OPEN FOREIGN ORDER'!AE443</f>
        <v>0</v>
      </c>
      <c r="I817" s="112">
        <f>'OPEN FOREIGN ORDER'!AF443</f>
        <v>0</v>
      </c>
      <c r="J817" s="112">
        <f>'OPEN FOREIGN ORDER'!AG443</f>
        <v>0</v>
      </c>
    </row>
    <row r="818" spans="1:10">
      <c r="A818">
        <f>'OPEN FOREIGN ORDER'!D444</f>
        <v>0</v>
      </c>
      <c r="B818">
        <f>'OPEN FOREIGN ORDER'!F444</f>
        <v>0</v>
      </c>
      <c r="C818">
        <f>'OPEN FOREIGN ORDER'!Z444</f>
        <v>0</v>
      </c>
      <c r="D818" s="123">
        <f>'OPEN FOREIGN ORDER'!AA444</f>
        <v>0</v>
      </c>
      <c r="E818" s="112">
        <f>'OPEN FOREIGN ORDER'!AB444</f>
        <v>0</v>
      </c>
      <c r="F818" s="112">
        <f>'OPEN FOREIGN ORDER'!AC444</f>
        <v>0</v>
      </c>
      <c r="G818" s="112">
        <f>'OPEN FOREIGN ORDER'!AD444</f>
        <v>0</v>
      </c>
      <c r="H818" s="112">
        <f>'OPEN FOREIGN ORDER'!AE444</f>
        <v>0</v>
      </c>
      <c r="I818" s="112">
        <f>'OPEN FOREIGN ORDER'!AF444</f>
        <v>0</v>
      </c>
      <c r="J818" s="112">
        <f>'OPEN FOREIGN ORDER'!AG444</f>
        <v>0</v>
      </c>
    </row>
    <row r="819" spans="1:10">
      <c r="A819">
        <f>'OPEN FOREIGN ORDER'!D445</f>
        <v>0</v>
      </c>
      <c r="B819">
        <f>'OPEN FOREIGN ORDER'!F445</f>
        <v>0</v>
      </c>
      <c r="C819">
        <f>'OPEN FOREIGN ORDER'!Z445</f>
        <v>0</v>
      </c>
      <c r="D819" s="123">
        <f>'OPEN FOREIGN ORDER'!AA445</f>
        <v>0</v>
      </c>
      <c r="E819" s="112">
        <f>'OPEN FOREIGN ORDER'!AB445</f>
        <v>0</v>
      </c>
      <c r="F819" s="112">
        <f>'OPEN FOREIGN ORDER'!AC445</f>
        <v>0</v>
      </c>
      <c r="G819" s="112">
        <f>'OPEN FOREIGN ORDER'!AD445</f>
        <v>0</v>
      </c>
      <c r="H819" s="112">
        <f>'OPEN FOREIGN ORDER'!AE445</f>
        <v>0</v>
      </c>
      <c r="I819" s="112">
        <f>'OPEN FOREIGN ORDER'!AF445</f>
        <v>0</v>
      </c>
      <c r="J819" s="112">
        <f>'OPEN FOREIGN ORDER'!AG445</f>
        <v>0</v>
      </c>
    </row>
    <row r="820" spans="1:10">
      <c r="A820">
        <f>'OPEN FOREIGN ORDER'!D446</f>
        <v>0</v>
      </c>
      <c r="B820">
        <f>'OPEN FOREIGN ORDER'!F446</f>
        <v>0</v>
      </c>
      <c r="C820">
        <f>'OPEN FOREIGN ORDER'!Z446</f>
        <v>0</v>
      </c>
      <c r="D820" s="123">
        <f>'OPEN FOREIGN ORDER'!AA446</f>
        <v>0</v>
      </c>
      <c r="E820" s="112">
        <f>'OPEN FOREIGN ORDER'!AB446</f>
        <v>0</v>
      </c>
      <c r="F820" s="112">
        <f>'OPEN FOREIGN ORDER'!AC446</f>
        <v>0</v>
      </c>
      <c r="G820" s="112">
        <f>'OPEN FOREIGN ORDER'!AD446</f>
        <v>0</v>
      </c>
      <c r="H820" s="112">
        <f>'OPEN FOREIGN ORDER'!AE446</f>
        <v>0</v>
      </c>
      <c r="I820" s="112">
        <f>'OPEN FOREIGN ORDER'!AF446</f>
        <v>0</v>
      </c>
      <c r="J820" s="112">
        <f>'OPEN FOREIGN ORDER'!AG446</f>
        <v>0</v>
      </c>
    </row>
    <row r="821" spans="1:10">
      <c r="A821">
        <f>'OPEN FOREIGN ORDER'!D447</f>
        <v>0</v>
      </c>
      <c r="B821">
        <f>'OPEN FOREIGN ORDER'!F447</f>
        <v>0</v>
      </c>
      <c r="C821">
        <f>'OPEN FOREIGN ORDER'!Z447</f>
        <v>0</v>
      </c>
      <c r="D821" s="123">
        <f>'OPEN FOREIGN ORDER'!AA447</f>
        <v>0</v>
      </c>
      <c r="E821" s="112">
        <f>'OPEN FOREIGN ORDER'!AB447</f>
        <v>0</v>
      </c>
      <c r="F821" s="112">
        <f>'OPEN FOREIGN ORDER'!AC447</f>
        <v>0</v>
      </c>
      <c r="G821" s="112">
        <f>'OPEN FOREIGN ORDER'!AD447</f>
        <v>0</v>
      </c>
      <c r="H821" s="112">
        <f>'OPEN FOREIGN ORDER'!AE447</f>
        <v>0</v>
      </c>
      <c r="I821" s="112">
        <f>'OPEN FOREIGN ORDER'!AF447</f>
        <v>0</v>
      </c>
      <c r="J821" s="112">
        <f>'OPEN FOREIGN ORDER'!AG447</f>
        <v>0</v>
      </c>
    </row>
    <row r="822" spans="1:10">
      <c r="A822">
        <f>'OPEN FOREIGN ORDER'!D448</f>
        <v>0</v>
      </c>
      <c r="B822">
        <f>'OPEN FOREIGN ORDER'!F448</f>
        <v>0</v>
      </c>
      <c r="C822">
        <f>'OPEN FOREIGN ORDER'!Z448</f>
        <v>0</v>
      </c>
      <c r="D822" s="123">
        <f>'OPEN FOREIGN ORDER'!AA448</f>
        <v>0</v>
      </c>
      <c r="E822" s="112">
        <f>'OPEN FOREIGN ORDER'!AB448</f>
        <v>0</v>
      </c>
      <c r="F822" s="112">
        <f>'OPEN FOREIGN ORDER'!AC448</f>
        <v>0</v>
      </c>
      <c r="G822" s="112">
        <f>'OPEN FOREIGN ORDER'!AD448</f>
        <v>0</v>
      </c>
      <c r="H822" s="112">
        <f>'OPEN FOREIGN ORDER'!AE448</f>
        <v>0</v>
      </c>
      <c r="I822" s="112">
        <f>'OPEN FOREIGN ORDER'!AF448</f>
        <v>0</v>
      </c>
      <c r="J822" s="112">
        <f>'OPEN FOREIGN ORDER'!AG448</f>
        <v>0</v>
      </c>
    </row>
    <row r="823" spans="1:10">
      <c r="A823">
        <f>'OPEN FOREIGN ORDER'!D449</f>
        <v>0</v>
      </c>
      <c r="B823">
        <f>'OPEN FOREIGN ORDER'!F449</f>
        <v>0</v>
      </c>
      <c r="C823">
        <f>'OPEN FOREIGN ORDER'!Z449</f>
        <v>0</v>
      </c>
      <c r="D823" s="123">
        <f>'OPEN FOREIGN ORDER'!AA449</f>
        <v>0</v>
      </c>
      <c r="E823" s="112">
        <f>'OPEN FOREIGN ORDER'!AB449</f>
        <v>0</v>
      </c>
      <c r="F823" s="112">
        <f>'OPEN FOREIGN ORDER'!AC449</f>
        <v>0</v>
      </c>
      <c r="G823" s="112">
        <f>'OPEN FOREIGN ORDER'!AD449</f>
        <v>0</v>
      </c>
      <c r="H823" s="112">
        <f>'OPEN FOREIGN ORDER'!AE449</f>
        <v>0</v>
      </c>
      <c r="I823" s="112">
        <f>'OPEN FOREIGN ORDER'!AF449</f>
        <v>0</v>
      </c>
      <c r="J823" s="112">
        <f>'OPEN FOREIGN ORDER'!AG449</f>
        <v>0</v>
      </c>
    </row>
    <row r="824" spans="1:10">
      <c r="A824">
        <f>'OPEN FOREIGN ORDER'!D450</f>
        <v>0</v>
      </c>
      <c r="B824">
        <f>'OPEN FOREIGN ORDER'!F450</f>
        <v>0</v>
      </c>
      <c r="C824">
        <f>'OPEN FOREIGN ORDER'!Z450</f>
        <v>0</v>
      </c>
      <c r="D824" s="123">
        <f>'OPEN FOREIGN ORDER'!AA450</f>
        <v>0</v>
      </c>
      <c r="E824" s="112">
        <f>'OPEN FOREIGN ORDER'!AB450</f>
        <v>0</v>
      </c>
      <c r="F824" s="112">
        <f>'OPEN FOREIGN ORDER'!AC450</f>
        <v>0</v>
      </c>
      <c r="G824" s="112">
        <f>'OPEN FOREIGN ORDER'!AD450</f>
        <v>0</v>
      </c>
      <c r="H824" s="112">
        <f>'OPEN FOREIGN ORDER'!AE450</f>
        <v>0</v>
      </c>
      <c r="I824" s="112">
        <f>'OPEN FOREIGN ORDER'!AF450</f>
        <v>0</v>
      </c>
      <c r="J824" s="112">
        <f>'OPEN FOREIGN ORDER'!AG450</f>
        <v>0</v>
      </c>
    </row>
    <row r="825" spans="1:10">
      <c r="A825">
        <f>'OPEN FOREIGN ORDER'!D451</f>
        <v>0</v>
      </c>
      <c r="B825">
        <f>'OPEN FOREIGN ORDER'!F451</f>
        <v>0</v>
      </c>
      <c r="C825">
        <f>'OPEN FOREIGN ORDER'!Z451</f>
        <v>0</v>
      </c>
      <c r="D825" s="123">
        <f>'OPEN FOREIGN ORDER'!AA451</f>
        <v>0</v>
      </c>
      <c r="E825" s="112">
        <f>'OPEN FOREIGN ORDER'!AB451</f>
        <v>0</v>
      </c>
      <c r="F825" s="112">
        <f>'OPEN FOREIGN ORDER'!AC451</f>
        <v>0</v>
      </c>
      <c r="G825" s="112">
        <f>'OPEN FOREIGN ORDER'!AD451</f>
        <v>0</v>
      </c>
      <c r="H825" s="112">
        <f>'OPEN FOREIGN ORDER'!AE451</f>
        <v>0</v>
      </c>
      <c r="I825" s="112">
        <f>'OPEN FOREIGN ORDER'!AF451</f>
        <v>0</v>
      </c>
      <c r="J825" s="112">
        <f>'OPEN FOREIGN ORDER'!AG451</f>
        <v>0</v>
      </c>
    </row>
    <row r="826" spans="1:10">
      <c r="A826">
        <f>'OPEN FOREIGN ORDER'!D452</f>
        <v>0</v>
      </c>
      <c r="B826">
        <f>'OPEN FOREIGN ORDER'!F452</f>
        <v>0</v>
      </c>
      <c r="C826">
        <f>'OPEN FOREIGN ORDER'!Z452</f>
        <v>0</v>
      </c>
      <c r="D826" s="123">
        <f>'OPEN FOREIGN ORDER'!AA452</f>
        <v>0</v>
      </c>
      <c r="E826" s="112">
        <f>'OPEN FOREIGN ORDER'!AB452</f>
        <v>0</v>
      </c>
      <c r="F826" s="112">
        <f>'OPEN FOREIGN ORDER'!AC452</f>
        <v>0</v>
      </c>
      <c r="G826" s="112">
        <f>'OPEN FOREIGN ORDER'!AD452</f>
        <v>0</v>
      </c>
      <c r="H826" s="112">
        <f>'OPEN FOREIGN ORDER'!AE452</f>
        <v>0</v>
      </c>
      <c r="I826" s="112">
        <f>'OPEN FOREIGN ORDER'!AF452</f>
        <v>0</v>
      </c>
      <c r="J826" s="112">
        <f>'OPEN FOREIGN ORDER'!AG452</f>
        <v>0</v>
      </c>
    </row>
    <row r="827" spans="1:10">
      <c r="A827">
        <f>'OPEN FOREIGN ORDER'!D453</f>
        <v>0</v>
      </c>
      <c r="B827">
        <f>'OPEN FOREIGN ORDER'!F453</f>
        <v>0</v>
      </c>
      <c r="C827">
        <f>'OPEN FOREIGN ORDER'!Z453</f>
        <v>0</v>
      </c>
      <c r="D827" s="123">
        <f>'OPEN FOREIGN ORDER'!AA453</f>
        <v>0</v>
      </c>
      <c r="E827" s="112">
        <f>'OPEN FOREIGN ORDER'!AB453</f>
        <v>0</v>
      </c>
      <c r="F827" s="112">
        <f>'OPEN FOREIGN ORDER'!AC453</f>
        <v>0</v>
      </c>
      <c r="G827" s="112">
        <f>'OPEN FOREIGN ORDER'!AD453</f>
        <v>0</v>
      </c>
      <c r="H827" s="112">
        <f>'OPEN FOREIGN ORDER'!AE453</f>
        <v>0</v>
      </c>
      <c r="I827" s="112">
        <f>'OPEN FOREIGN ORDER'!AF453</f>
        <v>0</v>
      </c>
      <c r="J827" s="112">
        <f>'OPEN FOREIGN ORDER'!AG453</f>
        <v>0</v>
      </c>
    </row>
    <row r="828" spans="1:10">
      <c r="A828">
        <f>'OPEN FOREIGN ORDER'!D454</f>
        <v>0</v>
      </c>
      <c r="B828">
        <f>'OPEN FOREIGN ORDER'!F454</f>
        <v>0</v>
      </c>
      <c r="C828">
        <f>'OPEN FOREIGN ORDER'!Z454</f>
        <v>0</v>
      </c>
      <c r="D828" s="123">
        <f>'OPEN FOREIGN ORDER'!AA454</f>
        <v>0</v>
      </c>
      <c r="E828" s="112">
        <f>'OPEN FOREIGN ORDER'!AB454</f>
        <v>0</v>
      </c>
      <c r="F828" s="112">
        <f>'OPEN FOREIGN ORDER'!AC454</f>
        <v>0</v>
      </c>
      <c r="G828" s="112">
        <f>'OPEN FOREIGN ORDER'!AD454</f>
        <v>0</v>
      </c>
      <c r="H828" s="112">
        <f>'OPEN FOREIGN ORDER'!AE454</f>
        <v>0</v>
      </c>
      <c r="I828" s="112">
        <f>'OPEN FOREIGN ORDER'!AF454</f>
        <v>0</v>
      </c>
      <c r="J828" s="112">
        <f>'OPEN FOREIGN ORDER'!AG454</f>
        <v>0</v>
      </c>
    </row>
    <row r="829" spans="1:10">
      <c r="A829">
        <f>'OPEN FOREIGN ORDER'!D455</f>
        <v>0</v>
      </c>
      <c r="B829">
        <f>'OPEN FOREIGN ORDER'!F455</f>
        <v>0</v>
      </c>
      <c r="C829">
        <f>'OPEN FOREIGN ORDER'!Z455</f>
        <v>0</v>
      </c>
      <c r="D829" s="123">
        <f>'OPEN FOREIGN ORDER'!AA455</f>
        <v>0</v>
      </c>
      <c r="E829" s="112">
        <f>'OPEN FOREIGN ORDER'!AB455</f>
        <v>0</v>
      </c>
      <c r="F829" s="112">
        <f>'OPEN FOREIGN ORDER'!AC455</f>
        <v>0</v>
      </c>
      <c r="G829" s="112">
        <f>'OPEN FOREIGN ORDER'!AD455</f>
        <v>0</v>
      </c>
      <c r="H829" s="112">
        <f>'OPEN FOREIGN ORDER'!AE455</f>
        <v>0</v>
      </c>
      <c r="I829" s="112">
        <f>'OPEN FOREIGN ORDER'!AF455</f>
        <v>0</v>
      </c>
      <c r="J829" s="112">
        <f>'OPEN FOREIGN ORDER'!AG455</f>
        <v>0</v>
      </c>
    </row>
    <row r="830" spans="1:10">
      <c r="A830">
        <f>'OPEN FOREIGN ORDER'!D456</f>
        <v>0</v>
      </c>
      <c r="B830">
        <f>'OPEN FOREIGN ORDER'!F456</f>
        <v>0</v>
      </c>
      <c r="C830">
        <f>'OPEN FOREIGN ORDER'!Z456</f>
        <v>0</v>
      </c>
      <c r="D830" s="123">
        <f>'OPEN FOREIGN ORDER'!AA456</f>
        <v>0</v>
      </c>
      <c r="E830" s="112">
        <f>'OPEN FOREIGN ORDER'!AB456</f>
        <v>0</v>
      </c>
      <c r="F830" s="112">
        <f>'OPEN FOREIGN ORDER'!AC456</f>
        <v>0</v>
      </c>
      <c r="G830" s="112">
        <f>'OPEN FOREIGN ORDER'!AD456</f>
        <v>0</v>
      </c>
      <c r="H830" s="112">
        <f>'OPEN FOREIGN ORDER'!AE456</f>
        <v>0</v>
      </c>
      <c r="I830" s="112">
        <f>'OPEN FOREIGN ORDER'!AF456</f>
        <v>0</v>
      </c>
      <c r="J830" s="112">
        <f>'OPEN FOREIGN ORDER'!AG456</f>
        <v>0</v>
      </c>
    </row>
    <row r="831" spans="1:10">
      <c r="A831">
        <f>'OPEN FOREIGN ORDER'!D457</f>
        <v>0</v>
      </c>
      <c r="B831">
        <f>'OPEN FOREIGN ORDER'!F457</f>
        <v>0</v>
      </c>
      <c r="C831">
        <f>'OPEN FOREIGN ORDER'!Z457</f>
        <v>0</v>
      </c>
      <c r="D831" s="123">
        <f>'OPEN FOREIGN ORDER'!AA457</f>
        <v>0</v>
      </c>
      <c r="E831" s="112">
        <f>'OPEN FOREIGN ORDER'!AB457</f>
        <v>0</v>
      </c>
      <c r="F831" s="112">
        <f>'OPEN FOREIGN ORDER'!AC457</f>
        <v>0</v>
      </c>
      <c r="G831" s="112">
        <f>'OPEN FOREIGN ORDER'!AD457</f>
        <v>0</v>
      </c>
      <c r="H831" s="112">
        <f>'OPEN FOREIGN ORDER'!AE457</f>
        <v>0</v>
      </c>
      <c r="I831" s="112">
        <f>'OPEN FOREIGN ORDER'!AF457</f>
        <v>0</v>
      </c>
      <c r="J831" s="112">
        <f>'OPEN FOREIGN ORDER'!AG457</f>
        <v>0</v>
      </c>
    </row>
    <row r="832" spans="1:10">
      <c r="A832">
        <f>'OPEN FOREIGN ORDER'!D458</f>
        <v>0</v>
      </c>
      <c r="B832">
        <f>'OPEN FOREIGN ORDER'!F458</f>
        <v>0</v>
      </c>
      <c r="C832">
        <f>'OPEN FOREIGN ORDER'!Z458</f>
        <v>0</v>
      </c>
      <c r="D832" s="123">
        <f>'OPEN FOREIGN ORDER'!AA458</f>
        <v>0</v>
      </c>
      <c r="E832" s="112">
        <f>'OPEN FOREIGN ORDER'!AB458</f>
        <v>0</v>
      </c>
      <c r="F832" s="112">
        <f>'OPEN FOREIGN ORDER'!AC458</f>
        <v>0</v>
      </c>
      <c r="G832" s="112">
        <f>'OPEN FOREIGN ORDER'!AD458</f>
        <v>0</v>
      </c>
      <c r="H832" s="112">
        <f>'OPEN FOREIGN ORDER'!AE458</f>
        <v>0</v>
      </c>
      <c r="I832" s="112">
        <f>'OPEN FOREIGN ORDER'!AF458</f>
        <v>0</v>
      </c>
      <c r="J832" s="112">
        <f>'OPEN FOREIGN ORDER'!AG458</f>
        <v>0</v>
      </c>
    </row>
    <row r="833" spans="1:10">
      <c r="A833">
        <f>'OPEN FOREIGN ORDER'!D459</f>
        <v>0</v>
      </c>
      <c r="B833">
        <f>'OPEN FOREIGN ORDER'!F459</f>
        <v>0</v>
      </c>
      <c r="C833">
        <f>'OPEN FOREIGN ORDER'!Z459</f>
        <v>0</v>
      </c>
      <c r="D833" s="123">
        <f>'OPEN FOREIGN ORDER'!AA459</f>
        <v>0</v>
      </c>
      <c r="E833" s="112">
        <f>'OPEN FOREIGN ORDER'!AB459</f>
        <v>0</v>
      </c>
      <c r="F833" s="112">
        <f>'OPEN FOREIGN ORDER'!AC459</f>
        <v>0</v>
      </c>
      <c r="G833" s="112">
        <f>'OPEN FOREIGN ORDER'!AD459</f>
        <v>0</v>
      </c>
      <c r="H833" s="112">
        <f>'OPEN FOREIGN ORDER'!AE459</f>
        <v>0</v>
      </c>
      <c r="I833" s="112">
        <f>'OPEN FOREIGN ORDER'!AF459</f>
        <v>0</v>
      </c>
      <c r="J833" s="112">
        <f>'OPEN FOREIGN ORDER'!AG459</f>
        <v>0</v>
      </c>
    </row>
    <row r="834" spans="1:10">
      <c r="A834">
        <f>'OPEN FOREIGN ORDER'!D460</f>
        <v>0</v>
      </c>
      <c r="B834">
        <f>'OPEN FOREIGN ORDER'!F460</f>
        <v>0</v>
      </c>
      <c r="C834">
        <f>'OPEN FOREIGN ORDER'!Z460</f>
        <v>0</v>
      </c>
      <c r="D834" s="123">
        <f>'OPEN FOREIGN ORDER'!AA460</f>
        <v>0</v>
      </c>
      <c r="E834" s="112">
        <f>'OPEN FOREIGN ORDER'!AB460</f>
        <v>0</v>
      </c>
      <c r="F834" s="112">
        <f>'OPEN FOREIGN ORDER'!AC460</f>
        <v>0</v>
      </c>
      <c r="G834" s="112">
        <f>'OPEN FOREIGN ORDER'!AD460</f>
        <v>0</v>
      </c>
      <c r="H834" s="112">
        <f>'OPEN FOREIGN ORDER'!AE460</f>
        <v>0</v>
      </c>
      <c r="I834" s="112">
        <f>'OPEN FOREIGN ORDER'!AF460</f>
        <v>0</v>
      </c>
      <c r="J834" s="112">
        <f>'OPEN FOREIGN ORDER'!AG460</f>
        <v>0</v>
      </c>
    </row>
    <row r="835" spans="1:10">
      <c r="A835">
        <f>'OPEN FOREIGN ORDER'!D461</f>
        <v>0</v>
      </c>
      <c r="B835">
        <f>'OPEN FOREIGN ORDER'!F461</f>
        <v>0</v>
      </c>
      <c r="C835">
        <f>'OPEN FOREIGN ORDER'!Z461</f>
        <v>0</v>
      </c>
      <c r="D835" s="123">
        <f>'OPEN FOREIGN ORDER'!AA461</f>
        <v>0</v>
      </c>
      <c r="E835" s="112">
        <f>'OPEN FOREIGN ORDER'!AB461</f>
        <v>0</v>
      </c>
      <c r="F835" s="112">
        <f>'OPEN FOREIGN ORDER'!AC461</f>
        <v>0</v>
      </c>
      <c r="G835" s="112">
        <f>'OPEN FOREIGN ORDER'!AD461</f>
        <v>0</v>
      </c>
      <c r="H835" s="112">
        <f>'OPEN FOREIGN ORDER'!AE461</f>
        <v>0</v>
      </c>
      <c r="I835" s="112">
        <f>'OPEN FOREIGN ORDER'!AF461</f>
        <v>0</v>
      </c>
      <c r="J835" s="112">
        <f>'OPEN FOREIGN ORDER'!AG461</f>
        <v>0</v>
      </c>
    </row>
    <row r="836" spans="1:10">
      <c r="A836">
        <f>'OPEN FOREIGN ORDER'!D462</f>
        <v>0</v>
      </c>
      <c r="B836">
        <f>'OPEN FOREIGN ORDER'!F462</f>
        <v>0</v>
      </c>
      <c r="C836">
        <f>'OPEN FOREIGN ORDER'!Z462</f>
        <v>0</v>
      </c>
      <c r="D836" s="123">
        <f>'OPEN FOREIGN ORDER'!AA462</f>
        <v>0</v>
      </c>
      <c r="E836" s="112">
        <f>'OPEN FOREIGN ORDER'!AB462</f>
        <v>0</v>
      </c>
      <c r="F836" s="112">
        <f>'OPEN FOREIGN ORDER'!AC462</f>
        <v>0</v>
      </c>
      <c r="G836" s="112">
        <f>'OPEN FOREIGN ORDER'!AD462</f>
        <v>0</v>
      </c>
      <c r="H836" s="112">
        <f>'OPEN FOREIGN ORDER'!AE462</f>
        <v>0</v>
      </c>
      <c r="I836" s="112">
        <f>'OPEN FOREIGN ORDER'!AF462</f>
        <v>0</v>
      </c>
      <c r="J836" s="112">
        <f>'OPEN FOREIGN ORDER'!AG462</f>
        <v>0</v>
      </c>
    </row>
    <row r="837" spans="1:10">
      <c r="A837">
        <f>'OPEN FOREIGN ORDER'!D463</f>
        <v>0</v>
      </c>
      <c r="B837">
        <f>'OPEN FOREIGN ORDER'!F463</f>
        <v>0</v>
      </c>
      <c r="C837">
        <f>'OPEN FOREIGN ORDER'!Z463</f>
        <v>0</v>
      </c>
      <c r="D837" s="123">
        <f>'OPEN FOREIGN ORDER'!AA463</f>
        <v>0</v>
      </c>
      <c r="E837" s="112">
        <f>'OPEN FOREIGN ORDER'!AB463</f>
        <v>0</v>
      </c>
      <c r="F837" s="112">
        <f>'OPEN FOREIGN ORDER'!AC463</f>
        <v>0</v>
      </c>
      <c r="G837" s="112">
        <f>'OPEN FOREIGN ORDER'!AD463</f>
        <v>0</v>
      </c>
      <c r="H837" s="112">
        <f>'OPEN FOREIGN ORDER'!AE463</f>
        <v>0</v>
      </c>
      <c r="I837" s="112">
        <f>'OPEN FOREIGN ORDER'!AF463</f>
        <v>0</v>
      </c>
      <c r="J837" s="112">
        <f>'OPEN FOREIGN ORDER'!AG463</f>
        <v>0</v>
      </c>
    </row>
    <row r="838" spans="1:10">
      <c r="A838">
        <f>'OPEN FOREIGN ORDER'!D464</f>
        <v>0</v>
      </c>
      <c r="B838">
        <f>'OPEN FOREIGN ORDER'!F464</f>
        <v>0</v>
      </c>
      <c r="C838">
        <f>'OPEN FOREIGN ORDER'!Z464</f>
        <v>0</v>
      </c>
      <c r="D838" s="123">
        <f>'OPEN FOREIGN ORDER'!AA464</f>
        <v>0</v>
      </c>
      <c r="E838" s="112">
        <f>'OPEN FOREIGN ORDER'!AB464</f>
        <v>0</v>
      </c>
      <c r="F838" s="112">
        <f>'OPEN FOREIGN ORDER'!AC464</f>
        <v>0</v>
      </c>
      <c r="G838" s="112">
        <f>'OPEN FOREIGN ORDER'!AD464</f>
        <v>0</v>
      </c>
      <c r="H838" s="112">
        <f>'OPEN FOREIGN ORDER'!AE464</f>
        <v>0</v>
      </c>
      <c r="I838" s="112">
        <f>'OPEN FOREIGN ORDER'!AF464</f>
        <v>0</v>
      </c>
      <c r="J838" s="112">
        <f>'OPEN FOREIGN ORDER'!AG464</f>
        <v>0</v>
      </c>
    </row>
    <row r="839" spans="1:10">
      <c r="A839">
        <f>'OPEN FOREIGN ORDER'!D465</f>
        <v>0</v>
      </c>
      <c r="B839">
        <f>'OPEN FOREIGN ORDER'!F465</f>
        <v>0</v>
      </c>
      <c r="C839">
        <f>'OPEN FOREIGN ORDER'!Z465</f>
        <v>0</v>
      </c>
      <c r="D839" s="123">
        <f>'OPEN FOREIGN ORDER'!AA465</f>
        <v>0</v>
      </c>
      <c r="E839" s="112">
        <f>'OPEN FOREIGN ORDER'!AB465</f>
        <v>0</v>
      </c>
      <c r="F839" s="112">
        <f>'OPEN FOREIGN ORDER'!AC465</f>
        <v>0</v>
      </c>
      <c r="G839" s="112">
        <f>'OPEN FOREIGN ORDER'!AD465</f>
        <v>0</v>
      </c>
      <c r="H839" s="112">
        <f>'OPEN FOREIGN ORDER'!AE465</f>
        <v>0</v>
      </c>
      <c r="I839" s="112">
        <f>'OPEN FOREIGN ORDER'!AF465</f>
        <v>0</v>
      </c>
      <c r="J839" s="112">
        <f>'OPEN FOREIGN ORDER'!AG465</f>
        <v>0</v>
      </c>
    </row>
    <row r="840" spans="1:10">
      <c r="A840">
        <f>'OPEN FOREIGN ORDER'!D466</f>
        <v>0</v>
      </c>
      <c r="B840">
        <f>'OPEN FOREIGN ORDER'!F466</f>
        <v>0</v>
      </c>
      <c r="C840">
        <f>'OPEN FOREIGN ORDER'!Z466</f>
        <v>0</v>
      </c>
      <c r="D840" s="123">
        <f>'OPEN FOREIGN ORDER'!AA466</f>
        <v>0</v>
      </c>
      <c r="E840" s="112">
        <f>'OPEN FOREIGN ORDER'!AB466</f>
        <v>0</v>
      </c>
      <c r="F840" s="112">
        <f>'OPEN FOREIGN ORDER'!AC466</f>
        <v>0</v>
      </c>
      <c r="G840" s="112">
        <f>'OPEN FOREIGN ORDER'!AD466</f>
        <v>0</v>
      </c>
      <c r="H840" s="112">
        <f>'OPEN FOREIGN ORDER'!AE466</f>
        <v>0</v>
      </c>
      <c r="I840" s="112">
        <f>'OPEN FOREIGN ORDER'!AF466</f>
        <v>0</v>
      </c>
      <c r="J840" s="112">
        <f>'OPEN FOREIGN ORDER'!AG466</f>
        <v>0</v>
      </c>
    </row>
    <row r="841" spans="1:10">
      <c r="A841">
        <f>'OPEN FOREIGN ORDER'!D467</f>
        <v>0</v>
      </c>
      <c r="B841">
        <f>'OPEN FOREIGN ORDER'!F467</f>
        <v>0</v>
      </c>
      <c r="C841">
        <f>'OPEN FOREIGN ORDER'!Z467</f>
        <v>0</v>
      </c>
      <c r="D841" s="123">
        <f>'OPEN FOREIGN ORDER'!AA467</f>
        <v>0</v>
      </c>
      <c r="E841" s="112">
        <f>'OPEN FOREIGN ORDER'!AB467</f>
        <v>0</v>
      </c>
      <c r="F841" s="112">
        <f>'OPEN FOREIGN ORDER'!AC467</f>
        <v>0</v>
      </c>
      <c r="G841" s="112">
        <f>'OPEN FOREIGN ORDER'!AD467</f>
        <v>0</v>
      </c>
      <c r="H841" s="112">
        <f>'OPEN FOREIGN ORDER'!AE467</f>
        <v>0</v>
      </c>
      <c r="I841" s="112">
        <f>'OPEN FOREIGN ORDER'!AF467</f>
        <v>0</v>
      </c>
      <c r="J841" s="112">
        <f>'OPEN FOREIGN ORDER'!AG467</f>
        <v>0</v>
      </c>
    </row>
    <row r="842" spans="1:10">
      <c r="A842">
        <f>'OPEN FOREIGN ORDER'!D468</f>
        <v>0</v>
      </c>
      <c r="B842">
        <f>'OPEN FOREIGN ORDER'!F468</f>
        <v>0</v>
      </c>
      <c r="C842">
        <f>'OPEN FOREIGN ORDER'!Z468</f>
        <v>0</v>
      </c>
      <c r="D842" s="123">
        <f>'OPEN FOREIGN ORDER'!AA468</f>
        <v>0</v>
      </c>
      <c r="E842" s="112">
        <f>'OPEN FOREIGN ORDER'!AB468</f>
        <v>0</v>
      </c>
      <c r="F842" s="112">
        <f>'OPEN FOREIGN ORDER'!AC468</f>
        <v>0</v>
      </c>
      <c r="G842" s="112">
        <f>'OPEN FOREIGN ORDER'!AD468</f>
        <v>0</v>
      </c>
      <c r="H842" s="112">
        <f>'OPEN FOREIGN ORDER'!AE468</f>
        <v>0</v>
      </c>
      <c r="I842" s="112">
        <f>'OPEN FOREIGN ORDER'!AF468</f>
        <v>0</v>
      </c>
      <c r="J842" s="112">
        <f>'OPEN FOREIGN ORDER'!AG468</f>
        <v>0</v>
      </c>
    </row>
    <row r="843" spans="1:10">
      <c r="A843">
        <f>'OPEN FOREIGN ORDER'!D469</f>
        <v>0</v>
      </c>
      <c r="B843">
        <f>'OPEN FOREIGN ORDER'!F469</f>
        <v>0</v>
      </c>
      <c r="C843">
        <f>'OPEN FOREIGN ORDER'!Z469</f>
        <v>0</v>
      </c>
      <c r="D843" s="123">
        <f>'OPEN FOREIGN ORDER'!AA469</f>
        <v>0</v>
      </c>
      <c r="E843" s="112">
        <f>'OPEN FOREIGN ORDER'!AB469</f>
        <v>0</v>
      </c>
      <c r="F843" s="112">
        <f>'OPEN FOREIGN ORDER'!AC469</f>
        <v>0</v>
      </c>
      <c r="G843" s="112">
        <f>'OPEN FOREIGN ORDER'!AD469</f>
        <v>0</v>
      </c>
      <c r="H843" s="112">
        <f>'OPEN FOREIGN ORDER'!AE469</f>
        <v>0</v>
      </c>
      <c r="I843" s="112">
        <f>'OPEN FOREIGN ORDER'!AF469</f>
        <v>0</v>
      </c>
      <c r="J843" s="112">
        <f>'OPEN FOREIGN ORDER'!AG469</f>
        <v>0</v>
      </c>
    </row>
    <row r="844" spans="1:10">
      <c r="A844">
        <f>'OPEN FOREIGN ORDER'!D470</f>
        <v>0</v>
      </c>
      <c r="B844">
        <f>'OPEN FOREIGN ORDER'!F470</f>
        <v>0</v>
      </c>
      <c r="C844">
        <f>'OPEN FOREIGN ORDER'!Z470</f>
        <v>0</v>
      </c>
      <c r="D844" s="123">
        <f>'OPEN FOREIGN ORDER'!AA470</f>
        <v>0</v>
      </c>
      <c r="E844" s="112">
        <f>'OPEN FOREIGN ORDER'!AB470</f>
        <v>0</v>
      </c>
      <c r="F844" s="112">
        <f>'OPEN FOREIGN ORDER'!AC470</f>
        <v>0</v>
      </c>
      <c r="G844" s="112">
        <f>'OPEN FOREIGN ORDER'!AD470</f>
        <v>0</v>
      </c>
      <c r="H844" s="112">
        <f>'OPEN FOREIGN ORDER'!AE470</f>
        <v>0</v>
      </c>
      <c r="I844" s="112">
        <f>'OPEN FOREIGN ORDER'!AF470</f>
        <v>0</v>
      </c>
      <c r="J844" s="112">
        <f>'OPEN FOREIGN ORDER'!AG470</f>
        <v>0</v>
      </c>
    </row>
    <row r="845" spans="1:10">
      <c r="A845">
        <f>'OPEN FOREIGN ORDER'!D471</f>
        <v>0</v>
      </c>
      <c r="B845">
        <f>'OPEN FOREIGN ORDER'!F471</f>
        <v>0</v>
      </c>
      <c r="C845">
        <f>'OPEN FOREIGN ORDER'!Z471</f>
        <v>0</v>
      </c>
      <c r="D845" s="123">
        <f>'OPEN FOREIGN ORDER'!AA471</f>
        <v>0</v>
      </c>
      <c r="E845" s="112">
        <f>'OPEN FOREIGN ORDER'!AB471</f>
        <v>0</v>
      </c>
      <c r="F845" s="112">
        <f>'OPEN FOREIGN ORDER'!AC471</f>
        <v>0</v>
      </c>
      <c r="G845" s="112">
        <f>'OPEN FOREIGN ORDER'!AD471</f>
        <v>0</v>
      </c>
      <c r="H845" s="112">
        <f>'OPEN FOREIGN ORDER'!AE471</f>
        <v>0</v>
      </c>
      <c r="I845" s="112">
        <f>'OPEN FOREIGN ORDER'!AF471</f>
        <v>0</v>
      </c>
      <c r="J845" s="112">
        <f>'OPEN FOREIGN ORDER'!AG471</f>
        <v>0</v>
      </c>
    </row>
    <row r="846" spans="1:10">
      <c r="A846">
        <f>'OPEN FOREIGN ORDER'!D472</f>
        <v>0</v>
      </c>
      <c r="B846">
        <f>'OPEN FOREIGN ORDER'!F472</f>
        <v>0</v>
      </c>
      <c r="C846">
        <f>'OPEN FOREIGN ORDER'!Z472</f>
        <v>0</v>
      </c>
      <c r="D846" s="123">
        <f>'OPEN FOREIGN ORDER'!AA472</f>
        <v>0</v>
      </c>
      <c r="E846" s="112">
        <f>'OPEN FOREIGN ORDER'!AB472</f>
        <v>0</v>
      </c>
      <c r="F846" s="112">
        <f>'OPEN FOREIGN ORDER'!AC472</f>
        <v>0</v>
      </c>
      <c r="G846" s="112">
        <f>'OPEN FOREIGN ORDER'!AD472</f>
        <v>0</v>
      </c>
      <c r="H846" s="112">
        <f>'OPEN FOREIGN ORDER'!AE472</f>
        <v>0</v>
      </c>
      <c r="I846" s="112">
        <f>'OPEN FOREIGN ORDER'!AF472</f>
        <v>0</v>
      </c>
      <c r="J846" s="112">
        <f>'OPEN FOREIGN ORDER'!AG472</f>
        <v>0</v>
      </c>
    </row>
    <row r="847" spans="1:10">
      <c r="A847">
        <f>'OPEN FOREIGN ORDER'!D473</f>
        <v>0</v>
      </c>
      <c r="B847">
        <f>'OPEN FOREIGN ORDER'!F473</f>
        <v>0</v>
      </c>
      <c r="C847">
        <f>'OPEN FOREIGN ORDER'!Z473</f>
        <v>0</v>
      </c>
      <c r="D847" s="123">
        <f>'OPEN FOREIGN ORDER'!AA473</f>
        <v>0</v>
      </c>
      <c r="E847" s="112">
        <f>'OPEN FOREIGN ORDER'!AB473</f>
        <v>0</v>
      </c>
      <c r="F847" s="112">
        <f>'OPEN FOREIGN ORDER'!AC473</f>
        <v>0</v>
      </c>
      <c r="G847" s="112">
        <f>'OPEN FOREIGN ORDER'!AD473</f>
        <v>0</v>
      </c>
      <c r="H847" s="112">
        <f>'OPEN FOREIGN ORDER'!AE473</f>
        <v>0</v>
      </c>
      <c r="I847" s="112">
        <f>'OPEN FOREIGN ORDER'!AF473</f>
        <v>0</v>
      </c>
      <c r="J847" s="112">
        <f>'OPEN FOREIGN ORDER'!AG473</f>
        <v>0</v>
      </c>
    </row>
    <row r="848" spans="1:10">
      <c r="A848">
        <f>'OPEN FOREIGN ORDER'!D474</f>
        <v>0</v>
      </c>
      <c r="B848">
        <f>'OPEN FOREIGN ORDER'!F474</f>
        <v>0</v>
      </c>
      <c r="C848">
        <f>'OPEN FOREIGN ORDER'!Z474</f>
        <v>0</v>
      </c>
      <c r="D848" s="123">
        <f>'OPEN FOREIGN ORDER'!AA474</f>
        <v>0</v>
      </c>
      <c r="E848" s="112">
        <f>'OPEN FOREIGN ORDER'!AB474</f>
        <v>0</v>
      </c>
      <c r="F848" s="112">
        <f>'OPEN FOREIGN ORDER'!AC474</f>
        <v>0</v>
      </c>
      <c r="G848" s="112">
        <f>'OPEN FOREIGN ORDER'!AD474</f>
        <v>0</v>
      </c>
      <c r="H848" s="112">
        <f>'OPEN FOREIGN ORDER'!AE474</f>
        <v>0</v>
      </c>
      <c r="I848" s="112">
        <f>'OPEN FOREIGN ORDER'!AF474</f>
        <v>0</v>
      </c>
      <c r="J848" s="112">
        <f>'OPEN FOREIGN ORDER'!AG474</f>
        <v>0</v>
      </c>
    </row>
    <row r="849" spans="1:10">
      <c r="A849">
        <f>'OPEN FOREIGN ORDER'!D475</f>
        <v>0</v>
      </c>
      <c r="B849">
        <f>'OPEN FOREIGN ORDER'!F475</f>
        <v>0</v>
      </c>
      <c r="C849">
        <f>'OPEN FOREIGN ORDER'!Z475</f>
        <v>0</v>
      </c>
      <c r="D849" s="123">
        <f>'OPEN FOREIGN ORDER'!AA475</f>
        <v>0</v>
      </c>
      <c r="E849" s="112">
        <f>'OPEN FOREIGN ORDER'!AB475</f>
        <v>0</v>
      </c>
      <c r="F849" s="112">
        <f>'OPEN FOREIGN ORDER'!AC475</f>
        <v>0</v>
      </c>
      <c r="G849" s="112">
        <f>'OPEN FOREIGN ORDER'!AD475</f>
        <v>0</v>
      </c>
      <c r="H849" s="112">
        <f>'OPEN FOREIGN ORDER'!AE475</f>
        <v>0</v>
      </c>
      <c r="I849" s="112">
        <f>'OPEN FOREIGN ORDER'!AF475</f>
        <v>0</v>
      </c>
      <c r="J849" s="112">
        <f>'OPEN FOREIGN ORDER'!AG475</f>
        <v>0</v>
      </c>
    </row>
    <row r="850" spans="1:10">
      <c r="A850">
        <f>'OPEN FOREIGN ORDER'!D476</f>
        <v>0</v>
      </c>
      <c r="B850">
        <f>'OPEN FOREIGN ORDER'!F476</f>
        <v>0</v>
      </c>
      <c r="C850">
        <f>'OPEN FOREIGN ORDER'!Z476</f>
        <v>0</v>
      </c>
      <c r="D850" s="123">
        <f>'OPEN FOREIGN ORDER'!AA476</f>
        <v>0</v>
      </c>
      <c r="E850" s="112">
        <f>'OPEN FOREIGN ORDER'!AB476</f>
        <v>0</v>
      </c>
      <c r="F850" s="112">
        <f>'OPEN FOREIGN ORDER'!AC476</f>
        <v>0</v>
      </c>
      <c r="G850" s="112">
        <f>'OPEN FOREIGN ORDER'!AD476</f>
        <v>0</v>
      </c>
      <c r="H850" s="112">
        <f>'OPEN FOREIGN ORDER'!AE476</f>
        <v>0</v>
      </c>
      <c r="I850" s="112">
        <f>'OPEN FOREIGN ORDER'!AF476</f>
        <v>0</v>
      </c>
      <c r="J850" s="112">
        <f>'OPEN FOREIGN ORDER'!AG476</f>
        <v>0</v>
      </c>
    </row>
    <row r="851" spans="1:10">
      <c r="A851">
        <f>'OPEN FOREIGN ORDER'!D477</f>
        <v>0</v>
      </c>
      <c r="B851">
        <f>'OPEN FOREIGN ORDER'!F477</f>
        <v>0</v>
      </c>
      <c r="C851">
        <f>'OPEN FOREIGN ORDER'!Z477</f>
        <v>0</v>
      </c>
      <c r="D851" s="123">
        <f>'OPEN FOREIGN ORDER'!AA477</f>
        <v>0</v>
      </c>
      <c r="E851" s="112">
        <f>'OPEN FOREIGN ORDER'!AB477</f>
        <v>0</v>
      </c>
      <c r="F851" s="112">
        <f>'OPEN FOREIGN ORDER'!AC477</f>
        <v>0</v>
      </c>
      <c r="G851" s="112">
        <f>'OPEN FOREIGN ORDER'!AD477</f>
        <v>0</v>
      </c>
      <c r="H851" s="112">
        <f>'OPEN FOREIGN ORDER'!AE477</f>
        <v>0</v>
      </c>
      <c r="I851" s="112">
        <f>'OPEN FOREIGN ORDER'!AF477</f>
        <v>0</v>
      </c>
      <c r="J851" s="112">
        <f>'OPEN FOREIGN ORDER'!AG477</f>
        <v>0</v>
      </c>
    </row>
    <row r="852" spans="1:10">
      <c r="A852">
        <f>'OPEN FOREIGN ORDER'!D478</f>
        <v>0</v>
      </c>
      <c r="B852">
        <f>'OPEN FOREIGN ORDER'!F478</f>
        <v>0</v>
      </c>
      <c r="C852">
        <f>'OPEN FOREIGN ORDER'!Z478</f>
        <v>0</v>
      </c>
      <c r="D852" s="123">
        <f>'OPEN FOREIGN ORDER'!AA478</f>
        <v>0</v>
      </c>
      <c r="E852" s="112">
        <f>'OPEN FOREIGN ORDER'!AB478</f>
        <v>0</v>
      </c>
      <c r="F852" s="112">
        <f>'OPEN FOREIGN ORDER'!AC478</f>
        <v>0</v>
      </c>
      <c r="G852" s="112">
        <f>'OPEN FOREIGN ORDER'!AD478</f>
        <v>0</v>
      </c>
      <c r="H852" s="112">
        <f>'OPEN FOREIGN ORDER'!AE478</f>
        <v>0</v>
      </c>
      <c r="I852" s="112">
        <f>'OPEN FOREIGN ORDER'!AF478</f>
        <v>0</v>
      </c>
      <c r="J852" s="112">
        <f>'OPEN FOREIGN ORDER'!AG478</f>
        <v>0</v>
      </c>
    </row>
    <row r="853" spans="1:10">
      <c r="A853">
        <f>'OPEN FOREIGN ORDER'!D479</f>
        <v>0</v>
      </c>
      <c r="B853">
        <f>'OPEN FOREIGN ORDER'!F479</f>
        <v>0</v>
      </c>
      <c r="C853">
        <f>'OPEN FOREIGN ORDER'!Z479</f>
        <v>0</v>
      </c>
      <c r="D853" s="123">
        <f>'OPEN FOREIGN ORDER'!AA479</f>
        <v>0</v>
      </c>
      <c r="E853" s="112">
        <f>'OPEN FOREIGN ORDER'!AB479</f>
        <v>0</v>
      </c>
      <c r="F853" s="112">
        <f>'OPEN FOREIGN ORDER'!AC479</f>
        <v>0</v>
      </c>
      <c r="G853" s="112">
        <f>'OPEN FOREIGN ORDER'!AD479</f>
        <v>0</v>
      </c>
      <c r="H853" s="112">
        <f>'OPEN FOREIGN ORDER'!AE479</f>
        <v>0</v>
      </c>
      <c r="I853" s="112">
        <f>'OPEN FOREIGN ORDER'!AF479</f>
        <v>0</v>
      </c>
      <c r="J853" s="112">
        <f>'OPEN FOREIGN ORDER'!AG479</f>
        <v>0</v>
      </c>
    </row>
    <row r="854" spans="1:10">
      <c r="A854">
        <f>'OPEN FOREIGN ORDER'!D480</f>
        <v>0</v>
      </c>
      <c r="B854">
        <f>'OPEN FOREIGN ORDER'!F480</f>
        <v>0</v>
      </c>
      <c r="C854">
        <f>'OPEN FOREIGN ORDER'!Z480</f>
        <v>0</v>
      </c>
      <c r="D854" s="123">
        <f>'OPEN FOREIGN ORDER'!AA480</f>
        <v>0</v>
      </c>
      <c r="E854" s="112">
        <f>'OPEN FOREIGN ORDER'!AB480</f>
        <v>0</v>
      </c>
      <c r="F854" s="112">
        <f>'OPEN FOREIGN ORDER'!AC480</f>
        <v>0</v>
      </c>
      <c r="G854" s="112">
        <f>'OPEN FOREIGN ORDER'!AD480</f>
        <v>0</v>
      </c>
      <c r="H854" s="112">
        <f>'OPEN FOREIGN ORDER'!AE480</f>
        <v>0</v>
      </c>
      <c r="I854" s="112">
        <f>'OPEN FOREIGN ORDER'!AF480</f>
        <v>0</v>
      </c>
      <c r="J854" s="112">
        <f>'OPEN FOREIGN ORDER'!AG480</f>
        <v>0</v>
      </c>
    </row>
    <row r="855" spans="1:10">
      <c r="A855">
        <f>'OPEN FOREIGN ORDER'!D481</f>
        <v>0</v>
      </c>
      <c r="B855">
        <f>'OPEN FOREIGN ORDER'!F481</f>
        <v>0</v>
      </c>
      <c r="C855">
        <f>'OPEN FOREIGN ORDER'!Z481</f>
        <v>0</v>
      </c>
      <c r="D855" s="123">
        <f>'OPEN FOREIGN ORDER'!AA481</f>
        <v>0</v>
      </c>
      <c r="E855" s="112">
        <f>'OPEN FOREIGN ORDER'!AB481</f>
        <v>0</v>
      </c>
      <c r="F855" s="112">
        <f>'OPEN FOREIGN ORDER'!AC481</f>
        <v>0</v>
      </c>
      <c r="G855" s="112">
        <f>'OPEN FOREIGN ORDER'!AD481</f>
        <v>0</v>
      </c>
      <c r="H855" s="112">
        <f>'OPEN FOREIGN ORDER'!AE481</f>
        <v>0</v>
      </c>
      <c r="I855" s="112">
        <f>'OPEN FOREIGN ORDER'!AF481</f>
        <v>0</v>
      </c>
      <c r="J855" s="112">
        <f>'OPEN FOREIGN ORDER'!AG481</f>
        <v>0</v>
      </c>
    </row>
    <row r="856" spans="1:10">
      <c r="A856">
        <f>'OPEN FOREIGN ORDER'!D482</f>
        <v>0</v>
      </c>
      <c r="B856">
        <f>'OPEN FOREIGN ORDER'!F482</f>
        <v>0</v>
      </c>
      <c r="C856">
        <f>'OPEN FOREIGN ORDER'!Z482</f>
        <v>0</v>
      </c>
      <c r="D856" s="123">
        <f>'OPEN FOREIGN ORDER'!AA482</f>
        <v>0</v>
      </c>
      <c r="E856" s="112">
        <f>'OPEN FOREIGN ORDER'!AB482</f>
        <v>0</v>
      </c>
      <c r="F856" s="112">
        <f>'OPEN FOREIGN ORDER'!AC482</f>
        <v>0</v>
      </c>
      <c r="G856" s="112">
        <f>'OPEN FOREIGN ORDER'!AD482</f>
        <v>0</v>
      </c>
      <c r="H856" s="112">
        <f>'OPEN FOREIGN ORDER'!AE482</f>
        <v>0</v>
      </c>
      <c r="I856" s="112">
        <f>'OPEN FOREIGN ORDER'!AF482</f>
        <v>0</v>
      </c>
      <c r="J856" s="112">
        <f>'OPEN FOREIGN ORDER'!AG482</f>
        <v>0</v>
      </c>
    </row>
    <row r="857" spans="1:10">
      <c r="A857">
        <f>'OPEN FOREIGN ORDER'!D483</f>
        <v>0</v>
      </c>
      <c r="B857">
        <f>'OPEN FOREIGN ORDER'!F483</f>
        <v>0</v>
      </c>
      <c r="C857">
        <f>'OPEN FOREIGN ORDER'!Z483</f>
        <v>0</v>
      </c>
      <c r="D857" s="123">
        <f>'OPEN FOREIGN ORDER'!AA483</f>
        <v>0</v>
      </c>
      <c r="E857" s="112">
        <f>'OPEN FOREIGN ORDER'!AB483</f>
        <v>0</v>
      </c>
      <c r="F857" s="112">
        <f>'OPEN FOREIGN ORDER'!AC483</f>
        <v>0</v>
      </c>
      <c r="G857" s="112">
        <f>'OPEN FOREIGN ORDER'!AD483</f>
        <v>0</v>
      </c>
      <c r="H857" s="112">
        <f>'OPEN FOREIGN ORDER'!AE483</f>
        <v>0</v>
      </c>
      <c r="I857" s="112">
        <f>'OPEN FOREIGN ORDER'!AF483</f>
        <v>0</v>
      </c>
      <c r="J857" s="112">
        <f>'OPEN FOREIGN ORDER'!AG483</f>
        <v>0</v>
      </c>
    </row>
    <row r="858" spans="1:10">
      <c r="A858">
        <f>'OPEN FOREIGN ORDER'!D484</f>
        <v>0</v>
      </c>
      <c r="B858">
        <f>'OPEN FOREIGN ORDER'!F484</f>
        <v>0</v>
      </c>
      <c r="C858">
        <f>'OPEN FOREIGN ORDER'!Z484</f>
        <v>0</v>
      </c>
      <c r="D858" s="123">
        <f>'OPEN FOREIGN ORDER'!AA484</f>
        <v>0</v>
      </c>
      <c r="E858" s="112">
        <f>'OPEN FOREIGN ORDER'!AB484</f>
        <v>0</v>
      </c>
      <c r="F858" s="112">
        <f>'OPEN FOREIGN ORDER'!AC484</f>
        <v>0</v>
      </c>
      <c r="G858" s="112">
        <f>'OPEN FOREIGN ORDER'!AD484</f>
        <v>0</v>
      </c>
      <c r="H858" s="112">
        <f>'OPEN FOREIGN ORDER'!AE484</f>
        <v>0</v>
      </c>
      <c r="I858" s="112">
        <f>'OPEN FOREIGN ORDER'!AF484</f>
        <v>0</v>
      </c>
      <c r="J858" s="112">
        <f>'OPEN FOREIGN ORDER'!AG484</f>
        <v>0</v>
      </c>
    </row>
    <row r="859" spans="1:10">
      <c r="A859">
        <f>'OPEN FOREIGN ORDER'!D485</f>
        <v>0</v>
      </c>
      <c r="B859">
        <f>'OPEN FOREIGN ORDER'!F485</f>
        <v>0</v>
      </c>
      <c r="C859">
        <f>'OPEN FOREIGN ORDER'!Z485</f>
        <v>0</v>
      </c>
      <c r="D859" s="123">
        <f>'OPEN FOREIGN ORDER'!AA485</f>
        <v>0</v>
      </c>
      <c r="E859" s="112">
        <f>'OPEN FOREIGN ORDER'!AB485</f>
        <v>0</v>
      </c>
      <c r="F859" s="112">
        <f>'OPEN FOREIGN ORDER'!AC485</f>
        <v>0</v>
      </c>
      <c r="G859" s="112">
        <f>'OPEN FOREIGN ORDER'!AD485</f>
        <v>0</v>
      </c>
      <c r="H859" s="112">
        <f>'OPEN FOREIGN ORDER'!AE485</f>
        <v>0</v>
      </c>
      <c r="I859" s="112">
        <f>'OPEN FOREIGN ORDER'!AF485</f>
        <v>0</v>
      </c>
      <c r="J859" s="112">
        <f>'OPEN FOREIGN ORDER'!AG485</f>
        <v>0</v>
      </c>
    </row>
    <row r="860" spans="1:10">
      <c r="A860">
        <f>'OPEN FOREIGN ORDER'!D486</f>
        <v>0</v>
      </c>
      <c r="B860">
        <f>'OPEN FOREIGN ORDER'!F486</f>
        <v>0</v>
      </c>
      <c r="C860">
        <f>'OPEN FOREIGN ORDER'!Z486</f>
        <v>0</v>
      </c>
      <c r="D860" s="123">
        <f>'OPEN FOREIGN ORDER'!AA486</f>
        <v>0</v>
      </c>
      <c r="E860" s="112">
        <f>'OPEN FOREIGN ORDER'!AB486</f>
        <v>0</v>
      </c>
      <c r="F860" s="112">
        <f>'OPEN FOREIGN ORDER'!AC486</f>
        <v>0</v>
      </c>
      <c r="G860" s="112">
        <f>'OPEN FOREIGN ORDER'!AD486</f>
        <v>0</v>
      </c>
      <c r="H860" s="112">
        <f>'OPEN FOREIGN ORDER'!AE486</f>
        <v>0</v>
      </c>
      <c r="I860" s="112">
        <f>'OPEN FOREIGN ORDER'!AF486</f>
        <v>0</v>
      </c>
      <c r="J860" s="112">
        <f>'OPEN FOREIGN ORDER'!AG486</f>
        <v>0</v>
      </c>
    </row>
    <row r="861" spans="1:10">
      <c r="A861">
        <f>'OPEN FOREIGN ORDER'!D487</f>
        <v>0</v>
      </c>
      <c r="B861">
        <f>'OPEN FOREIGN ORDER'!F487</f>
        <v>0</v>
      </c>
      <c r="C861">
        <f>'OPEN FOREIGN ORDER'!Z487</f>
        <v>0</v>
      </c>
      <c r="D861" s="123">
        <f>'OPEN FOREIGN ORDER'!AA487</f>
        <v>0</v>
      </c>
      <c r="E861" s="112">
        <f>'OPEN FOREIGN ORDER'!AB487</f>
        <v>0</v>
      </c>
      <c r="F861" s="112">
        <f>'OPEN FOREIGN ORDER'!AC487</f>
        <v>0</v>
      </c>
      <c r="G861" s="112">
        <f>'OPEN FOREIGN ORDER'!AD487</f>
        <v>0</v>
      </c>
      <c r="H861" s="112">
        <f>'OPEN FOREIGN ORDER'!AE487</f>
        <v>0</v>
      </c>
      <c r="I861" s="112">
        <f>'OPEN FOREIGN ORDER'!AF487</f>
        <v>0</v>
      </c>
      <c r="J861" s="112">
        <f>'OPEN FOREIGN ORDER'!AG487</f>
        <v>0</v>
      </c>
    </row>
    <row r="862" spans="1:10">
      <c r="A862">
        <f>'OPEN FOREIGN ORDER'!D488</f>
        <v>0</v>
      </c>
      <c r="B862">
        <f>'OPEN FOREIGN ORDER'!F488</f>
        <v>0</v>
      </c>
      <c r="C862">
        <f>'OPEN FOREIGN ORDER'!Z488</f>
        <v>0</v>
      </c>
      <c r="D862" s="123">
        <f>'OPEN FOREIGN ORDER'!AA488</f>
        <v>0</v>
      </c>
      <c r="E862" s="112">
        <f>'OPEN FOREIGN ORDER'!AB488</f>
        <v>0</v>
      </c>
      <c r="F862" s="112">
        <f>'OPEN FOREIGN ORDER'!AC488</f>
        <v>0</v>
      </c>
      <c r="G862" s="112">
        <f>'OPEN FOREIGN ORDER'!AD488</f>
        <v>0</v>
      </c>
      <c r="H862" s="112">
        <f>'OPEN FOREIGN ORDER'!AE488</f>
        <v>0</v>
      </c>
      <c r="I862" s="112">
        <f>'OPEN FOREIGN ORDER'!AF488</f>
        <v>0</v>
      </c>
      <c r="J862" s="112">
        <f>'OPEN FOREIGN ORDER'!AG488</f>
        <v>0</v>
      </c>
    </row>
    <row r="863" spans="1:10">
      <c r="A863">
        <f>'OPEN FOREIGN ORDER'!D489</f>
        <v>0</v>
      </c>
      <c r="B863">
        <f>'OPEN FOREIGN ORDER'!F489</f>
        <v>0</v>
      </c>
      <c r="C863">
        <f>'OPEN FOREIGN ORDER'!Z489</f>
        <v>0</v>
      </c>
      <c r="D863" s="123">
        <f>'OPEN FOREIGN ORDER'!AA489</f>
        <v>0</v>
      </c>
      <c r="E863" s="112">
        <f>'OPEN FOREIGN ORDER'!AB489</f>
        <v>0</v>
      </c>
      <c r="F863" s="112">
        <f>'OPEN FOREIGN ORDER'!AC489</f>
        <v>0</v>
      </c>
      <c r="G863" s="112">
        <f>'OPEN FOREIGN ORDER'!AD489</f>
        <v>0</v>
      </c>
      <c r="H863" s="112">
        <f>'OPEN FOREIGN ORDER'!AE489</f>
        <v>0</v>
      </c>
      <c r="I863" s="112">
        <f>'OPEN FOREIGN ORDER'!AF489</f>
        <v>0</v>
      </c>
      <c r="J863" s="112">
        <f>'OPEN FOREIGN ORDER'!AG489</f>
        <v>0</v>
      </c>
    </row>
    <row r="864" spans="1:10">
      <c r="A864">
        <f>'OPEN FOREIGN ORDER'!D490</f>
        <v>0</v>
      </c>
      <c r="B864">
        <f>'OPEN FOREIGN ORDER'!F490</f>
        <v>0</v>
      </c>
      <c r="C864">
        <f>'OPEN FOREIGN ORDER'!Z490</f>
        <v>0</v>
      </c>
      <c r="D864" s="123">
        <f>'OPEN FOREIGN ORDER'!AA490</f>
        <v>0</v>
      </c>
      <c r="E864" s="112">
        <f>'OPEN FOREIGN ORDER'!AB490</f>
        <v>0</v>
      </c>
      <c r="F864" s="112">
        <f>'OPEN FOREIGN ORDER'!AC490</f>
        <v>0</v>
      </c>
      <c r="G864" s="112">
        <f>'OPEN FOREIGN ORDER'!AD490</f>
        <v>0</v>
      </c>
      <c r="H864" s="112">
        <f>'OPEN FOREIGN ORDER'!AE490</f>
        <v>0</v>
      </c>
      <c r="I864" s="112">
        <f>'OPEN FOREIGN ORDER'!AF490</f>
        <v>0</v>
      </c>
      <c r="J864" s="112">
        <f>'OPEN FOREIGN ORDER'!AG490</f>
        <v>0</v>
      </c>
    </row>
    <row r="865" spans="1:10">
      <c r="A865">
        <f>'OPEN FOREIGN ORDER'!D491</f>
        <v>0</v>
      </c>
      <c r="B865">
        <f>'OPEN FOREIGN ORDER'!F491</f>
        <v>0</v>
      </c>
      <c r="C865">
        <f>'OPEN FOREIGN ORDER'!Z491</f>
        <v>0</v>
      </c>
      <c r="D865" s="123">
        <f>'OPEN FOREIGN ORDER'!AA491</f>
        <v>0</v>
      </c>
      <c r="E865" s="112">
        <f>'OPEN FOREIGN ORDER'!AB491</f>
        <v>0</v>
      </c>
      <c r="F865" s="112">
        <f>'OPEN FOREIGN ORDER'!AC491</f>
        <v>0</v>
      </c>
      <c r="G865" s="112">
        <f>'OPEN FOREIGN ORDER'!AD491</f>
        <v>0</v>
      </c>
      <c r="H865" s="112">
        <f>'OPEN FOREIGN ORDER'!AE491</f>
        <v>0</v>
      </c>
      <c r="I865" s="112">
        <f>'OPEN FOREIGN ORDER'!AF491</f>
        <v>0</v>
      </c>
      <c r="J865" s="112">
        <f>'OPEN FOREIGN ORDER'!AG491</f>
        <v>0</v>
      </c>
    </row>
    <row r="866" spans="1:10">
      <c r="A866">
        <f>'OPEN FOREIGN ORDER'!D492</f>
        <v>0</v>
      </c>
      <c r="B866">
        <f>'OPEN FOREIGN ORDER'!F492</f>
        <v>0</v>
      </c>
      <c r="C866">
        <f>'OPEN FOREIGN ORDER'!Z492</f>
        <v>0</v>
      </c>
      <c r="D866" s="123">
        <f>'OPEN FOREIGN ORDER'!AA492</f>
        <v>0</v>
      </c>
      <c r="E866" s="112">
        <f>'OPEN FOREIGN ORDER'!AB492</f>
        <v>0</v>
      </c>
      <c r="F866" s="112">
        <f>'OPEN FOREIGN ORDER'!AC492</f>
        <v>0</v>
      </c>
      <c r="G866" s="112">
        <f>'OPEN FOREIGN ORDER'!AD492</f>
        <v>0</v>
      </c>
      <c r="H866" s="112">
        <f>'OPEN FOREIGN ORDER'!AE492</f>
        <v>0</v>
      </c>
      <c r="I866" s="112">
        <f>'OPEN FOREIGN ORDER'!AF492</f>
        <v>0</v>
      </c>
      <c r="J866" s="112">
        <f>'OPEN FOREIGN ORDER'!AG492</f>
        <v>0</v>
      </c>
    </row>
    <row r="867" spans="1:10">
      <c r="A867">
        <f>'OPEN FOREIGN ORDER'!D493</f>
        <v>0</v>
      </c>
      <c r="B867">
        <f>'OPEN FOREIGN ORDER'!F493</f>
        <v>0</v>
      </c>
      <c r="C867">
        <f>'OPEN FOREIGN ORDER'!Z493</f>
        <v>0</v>
      </c>
      <c r="D867" s="123">
        <f>'OPEN FOREIGN ORDER'!AA493</f>
        <v>0</v>
      </c>
      <c r="E867" s="112">
        <f>'OPEN FOREIGN ORDER'!AB493</f>
        <v>0</v>
      </c>
      <c r="F867" s="112">
        <f>'OPEN FOREIGN ORDER'!AC493</f>
        <v>0</v>
      </c>
      <c r="G867" s="112">
        <f>'OPEN FOREIGN ORDER'!AD493</f>
        <v>0</v>
      </c>
      <c r="H867" s="112">
        <f>'OPEN FOREIGN ORDER'!AE493</f>
        <v>0</v>
      </c>
      <c r="I867" s="112">
        <f>'OPEN FOREIGN ORDER'!AF493</f>
        <v>0</v>
      </c>
      <c r="J867" s="112">
        <f>'OPEN FOREIGN ORDER'!AG493</f>
        <v>0</v>
      </c>
    </row>
    <row r="868" spans="1:10">
      <c r="A868">
        <f>'OPEN FOREIGN ORDER'!D494</f>
        <v>0</v>
      </c>
      <c r="B868">
        <f>'OPEN FOREIGN ORDER'!F494</f>
        <v>0</v>
      </c>
      <c r="C868">
        <f>'OPEN FOREIGN ORDER'!Z494</f>
        <v>0</v>
      </c>
      <c r="D868" s="123">
        <f>'OPEN FOREIGN ORDER'!AA494</f>
        <v>0</v>
      </c>
      <c r="E868" s="112">
        <f>'OPEN FOREIGN ORDER'!AB494</f>
        <v>0</v>
      </c>
      <c r="F868" s="112">
        <f>'OPEN FOREIGN ORDER'!AC494</f>
        <v>0</v>
      </c>
      <c r="G868" s="112">
        <f>'OPEN FOREIGN ORDER'!AD494</f>
        <v>0</v>
      </c>
      <c r="H868" s="112">
        <f>'OPEN FOREIGN ORDER'!AE494</f>
        <v>0</v>
      </c>
      <c r="I868" s="112">
        <f>'OPEN FOREIGN ORDER'!AF494</f>
        <v>0</v>
      </c>
      <c r="J868" s="112">
        <f>'OPEN FOREIGN ORDER'!AG494</f>
        <v>0</v>
      </c>
    </row>
    <row r="869" spans="1:10">
      <c r="A869">
        <f>'OPEN FOREIGN ORDER'!D495</f>
        <v>0</v>
      </c>
      <c r="B869">
        <f>'OPEN FOREIGN ORDER'!F495</f>
        <v>0</v>
      </c>
      <c r="C869">
        <f>'OPEN FOREIGN ORDER'!Z495</f>
        <v>0</v>
      </c>
      <c r="D869" s="123">
        <f>'OPEN FOREIGN ORDER'!AA495</f>
        <v>0</v>
      </c>
      <c r="E869" s="112">
        <f>'OPEN FOREIGN ORDER'!AB495</f>
        <v>0</v>
      </c>
      <c r="F869" s="112">
        <f>'OPEN FOREIGN ORDER'!AC495</f>
        <v>0</v>
      </c>
      <c r="G869" s="112">
        <f>'OPEN FOREIGN ORDER'!AD495</f>
        <v>0</v>
      </c>
      <c r="H869" s="112">
        <f>'OPEN FOREIGN ORDER'!AE495</f>
        <v>0</v>
      </c>
      <c r="I869" s="112">
        <f>'OPEN FOREIGN ORDER'!AF495</f>
        <v>0</v>
      </c>
      <c r="J869" s="112">
        <f>'OPEN FOREIGN ORDER'!AG495</f>
        <v>0</v>
      </c>
    </row>
    <row r="870" spans="1:10">
      <c r="A870">
        <f>'OPEN FOREIGN ORDER'!D496</f>
        <v>0</v>
      </c>
      <c r="B870">
        <f>'OPEN FOREIGN ORDER'!F496</f>
        <v>0</v>
      </c>
      <c r="C870">
        <f>'OPEN FOREIGN ORDER'!Z496</f>
        <v>0</v>
      </c>
      <c r="D870" s="123">
        <f>'OPEN FOREIGN ORDER'!AA496</f>
        <v>0</v>
      </c>
      <c r="E870" s="112">
        <f>'OPEN FOREIGN ORDER'!AB496</f>
        <v>0</v>
      </c>
      <c r="F870" s="112">
        <f>'OPEN FOREIGN ORDER'!AC496</f>
        <v>0</v>
      </c>
      <c r="G870" s="112">
        <f>'OPEN FOREIGN ORDER'!AD496</f>
        <v>0</v>
      </c>
      <c r="H870" s="112">
        <f>'OPEN FOREIGN ORDER'!AE496</f>
        <v>0</v>
      </c>
      <c r="I870" s="112">
        <f>'OPEN FOREIGN ORDER'!AF496</f>
        <v>0</v>
      </c>
      <c r="J870" s="112">
        <f>'OPEN FOREIGN ORDER'!AG496</f>
        <v>0</v>
      </c>
    </row>
    <row r="871" spans="1:10">
      <c r="A871">
        <f>'OPEN FOREIGN ORDER'!D497</f>
        <v>0</v>
      </c>
      <c r="B871">
        <f>'OPEN FOREIGN ORDER'!F497</f>
        <v>0</v>
      </c>
      <c r="C871">
        <f>'OPEN FOREIGN ORDER'!Z497</f>
        <v>0</v>
      </c>
      <c r="D871" s="123">
        <f>'OPEN FOREIGN ORDER'!AA497</f>
        <v>0</v>
      </c>
      <c r="E871" s="112">
        <f>'OPEN FOREIGN ORDER'!AB497</f>
        <v>0</v>
      </c>
      <c r="F871" s="112">
        <f>'OPEN FOREIGN ORDER'!AC497</f>
        <v>0</v>
      </c>
      <c r="G871" s="112">
        <f>'OPEN FOREIGN ORDER'!AD497</f>
        <v>0</v>
      </c>
      <c r="H871" s="112">
        <f>'OPEN FOREIGN ORDER'!AE497</f>
        <v>0</v>
      </c>
      <c r="I871" s="112">
        <f>'OPEN FOREIGN ORDER'!AF497</f>
        <v>0</v>
      </c>
      <c r="J871" s="112">
        <f>'OPEN FOREIGN ORDER'!AG497</f>
        <v>0</v>
      </c>
    </row>
    <row r="872" spans="1:10">
      <c r="A872">
        <f>'OPEN FOREIGN ORDER'!D498</f>
        <v>0</v>
      </c>
      <c r="B872">
        <f>'OPEN FOREIGN ORDER'!F498</f>
        <v>0</v>
      </c>
      <c r="C872">
        <f>'OPEN FOREIGN ORDER'!Z498</f>
        <v>0</v>
      </c>
      <c r="D872" s="123">
        <f>'OPEN FOREIGN ORDER'!AA498</f>
        <v>0</v>
      </c>
      <c r="E872" s="112">
        <f>'OPEN FOREIGN ORDER'!AB498</f>
        <v>0</v>
      </c>
      <c r="F872" s="112">
        <f>'OPEN FOREIGN ORDER'!AC498</f>
        <v>0</v>
      </c>
      <c r="G872" s="112">
        <f>'OPEN FOREIGN ORDER'!AD498</f>
        <v>0</v>
      </c>
      <c r="H872" s="112">
        <f>'OPEN FOREIGN ORDER'!AE498</f>
        <v>0</v>
      </c>
      <c r="I872" s="112">
        <f>'OPEN FOREIGN ORDER'!AF498</f>
        <v>0</v>
      </c>
      <c r="J872" s="112">
        <f>'OPEN FOREIGN ORDER'!AG498</f>
        <v>0</v>
      </c>
    </row>
    <row r="873" spans="1:10">
      <c r="A873">
        <f>'OPEN FOREIGN ORDER'!D499</f>
        <v>0</v>
      </c>
      <c r="B873">
        <f>'OPEN FOREIGN ORDER'!F499</f>
        <v>0</v>
      </c>
      <c r="C873">
        <f>'OPEN FOREIGN ORDER'!Z499</f>
        <v>0</v>
      </c>
      <c r="D873" s="123">
        <f>'OPEN FOREIGN ORDER'!AA499</f>
        <v>0</v>
      </c>
      <c r="E873" s="112">
        <f>'OPEN FOREIGN ORDER'!AB499</f>
        <v>0</v>
      </c>
      <c r="F873" s="112">
        <f>'OPEN FOREIGN ORDER'!AC499</f>
        <v>0</v>
      </c>
      <c r="G873" s="112">
        <f>'OPEN FOREIGN ORDER'!AD499</f>
        <v>0</v>
      </c>
      <c r="H873" s="112">
        <f>'OPEN FOREIGN ORDER'!AE499</f>
        <v>0</v>
      </c>
      <c r="I873" s="112">
        <f>'OPEN FOREIGN ORDER'!AF499</f>
        <v>0</v>
      </c>
      <c r="J873" s="112">
        <f>'OPEN FOREIGN ORDER'!AG499</f>
        <v>0</v>
      </c>
    </row>
    <row r="874" spans="1:10">
      <c r="A874">
        <f>'OPEN FOREIGN ORDER'!D500</f>
        <v>0</v>
      </c>
      <c r="B874">
        <f>'OPEN FOREIGN ORDER'!F500</f>
        <v>0</v>
      </c>
      <c r="C874">
        <f>'OPEN FOREIGN ORDER'!Z500</f>
        <v>0</v>
      </c>
      <c r="D874" s="123">
        <f>'OPEN FOREIGN ORDER'!AA500</f>
        <v>0</v>
      </c>
      <c r="E874" s="112">
        <f>'OPEN FOREIGN ORDER'!AB500</f>
        <v>0</v>
      </c>
      <c r="F874" s="112">
        <f>'OPEN FOREIGN ORDER'!AC500</f>
        <v>0</v>
      </c>
      <c r="G874" s="112">
        <f>'OPEN FOREIGN ORDER'!AD500</f>
        <v>0</v>
      </c>
      <c r="H874" s="112">
        <f>'OPEN FOREIGN ORDER'!AE500</f>
        <v>0</v>
      </c>
      <c r="I874" s="112">
        <f>'OPEN FOREIGN ORDER'!AF500</f>
        <v>0</v>
      </c>
      <c r="J874" s="112">
        <f>'OPEN FOREIGN ORDER'!AG500</f>
        <v>0</v>
      </c>
    </row>
    <row r="875" spans="1:10">
      <c r="A875">
        <f>'OPEN FOREIGN ORDER'!D501</f>
        <v>0</v>
      </c>
      <c r="B875">
        <f>'OPEN FOREIGN ORDER'!F501</f>
        <v>0</v>
      </c>
      <c r="C875">
        <f>'OPEN FOREIGN ORDER'!Z501</f>
        <v>0</v>
      </c>
      <c r="D875" s="123">
        <f>'OPEN FOREIGN ORDER'!AA501</f>
        <v>0</v>
      </c>
      <c r="E875" s="112">
        <f>'OPEN FOREIGN ORDER'!AB501</f>
        <v>0</v>
      </c>
      <c r="F875" s="112">
        <f>'OPEN FOREIGN ORDER'!AC501</f>
        <v>0</v>
      </c>
      <c r="G875" s="112">
        <f>'OPEN FOREIGN ORDER'!AD501</f>
        <v>0</v>
      </c>
      <c r="H875" s="112">
        <f>'OPEN FOREIGN ORDER'!AE501</f>
        <v>0</v>
      </c>
      <c r="I875" s="112">
        <f>'OPEN FOREIGN ORDER'!AF501</f>
        <v>0</v>
      </c>
      <c r="J875" s="112">
        <f>'OPEN FOREIGN ORDER'!AG501</f>
        <v>0</v>
      </c>
    </row>
    <row r="876" spans="1:10">
      <c r="A876">
        <f>'OPEN FOREIGN ORDER'!D502</f>
        <v>0</v>
      </c>
      <c r="B876">
        <f>'OPEN FOREIGN ORDER'!F502</f>
        <v>0</v>
      </c>
      <c r="C876">
        <f>'OPEN FOREIGN ORDER'!Z502</f>
        <v>0</v>
      </c>
      <c r="D876" s="123">
        <f>'OPEN FOREIGN ORDER'!AA502</f>
        <v>0</v>
      </c>
      <c r="E876" s="112">
        <f>'OPEN FOREIGN ORDER'!AB502</f>
        <v>0</v>
      </c>
      <c r="F876" s="112">
        <f>'OPEN FOREIGN ORDER'!AC502</f>
        <v>0</v>
      </c>
      <c r="G876" s="112">
        <f>'OPEN FOREIGN ORDER'!AD502</f>
        <v>0</v>
      </c>
      <c r="H876" s="112">
        <f>'OPEN FOREIGN ORDER'!AE502</f>
        <v>0</v>
      </c>
      <c r="I876" s="112">
        <f>'OPEN FOREIGN ORDER'!AF502</f>
        <v>0</v>
      </c>
      <c r="J876" s="112">
        <f>'OPEN FOREIGN ORDER'!AG502</f>
        <v>0</v>
      </c>
    </row>
    <row r="877" spans="1:10">
      <c r="A877">
        <f>'OPEN FOREIGN ORDER'!D503</f>
        <v>0</v>
      </c>
      <c r="B877">
        <f>'OPEN FOREIGN ORDER'!F503</f>
        <v>0</v>
      </c>
      <c r="C877">
        <f>'OPEN FOREIGN ORDER'!Z503</f>
        <v>0</v>
      </c>
      <c r="D877" s="123">
        <f>'OPEN FOREIGN ORDER'!AA503</f>
        <v>0</v>
      </c>
      <c r="E877" s="112">
        <f>'OPEN FOREIGN ORDER'!AB503</f>
        <v>0</v>
      </c>
      <c r="F877" s="112">
        <f>'OPEN FOREIGN ORDER'!AC503</f>
        <v>0</v>
      </c>
      <c r="G877" s="112">
        <f>'OPEN FOREIGN ORDER'!AD503</f>
        <v>0</v>
      </c>
      <c r="H877" s="112">
        <f>'OPEN FOREIGN ORDER'!AE503</f>
        <v>0</v>
      </c>
      <c r="I877" s="112">
        <f>'OPEN FOREIGN ORDER'!AF503</f>
        <v>0</v>
      </c>
      <c r="J877" s="112">
        <f>'OPEN FOREIGN ORDER'!AG503</f>
        <v>0</v>
      </c>
    </row>
    <row r="878" spans="1:10">
      <c r="A878">
        <f>'OPEN FOREIGN ORDER'!D504</f>
        <v>0</v>
      </c>
      <c r="B878">
        <f>'OPEN FOREIGN ORDER'!F504</f>
        <v>0</v>
      </c>
      <c r="C878">
        <f>'OPEN FOREIGN ORDER'!Z504</f>
        <v>0</v>
      </c>
      <c r="D878" s="123">
        <f>'OPEN FOREIGN ORDER'!AA504</f>
        <v>0</v>
      </c>
      <c r="E878" s="112">
        <f>'OPEN FOREIGN ORDER'!AB504</f>
        <v>0</v>
      </c>
      <c r="F878" s="112">
        <f>'OPEN FOREIGN ORDER'!AC504</f>
        <v>0</v>
      </c>
      <c r="G878" s="112">
        <f>'OPEN FOREIGN ORDER'!AD504</f>
        <v>0</v>
      </c>
      <c r="H878" s="112">
        <f>'OPEN FOREIGN ORDER'!AE504</f>
        <v>0</v>
      </c>
      <c r="I878" s="112">
        <f>'OPEN FOREIGN ORDER'!AF504</f>
        <v>0</v>
      </c>
      <c r="J878" s="112">
        <f>'OPEN FOREIGN ORDER'!AG504</f>
        <v>0</v>
      </c>
    </row>
    <row r="879" spans="1:10">
      <c r="A879">
        <f>'OPEN FOREIGN ORDER'!D505</f>
        <v>0</v>
      </c>
      <c r="B879">
        <f>'OPEN FOREIGN ORDER'!F505</f>
        <v>0</v>
      </c>
      <c r="C879">
        <f>'OPEN FOREIGN ORDER'!Z505</f>
        <v>0</v>
      </c>
      <c r="D879" s="123">
        <f>'OPEN FOREIGN ORDER'!AA505</f>
        <v>0</v>
      </c>
      <c r="E879" s="112">
        <f>'OPEN FOREIGN ORDER'!AB505</f>
        <v>0</v>
      </c>
      <c r="F879" s="112">
        <f>'OPEN FOREIGN ORDER'!AC505</f>
        <v>0</v>
      </c>
      <c r="G879" s="112">
        <f>'OPEN FOREIGN ORDER'!AD505</f>
        <v>0</v>
      </c>
      <c r="H879" s="112">
        <f>'OPEN FOREIGN ORDER'!AE505</f>
        <v>0</v>
      </c>
      <c r="I879" s="112">
        <f>'OPEN FOREIGN ORDER'!AF505</f>
        <v>0</v>
      </c>
      <c r="J879" s="112">
        <f>'OPEN FOREIGN ORDER'!AG505</f>
        <v>0</v>
      </c>
    </row>
    <row r="880" spans="1:10">
      <c r="A880">
        <f>'OPEN FOREIGN ORDER'!D506</f>
        <v>0</v>
      </c>
      <c r="B880">
        <f>'OPEN FOREIGN ORDER'!F506</f>
        <v>0</v>
      </c>
      <c r="C880">
        <f>'OPEN FOREIGN ORDER'!Z506</f>
        <v>0</v>
      </c>
      <c r="D880" s="123">
        <f>'OPEN FOREIGN ORDER'!AA506</f>
        <v>0</v>
      </c>
      <c r="E880" s="112">
        <f>'OPEN FOREIGN ORDER'!AB506</f>
        <v>0</v>
      </c>
      <c r="F880" s="112">
        <f>'OPEN FOREIGN ORDER'!AC506</f>
        <v>0</v>
      </c>
      <c r="G880" s="112">
        <f>'OPEN FOREIGN ORDER'!AD506</f>
        <v>0</v>
      </c>
      <c r="H880" s="112">
        <f>'OPEN FOREIGN ORDER'!AE506</f>
        <v>0</v>
      </c>
      <c r="I880" s="112">
        <f>'OPEN FOREIGN ORDER'!AF506</f>
        <v>0</v>
      </c>
      <c r="J880" s="112">
        <f>'OPEN FOREIGN ORDER'!AG506</f>
        <v>0</v>
      </c>
    </row>
    <row r="881" spans="1:10">
      <c r="A881">
        <f>'OPEN FOREIGN ORDER'!D507</f>
        <v>0</v>
      </c>
      <c r="B881">
        <f>'OPEN FOREIGN ORDER'!F507</f>
        <v>0</v>
      </c>
      <c r="C881">
        <f>'OPEN FOREIGN ORDER'!Z507</f>
        <v>0</v>
      </c>
      <c r="D881" s="123">
        <f>'OPEN FOREIGN ORDER'!AA507</f>
        <v>0</v>
      </c>
      <c r="E881" s="112">
        <f>'OPEN FOREIGN ORDER'!AB507</f>
        <v>0</v>
      </c>
      <c r="F881" s="112">
        <f>'OPEN FOREIGN ORDER'!AC507</f>
        <v>0</v>
      </c>
      <c r="G881" s="112">
        <f>'OPEN FOREIGN ORDER'!AD507</f>
        <v>0</v>
      </c>
      <c r="H881" s="112">
        <f>'OPEN FOREIGN ORDER'!AE507</f>
        <v>0</v>
      </c>
      <c r="I881" s="112">
        <f>'OPEN FOREIGN ORDER'!AF507</f>
        <v>0</v>
      </c>
      <c r="J881" s="112">
        <f>'OPEN FOREIGN ORDER'!AG507</f>
        <v>0</v>
      </c>
    </row>
    <row r="882" spans="1:10">
      <c r="A882">
        <f>'OPEN FOREIGN ORDER'!D508</f>
        <v>0</v>
      </c>
      <c r="B882">
        <f>'OPEN FOREIGN ORDER'!F508</f>
        <v>0</v>
      </c>
      <c r="C882">
        <f>'OPEN FOREIGN ORDER'!Z508</f>
        <v>0</v>
      </c>
      <c r="D882" s="123">
        <f>'OPEN FOREIGN ORDER'!AA508</f>
        <v>0</v>
      </c>
      <c r="E882" s="112">
        <f>'OPEN FOREIGN ORDER'!AB508</f>
        <v>0</v>
      </c>
      <c r="F882" s="112">
        <f>'OPEN FOREIGN ORDER'!AC508</f>
        <v>0</v>
      </c>
      <c r="G882" s="112">
        <f>'OPEN FOREIGN ORDER'!AD508</f>
        <v>0</v>
      </c>
      <c r="H882" s="112">
        <f>'OPEN FOREIGN ORDER'!AE508</f>
        <v>0</v>
      </c>
      <c r="I882" s="112">
        <f>'OPEN FOREIGN ORDER'!AF508</f>
        <v>0</v>
      </c>
      <c r="J882" s="112">
        <f>'OPEN FOREIGN ORDER'!AG508</f>
        <v>0</v>
      </c>
    </row>
    <row r="883" spans="1:10">
      <c r="A883">
        <f>'OPEN FOREIGN ORDER'!D509</f>
        <v>0</v>
      </c>
      <c r="B883">
        <f>'OPEN FOREIGN ORDER'!F509</f>
        <v>0</v>
      </c>
      <c r="C883">
        <f>'OPEN FOREIGN ORDER'!Z509</f>
        <v>0</v>
      </c>
      <c r="D883" s="123">
        <f>'OPEN FOREIGN ORDER'!AA509</f>
        <v>0</v>
      </c>
      <c r="E883" s="112">
        <f>'OPEN FOREIGN ORDER'!AB509</f>
        <v>0</v>
      </c>
      <c r="F883" s="112">
        <f>'OPEN FOREIGN ORDER'!AC509</f>
        <v>0</v>
      </c>
      <c r="G883" s="112">
        <f>'OPEN FOREIGN ORDER'!AD509</f>
        <v>0</v>
      </c>
      <c r="H883" s="112">
        <f>'OPEN FOREIGN ORDER'!AE509</f>
        <v>0</v>
      </c>
      <c r="I883" s="112">
        <f>'OPEN FOREIGN ORDER'!AF509</f>
        <v>0</v>
      </c>
      <c r="J883" s="112">
        <f>'OPEN FOREIGN ORDER'!AG509</f>
        <v>0</v>
      </c>
    </row>
    <row r="884" spans="1:10">
      <c r="A884">
        <f>'OPEN FOREIGN ORDER'!D510</f>
        <v>0</v>
      </c>
      <c r="B884">
        <f>'OPEN FOREIGN ORDER'!F510</f>
        <v>0</v>
      </c>
      <c r="C884">
        <f>'OPEN FOREIGN ORDER'!Z510</f>
        <v>0</v>
      </c>
      <c r="D884" s="123">
        <f>'OPEN FOREIGN ORDER'!AA510</f>
        <v>0</v>
      </c>
      <c r="E884" s="112">
        <f>'OPEN FOREIGN ORDER'!AB510</f>
        <v>0</v>
      </c>
      <c r="F884" s="112">
        <f>'OPEN FOREIGN ORDER'!AC510</f>
        <v>0</v>
      </c>
      <c r="G884" s="112">
        <f>'OPEN FOREIGN ORDER'!AD510</f>
        <v>0</v>
      </c>
      <c r="H884" s="112">
        <f>'OPEN FOREIGN ORDER'!AE510</f>
        <v>0</v>
      </c>
      <c r="I884" s="112">
        <f>'OPEN FOREIGN ORDER'!AF510</f>
        <v>0</v>
      </c>
      <c r="J884" s="112">
        <f>'OPEN FOREIGN ORDER'!AG510</f>
        <v>0</v>
      </c>
    </row>
    <row r="885" spans="1:10">
      <c r="A885">
        <f>'OPEN FOREIGN ORDER'!D511</f>
        <v>0</v>
      </c>
      <c r="B885">
        <f>'OPEN FOREIGN ORDER'!F511</f>
        <v>0</v>
      </c>
      <c r="C885">
        <f>'OPEN FOREIGN ORDER'!Z511</f>
        <v>0</v>
      </c>
      <c r="D885" s="123">
        <f>'OPEN FOREIGN ORDER'!AA511</f>
        <v>0</v>
      </c>
      <c r="E885" s="112">
        <f>'OPEN FOREIGN ORDER'!AB511</f>
        <v>0</v>
      </c>
      <c r="F885" s="112">
        <f>'OPEN FOREIGN ORDER'!AC511</f>
        <v>0</v>
      </c>
      <c r="G885" s="112">
        <f>'OPEN FOREIGN ORDER'!AD511</f>
        <v>0</v>
      </c>
      <c r="H885" s="112">
        <f>'OPEN FOREIGN ORDER'!AE511</f>
        <v>0</v>
      </c>
      <c r="I885" s="112">
        <f>'OPEN FOREIGN ORDER'!AF511</f>
        <v>0</v>
      </c>
      <c r="J885" s="112">
        <f>'OPEN FOREIGN ORDER'!AG511</f>
        <v>0</v>
      </c>
    </row>
    <row r="886" spans="1:10">
      <c r="A886">
        <f>'OPEN FOREIGN ORDER'!D512</f>
        <v>0</v>
      </c>
      <c r="B886">
        <f>'OPEN FOREIGN ORDER'!F512</f>
        <v>0</v>
      </c>
      <c r="C886">
        <f>'OPEN FOREIGN ORDER'!Z512</f>
        <v>0</v>
      </c>
      <c r="D886" s="123">
        <f>'OPEN FOREIGN ORDER'!AA512</f>
        <v>0</v>
      </c>
      <c r="E886" s="112">
        <f>'OPEN FOREIGN ORDER'!AB512</f>
        <v>0</v>
      </c>
      <c r="F886" s="112">
        <f>'OPEN FOREIGN ORDER'!AC512</f>
        <v>0</v>
      </c>
      <c r="G886" s="112">
        <f>'OPEN FOREIGN ORDER'!AD512</f>
        <v>0</v>
      </c>
      <c r="H886" s="112">
        <f>'OPEN FOREIGN ORDER'!AE512</f>
        <v>0</v>
      </c>
      <c r="I886" s="112">
        <f>'OPEN FOREIGN ORDER'!AF512</f>
        <v>0</v>
      </c>
      <c r="J886" s="112">
        <f>'OPEN FOREIGN ORDER'!AG512</f>
        <v>0</v>
      </c>
    </row>
    <row r="887" spans="1:10">
      <c r="A887">
        <f>'OPEN FOREIGN ORDER'!D513</f>
        <v>0</v>
      </c>
      <c r="B887">
        <f>'OPEN FOREIGN ORDER'!F513</f>
        <v>0</v>
      </c>
      <c r="C887">
        <f>'OPEN FOREIGN ORDER'!Z513</f>
        <v>0</v>
      </c>
      <c r="D887" s="123">
        <f>'OPEN FOREIGN ORDER'!AA513</f>
        <v>0</v>
      </c>
      <c r="E887" s="112">
        <f>'OPEN FOREIGN ORDER'!AB513</f>
        <v>0</v>
      </c>
      <c r="F887" s="112">
        <f>'OPEN FOREIGN ORDER'!AC513</f>
        <v>0</v>
      </c>
      <c r="G887" s="112">
        <f>'OPEN FOREIGN ORDER'!AD513</f>
        <v>0</v>
      </c>
      <c r="H887" s="112">
        <f>'OPEN FOREIGN ORDER'!AE513</f>
        <v>0</v>
      </c>
      <c r="I887" s="112">
        <f>'OPEN FOREIGN ORDER'!AF513</f>
        <v>0</v>
      </c>
      <c r="J887" s="112">
        <f>'OPEN FOREIGN ORDER'!AG513</f>
        <v>0</v>
      </c>
    </row>
    <row r="888" spans="1:10">
      <c r="A888">
        <f>'OPEN FOREIGN ORDER'!D514</f>
        <v>0</v>
      </c>
      <c r="B888">
        <f>'OPEN FOREIGN ORDER'!F514</f>
        <v>0</v>
      </c>
      <c r="C888">
        <f>'OPEN FOREIGN ORDER'!Z514</f>
        <v>0</v>
      </c>
      <c r="D888" s="123">
        <f>'OPEN FOREIGN ORDER'!AA514</f>
        <v>0</v>
      </c>
      <c r="E888" s="112">
        <f>'OPEN FOREIGN ORDER'!AB514</f>
        <v>0</v>
      </c>
      <c r="F888" s="112">
        <f>'OPEN FOREIGN ORDER'!AC514</f>
        <v>0</v>
      </c>
      <c r="G888" s="112">
        <f>'OPEN FOREIGN ORDER'!AD514</f>
        <v>0</v>
      </c>
      <c r="H888" s="112">
        <f>'OPEN FOREIGN ORDER'!AE514</f>
        <v>0</v>
      </c>
      <c r="I888" s="112">
        <f>'OPEN FOREIGN ORDER'!AF514</f>
        <v>0</v>
      </c>
      <c r="J888" s="112">
        <f>'OPEN FOREIGN ORDER'!AG514</f>
        <v>0</v>
      </c>
    </row>
    <row r="889" spans="1:10">
      <c r="A889">
        <f>'OPEN FOREIGN ORDER'!D515</f>
        <v>0</v>
      </c>
      <c r="B889">
        <f>'OPEN FOREIGN ORDER'!F515</f>
        <v>0</v>
      </c>
      <c r="C889">
        <f>'OPEN FOREIGN ORDER'!Z515</f>
        <v>0</v>
      </c>
      <c r="D889" s="123">
        <f>'OPEN FOREIGN ORDER'!AA515</f>
        <v>0</v>
      </c>
      <c r="E889" s="112">
        <f>'OPEN FOREIGN ORDER'!AB515</f>
        <v>0</v>
      </c>
      <c r="F889" s="112">
        <f>'OPEN FOREIGN ORDER'!AC515</f>
        <v>0</v>
      </c>
      <c r="G889" s="112">
        <f>'OPEN FOREIGN ORDER'!AD515</f>
        <v>0</v>
      </c>
      <c r="H889" s="112">
        <f>'OPEN FOREIGN ORDER'!AE515</f>
        <v>0</v>
      </c>
      <c r="I889" s="112">
        <f>'OPEN FOREIGN ORDER'!AF515</f>
        <v>0</v>
      </c>
      <c r="J889" s="112">
        <f>'OPEN FOREIGN ORDER'!AG515</f>
        <v>0</v>
      </c>
    </row>
    <row r="890" spans="1:10">
      <c r="A890">
        <f>'OPEN FOREIGN ORDER'!D516</f>
        <v>0</v>
      </c>
      <c r="B890">
        <f>'OPEN FOREIGN ORDER'!F516</f>
        <v>0</v>
      </c>
      <c r="C890">
        <f>'OPEN FOREIGN ORDER'!Z516</f>
        <v>0</v>
      </c>
      <c r="D890" s="123">
        <f>'OPEN FOREIGN ORDER'!AA516</f>
        <v>0</v>
      </c>
      <c r="E890" s="112">
        <f>'OPEN FOREIGN ORDER'!AB516</f>
        <v>0</v>
      </c>
      <c r="F890" s="112">
        <f>'OPEN FOREIGN ORDER'!AC516</f>
        <v>0</v>
      </c>
      <c r="G890" s="112">
        <f>'OPEN FOREIGN ORDER'!AD516</f>
        <v>0</v>
      </c>
      <c r="H890" s="112">
        <f>'OPEN FOREIGN ORDER'!AE516</f>
        <v>0</v>
      </c>
      <c r="I890" s="112">
        <f>'OPEN FOREIGN ORDER'!AF516</f>
        <v>0</v>
      </c>
      <c r="J890" s="112">
        <f>'OPEN FOREIGN ORDER'!AG516</f>
        <v>0</v>
      </c>
    </row>
    <row r="891" spans="1:10">
      <c r="A891">
        <f>'OPEN FOREIGN ORDER'!D517</f>
        <v>0</v>
      </c>
      <c r="B891">
        <f>'OPEN FOREIGN ORDER'!F517</f>
        <v>0</v>
      </c>
      <c r="C891">
        <f>'OPEN FOREIGN ORDER'!Z517</f>
        <v>0</v>
      </c>
      <c r="D891" s="123">
        <f>'OPEN FOREIGN ORDER'!AA517</f>
        <v>0</v>
      </c>
      <c r="E891" s="112">
        <f>'OPEN FOREIGN ORDER'!AB517</f>
        <v>0</v>
      </c>
      <c r="F891" s="112">
        <f>'OPEN FOREIGN ORDER'!AC517</f>
        <v>0</v>
      </c>
      <c r="G891" s="112">
        <f>'OPEN FOREIGN ORDER'!AD517</f>
        <v>0</v>
      </c>
      <c r="H891" s="112">
        <f>'OPEN FOREIGN ORDER'!AE517</f>
        <v>0</v>
      </c>
      <c r="I891" s="112">
        <f>'OPEN FOREIGN ORDER'!AF517</f>
        <v>0</v>
      </c>
      <c r="J891" s="112">
        <f>'OPEN FOREIGN ORDER'!AG517</f>
        <v>0</v>
      </c>
    </row>
    <row r="892" spans="1:10">
      <c r="A892">
        <f>'OPEN FOREIGN ORDER'!D518</f>
        <v>0</v>
      </c>
      <c r="B892">
        <f>'OPEN FOREIGN ORDER'!F518</f>
        <v>0</v>
      </c>
      <c r="C892">
        <f>'OPEN FOREIGN ORDER'!Z518</f>
        <v>0</v>
      </c>
      <c r="D892" s="123">
        <f>'OPEN FOREIGN ORDER'!AA518</f>
        <v>0</v>
      </c>
      <c r="E892" s="112">
        <f>'OPEN FOREIGN ORDER'!AB518</f>
        <v>0</v>
      </c>
      <c r="F892" s="112">
        <f>'OPEN FOREIGN ORDER'!AC518</f>
        <v>0</v>
      </c>
      <c r="G892" s="112">
        <f>'OPEN FOREIGN ORDER'!AD518</f>
        <v>0</v>
      </c>
      <c r="H892" s="112">
        <f>'OPEN FOREIGN ORDER'!AE518</f>
        <v>0</v>
      </c>
      <c r="I892" s="112">
        <f>'OPEN FOREIGN ORDER'!AF518</f>
        <v>0</v>
      </c>
      <c r="J892" s="112">
        <f>'OPEN FOREIGN ORDER'!AG518</f>
        <v>0</v>
      </c>
    </row>
    <row r="893" spans="1:10">
      <c r="A893">
        <f>'OPEN FOREIGN ORDER'!D519</f>
        <v>0</v>
      </c>
      <c r="B893">
        <f>'OPEN FOREIGN ORDER'!F519</f>
        <v>0</v>
      </c>
      <c r="C893">
        <f>'OPEN FOREIGN ORDER'!Z519</f>
        <v>0</v>
      </c>
      <c r="D893" s="123">
        <f>'OPEN FOREIGN ORDER'!AA519</f>
        <v>0</v>
      </c>
      <c r="E893" s="112">
        <f>'OPEN FOREIGN ORDER'!AB519</f>
        <v>0</v>
      </c>
      <c r="F893" s="112">
        <f>'OPEN FOREIGN ORDER'!AC519</f>
        <v>0</v>
      </c>
      <c r="G893" s="112">
        <f>'OPEN FOREIGN ORDER'!AD519</f>
        <v>0</v>
      </c>
      <c r="H893" s="112">
        <f>'OPEN FOREIGN ORDER'!AE519</f>
        <v>0</v>
      </c>
      <c r="I893" s="112">
        <f>'OPEN FOREIGN ORDER'!AF519</f>
        <v>0</v>
      </c>
      <c r="J893" s="112">
        <f>'OPEN FOREIGN ORDER'!AG519</f>
        <v>0</v>
      </c>
    </row>
    <row r="894" spans="1:10">
      <c r="A894">
        <f>'OPEN FOREIGN ORDER'!D520</f>
        <v>0</v>
      </c>
      <c r="B894">
        <f>'OPEN FOREIGN ORDER'!F520</f>
        <v>0</v>
      </c>
      <c r="C894">
        <f>'OPEN FOREIGN ORDER'!Z520</f>
        <v>0</v>
      </c>
      <c r="D894" s="123">
        <f>'OPEN FOREIGN ORDER'!AA520</f>
        <v>0</v>
      </c>
      <c r="E894" s="112">
        <f>'OPEN FOREIGN ORDER'!AB520</f>
        <v>0</v>
      </c>
      <c r="F894" s="112">
        <f>'OPEN FOREIGN ORDER'!AC520</f>
        <v>0</v>
      </c>
      <c r="G894" s="112">
        <f>'OPEN FOREIGN ORDER'!AD520</f>
        <v>0</v>
      </c>
      <c r="H894" s="112">
        <f>'OPEN FOREIGN ORDER'!AE520</f>
        <v>0</v>
      </c>
      <c r="I894" s="112">
        <f>'OPEN FOREIGN ORDER'!AF520</f>
        <v>0</v>
      </c>
      <c r="J894" s="112">
        <f>'OPEN FOREIGN ORDER'!AG520</f>
        <v>0</v>
      </c>
    </row>
    <row r="895" spans="1:10">
      <c r="A895">
        <f>'OPEN FOREIGN ORDER'!D521</f>
        <v>0</v>
      </c>
      <c r="B895">
        <f>'OPEN FOREIGN ORDER'!F521</f>
        <v>0</v>
      </c>
      <c r="C895">
        <f>'OPEN FOREIGN ORDER'!Z521</f>
        <v>0</v>
      </c>
      <c r="D895" s="123">
        <f>'OPEN FOREIGN ORDER'!AA521</f>
        <v>0</v>
      </c>
      <c r="E895" s="112">
        <f>'OPEN FOREIGN ORDER'!AB521</f>
        <v>0</v>
      </c>
      <c r="F895" s="112">
        <f>'OPEN FOREIGN ORDER'!AC521</f>
        <v>0</v>
      </c>
      <c r="G895" s="112">
        <f>'OPEN FOREIGN ORDER'!AD521</f>
        <v>0</v>
      </c>
      <c r="H895" s="112">
        <f>'OPEN FOREIGN ORDER'!AE521</f>
        <v>0</v>
      </c>
      <c r="I895" s="112">
        <f>'OPEN FOREIGN ORDER'!AF521</f>
        <v>0</v>
      </c>
      <c r="J895" s="112">
        <f>'OPEN FOREIGN ORDER'!AG521</f>
        <v>0</v>
      </c>
    </row>
    <row r="896" spans="1:10">
      <c r="A896">
        <f>'OPEN FOREIGN ORDER'!D522</f>
        <v>0</v>
      </c>
      <c r="B896">
        <f>'OPEN FOREIGN ORDER'!F522</f>
        <v>0</v>
      </c>
      <c r="C896">
        <f>'OPEN FOREIGN ORDER'!Z522</f>
        <v>0</v>
      </c>
      <c r="D896" s="123">
        <f>'OPEN FOREIGN ORDER'!AA522</f>
        <v>0</v>
      </c>
      <c r="E896" s="112">
        <f>'OPEN FOREIGN ORDER'!AB522</f>
        <v>0</v>
      </c>
      <c r="F896" s="112">
        <f>'OPEN FOREIGN ORDER'!AC522</f>
        <v>0</v>
      </c>
      <c r="G896" s="112">
        <f>'OPEN FOREIGN ORDER'!AD522</f>
        <v>0</v>
      </c>
      <c r="H896" s="112">
        <f>'OPEN FOREIGN ORDER'!AE522</f>
        <v>0</v>
      </c>
      <c r="I896" s="112">
        <f>'OPEN FOREIGN ORDER'!AF522</f>
        <v>0</v>
      </c>
      <c r="J896" s="112">
        <f>'OPEN FOREIGN ORDER'!AG522</f>
        <v>0</v>
      </c>
    </row>
    <row r="897" spans="1:10">
      <c r="A897">
        <f>'OPEN FOREIGN ORDER'!D523</f>
        <v>0</v>
      </c>
      <c r="B897">
        <f>'OPEN FOREIGN ORDER'!F523</f>
        <v>0</v>
      </c>
      <c r="C897">
        <f>'OPEN FOREIGN ORDER'!Z523</f>
        <v>0</v>
      </c>
      <c r="D897" s="123">
        <f>'OPEN FOREIGN ORDER'!AA523</f>
        <v>0</v>
      </c>
      <c r="E897" s="112">
        <f>'OPEN FOREIGN ORDER'!AB523</f>
        <v>0</v>
      </c>
      <c r="F897" s="112">
        <f>'OPEN FOREIGN ORDER'!AC523</f>
        <v>0</v>
      </c>
      <c r="G897" s="112">
        <f>'OPEN FOREIGN ORDER'!AD523</f>
        <v>0</v>
      </c>
      <c r="H897" s="112">
        <f>'OPEN FOREIGN ORDER'!AE523</f>
        <v>0</v>
      </c>
      <c r="I897" s="112">
        <f>'OPEN FOREIGN ORDER'!AF523</f>
        <v>0</v>
      </c>
      <c r="J897" s="112">
        <f>'OPEN FOREIGN ORDER'!AG523</f>
        <v>0</v>
      </c>
    </row>
    <row r="898" spans="1:10">
      <c r="A898">
        <f>'OPEN FOREIGN ORDER'!D524</f>
        <v>0</v>
      </c>
      <c r="B898">
        <f>'OPEN FOREIGN ORDER'!F524</f>
        <v>0</v>
      </c>
      <c r="C898">
        <f>'OPEN FOREIGN ORDER'!Z524</f>
        <v>0</v>
      </c>
      <c r="D898" s="123">
        <f>'OPEN FOREIGN ORDER'!AA524</f>
        <v>0</v>
      </c>
      <c r="E898" s="112">
        <f>'OPEN FOREIGN ORDER'!AB524</f>
        <v>0</v>
      </c>
      <c r="F898" s="112">
        <f>'OPEN FOREIGN ORDER'!AC524</f>
        <v>0</v>
      </c>
      <c r="G898" s="112">
        <f>'OPEN FOREIGN ORDER'!AD524</f>
        <v>0</v>
      </c>
      <c r="H898" s="112">
        <f>'OPEN FOREIGN ORDER'!AE524</f>
        <v>0</v>
      </c>
      <c r="I898" s="112">
        <f>'OPEN FOREIGN ORDER'!AF524</f>
        <v>0</v>
      </c>
      <c r="J898" s="112">
        <f>'OPEN FOREIGN ORDER'!AG524</f>
        <v>0</v>
      </c>
    </row>
    <row r="899" spans="1:10">
      <c r="A899">
        <f>'OPEN FOREIGN ORDER'!D525</f>
        <v>0</v>
      </c>
      <c r="B899">
        <f>'OPEN FOREIGN ORDER'!F525</f>
        <v>0</v>
      </c>
      <c r="C899">
        <f>'OPEN FOREIGN ORDER'!Z525</f>
        <v>0</v>
      </c>
      <c r="D899" s="123">
        <f>'OPEN FOREIGN ORDER'!AA525</f>
        <v>0</v>
      </c>
      <c r="E899" s="112">
        <f>'OPEN FOREIGN ORDER'!AB525</f>
        <v>0</v>
      </c>
      <c r="F899" s="112">
        <f>'OPEN FOREIGN ORDER'!AC525</f>
        <v>0</v>
      </c>
      <c r="G899" s="112">
        <f>'OPEN FOREIGN ORDER'!AD525</f>
        <v>0</v>
      </c>
      <c r="H899" s="112">
        <f>'OPEN FOREIGN ORDER'!AE525</f>
        <v>0</v>
      </c>
      <c r="I899" s="112">
        <f>'OPEN FOREIGN ORDER'!AF525</f>
        <v>0</v>
      </c>
      <c r="J899" s="112">
        <f>'OPEN FOREIGN ORDER'!AG525</f>
        <v>0</v>
      </c>
    </row>
    <row r="900" spans="1:10">
      <c r="A900">
        <f>'OPEN FOREIGN ORDER'!D526</f>
        <v>0</v>
      </c>
      <c r="B900">
        <f>'OPEN FOREIGN ORDER'!F526</f>
        <v>0</v>
      </c>
      <c r="C900">
        <f>'OPEN FOREIGN ORDER'!Z526</f>
        <v>0</v>
      </c>
      <c r="D900" s="123">
        <f>'OPEN FOREIGN ORDER'!AA526</f>
        <v>0</v>
      </c>
      <c r="E900" s="112">
        <f>'OPEN FOREIGN ORDER'!AB526</f>
        <v>0</v>
      </c>
      <c r="F900" s="112">
        <f>'OPEN FOREIGN ORDER'!AC526</f>
        <v>0</v>
      </c>
      <c r="G900" s="112">
        <f>'OPEN FOREIGN ORDER'!AD526</f>
        <v>0</v>
      </c>
      <c r="H900" s="112">
        <f>'OPEN FOREIGN ORDER'!AE526</f>
        <v>0</v>
      </c>
      <c r="I900" s="112">
        <f>'OPEN FOREIGN ORDER'!AF526</f>
        <v>0</v>
      </c>
      <c r="J900" s="112">
        <f>'OPEN FOREIGN ORDER'!AG526</f>
        <v>0</v>
      </c>
    </row>
    <row r="901" spans="1:10">
      <c r="A901">
        <f>'OPEN FOREIGN ORDER'!D527</f>
        <v>0</v>
      </c>
      <c r="B901">
        <f>'OPEN FOREIGN ORDER'!F527</f>
        <v>0</v>
      </c>
      <c r="C901">
        <f>'OPEN FOREIGN ORDER'!Z527</f>
        <v>0</v>
      </c>
      <c r="D901" s="123">
        <f>'OPEN FOREIGN ORDER'!AA527</f>
        <v>0</v>
      </c>
      <c r="E901" s="112">
        <f>'OPEN FOREIGN ORDER'!AB527</f>
        <v>0</v>
      </c>
      <c r="F901" s="112">
        <f>'OPEN FOREIGN ORDER'!AC527</f>
        <v>0</v>
      </c>
      <c r="G901" s="112">
        <f>'OPEN FOREIGN ORDER'!AD527</f>
        <v>0</v>
      </c>
      <c r="H901" s="112">
        <f>'OPEN FOREIGN ORDER'!AE527</f>
        <v>0</v>
      </c>
      <c r="I901" s="112">
        <f>'OPEN FOREIGN ORDER'!AF527</f>
        <v>0</v>
      </c>
      <c r="J901" s="112">
        <f>'OPEN FOREIGN ORDER'!AG527</f>
        <v>0</v>
      </c>
    </row>
    <row r="902" spans="1:10">
      <c r="A902">
        <f>'OPEN FOREIGN ORDER'!D528</f>
        <v>0</v>
      </c>
      <c r="B902">
        <f>'OPEN FOREIGN ORDER'!F528</f>
        <v>0</v>
      </c>
      <c r="C902">
        <f>'OPEN FOREIGN ORDER'!Z528</f>
        <v>0</v>
      </c>
      <c r="D902" s="123">
        <f>'OPEN FOREIGN ORDER'!AA528</f>
        <v>0</v>
      </c>
      <c r="E902" s="112">
        <f>'OPEN FOREIGN ORDER'!AB528</f>
        <v>0</v>
      </c>
      <c r="F902" s="112">
        <f>'OPEN FOREIGN ORDER'!AC528</f>
        <v>0</v>
      </c>
      <c r="G902" s="112">
        <f>'OPEN FOREIGN ORDER'!AD528</f>
        <v>0</v>
      </c>
      <c r="H902" s="112">
        <f>'OPEN FOREIGN ORDER'!AE528</f>
        <v>0</v>
      </c>
      <c r="I902" s="112">
        <f>'OPEN FOREIGN ORDER'!AF528</f>
        <v>0</v>
      </c>
      <c r="J902" s="112">
        <f>'OPEN FOREIGN ORDER'!AG528</f>
        <v>0</v>
      </c>
    </row>
    <row r="903" spans="1:10">
      <c r="A903">
        <f>'OPEN FOREIGN ORDER'!D529</f>
        <v>0</v>
      </c>
      <c r="B903">
        <f>'OPEN FOREIGN ORDER'!F529</f>
        <v>0</v>
      </c>
      <c r="C903">
        <f>'OPEN FOREIGN ORDER'!Z529</f>
        <v>0</v>
      </c>
      <c r="D903" s="123">
        <f>'OPEN FOREIGN ORDER'!AA529</f>
        <v>0</v>
      </c>
      <c r="E903" s="112">
        <f>'OPEN FOREIGN ORDER'!AB529</f>
        <v>0</v>
      </c>
      <c r="F903" s="112">
        <f>'OPEN FOREIGN ORDER'!AC529</f>
        <v>0</v>
      </c>
      <c r="G903" s="112">
        <f>'OPEN FOREIGN ORDER'!AD529</f>
        <v>0</v>
      </c>
      <c r="H903" s="112">
        <f>'OPEN FOREIGN ORDER'!AE529</f>
        <v>0</v>
      </c>
      <c r="I903" s="112">
        <f>'OPEN FOREIGN ORDER'!AF529</f>
        <v>0</v>
      </c>
      <c r="J903" s="112">
        <f>'OPEN FOREIGN ORDER'!AG529</f>
        <v>0</v>
      </c>
    </row>
    <row r="904" spans="1:10">
      <c r="A904">
        <f>'OPEN FOREIGN ORDER'!D530</f>
        <v>0</v>
      </c>
      <c r="B904">
        <f>'OPEN FOREIGN ORDER'!F530</f>
        <v>0</v>
      </c>
      <c r="C904">
        <f>'OPEN FOREIGN ORDER'!Z530</f>
        <v>0</v>
      </c>
      <c r="D904" s="123">
        <f>'OPEN FOREIGN ORDER'!AA530</f>
        <v>0</v>
      </c>
      <c r="E904" s="112">
        <f>'OPEN FOREIGN ORDER'!AB530</f>
        <v>0</v>
      </c>
      <c r="F904" s="112">
        <f>'OPEN FOREIGN ORDER'!AC530</f>
        <v>0</v>
      </c>
      <c r="G904" s="112">
        <f>'OPEN FOREIGN ORDER'!AD530</f>
        <v>0</v>
      </c>
      <c r="H904" s="112">
        <f>'OPEN FOREIGN ORDER'!AE530</f>
        <v>0</v>
      </c>
      <c r="I904" s="112">
        <f>'OPEN FOREIGN ORDER'!AF530</f>
        <v>0</v>
      </c>
      <c r="J904" s="112">
        <f>'OPEN FOREIGN ORDER'!AG530</f>
        <v>0</v>
      </c>
    </row>
    <row r="905" spans="1:10">
      <c r="A905">
        <f>'OPEN FOREIGN ORDER'!D531</f>
        <v>0</v>
      </c>
      <c r="B905">
        <f>'OPEN FOREIGN ORDER'!F531</f>
        <v>0</v>
      </c>
      <c r="C905">
        <f>'OPEN FOREIGN ORDER'!Z531</f>
        <v>0</v>
      </c>
      <c r="D905" s="123">
        <f>'OPEN FOREIGN ORDER'!AA531</f>
        <v>0</v>
      </c>
      <c r="E905" s="112">
        <f>'OPEN FOREIGN ORDER'!AB531</f>
        <v>0</v>
      </c>
      <c r="F905" s="112">
        <f>'OPEN FOREIGN ORDER'!AC531</f>
        <v>0</v>
      </c>
      <c r="G905" s="112">
        <f>'OPEN FOREIGN ORDER'!AD531</f>
        <v>0</v>
      </c>
      <c r="H905" s="112">
        <f>'OPEN FOREIGN ORDER'!AE531</f>
        <v>0</v>
      </c>
      <c r="I905" s="112">
        <f>'OPEN FOREIGN ORDER'!AF531</f>
        <v>0</v>
      </c>
      <c r="J905" s="112">
        <f>'OPEN FOREIGN ORDER'!AG531</f>
        <v>0</v>
      </c>
    </row>
    <row r="906" spans="1:10">
      <c r="A906">
        <f>'OPEN FOREIGN ORDER'!D532</f>
        <v>0</v>
      </c>
      <c r="B906">
        <f>'OPEN FOREIGN ORDER'!F532</f>
        <v>0</v>
      </c>
      <c r="C906">
        <f>'OPEN FOREIGN ORDER'!Z532</f>
        <v>0</v>
      </c>
      <c r="D906" s="123">
        <f>'OPEN FOREIGN ORDER'!AA532</f>
        <v>0</v>
      </c>
      <c r="E906" s="112">
        <f>'OPEN FOREIGN ORDER'!AB532</f>
        <v>0</v>
      </c>
      <c r="F906" s="112">
        <f>'OPEN FOREIGN ORDER'!AC532</f>
        <v>0</v>
      </c>
      <c r="G906" s="112">
        <f>'OPEN FOREIGN ORDER'!AD532</f>
        <v>0</v>
      </c>
      <c r="H906" s="112">
        <f>'OPEN FOREIGN ORDER'!AE532</f>
        <v>0</v>
      </c>
      <c r="I906" s="112">
        <f>'OPEN FOREIGN ORDER'!AF532</f>
        <v>0</v>
      </c>
      <c r="J906" s="112">
        <f>'OPEN FOREIGN ORDER'!AG532</f>
        <v>0</v>
      </c>
    </row>
    <row r="907" spans="1:10">
      <c r="A907">
        <f>'OPEN FOREIGN ORDER'!D533</f>
        <v>0</v>
      </c>
      <c r="B907">
        <f>'OPEN FOREIGN ORDER'!F533</f>
        <v>0</v>
      </c>
      <c r="C907">
        <f>'OPEN FOREIGN ORDER'!Z533</f>
        <v>0</v>
      </c>
      <c r="D907" s="123">
        <f>'OPEN FOREIGN ORDER'!AA533</f>
        <v>0</v>
      </c>
      <c r="E907" s="112">
        <f>'OPEN FOREIGN ORDER'!AB533</f>
        <v>0</v>
      </c>
      <c r="F907" s="112">
        <f>'OPEN FOREIGN ORDER'!AC533</f>
        <v>0</v>
      </c>
      <c r="G907" s="112">
        <f>'OPEN FOREIGN ORDER'!AD533</f>
        <v>0</v>
      </c>
      <c r="H907" s="112">
        <f>'OPEN FOREIGN ORDER'!AE533</f>
        <v>0</v>
      </c>
      <c r="I907" s="112">
        <f>'OPEN FOREIGN ORDER'!AF533</f>
        <v>0</v>
      </c>
      <c r="J907" s="112">
        <f>'OPEN FOREIGN ORDER'!AG533</f>
        <v>0</v>
      </c>
    </row>
    <row r="908" spans="1:10">
      <c r="A908">
        <f>'OPEN FOREIGN ORDER'!D534</f>
        <v>0</v>
      </c>
      <c r="B908">
        <f>'OPEN FOREIGN ORDER'!F534</f>
        <v>0</v>
      </c>
      <c r="C908">
        <f>'OPEN FOREIGN ORDER'!Z534</f>
        <v>0</v>
      </c>
      <c r="D908" s="123">
        <f>'OPEN FOREIGN ORDER'!AA534</f>
        <v>0</v>
      </c>
      <c r="E908" s="112">
        <f>'OPEN FOREIGN ORDER'!AB534</f>
        <v>0</v>
      </c>
      <c r="F908" s="112">
        <f>'OPEN FOREIGN ORDER'!AC534</f>
        <v>0</v>
      </c>
      <c r="G908" s="112">
        <f>'OPEN FOREIGN ORDER'!AD534</f>
        <v>0</v>
      </c>
      <c r="H908" s="112">
        <f>'OPEN FOREIGN ORDER'!AE534</f>
        <v>0</v>
      </c>
      <c r="I908" s="112">
        <f>'OPEN FOREIGN ORDER'!AF534</f>
        <v>0</v>
      </c>
      <c r="J908" s="112">
        <f>'OPEN FOREIGN ORDER'!AG534</f>
        <v>0</v>
      </c>
    </row>
    <row r="909" spans="1:10">
      <c r="A909">
        <f>'OPEN FOREIGN ORDER'!D535</f>
        <v>0</v>
      </c>
      <c r="B909">
        <f>'OPEN FOREIGN ORDER'!F535</f>
        <v>0</v>
      </c>
      <c r="C909">
        <f>'OPEN FOREIGN ORDER'!Z535</f>
        <v>0</v>
      </c>
      <c r="D909" s="123">
        <f>'OPEN FOREIGN ORDER'!AA535</f>
        <v>0</v>
      </c>
      <c r="E909" s="112">
        <f>'OPEN FOREIGN ORDER'!AB535</f>
        <v>0</v>
      </c>
      <c r="F909" s="112">
        <f>'OPEN FOREIGN ORDER'!AC535</f>
        <v>0</v>
      </c>
      <c r="G909" s="112">
        <f>'OPEN FOREIGN ORDER'!AD535</f>
        <v>0</v>
      </c>
      <c r="H909" s="112">
        <f>'OPEN FOREIGN ORDER'!AE535</f>
        <v>0</v>
      </c>
      <c r="I909" s="112">
        <f>'OPEN FOREIGN ORDER'!AF535</f>
        <v>0</v>
      </c>
      <c r="J909" s="112">
        <f>'OPEN FOREIGN ORDER'!AG535</f>
        <v>0</v>
      </c>
    </row>
    <row r="910" spans="1:10">
      <c r="A910">
        <f>'OPEN FOREIGN ORDER'!D536</f>
        <v>0</v>
      </c>
      <c r="B910">
        <f>'OPEN FOREIGN ORDER'!F536</f>
        <v>0</v>
      </c>
      <c r="C910">
        <f>'OPEN FOREIGN ORDER'!Z536</f>
        <v>0</v>
      </c>
      <c r="D910" s="123">
        <f>'OPEN FOREIGN ORDER'!AA536</f>
        <v>0</v>
      </c>
      <c r="E910" s="112">
        <f>'OPEN FOREIGN ORDER'!AB536</f>
        <v>0</v>
      </c>
      <c r="F910" s="112">
        <f>'OPEN FOREIGN ORDER'!AC536</f>
        <v>0</v>
      </c>
      <c r="G910" s="112">
        <f>'OPEN FOREIGN ORDER'!AD536</f>
        <v>0</v>
      </c>
      <c r="H910" s="112">
        <f>'OPEN FOREIGN ORDER'!AE536</f>
        <v>0</v>
      </c>
      <c r="I910" s="112">
        <f>'OPEN FOREIGN ORDER'!AF536</f>
        <v>0</v>
      </c>
      <c r="J910" s="112">
        <f>'OPEN FOREIGN ORDER'!AG536</f>
        <v>0</v>
      </c>
    </row>
    <row r="911" spans="1:10">
      <c r="A911">
        <f>'OPEN FOREIGN ORDER'!D537</f>
        <v>0</v>
      </c>
      <c r="B911">
        <f>'OPEN FOREIGN ORDER'!F537</f>
        <v>0</v>
      </c>
      <c r="C911">
        <f>'OPEN FOREIGN ORDER'!Z537</f>
        <v>0</v>
      </c>
      <c r="D911" s="123">
        <f>'OPEN FOREIGN ORDER'!AA537</f>
        <v>0</v>
      </c>
      <c r="E911" s="112">
        <f>'OPEN FOREIGN ORDER'!AB537</f>
        <v>0</v>
      </c>
      <c r="F911" s="112">
        <f>'OPEN FOREIGN ORDER'!AC537</f>
        <v>0</v>
      </c>
      <c r="G911" s="112">
        <f>'OPEN FOREIGN ORDER'!AD537</f>
        <v>0</v>
      </c>
      <c r="H911" s="112">
        <f>'OPEN FOREIGN ORDER'!AE537</f>
        <v>0</v>
      </c>
      <c r="I911" s="112">
        <f>'OPEN FOREIGN ORDER'!AF537</f>
        <v>0</v>
      </c>
      <c r="J911" s="112">
        <f>'OPEN FOREIGN ORDER'!AG537</f>
        <v>0</v>
      </c>
    </row>
    <row r="912" spans="1:10">
      <c r="A912">
        <f>'OPEN FOREIGN ORDER'!D538</f>
        <v>0</v>
      </c>
      <c r="B912">
        <f>'OPEN FOREIGN ORDER'!F538</f>
        <v>0</v>
      </c>
      <c r="C912">
        <f>'OPEN FOREIGN ORDER'!Z538</f>
        <v>0</v>
      </c>
      <c r="D912" s="123">
        <f>'OPEN FOREIGN ORDER'!AA538</f>
        <v>0</v>
      </c>
      <c r="E912" s="112">
        <f>'OPEN FOREIGN ORDER'!AB538</f>
        <v>0</v>
      </c>
      <c r="F912" s="112">
        <f>'OPEN FOREIGN ORDER'!AC538</f>
        <v>0</v>
      </c>
      <c r="G912" s="112">
        <f>'OPEN FOREIGN ORDER'!AD538</f>
        <v>0</v>
      </c>
      <c r="H912" s="112">
        <f>'OPEN FOREIGN ORDER'!AE538</f>
        <v>0</v>
      </c>
      <c r="I912" s="112">
        <f>'OPEN FOREIGN ORDER'!AF538</f>
        <v>0</v>
      </c>
      <c r="J912" s="112">
        <f>'OPEN FOREIGN ORDER'!AG538</f>
        <v>0</v>
      </c>
    </row>
    <row r="913" spans="1:10">
      <c r="A913">
        <f>'OPEN FOREIGN ORDER'!D539</f>
        <v>0</v>
      </c>
      <c r="B913">
        <f>'OPEN FOREIGN ORDER'!F539</f>
        <v>0</v>
      </c>
      <c r="C913">
        <f>'OPEN FOREIGN ORDER'!Z539</f>
        <v>0</v>
      </c>
      <c r="D913" s="123">
        <f>'OPEN FOREIGN ORDER'!AA539</f>
        <v>0</v>
      </c>
      <c r="E913" s="112">
        <f>'OPEN FOREIGN ORDER'!AB539</f>
        <v>0</v>
      </c>
      <c r="F913" s="112">
        <f>'OPEN FOREIGN ORDER'!AC539</f>
        <v>0</v>
      </c>
      <c r="G913" s="112">
        <f>'OPEN FOREIGN ORDER'!AD539</f>
        <v>0</v>
      </c>
      <c r="H913" s="112">
        <f>'OPEN FOREIGN ORDER'!AE539</f>
        <v>0</v>
      </c>
      <c r="I913" s="112">
        <f>'OPEN FOREIGN ORDER'!AF539</f>
        <v>0</v>
      </c>
      <c r="J913" s="112">
        <f>'OPEN FOREIGN ORDER'!AG539</f>
        <v>0</v>
      </c>
    </row>
    <row r="914" spans="1:10">
      <c r="A914">
        <f>'OPEN FOREIGN ORDER'!D540</f>
        <v>0</v>
      </c>
      <c r="B914">
        <f>'OPEN FOREIGN ORDER'!F540</f>
        <v>0</v>
      </c>
      <c r="C914">
        <f>'OPEN FOREIGN ORDER'!Z540</f>
        <v>0</v>
      </c>
      <c r="D914" s="123">
        <f>'OPEN FOREIGN ORDER'!AA540</f>
        <v>0</v>
      </c>
      <c r="E914" s="112">
        <f>'OPEN FOREIGN ORDER'!AB540</f>
        <v>0</v>
      </c>
      <c r="F914" s="112">
        <f>'OPEN FOREIGN ORDER'!AC540</f>
        <v>0</v>
      </c>
      <c r="G914" s="112">
        <f>'OPEN FOREIGN ORDER'!AD540</f>
        <v>0</v>
      </c>
      <c r="H914" s="112">
        <f>'OPEN FOREIGN ORDER'!AE540</f>
        <v>0</v>
      </c>
      <c r="I914" s="112">
        <f>'OPEN FOREIGN ORDER'!AF540</f>
        <v>0</v>
      </c>
      <c r="J914" s="112">
        <f>'OPEN FOREIGN ORDER'!AG540</f>
        <v>0</v>
      </c>
    </row>
    <row r="915" spans="1:10">
      <c r="A915">
        <f>'OPEN FOREIGN ORDER'!D541</f>
        <v>0</v>
      </c>
      <c r="B915">
        <f>'OPEN FOREIGN ORDER'!F541</f>
        <v>0</v>
      </c>
      <c r="C915">
        <f>'OPEN FOREIGN ORDER'!Z541</f>
        <v>0</v>
      </c>
      <c r="D915" s="123">
        <f>'OPEN FOREIGN ORDER'!AA541</f>
        <v>0</v>
      </c>
      <c r="E915" s="112">
        <f>'OPEN FOREIGN ORDER'!AB541</f>
        <v>0</v>
      </c>
      <c r="F915" s="112">
        <f>'OPEN FOREIGN ORDER'!AC541</f>
        <v>0</v>
      </c>
      <c r="G915" s="112">
        <f>'OPEN FOREIGN ORDER'!AD541</f>
        <v>0</v>
      </c>
      <c r="H915" s="112">
        <f>'OPEN FOREIGN ORDER'!AE541</f>
        <v>0</v>
      </c>
      <c r="I915" s="112">
        <f>'OPEN FOREIGN ORDER'!AF541</f>
        <v>0</v>
      </c>
      <c r="J915" s="112">
        <f>'OPEN FOREIGN ORDER'!AG541</f>
        <v>0</v>
      </c>
    </row>
    <row r="916" spans="1:10">
      <c r="A916">
        <f>'OPEN FOREIGN ORDER'!D542</f>
        <v>0</v>
      </c>
      <c r="B916">
        <f>'OPEN FOREIGN ORDER'!F542</f>
        <v>0</v>
      </c>
      <c r="C916">
        <f>'OPEN FOREIGN ORDER'!Z542</f>
        <v>0</v>
      </c>
      <c r="D916" s="123">
        <f>'OPEN FOREIGN ORDER'!AA542</f>
        <v>0</v>
      </c>
      <c r="E916" s="112">
        <f>'OPEN FOREIGN ORDER'!AB542</f>
        <v>0</v>
      </c>
      <c r="F916" s="112">
        <f>'OPEN FOREIGN ORDER'!AC542</f>
        <v>0</v>
      </c>
      <c r="G916" s="112">
        <f>'OPEN FOREIGN ORDER'!AD542</f>
        <v>0</v>
      </c>
      <c r="H916" s="112">
        <f>'OPEN FOREIGN ORDER'!AE542</f>
        <v>0</v>
      </c>
      <c r="I916" s="112">
        <f>'OPEN FOREIGN ORDER'!AF542</f>
        <v>0</v>
      </c>
      <c r="J916" s="112">
        <f>'OPEN FOREIGN ORDER'!AG542</f>
        <v>0</v>
      </c>
    </row>
    <row r="917" spans="1:10">
      <c r="A917">
        <f>'OPEN FOREIGN ORDER'!D543</f>
        <v>0</v>
      </c>
      <c r="B917">
        <f>'OPEN FOREIGN ORDER'!F543</f>
        <v>0</v>
      </c>
      <c r="C917">
        <f>'OPEN FOREIGN ORDER'!Z543</f>
        <v>0</v>
      </c>
      <c r="D917" s="123">
        <f>'OPEN FOREIGN ORDER'!AA543</f>
        <v>0</v>
      </c>
      <c r="E917" s="112">
        <f>'OPEN FOREIGN ORDER'!AB543</f>
        <v>0</v>
      </c>
      <c r="F917" s="112">
        <f>'OPEN FOREIGN ORDER'!AC543</f>
        <v>0</v>
      </c>
      <c r="G917" s="112">
        <f>'OPEN FOREIGN ORDER'!AD543</f>
        <v>0</v>
      </c>
      <c r="H917" s="112">
        <f>'OPEN FOREIGN ORDER'!AE543</f>
        <v>0</v>
      </c>
      <c r="I917" s="112">
        <f>'OPEN FOREIGN ORDER'!AF543</f>
        <v>0</v>
      </c>
      <c r="J917" s="112">
        <f>'OPEN FOREIGN ORDER'!AG543</f>
        <v>0</v>
      </c>
    </row>
    <row r="918" spans="1:10">
      <c r="A918">
        <f>'OPEN FOREIGN ORDER'!D544</f>
        <v>0</v>
      </c>
      <c r="B918">
        <f>'OPEN FOREIGN ORDER'!F544</f>
        <v>0</v>
      </c>
      <c r="C918">
        <f>'OPEN FOREIGN ORDER'!Z544</f>
        <v>0</v>
      </c>
      <c r="D918" s="123">
        <f>'OPEN FOREIGN ORDER'!AA544</f>
        <v>0</v>
      </c>
      <c r="E918" s="112">
        <f>'OPEN FOREIGN ORDER'!AB544</f>
        <v>0</v>
      </c>
      <c r="F918" s="112">
        <f>'OPEN FOREIGN ORDER'!AC544</f>
        <v>0</v>
      </c>
      <c r="G918" s="112">
        <f>'OPEN FOREIGN ORDER'!AD544</f>
        <v>0</v>
      </c>
      <c r="H918" s="112">
        <f>'OPEN FOREIGN ORDER'!AE544</f>
        <v>0</v>
      </c>
      <c r="I918" s="112">
        <f>'OPEN FOREIGN ORDER'!AF544</f>
        <v>0</v>
      </c>
      <c r="J918" s="112">
        <f>'OPEN FOREIGN ORDER'!AG544</f>
        <v>0</v>
      </c>
    </row>
    <row r="919" spans="1:10">
      <c r="A919">
        <f>'OPEN FOREIGN ORDER'!D545</f>
        <v>0</v>
      </c>
      <c r="B919">
        <f>'OPEN FOREIGN ORDER'!F545</f>
        <v>0</v>
      </c>
      <c r="C919">
        <f>'OPEN FOREIGN ORDER'!Z545</f>
        <v>0</v>
      </c>
      <c r="D919" s="123">
        <f>'OPEN FOREIGN ORDER'!AA545</f>
        <v>0</v>
      </c>
      <c r="E919" s="112">
        <f>'OPEN FOREIGN ORDER'!AB545</f>
        <v>0</v>
      </c>
      <c r="F919" s="112">
        <f>'OPEN FOREIGN ORDER'!AC545</f>
        <v>0</v>
      </c>
      <c r="G919" s="112">
        <f>'OPEN FOREIGN ORDER'!AD545</f>
        <v>0</v>
      </c>
      <c r="H919" s="112">
        <f>'OPEN FOREIGN ORDER'!AE545</f>
        <v>0</v>
      </c>
      <c r="I919" s="112">
        <f>'OPEN FOREIGN ORDER'!AF545</f>
        <v>0</v>
      </c>
      <c r="J919" s="112">
        <f>'OPEN FOREIGN ORDER'!AG545</f>
        <v>0</v>
      </c>
    </row>
    <row r="920" spans="1:10">
      <c r="A920">
        <f>'OPEN FOREIGN ORDER'!D546</f>
        <v>0</v>
      </c>
      <c r="B920">
        <f>'OPEN FOREIGN ORDER'!F546</f>
        <v>0</v>
      </c>
      <c r="C920">
        <f>'OPEN FOREIGN ORDER'!Z546</f>
        <v>0</v>
      </c>
      <c r="D920" s="123">
        <f>'OPEN FOREIGN ORDER'!AA546</f>
        <v>0</v>
      </c>
      <c r="E920" s="112">
        <f>'OPEN FOREIGN ORDER'!AB546</f>
        <v>0</v>
      </c>
      <c r="F920" s="112">
        <f>'OPEN FOREIGN ORDER'!AC546</f>
        <v>0</v>
      </c>
      <c r="G920" s="112">
        <f>'OPEN FOREIGN ORDER'!AD546</f>
        <v>0</v>
      </c>
      <c r="H920" s="112">
        <f>'OPEN FOREIGN ORDER'!AE546</f>
        <v>0</v>
      </c>
      <c r="I920" s="112">
        <f>'OPEN FOREIGN ORDER'!AF546</f>
        <v>0</v>
      </c>
      <c r="J920" s="112">
        <f>'OPEN FOREIGN ORDER'!AG546</f>
        <v>0</v>
      </c>
    </row>
    <row r="921" spans="1:10">
      <c r="A921">
        <f>'OPEN FOREIGN ORDER'!D547</f>
        <v>0</v>
      </c>
      <c r="B921">
        <f>'OPEN FOREIGN ORDER'!F547</f>
        <v>0</v>
      </c>
      <c r="C921">
        <f>'OPEN FOREIGN ORDER'!Z547</f>
        <v>0</v>
      </c>
      <c r="D921" s="123">
        <f>'OPEN FOREIGN ORDER'!AA547</f>
        <v>0</v>
      </c>
      <c r="E921" s="112">
        <f>'OPEN FOREIGN ORDER'!AB547</f>
        <v>0</v>
      </c>
      <c r="F921" s="112">
        <f>'OPEN FOREIGN ORDER'!AC547</f>
        <v>0</v>
      </c>
      <c r="G921" s="112">
        <f>'OPEN FOREIGN ORDER'!AD547</f>
        <v>0</v>
      </c>
      <c r="H921" s="112">
        <f>'OPEN FOREIGN ORDER'!AE547</f>
        <v>0</v>
      </c>
      <c r="I921" s="112">
        <f>'OPEN FOREIGN ORDER'!AF547</f>
        <v>0</v>
      </c>
      <c r="J921" s="112">
        <f>'OPEN FOREIGN ORDER'!AG547</f>
        <v>0</v>
      </c>
    </row>
    <row r="922" spans="1:10">
      <c r="A922">
        <f>'OPEN FOREIGN ORDER'!D548</f>
        <v>0</v>
      </c>
      <c r="B922">
        <f>'OPEN FOREIGN ORDER'!F548</f>
        <v>0</v>
      </c>
      <c r="C922">
        <f>'OPEN FOREIGN ORDER'!Z548</f>
        <v>0</v>
      </c>
      <c r="D922" s="123">
        <f>'OPEN FOREIGN ORDER'!AA548</f>
        <v>0</v>
      </c>
      <c r="E922" s="112">
        <f>'OPEN FOREIGN ORDER'!AB548</f>
        <v>0</v>
      </c>
      <c r="F922" s="112">
        <f>'OPEN FOREIGN ORDER'!AC548</f>
        <v>0</v>
      </c>
      <c r="G922" s="112">
        <f>'OPEN FOREIGN ORDER'!AD548</f>
        <v>0</v>
      </c>
      <c r="H922" s="112">
        <f>'OPEN FOREIGN ORDER'!AE548</f>
        <v>0</v>
      </c>
      <c r="I922" s="112">
        <f>'OPEN FOREIGN ORDER'!AF548</f>
        <v>0</v>
      </c>
      <c r="J922" s="112">
        <f>'OPEN FOREIGN ORDER'!AG548</f>
        <v>0</v>
      </c>
    </row>
    <row r="923" spans="1:10">
      <c r="A923">
        <f>'OPEN FOREIGN ORDER'!D549</f>
        <v>0</v>
      </c>
      <c r="B923">
        <f>'OPEN FOREIGN ORDER'!F549</f>
        <v>0</v>
      </c>
      <c r="C923">
        <f>'OPEN FOREIGN ORDER'!Z549</f>
        <v>0</v>
      </c>
      <c r="D923" s="123">
        <f>'OPEN FOREIGN ORDER'!AA549</f>
        <v>0</v>
      </c>
      <c r="E923" s="112">
        <f>'OPEN FOREIGN ORDER'!AB549</f>
        <v>0</v>
      </c>
      <c r="F923" s="112">
        <f>'OPEN FOREIGN ORDER'!AC549</f>
        <v>0</v>
      </c>
      <c r="G923" s="112">
        <f>'OPEN FOREIGN ORDER'!AD549</f>
        <v>0</v>
      </c>
      <c r="H923" s="112">
        <f>'OPEN FOREIGN ORDER'!AE549</f>
        <v>0</v>
      </c>
      <c r="I923" s="112">
        <f>'OPEN FOREIGN ORDER'!AF549</f>
        <v>0</v>
      </c>
      <c r="J923" s="112">
        <f>'OPEN FOREIGN ORDER'!AG549</f>
        <v>0</v>
      </c>
    </row>
    <row r="924" spans="1:10">
      <c r="A924">
        <f>'OPEN FOREIGN ORDER'!D550</f>
        <v>0</v>
      </c>
      <c r="B924">
        <f>'OPEN FOREIGN ORDER'!F550</f>
        <v>0</v>
      </c>
      <c r="C924">
        <f>'OPEN FOREIGN ORDER'!Z550</f>
        <v>0</v>
      </c>
      <c r="D924" s="123">
        <f>'OPEN FOREIGN ORDER'!AA550</f>
        <v>0</v>
      </c>
      <c r="E924" s="112">
        <f>'OPEN FOREIGN ORDER'!AB550</f>
        <v>0</v>
      </c>
      <c r="F924" s="112">
        <f>'OPEN FOREIGN ORDER'!AC550</f>
        <v>0</v>
      </c>
      <c r="G924" s="112">
        <f>'OPEN FOREIGN ORDER'!AD550</f>
        <v>0</v>
      </c>
      <c r="H924" s="112">
        <f>'OPEN FOREIGN ORDER'!AE550</f>
        <v>0</v>
      </c>
      <c r="I924" s="112">
        <f>'OPEN FOREIGN ORDER'!AF550</f>
        <v>0</v>
      </c>
      <c r="J924" s="112">
        <f>'OPEN FOREIGN ORDER'!AG550</f>
        <v>0</v>
      </c>
    </row>
    <row r="925" spans="1:10">
      <c r="A925">
        <f>'OPEN FOREIGN ORDER'!D551</f>
        <v>0</v>
      </c>
      <c r="B925">
        <f>'OPEN FOREIGN ORDER'!F551</f>
        <v>0</v>
      </c>
      <c r="C925">
        <f>'OPEN FOREIGN ORDER'!Z551</f>
        <v>0</v>
      </c>
      <c r="D925" s="123">
        <f>'OPEN FOREIGN ORDER'!AA551</f>
        <v>0</v>
      </c>
      <c r="E925" s="112">
        <f>'OPEN FOREIGN ORDER'!AB551</f>
        <v>0</v>
      </c>
      <c r="F925" s="112">
        <f>'OPEN FOREIGN ORDER'!AC551</f>
        <v>0</v>
      </c>
      <c r="G925" s="112">
        <f>'OPEN FOREIGN ORDER'!AD551</f>
        <v>0</v>
      </c>
      <c r="H925" s="112">
        <f>'OPEN FOREIGN ORDER'!AE551</f>
        <v>0</v>
      </c>
      <c r="I925" s="112">
        <f>'OPEN FOREIGN ORDER'!AF551</f>
        <v>0</v>
      </c>
      <c r="J925" s="112">
        <f>'OPEN FOREIGN ORDER'!AG551</f>
        <v>0</v>
      </c>
    </row>
    <row r="926" spans="1:10">
      <c r="A926">
        <f>'OPEN FOREIGN ORDER'!D552</f>
        <v>0</v>
      </c>
      <c r="B926">
        <f>'OPEN FOREIGN ORDER'!F552</f>
        <v>0</v>
      </c>
      <c r="C926">
        <f>'OPEN FOREIGN ORDER'!Z552</f>
        <v>0</v>
      </c>
      <c r="D926" s="123">
        <f>'OPEN FOREIGN ORDER'!AA552</f>
        <v>0</v>
      </c>
      <c r="E926" s="112">
        <f>'OPEN FOREIGN ORDER'!AB552</f>
        <v>0</v>
      </c>
      <c r="F926" s="112">
        <f>'OPEN FOREIGN ORDER'!AC552</f>
        <v>0</v>
      </c>
      <c r="G926" s="112">
        <f>'OPEN FOREIGN ORDER'!AD552</f>
        <v>0</v>
      </c>
      <c r="H926" s="112">
        <f>'OPEN FOREIGN ORDER'!AE552</f>
        <v>0</v>
      </c>
      <c r="I926" s="112">
        <f>'OPEN FOREIGN ORDER'!AF552</f>
        <v>0</v>
      </c>
      <c r="J926" s="112">
        <f>'OPEN FOREIGN ORDER'!AG552</f>
        <v>0</v>
      </c>
    </row>
    <row r="927" spans="1:10">
      <c r="A927">
        <f>'OPEN FOREIGN ORDER'!D553</f>
        <v>0</v>
      </c>
      <c r="B927">
        <f>'OPEN FOREIGN ORDER'!F553</f>
        <v>0</v>
      </c>
      <c r="C927">
        <f>'OPEN FOREIGN ORDER'!Z553</f>
        <v>0</v>
      </c>
      <c r="D927" s="123">
        <f>'OPEN FOREIGN ORDER'!AA553</f>
        <v>0</v>
      </c>
      <c r="E927" s="112">
        <f>'OPEN FOREIGN ORDER'!AB553</f>
        <v>0</v>
      </c>
      <c r="F927" s="112">
        <f>'OPEN FOREIGN ORDER'!AC553</f>
        <v>0</v>
      </c>
      <c r="G927" s="112">
        <f>'OPEN FOREIGN ORDER'!AD553</f>
        <v>0</v>
      </c>
      <c r="H927" s="112">
        <f>'OPEN FOREIGN ORDER'!AE553</f>
        <v>0</v>
      </c>
      <c r="I927" s="112">
        <f>'OPEN FOREIGN ORDER'!AF553</f>
        <v>0</v>
      </c>
      <c r="J927" s="112">
        <f>'OPEN FOREIGN ORDER'!AG553</f>
        <v>0</v>
      </c>
    </row>
    <row r="928" spans="1:10">
      <c r="A928">
        <f>'OPEN FOREIGN ORDER'!D554</f>
        <v>0</v>
      </c>
      <c r="B928">
        <f>'OPEN FOREIGN ORDER'!F554</f>
        <v>0</v>
      </c>
      <c r="C928">
        <f>'OPEN FOREIGN ORDER'!Z554</f>
        <v>0</v>
      </c>
      <c r="D928" s="123">
        <f>'OPEN FOREIGN ORDER'!AA554</f>
        <v>0</v>
      </c>
      <c r="E928" s="112">
        <f>'OPEN FOREIGN ORDER'!AB554</f>
        <v>0</v>
      </c>
      <c r="F928" s="112">
        <f>'OPEN FOREIGN ORDER'!AC554</f>
        <v>0</v>
      </c>
      <c r="G928" s="112">
        <f>'OPEN FOREIGN ORDER'!AD554</f>
        <v>0</v>
      </c>
      <c r="H928" s="112">
        <f>'OPEN FOREIGN ORDER'!AE554</f>
        <v>0</v>
      </c>
      <c r="I928" s="112">
        <f>'OPEN FOREIGN ORDER'!AF554</f>
        <v>0</v>
      </c>
      <c r="J928" s="112">
        <f>'OPEN FOREIGN ORDER'!AG554</f>
        <v>0</v>
      </c>
    </row>
    <row r="929" spans="1:10">
      <c r="A929">
        <f>'OPEN FOREIGN ORDER'!D555</f>
        <v>0</v>
      </c>
      <c r="B929">
        <f>'OPEN FOREIGN ORDER'!F555</f>
        <v>0</v>
      </c>
      <c r="C929">
        <f>'OPEN FOREIGN ORDER'!Z555</f>
        <v>0</v>
      </c>
      <c r="D929" s="123">
        <f>'OPEN FOREIGN ORDER'!AA555</f>
        <v>0</v>
      </c>
      <c r="E929" s="112">
        <f>'OPEN FOREIGN ORDER'!AB555</f>
        <v>0</v>
      </c>
      <c r="F929" s="112">
        <f>'OPEN FOREIGN ORDER'!AC555</f>
        <v>0</v>
      </c>
      <c r="G929" s="112">
        <f>'OPEN FOREIGN ORDER'!AD555</f>
        <v>0</v>
      </c>
      <c r="H929" s="112">
        <f>'OPEN FOREIGN ORDER'!AE555</f>
        <v>0</v>
      </c>
      <c r="I929" s="112">
        <f>'OPEN FOREIGN ORDER'!AF555</f>
        <v>0</v>
      </c>
      <c r="J929" s="112">
        <f>'OPEN FOREIGN ORDER'!AG555</f>
        <v>0</v>
      </c>
    </row>
    <row r="930" spans="1:10">
      <c r="A930">
        <f>'OPEN FOREIGN ORDER'!D556</f>
        <v>0</v>
      </c>
      <c r="B930">
        <f>'OPEN FOREIGN ORDER'!F556</f>
        <v>0</v>
      </c>
      <c r="C930">
        <f>'OPEN FOREIGN ORDER'!Z556</f>
        <v>0</v>
      </c>
      <c r="D930" s="123">
        <f>'OPEN FOREIGN ORDER'!AA556</f>
        <v>0</v>
      </c>
      <c r="E930" s="112">
        <f>'OPEN FOREIGN ORDER'!AB556</f>
        <v>0</v>
      </c>
      <c r="F930" s="112">
        <f>'OPEN FOREIGN ORDER'!AC556</f>
        <v>0</v>
      </c>
      <c r="G930" s="112">
        <f>'OPEN FOREIGN ORDER'!AD556</f>
        <v>0</v>
      </c>
      <c r="H930" s="112">
        <f>'OPEN FOREIGN ORDER'!AE556</f>
        <v>0</v>
      </c>
      <c r="I930" s="112">
        <f>'OPEN FOREIGN ORDER'!AF556</f>
        <v>0</v>
      </c>
      <c r="J930" s="112">
        <f>'OPEN FOREIGN ORDER'!AG556</f>
        <v>0</v>
      </c>
    </row>
    <row r="931" spans="1:10">
      <c r="A931">
        <f>'OPEN FOREIGN ORDER'!D557</f>
        <v>0</v>
      </c>
      <c r="B931">
        <f>'OPEN FOREIGN ORDER'!F557</f>
        <v>0</v>
      </c>
      <c r="C931">
        <f>'OPEN FOREIGN ORDER'!Z557</f>
        <v>0</v>
      </c>
      <c r="D931" s="123">
        <f>'OPEN FOREIGN ORDER'!AA557</f>
        <v>0</v>
      </c>
      <c r="E931" s="112">
        <f>'OPEN FOREIGN ORDER'!AB557</f>
        <v>0</v>
      </c>
      <c r="F931" s="112">
        <f>'OPEN FOREIGN ORDER'!AC557</f>
        <v>0</v>
      </c>
      <c r="G931" s="112">
        <f>'OPEN FOREIGN ORDER'!AD557</f>
        <v>0</v>
      </c>
      <c r="H931" s="112">
        <f>'OPEN FOREIGN ORDER'!AE557</f>
        <v>0</v>
      </c>
      <c r="I931" s="112">
        <f>'OPEN FOREIGN ORDER'!AF557</f>
        <v>0</v>
      </c>
      <c r="J931" s="112">
        <f>'OPEN FOREIGN ORDER'!AG557</f>
        <v>0</v>
      </c>
    </row>
    <row r="932" spans="1:10">
      <c r="A932">
        <f>'OPEN FOREIGN ORDER'!D558</f>
        <v>0</v>
      </c>
      <c r="B932">
        <f>'OPEN FOREIGN ORDER'!F558</f>
        <v>0</v>
      </c>
      <c r="C932">
        <f>'OPEN FOREIGN ORDER'!Z558</f>
        <v>0</v>
      </c>
      <c r="D932" s="123">
        <f>'OPEN FOREIGN ORDER'!AA558</f>
        <v>0</v>
      </c>
      <c r="E932" s="112">
        <f>'OPEN FOREIGN ORDER'!AB558</f>
        <v>0</v>
      </c>
      <c r="F932" s="112">
        <f>'OPEN FOREIGN ORDER'!AC558</f>
        <v>0</v>
      </c>
      <c r="G932" s="112">
        <f>'OPEN FOREIGN ORDER'!AD558</f>
        <v>0</v>
      </c>
      <c r="H932" s="112">
        <f>'OPEN FOREIGN ORDER'!AE558</f>
        <v>0</v>
      </c>
      <c r="I932" s="112">
        <f>'OPEN FOREIGN ORDER'!AF558</f>
        <v>0</v>
      </c>
      <c r="J932" s="112">
        <f>'OPEN FOREIGN ORDER'!AG558</f>
        <v>0</v>
      </c>
    </row>
    <row r="933" spans="1:10">
      <c r="A933">
        <f>'OPEN FOREIGN ORDER'!D559</f>
        <v>0</v>
      </c>
      <c r="B933">
        <f>'OPEN FOREIGN ORDER'!F559</f>
        <v>0</v>
      </c>
      <c r="C933">
        <f>'OPEN FOREIGN ORDER'!Z559</f>
        <v>0</v>
      </c>
      <c r="D933" s="123">
        <f>'OPEN FOREIGN ORDER'!AA559</f>
        <v>0</v>
      </c>
      <c r="E933" s="112">
        <f>'OPEN FOREIGN ORDER'!AB559</f>
        <v>0</v>
      </c>
      <c r="F933" s="112">
        <f>'OPEN FOREIGN ORDER'!AC559</f>
        <v>0</v>
      </c>
      <c r="G933" s="112">
        <f>'OPEN FOREIGN ORDER'!AD559</f>
        <v>0</v>
      </c>
      <c r="H933" s="112">
        <f>'OPEN FOREIGN ORDER'!AE559</f>
        <v>0</v>
      </c>
      <c r="I933" s="112">
        <f>'OPEN FOREIGN ORDER'!AF559</f>
        <v>0</v>
      </c>
      <c r="J933" s="112">
        <f>'OPEN FOREIGN ORDER'!AG559</f>
        <v>0</v>
      </c>
    </row>
    <row r="934" spans="1:10">
      <c r="A934">
        <f>'OPEN FOREIGN ORDER'!D560</f>
        <v>0</v>
      </c>
      <c r="B934">
        <f>'OPEN FOREIGN ORDER'!F560</f>
        <v>0</v>
      </c>
      <c r="C934">
        <f>'OPEN FOREIGN ORDER'!Z560</f>
        <v>0</v>
      </c>
      <c r="D934" s="123">
        <f>'OPEN FOREIGN ORDER'!AA560</f>
        <v>0</v>
      </c>
      <c r="E934" s="112">
        <f>'OPEN FOREIGN ORDER'!AB560</f>
        <v>0</v>
      </c>
      <c r="F934" s="112">
        <f>'OPEN FOREIGN ORDER'!AC560</f>
        <v>0</v>
      </c>
      <c r="G934" s="112">
        <f>'OPEN FOREIGN ORDER'!AD560</f>
        <v>0</v>
      </c>
      <c r="H934" s="112">
        <f>'OPEN FOREIGN ORDER'!AE560</f>
        <v>0</v>
      </c>
      <c r="I934" s="112">
        <f>'OPEN FOREIGN ORDER'!AF560</f>
        <v>0</v>
      </c>
      <c r="J934" s="112">
        <f>'OPEN FOREIGN ORDER'!AG560</f>
        <v>0</v>
      </c>
    </row>
    <row r="935" spans="1:10">
      <c r="A935">
        <f>'OPEN FOREIGN ORDER'!D561</f>
        <v>0</v>
      </c>
      <c r="B935">
        <f>'OPEN FOREIGN ORDER'!F561</f>
        <v>0</v>
      </c>
      <c r="C935">
        <f>'OPEN FOREIGN ORDER'!Z561</f>
        <v>0</v>
      </c>
      <c r="D935" s="123">
        <f>'OPEN FOREIGN ORDER'!AA561</f>
        <v>0</v>
      </c>
      <c r="E935" s="112">
        <f>'OPEN FOREIGN ORDER'!AB561</f>
        <v>0</v>
      </c>
      <c r="F935" s="112">
        <f>'OPEN FOREIGN ORDER'!AC561</f>
        <v>0</v>
      </c>
      <c r="G935" s="112">
        <f>'OPEN FOREIGN ORDER'!AD561</f>
        <v>0</v>
      </c>
      <c r="H935" s="112">
        <f>'OPEN FOREIGN ORDER'!AE561</f>
        <v>0</v>
      </c>
      <c r="I935" s="112">
        <f>'OPEN FOREIGN ORDER'!AF561</f>
        <v>0</v>
      </c>
      <c r="J935" s="112">
        <f>'OPEN FOREIGN ORDER'!AG561</f>
        <v>0</v>
      </c>
    </row>
    <row r="936" spans="1:10">
      <c r="A936">
        <f>'OPEN FOREIGN ORDER'!D562</f>
        <v>0</v>
      </c>
      <c r="B936">
        <f>'OPEN FOREIGN ORDER'!F562</f>
        <v>0</v>
      </c>
      <c r="C936">
        <f>'OPEN FOREIGN ORDER'!Z562</f>
        <v>0</v>
      </c>
      <c r="D936" s="123">
        <f>'OPEN FOREIGN ORDER'!AA562</f>
        <v>0</v>
      </c>
      <c r="E936" s="112">
        <f>'OPEN FOREIGN ORDER'!AB562</f>
        <v>0</v>
      </c>
      <c r="F936" s="112">
        <f>'OPEN FOREIGN ORDER'!AC562</f>
        <v>0</v>
      </c>
      <c r="G936" s="112">
        <f>'OPEN FOREIGN ORDER'!AD562</f>
        <v>0</v>
      </c>
      <c r="H936" s="112">
        <f>'OPEN FOREIGN ORDER'!AE562</f>
        <v>0</v>
      </c>
      <c r="I936" s="112">
        <f>'OPEN FOREIGN ORDER'!AF562</f>
        <v>0</v>
      </c>
      <c r="J936" s="112">
        <f>'OPEN FOREIGN ORDER'!AG562</f>
        <v>0</v>
      </c>
    </row>
    <row r="937" spans="1:10">
      <c r="A937">
        <f>'OPEN FOREIGN ORDER'!D563</f>
        <v>0</v>
      </c>
      <c r="B937">
        <f>'OPEN FOREIGN ORDER'!F563</f>
        <v>0</v>
      </c>
      <c r="C937">
        <f>'OPEN FOREIGN ORDER'!Z563</f>
        <v>0</v>
      </c>
      <c r="D937" s="123">
        <f>'OPEN FOREIGN ORDER'!AA563</f>
        <v>0</v>
      </c>
      <c r="E937" s="112">
        <f>'OPEN FOREIGN ORDER'!AB563</f>
        <v>0</v>
      </c>
      <c r="F937" s="112">
        <f>'OPEN FOREIGN ORDER'!AC563</f>
        <v>0</v>
      </c>
      <c r="G937" s="112">
        <f>'OPEN FOREIGN ORDER'!AD563</f>
        <v>0</v>
      </c>
      <c r="H937" s="112">
        <f>'OPEN FOREIGN ORDER'!AE563</f>
        <v>0</v>
      </c>
      <c r="I937" s="112">
        <f>'OPEN FOREIGN ORDER'!AF563</f>
        <v>0</v>
      </c>
      <c r="J937" s="112">
        <f>'OPEN FOREIGN ORDER'!AG563</f>
        <v>0</v>
      </c>
    </row>
    <row r="938" spans="1:10">
      <c r="A938">
        <f>'OPEN FOREIGN ORDER'!D564</f>
        <v>0</v>
      </c>
      <c r="B938">
        <f>'OPEN FOREIGN ORDER'!F564</f>
        <v>0</v>
      </c>
      <c r="C938">
        <f>'OPEN FOREIGN ORDER'!Z564</f>
        <v>0</v>
      </c>
      <c r="D938" s="123">
        <f>'OPEN FOREIGN ORDER'!AA564</f>
        <v>0</v>
      </c>
      <c r="E938" s="112">
        <f>'OPEN FOREIGN ORDER'!AB564</f>
        <v>0</v>
      </c>
      <c r="F938" s="112">
        <f>'OPEN FOREIGN ORDER'!AC564</f>
        <v>0</v>
      </c>
      <c r="G938" s="112">
        <f>'OPEN FOREIGN ORDER'!AD564</f>
        <v>0</v>
      </c>
      <c r="H938" s="112">
        <f>'OPEN FOREIGN ORDER'!AE564</f>
        <v>0</v>
      </c>
      <c r="I938" s="112">
        <f>'OPEN FOREIGN ORDER'!AF564</f>
        <v>0</v>
      </c>
      <c r="J938" s="112">
        <f>'OPEN FOREIGN ORDER'!AG564</f>
        <v>0</v>
      </c>
    </row>
    <row r="939" spans="1:10">
      <c r="A939">
        <f>'OPEN FOREIGN ORDER'!D565</f>
        <v>0</v>
      </c>
      <c r="B939">
        <f>'OPEN FOREIGN ORDER'!F565</f>
        <v>0</v>
      </c>
      <c r="C939">
        <f>'OPEN FOREIGN ORDER'!Z565</f>
        <v>0</v>
      </c>
      <c r="D939" s="123">
        <f>'OPEN FOREIGN ORDER'!AA565</f>
        <v>0</v>
      </c>
      <c r="E939" s="112">
        <f>'OPEN FOREIGN ORDER'!AB565</f>
        <v>0</v>
      </c>
      <c r="F939" s="112">
        <f>'OPEN FOREIGN ORDER'!AC565</f>
        <v>0</v>
      </c>
      <c r="G939" s="112">
        <f>'OPEN FOREIGN ORDER'!AD565</f>
        <v>0</v>
      </c>
      <c r="H939" s="112">
        <f>'OPEN FOREIGN ORDER'!AE565</f>
        <v>0</v>
      </c>
      <c r="I939" s="112">
        <f>'OPEN FOREIGN ORDER'!AF565</f>
        <v>0</v>
      </c>
      <c r="J939" s="112">
        <f>'OPEN FOREIGN ORDER'!AG565</f>
        <v>0</v>
      </c>
    </row>
    <row r="940" spans="1:10">
      <c r="A940">
        <f>'OPEN FOREIGN ORDER'!D566</f>
        <v>0</v>
      </c>
      <c r="B940">
        <f>'OPEN FOREIGN ORDER'!F566</f>
        <v>0</v>
      </c>
      <c r="C940">
        <f>'OPEN FOREIGN ORDER'!Z566</f>
        <v>0</v>
      </c>
      <c r="D940" s="123">
        <f>'OPEN FOREIGN ORDER'!AA566</f>
        <v>0</v>
      </c>
      <c r="E940" s="112">
        <f>'OPEN FOREIGN ORDER'!AB566</f>
        <v>0</v>
      </c>
      <c r="F940" s="112">
        <f>'OPEN FOREIGN ORDER'!AC566</f>
        <v>0</v>
      </c>
      <c r="G940" s="112">
        <f>'OPEN FOREIGN ORDER'!AD566</f>
        <v>0</v>
      </c>
      <c r="H940" s="112">
        <f>'OPEN FOREIGN ORDER'!AE566</f>
        <v>0</v>
      </c>
      <c r="I940" s="112">
        <f>'OPEN FOREIGN ORDER'!AF566</f>
        <v>0</v>
      </c>
      <c r="J940" s="112">
        <f>'OPEN FOREIGN ORDER'!AG566</f>
        <v>0</v>
      </c>
    </row>
    <row r="941" spans="1:10">
      <c r="A941">
        <f>'OPEN FOREIGN ORDER'!D567</f>
        <v>0</v>
      </c>
      <c r="B941">
        <f>'OPEN FOREIGN ORDER'!F567</f>
        <v>0</v>
      </c>
      <c r="C941">
        <f>'OPEN FOREIGN ORDER'!Z567</f>
        <v>0</v>
      </c>
      <c r="D941" s="123">
        <f>'OPEN FOREIGN ORDER'!AA567</f>
        <v>0</v>
      </c>
      <c r="E941" s="112">
        <f>'OPEN FOREIGN ORDER'!AB567</f>
        <v>0</v>
      </c>
      <c r="F941" s="112">
        <f>'OPEN FOREIGN ORDER'!AC567</f>
        <v>0</v>
      </c>
      <c r="G941" s="112">
        <f>'OPEN FOREIGN ORDER'!AD567</f>
        <v>0</v>
      </c>
      <c r="H941" s="112">
        <f>'OPEN FOREIGN ORDER'!AE567</f>
        <v>0</v>
      </c>
      <c r="I941" s="112">
        <f>'OPEN FOREIGN ORDER'!AF567</f>
        <v>0</v>
      </c>
      <c r="J941" s="112">
        <f>'OPEN FOREIGN ORDER'!AG567</f>
        <v>0</v>
      </c>
    </row>
    <row r="942" spans="1:10">
      <c r="A942">
        <f>'OPEN FOREIGN ORDER'!D568</f>
        <v>0</v>
      </c>
      <c r="B942">
        <f>'OPEN FOREIGN ORDER'!F568</f>
        <v>0</v>
      </c>
      <c r="C942">
        <f>'OPEN FOREIGN ORDER'!Z568</f>
        <v>0</v>
      </c>
      <c r="D942" s="123">
        <f>'OPEN FOREIGN ORDER'!AA568</f>
        <v>0</v>
      </c>
      <c r="E942" s="112">
        <f>'OPEN FOREIGN ORDER'!AB568</f>
        <v>0</v>
      </c>
      <c r="F942" s="112">
        <f>'OPEN FOREIGN ORDER'!AC568</f>
        <v>0</v>
      </c>
      <c r="G942" s="112">
        <f>'OPEN FOREIGN ORDER'!AD568</f>
        <v>0</v>
      </c>
      <c r="H942" s="112">
        <f>'OPEN FOREIGN ORDER'!AE568</f>
        <v>0</v>
      </c>
      <c r="I942" s="112">
        <f>'OPEN FOREIGN ORDER'!AF568</f>
        <v>0</v>
      </c>
      <c r="J942" s="112">
        <f>'OPEN FOREIGN ORDER'!AG568</f>
        <v>0</v>
      </c>
    </row>
    <row r="943" spans="1:10">
      <c r="A943">
        <f>'OPEN FOREIGN ORDER'!D569</f>
        <v>0</v>
      </c>
      <c r="B943">
        <f>'OPEN FOREIGN ORDER'!F569</f>
        <v>0</v>
      </c>
      <c r="C943">
        <f>'OPEN FOREIGN ORDER'!Z569</f>
        <v>0</v>
      </c>
      <c r="D943" s="123">
        <f>'OPEN FOREIGN ORDER'!AA569</f>
        <v>0</v>
      </c>
      <c r="E943" s="112">
        <f>'OPEN FOREIGN ORDER'!AB569</f>
        <v>0</v>
      </c>
      <c r="F943" s="112">
        <f>'OPEN FOREIGN ORDER'!AC569</f>
        <v>0</v>
      </c>
      <c r="G943" s="112">
        <f>'OPEN FOREIGN ORDER'!AD569</f>
        <v>0</v>
      </c>
      <c r="H943" s="112">
        <f>'OPEN FOREIGN ORDER'!AE569</f>
        <v>0</v>
      </c>
      <c r="I943" s="112">
        <f>'OPEN FOREIGN ORDER'!AF569</f>
        <v>0</v>
      </c>
      <c r="J943" s="112">
        <f>'OPEN FOREIGN ORDER'!AG569</f>
        <v>0</v>
      </c>
    </row>
    <row r="944" spans="1:10">
      <c r="A944">
        <f>'OPEN FOREIGN ORDER'!D570</f>
        <v>0</v>
      </c>
      <c r="B944">
        <f>'OPEN FOREIGN ORDER'!F570</f>
        <v>0</v>
      </c>
      <c r="C944">
        <f>'OPEN FOREIGN ORDER'!Z570</f>
        <v>0</v>
      </c>
      <c r="D944" s="123">
        <f>'OPEN FOREIGN ORDER'!AA570</f>
        <v>0</v>
      </c>
      <c r="E944" s="112">
        <f>'OPEN FOREIGN ORDER'!AB570</f>
        <v>0</v>
      </c>
      <c r="F944" s="112">
        <f>'OPEN FOREIGN ORDER'!AC570</f>
        <v>0</v>
      </c>
      <c r="G944" s="112">
        <f>'OPEN FOREIGN ORDER'!AD570</f>
        <v>0</v>
      </c>
      <c r="H944" s="112">
        <f>'OPEN FOREIGN ORDER'!AE570</f>
        <v>0</v>
      </c>
      <c r="I944" s="112">
        <f>'OPEN FOREIGN ORDER'!AF570</f>
        <v>0</v>
      </c>
      <c r="J944" s="112">
        <f>'OPEN FOREIGN ORDER'!AG570</f>
        <v>0</v>
      </c>
    </row>
    <row r="945" spans="1:10">
      <c r="A945">
        <f>'OPEN FOREIGN ORDER'!D571</f>
        <v>0</v>
      </c>
      <c r="B945">
        <f>'OPEN FOREIGN ORDER'!F571</f>
        <v>0</v>
      </c>
      <c r="C945">
        <f>'OPEN FOREIGN ORDER'!Z571</f>
        <v>0</v>
      </c>
      <c r="D945" s="123">
        <f>'OPEN FOREIGN ORDER'!AA571</f>
        <v>0</v>
      </c>
      <c r="E945" s="112">
        <f>'OPEN FOREIGN ORDER'!AB571</f>
        <v>0</v>
      </c>
      <c r="F945" s="112">
        <f>'OPEN FOREIGN ORDER'!AC571</f>
        <v>0</v>
      </c>
      <c r="G945" s="112">
        <f>'OPEN FOREIGN ORDER'!AD571</f>
        <v>0</v>
      </c>
      <c r="H945" s="112">
        <f>'OPEN FOREIGN ORDER'!AE571</f>
        <v>0</v>
      </c>
      <c r="I945" s="112">
        <f>'OPEN FOREIGN ORDER'!AF571</f>
        <v>0</v>
      </c>
      <c r="J945" s="112">
        <f>'OPEN FOREIGN ORDER'!AG571</f>
        <v>0</v>
      </c>
    </row>
    <row r="946" spans="1:10">
      <c r="A946">
        <f>'OPEN FOREIGN ORDER'!D572</f>
        <v>0</v>
      </c>
      <c r="B946">
        <f>'OPEN FOREIGN ORDER'!F572</f>
        <v>0</v>
      </c>
      <c r="C946">
        <f>'OPEN FOREIGN ORDER'!Z572</f>
        <v>0</v>
      </c>
      <c r="D946" s="123">
        <f>'OPEN FOREIGN ORDER'!AA572</f>
        <v>0</v>
      </c>
      <c r="E946" s="112">
        <f>'OPEN FOREIGN ORDER'!AB572</f>
        <v>0</v>
      </c>
      <c r="F946" s="112">
        <f>'OPEN FOREIGN ORDER'!AC572</f>
        <v>0</v>
      </c>
      <c r="G946" s="112">
        <f>'OPEN FOREIGN ORDER'!AD572</f>
        <v>0</v>
      </c>
      <c r="H946" s="112">
        <f>'OPEN FOREIGN ORDER'!AE572</f>
        <v>0</v>
      </c>
      <c r="I946" s="112">
        <f>'OPEN FOREIGN ORDER'!AF572</f>
        <v>0</v>
      </c>
      <c r="J946" s="112">
        <f>'OPEN FOREIGN ORDER'!AG572</f>
        <v>0</v>
      </c>
    </row>
    <row r="947" spans="1:10">
      <c r="A947">
        <f>'OPEN FOREIGN ORDER'!D573</f>
        <v>0</v>
      </c>
      <c r="B947">
        <f>'OPEN FOREIGN ORDER'!F573</f>
        <v>0</v>
      </c>
      <c r="C947">
        <f>'OPEN FOREIGN ORDER'!Z573</f>
        <v>0</v>
      </c>
      <c r="D947" s="123">
        <f>'OPEN FOREIGN ORDER'!AA573</f>
        <v>0</v>
      </c>
      <c r="E947" s="112">
        <f>'OPEN FOREIGN ORDER'!AB573</f>
        <v>0</v>
      </c>
      <c r="F947" s="112">
        <f>'OPEN FOREIGN ORDER'!AC573</f>
        <v>0</v>
      </c>
      <c r="G947" s="112">
        <f>'OPEN FOREIGN ORDER'!AD573</f>
        <v>0</v>
      </c>
      <c r="H947" s="112">
        <f>'OPEN FOREIGN ORDER'!AE573</f>
        <v>0</v>
      </c>
      <c r="I947" s="112">
        <f>'OPEN FOREIGN ORDER'!AF573</f>
        <v>0</v>
      </c>
      <c r="J947" s="112">
        <f>'OPEN FOREIGN ORDER'!AG573</f>
        <v>0</v>
      </c>
    </row>
    <row r="948" spans="1:10">
      <c r="A948">
        <f>'OPEN FOREIGN ORDER'!D574</f>
        <v>0</v>
      </c>
      <c r="B948">
        <f>'OPEN FOREIGN ORDER'!F574</f>
        <v>0</v>
      </c>
      <c r="C948">
        <f>'OPEN FOREIGN ORDER'!Z574</f>
        <v>0</v>
      </c>
      <c r="D948" s="123">
        <f>'OPEN FOREIGN ORDER'!AA574</f>
        <v>0</v>
      </c>
      <c r="E948" s="112">
        <f>'OPEN FOREIGN ORDER'!AB574</f>
        <v>0</v>
      </c>
      <c r="F948" s="112">
        <f>'OPEN FOREIGN ORDER'!AC574</f>
        <v>0</v>
      </c>
      <c r="G948" s="112">
        <f>'OPEN FOREIGN ORDER'!AD574</f>
        <v>0</v>
      </c>
      <c r="H948" s="112">
        <f>'OPEN FOREIGN ORDER'!AE574</f>
        <v>0</v>
      </c>
      <c r="I948" s="112">
        <f>'OPEN FOREIGN ORDER'!AF574</f>
        <v>0</v>
      </c>
      <c r="J948" s="112">
        <f>'OPEN FOREIGN ORDER'!AG574</f>
        <v>0</v>
      </c>
    </row>
    <row r="949" spans="1:10">
      <c r="A949">
        <f>'OPEN FOREIGN ORDER'!D575</f>
        <v>0</v>
      </c>
      <c r="B949">
        <f>'OPEN FOREIGN ORDER'!F575</f>
        <v>0</v>
      </c>
      <c r="C949">
        <f>'OPEN FOREIGN ORDER'!Z575</f>
        <v>0</v>
      </c>
      <c r="D949" s="123">
        <f>'OPEN FOREIGN ORDER'!AA575</f>
        <v>0</v>
      </c>
      <c r="E949" s="112">
        <f>'OPEN FOREIGN ORDER'!AB575</f>
        <v>0</v>
      </c>
      <c r="F949" s="112">
        <f>'OPEN FOREIGN ORDER'!AC575</f>
        <v>0</v>
      </c>
      <c r="G949" s="112">
        <f>'OPEN FOREIGN ORDER'!AD575</f>
        <v>0</v>
      </c>
      <c r="H949" s="112">
        <f>'OPEN FOREIGN ORDER'!AE575</f>
        <v>0</v>
      </c>
      <c r="I949" s="112">
        <f>'OPEN FOREIGN ORDER'!AF575</f>
        <v>0</v>
      </c>
      <c r="J949" s="112">
        <f>'OPEN FOREIGN ORDER'!AG575</f>
        <v>0</v>
      </c>
    </row>
    <row r="950" spans="1:10">
      <c r="A950">
        <f>'OPEN FOREIGN ORDER'!D576</f>
        <v>0</v>
      </c>
      <c r="B950">
        <f>'OPEN FOREIGN ORDER'!F576</f>
        <v>0</v>
      </c>
      <c r="C950">
        <f>'OPEN FOREIGN ORDER'!Z576</f>
        <v>0</v>
      </c>
      <c r="D950" s="123">
        <f>'OPEN FOREIGN ORDER'!AA576</f>
        <v>0</v>
      </c>
      <c r="E950" s="112">
        <f>'OPEN FOREIGN ORDER'!AB576</f>
        <v>0</v>
      </c>
      <c r="F950" s="112">
        <f>'OPEN FOREIGN ORDER'!AC576</f>
        <v>0</v>
      </c>
      <c r="G950" s="112">
        <f>'OPEN FOREIGN ORDER'!AD576</f>
        <v>0</v>
      </c>
      <c r="H950" s="112">
        <f>'OPEN FOREIGN ORDER'!AE576</f>
        <v>0</v>
      </c>
      <c r="I950" s="112">
        <f>'OPEN FOREIGN ORDER'!AF576</f>
        <v>0</v>
      </c>
      <c r="J950" s="112">
        <f>'OPEN FOREIGN ORDER'!AG576</f>
        <v>0</v>
      </c>
    </row>
    <row r="951" spans="1:10">
      <c r="A951">
        <f>'OPEN FOREIGN ORDER'!D577</f>
        <v>0</v>
      </c>
      <c r="B951">
        <f>'OPEN FOREIGN ORDER'!F577</f>
        <v>0</v>
      </c>
      <c r="C951">
        <f>'OPEN FOREIGN ORDER'!Z577</f>
        <v>0</v>
      </c>
      <c r="D951" s="123">
        <f>'OPEN FOREIGN ORDER'!AA577</f>
        <v>0</v>
      </c>
      <c r="E951" s="112">
        <f>'OPEN FOREIGN ORDER'!AB577</f>
        <v>0</v>
      </c>
      <c r="F951" s="112">
        <f>'OPEN FOREIGN ORDER'!AC577</f>
        <v>0</v>
      </c>
      <c r="G951" s="112">
        <f>'OPEN FOREIGN ORDER'!AD577</f>
        <v>0</v>
      </c>
      <c r="H951" s="112">
        <f>'OPEN FOREIGN ORDER'!AE577</f>
        <v>0</v>
      </c>
      <c r="I951" s="112">
        <f>'OPEN FOREIGN ORDER'!AF577</f>
        <v>0</v>
      </c>
      <c r="J951" s="112">
        <f>'OPEN FOREIGN ORDER'!AG577</f>
        <v>0</v>
      </c>
    </row>
    <row r="952" spans="1:10">
      <c r="A952">
        <f>'OPEN FOREIGN ORDER'!D578</f>
        <v>0</v>
      </c>
      <c r="B952">
        <f>'OPEN FOREIGN ORDER'!F578</f>
        <v>0</v>
      </c>
      <c r="C952">
        <f>'OPEN FOREIGN ORDER'!Z578</f>
        <v>0</v>
      </c>
      <c r="D952" s="123">
        <f>'OPEN FOREIGN ORDER'!AA578</f>
        <v>0</v>
      </c>
      <c r="E952" s="112">
        <f>'OPEN FOREIGN ORDER'!AB578</f>
        <v>0</v>
      </c>
      <c r="F952" s="112">
        <f>'OPEN FOREIGN ORDER'!AC578</f>
        <v>0</v>
      </c>
      <c r="G952" s="112">
        <f>'OPEN FOREIGN ORDER'!AD578</f>
        <v>0</v>
      </c>
      <c r="H952" s="112">
        <f>'OPEN FOREIGN ORDER'!AE578</f>
        <v>0</v>
      </c>
      <c r="I952" s="112">
        <f>'OPEN FOREIGN ORDER'!AF578</f>
        <v>0</v>
      </c>
      <c r="J952" s="112">
        <f>'OPEN FOREIGN ORDER'!AG578</f>
        <v>0</v>
      </c>
    </row>
    <row r="953" spans="1:10">
      <c r="A953">
        <f>'OPEN FOREIGN ORDER'!D579</f>
        <v>0</v>
      </c>
      <c r="B953">
        <f>'OPEN FOREIGN ORDER'!F579</f>
        <v>0</v>
      </c>
      <c r="C953">
        <f>'OPEN FOREIGN ORDER'!Z579</f>
        <v>0</v>
      </c>
      <c r="D953" s="123">
        <f>'OPEN FOREIGN ORDER'!AA579</f>
        <v>0</v>
      </c>
      <c r="E953" s="112">
        <f>'OPEN FOREIGN ORDER'!AB579</f>
        <v>0</v>
      </c>
      <c r="F953" s="112">
        <f>'OPEN FOREIGN ORDER'!AC579</f>
        <v>0</v>
      </c>
      <c r="G953" s="112">
        <f>'OPEN FOREIGN ORDER'!AD579</f>
        <v>0</v>
      </c>
      <c r="H953" s="112">
        <f>'OPEN FOREIGN ORDER'!AE579</f>
        <v>0</v>
      </c>
      <c r="I953" s="112">
        <f>'OPEN FOREIGN ORDER'!AF579</f>
        <v>0</v>
      </c>
      <c r="J953" s="112">
        <f>'OPEN FOREIGN ORDER'!AG579</f>
        <v>0</v>
      </c>
    </row>
    <row r="954" spans="1:10">
      <c r="A954">
        <f>'OPEN FOREIGN ORDER'!D580</f>
        <v>0</v>
      </c>
      <c r="B954">
        <f>'OPEN FOREIGN ORDER'!F580</f>
        <v>0</v>
      </c>
      <c r="C954">
        <f>'OPEN FOREIGN ORDER'!Z580</f>
        <v>0</v>
      </c>
      <c r="D954" s="123">
        <f>'OPEN FOREIGN ORDER'!AA580</f>
        <v>0</v>
      </c>
      <c r="E954" s="112">
        <f>'OPEN FOREIGN ORDER'!AB580</f>
        <v>0</v>
      </c>
      <c r="F954" s="112">
        <f>'OPEN FOREIGN ORDER'!AC580</f>
        <v>0</v>
      </c>
      <c r="G954" s="112">
        <f>'OPEN FOREIGN ORDER'!AD580</f>
        <v>0</v>
      </c>
      <c r="H954" s="112">
        <f>'OPEN FOREIGN ORDER'!AE580</f>
        <v>0</v>
      </c>
      <c r="I954" s="112">
        <f>'OPEN FOREIGN ORDER'!AF580</f>
        <v>0</v>
      </c>
      <c r="J954" s="112">
        <f>'OPEN FOREIGN ORDER'!AG580</f>
        <v>0</v>
      </c>
    </row>
    <row r="955" spans="1:10">
      <c r="A955">
        <f>'OPEN FOREIGN ORDER'!D581</f>
        <v>0</v>
      </c>
      <c r="B955">
        <f>'OPEN FOREIGN ORDER'!F581</f>
        <v>0</v>
      </c>
      <c r="C955">
        <f>'OPEN FOREIGN ORDER'!Z581</f>
        <v>0</v>
      </c>
      <c r="D955" s="123">
        <f>'OPEN FOREIGN ORDER'!AA581</f>
        <v>0</v>
      </c>
      <c r="E955" s="112">
        <f>'OPEN FOREIGN ORDER'!AB581</f>
        <v>0</v>
      </c>
      <c r="F955" s="112">
        <f>'OPEN FOREIGN ORDER'!AC581</f>
        <v>0</v>
      </c>
      <c r="G955" s="112">
        <f>'OPEN FOREIGN ORDER'!AD581</f>
        <v>0</v>
      </c>
      <c r="H955" s="112">
        <f>'OPEN FOREIGN ORDER'!AE581</f>
        <v>0</v>
      </c>
      <c r="I955" s="112">
        <f>'OPEN FOREIGN ORDER'!AF581</f>
        <v>0</v>
      </c>
      <c r="J955" s="112">
        <f>'OPEN FOREIGN ORDER'!AG581</f>
        <v>0</v>
      </c>
    </row>
    <row r="956" spans="1:10">
      <c r="A956">
        <f>'OPEN FOREIGN ORDER'!D582</f>
        <v>0</v>
      </c>
      <c r="B956">
        <f>'OPEN FOREIGN ORDER'!F582</f>
        <v>0</v>
      </c>
      <c r="C956">
        <f>'OPEN FOREIGN ORDER'!Z582</f>
        <v>0</v>
      </c>
      <c r="D956" s="123">
        <f>'OPEN FOREIGN ORDER'!AA582</f>
        <v>0</v>
      </c>
      <c r="E956" s="112">
        <f>'OPEN FOREIGN ORDER'!AB582</f>
        <v>0</v>
      </c>
      <c r="F956" s="112">
        <f>'OPEN FOREIGN ORDER'!AC582</f>
        <v>0</v>
      </c>
      <c r="G956" s="112">
        <f>'OPEN FOREIGN ORDER'!AD582</f>
        <v>0</v>
      </c>
      <c r="H956" s="112">
        <f>'OPEN FOREIGN ORDER'!AE582</f>
        <v>0</v>
      </c>
      <c r="I956" s="112">
        <f>'OPEN FOREIGN ORDER'!AF582</f>
        <v>0</v>
      </c>
      <c r="J956" s="112">
        <f>'OPEN FOREIGN ORDER'!AG582</f>
        <v>0</v>
      </c>
    </row>
    <row r="957" spans="1:10">
      <c r="A957">
        <f>'OPEN FOREIGN ORDER'!D583</f>
        <v>0</v>
      </c>
      <c r="B957">
        <f>'OPEN FOREIGN ORDER'!F583</f>
        <v>0</v>
      </c>
      <c r="C957">
        <f>'OPEN FOREIGN ORDER'!Z583</f>
        <v>0</v>
      </c>
      <c r="D957" s="123">
        <f>'OPEN FOREIGN ORDER'!AA583</f>
        <v>0</v>
      </c>
      <c r="E957" s="112">
        <f>'OPEN FOREIGN ORDER'!AB583</f>
        <v>0</v>
      </c>
      <c r="F957" s="112">
        <f>'OPEN FOREIGN ORDER'!AC583</f>
        <v>0</v>
      </c>
      <c r="G957" s="112">
        <f>'OPEN FOREIGN ORDER'!AD583</f>
        <v>0</v>
      </c>
      <c r="H957" s="112">
        <f>'OPEN FOREIGN ORDER'!AE583</f>
        <v>0</v>
      </c>
      <c r="I957" s="112">
        <f>'OPEN FOREIGN ORDER'!AF583</f>
        <v>0</v>
      </c>
      <c r="J957" s="112">
        <f>'OPEN FOREIGN ORDER'!AG583</f>
        <v>0</v>
      </c>
    </row>
    <row r="958" spans="1:10">
      <c r="A958">
        <f>'OPEN FOREIGN ORDER'!D584</f>
        <v>0</v>
      </c>
      <c r="B958">
        <f>'OPEN FOREIGN ORDER'!F584</f>
        <v>0</v>
      </c>
      <c r="C958">
        <f>'OPEN FOREIGN ORDER'!Z584</f>
        <v>0</v>
      </c>
      <c r="D958" s="123">
        <f>'OPEN FOREIGN ORDER'!AA584</f>
        <v>0</v>
      </c>
      <c r="E958" s="112">
        <f>'OPEN FOREIGN ORDER'!AB584</f>
        <v>0</v>
      </c>
      <c r="F958" s="112">
        <f>'OPEN FOREIGN ORDER'!AC584</f>
        <v>0</v>
      </c>
      <c r="G958" s="112">
        <f>'OPEN FOREIGN ORDER'!AD584</f>
        <v>0</v>
      </c>
      <c r="H958" s="112">
        <f>'OPEN FOREIGN ORDER'!AE584</f>
        <v>0</v>
      </c>
      <c r="I958" s="112">
        <f>'OPEN FOREIGN ORDER'!AF584</f>
        <v>0</v>
      </c>
      <c r="J958" s="112">
        <f>'OPEN FOREIGN ORDER'!AG584</f>
        <v>0</v>
      </c>
    </row>
    <row r="959" spans="1:10">
      <c r="A959">
        <f>'OPEN FOREIGN ORDER'!D585</f>
        <v>0</v>
      </c>
      <c r="B959">
        <f>'OPEN FOREIGN ORDER'!F585</f>
        <v>0</v>
      </c>
      <c r="C959">
        <f>'OPEN FOREIGN ORDER'!Z585</f>
        <v>0</v>
      </c>
      <c r="D959" s="123">
        <f>'OPEN FOREIGN ORDER'!AA585</f>
        <v>0</v>
      </c>
      <c r="E959" s="112">
        <f>'OPEN FOREIGN ORDER'!AB585</f>
        <v>0</v>
      </c>
      <c r="F959" s="112">
        <f>'OPEN FOREIGN ORDER'!AC585</f>
        <v>0</v>
      </c>
      <c r="G959" s="112">
        <f>'OPEN FOREIGN ORDER'!AD585</f>
        <v>0</v>
      </c>
      <c r="H959" s="112">
        <f>'OPEN FOREIGN ORDER'!AE585</f>
        <v>0</v>
      </c>
      <c r="I959" s="112">
        <f>'OPEN FOREIGN ORDER'!AF585</f>
        <v>0</v>
      </c>
      <c r="J959" s="112">
        <f>'OPEN FOREIGN ORDER'!AG585</f>
        <v>0</v>
      </c>
    </row>
    <row r="960" spans="1:10">
      <c r="A960">
        <f>'OPEN FOREIGN ORDER'!D586</f>
        <v>0</v>
      </c>
      <c r="B960">
        <f>'OPEN FOREIGN ORDER'!F586</f>
        <v>0</v>
      </c>
      <c r="C960">
        <f>'OPEN FOREIGN ORDER'!Z586</f>
        <v>0</v>
      </c>
      <c r="D960" s="123">
        <f>'OPEN FOREIGN ORDER'!AA586</f>
        <v>0</v>
      </c>
      <c r="E960" s="112">
        <f>'OPEN FOREIGN ORDER'!AB586</f>
        <v>0</v>
      </c>
      <c r="F960" s="112">
        <f>'OPEN FOREIGN ORDER'!AC586</f>
        <v>0</v>
      </c>
      <c r="G960" s="112">
        <f>'OPEN FOREIGN ORDER'!AD586</f>
        <v>0</v>
      </c>
      <c r="H960" s="112">
        <f>'OPEN FOREIGN ORDER'!AE586</f>
        <v>0</v>
      </c>
      <c r="I960" s="112">
        <f>'OPEN FOREIGN ORDER'!AF586</f>
        <v>0</v>
      </c>
      <c r="J960" s="112">
        <f>'OPEN FOREIGN ORDER'!AG586</f>
        <v>0</v>
      </c>
    </row>
    <row r="961" spans="1:10">
      <c r="A961">
        <f>'OPEN FOREIGN ORDER'!D587</f>
        <v>0</v>
      </c>
      <c r="B961">
        <f>'OPEN FOREIGN ORDER'!F587</f>
        <v>0</v>
      </c>
      <c r="C961">
        <f>'OPEN FOREIGN ORDER'!Z587</f>
        <v>0</v>
      </c>
      <c r="D961" s="123">
        <f>'OPEN FOREIGN ORDER'!AA587</f>
        <v>0</v>
      </c>
      <c r="E961" s="112">
        <f>'OPEN FOREIGN ORDER'!AB587</f>
        <v>0</v>
      </c>
      <c r="F961" s="112">
        <f>'OPEN FOREIGN ORDER'!AC587</f>
        <v>0</v>
      </c>
      <c r="G961" s="112">
        <f>'OPEN FOREIGN ORDER'!AD587</f>
        <v>0</v>
      </c>
      <c r="H961" s="112">
        <f>'OPEN FOREIGN ORDER'!AE587</f>
        <v>0</v>
      </c>
      <c r="I961" s="112">
        <f>'OPEN FOREIGN ORDER'!AF587</f>
        <v>0</v>
      </c>
      <c r="J961" s="112">
        <f>'OPEN FOREIGN ORDER'!AG587</f>
        <v>0</v>
      </c>
    </row>
    <row r="962" spans="1:10">
      <c r="A962">
        <f>'OPEN FOREIGN ORDER'!D588</f>
        <v>0</v>
      </c>
      <c r="B962">
        <f>'OPEN FOREIGN ORDER'!F588</f>
        <v>0</v>
      </c>
      <c r="C962">
        <f>'OPEN FOREIGN ORDER'!Z588</f>
        <v>0</v>
      </c>
      <c r="D962" s="123">
        <f>'OPEN FOREIGN ORDER'!AA588</f>
        <v>0</v>
      </c>
      <c r="E962" s="112">
        <f>'OPEN FOREIGN ORDER'!AB588</f>
        <v>0</v>
      </c>
      <c r="F962" s="112">
        <f>'OPEN FOREIGN ORDER'!AC588</f>
        <v>0</v>
      </c>
      <c r="G962" s="112">
        <f>'OPEN FOREIGN ORDER'!AD588</f>
        <v>0</v>
      </c>
      <c r="H962" s="112">
        <f>'OPEN FOREIGN ORDER'!AE588</f>
        <v>0</v>
      </c>
      <c r="I962" s="112">
        <f>'OPEN FOREIGN ORDER'!AF588</f>
        <v>0</v>
      </c>
      <c r="J962" s="112">
        <f>'OPEN FOREIGN ORDER'!AG588</f>
        <v>0</v>
      </c>
    </row>
    <row r="963" spans="1:10">
      <c r="A963">
        <f>'OPEN FOREIGN ORDER'!D589</f>
        <v>0</v>
      </c>
      <c r="B963">
        <f>'OPEN FOREIGN ORDER'!F589</f>
        <v>0</v>
      </c>
      <c r="C963">
        <f>'OPEN FOREIGN ORDER'!Z589</f>
        <v>0</v>
      </c>
      <c r="D963" s="123">
        <f>'OPEN FOREIGN ORDER'!AA589</f>
        <v>0</v>
      </c>
      <c r="E963" s="112">
        <f>'OPEN FOREIGN ORDER'!AB589</f>
        <v>0</v>
      </c>
      <c r="F963" s="112">
        <f>'OPEN FOREIGN ORDER'!AC589</f>
        <v>0</v>
      </c>
      <c r="G963" s="112">
        <f>'OPEN FOREIGN ORDER'!AD589</f>
        <v>0</v>
      </c>
      <c r="H963" s="112">
        <f>'OPEN FOREIGN ORDER'!AE589</f>
        <v>0</v>
      </c>
      <c r="I963" s="112">
        <f>'OPEN FOREIGN ORDER'!AF589</f>
        <v>0</v>
      </c>
      <c r="J963" s="112">
        <f>'OPEN FOREIGN ORDER'!AG589</f>
        <v>0</v>
      </c>
    </row>
    <row r="964" spans="1:10">
      <c r="A964">
        <f>'OPEN FOREIGN ORDER'!D590</f>
        <v>0</v>
      </c>
      <c r="B964">
        <f>'OPEN FOREIGN ORDER'!F590</f>
        <v>0</v>
      </c>
      <c r="C964">
        <f>'OPEN FOREIGN ORDER'!Z590</f>
        <v>0</v>
      </c>
      <c r="D964" s="123">
        <f>'OPEN FOREIGN ORDER'!AA590</f>
        <v>0</v>
      </c>
      <c r="E964" s="112">
        <f>'OPEN FOREIGN ORDER'!AB590</f>
        <v>0</v>
      </c>
      <c r="F964" s="112">
        <f>'OPEN FOREIGN ORDER'!AC590</f>
        <v>0</v>
      </c>
      <c r="G964" s="112">
        <f>'OPEN FOREIGN ORDER'!AD590</f>
        <v>0</v>
      </c>
      <c r="H964" s="112">
        <f>'OPEN FOREIGN ORDER'!AE590</f>
        <v>0</v>
      </c>
      <c r="I964" s="112">
        <f>'OPEN FOREIGN ORDER'!AF590</f>
        <v>0</v>
      </c>
      <c r="J964" s="112">
        <f>'OPEN FOREIGN ORDER'!AG590</f>
        <v>0</v>
      </c>
    </row>
    <row r="965" spans="1:10">
      <c r="A965">
        <f>'OPEN FOREIGN ORDER'!D591</f>
        <v>0</v>
      </c>
      <c r="B965">
        <f>'OPEN FOREIGN ORDER'!F591</f>
        <v>0</v>
      </c>
      <c r="C965">
        <f>'OPEN FOREIGN ORDER'!Z591</f>
        <v>0</v>
      </c>
      <c r="D965" s="123">
        <f>'OPEN FOREIGN ORDER'!AA591</f>
        <v>0</v>
      </c>
      <c r="E965" s="112">
        <f>'OPEN FOREIGN ORDER'!AB591</f>
        <v>0</v>
      </c>
      <c r="F965" s="112">
        <f>'OPEN FOREIGN ORDER'!AC591</f>
        <v>0</v>
      </c>
      <c r="G965" s="112">
        <f>'OPEN FOREIGN ORDER'!AD591</f>
        <v>0</v>
      </c>
      <c r="H965" s="112">
        <f>'OPEN FOREIGN ORDER'!AE591</f>
        <v>0</v>
      </c>
      <c r="I965" s="112">
        <f>'OPEN FOREIGN ORDER'!AF591</f>
        <v>0</v>
      </c>
      <c r="J965" s="112">
        <f>'OPEN FOREIGN ORDER'!AG591</f>
        <v>0</v>
      </c>
    </row>
    <row r="966" spans="1:10">
      <c r="A966">
        <f>'OPEN FOREIGN ORDER'!D592</f>
        <v>0</v>
      </c>
      <c r="B966">
        <f>'OPEN FOREIGN ORDER'!F592</f>
        <v>0</v>
      </c>
      <c r="C966">
        <f>'OPEN FOREIGN ORDER'!Z592</f>
        <v>0</v>
      </c>
      <c r="D966" s="123">
        <f>'OPEN FOREIGN ORDER'!AA592</f>
        <v>0</v>
      </c>
      <c r="E966" s="112">
        <f>'OPEN FOREIGN ORDER'!AB592</f>
        <v>0</v>
      </c>
      <c r="F966" s="112">
        <f>'OPEN FOREIGN ORDER'!AC592</f>
        <v>0</v>
      </c>
      <c r="G966" s="112">
        <f>'OPEN FOREIGN ORDER'!AD592</f>
        <v>0</v>
      </c>
      <c r="H966" s="112">
        <f>'OPEN FOREIGN ORDER'!AE592</f>
        <v>0</v>
      </c>
      <c r="I966" s="112">
        <f>'OPEN FOREIGN ORDER'!AF592</f>
        <v>0</v>
      </c>
      <c r="J966" s="112">
        <f>'OPEN FOREIGN ORDER'!AG592</f>
        <v>0</v>
      </c>
    </row>
    <row r="967" spans="1:10">
      <c r="A967">
        <f>'OPEN FOREIGN ORDER'!D593</f>
        <v>0</v>
      </c>
      <c r="B967">
        <f>'OPEN FOREIGN ORDER'!F593</f>
        <v>0</v>
      </c>
      <c r="C967">
        <f>'OPEN FOREIGN ORDER'!Z593</f>
        <v>0</v>
      </c>
      <c r="D967" s="123">
        <f>'OPEN FOREIGN ORDER'!AA593</f>
        <v>0</v>
      </c>
      <c r="E967" s="112">
        <f>'OPEN FOREIGN ORDER'!AB593</f>
        <v>0</v>
      </c>
      <c r="F967" s="112">
        <f>'OPEN FOREIGN ORDER'!AC593</f>
        <v>0</v>
      </c>
      <c r="G967" s="112">
        <f>'OPEN FOREIGN ORDER'!AD593</f>
        <v>0</v>
      </c>
      <c r="H967" s="112">
        <f>'OPEN FOREIGN ORDER'!AE593</f>
        <v>0</v>
      </c>
      <c r="I967" s="112">
        <f>'OPEN FOREIGN ORDER'!AF593</f>
        <v>0</v>
      </c>
      <c r="J967" s="112">
        <f>'OPEN FOREIGN ORDER'!AG593</f>
        <v>0</v>
      </c>
    </row>
    <row r="968" spans="1:10">
      <c r="A968">
        <f>'OPEN FOREIGN ORDER'!D594</f>
        <v>0</v>
      </c>
      <c r="B968">
        <f>'OPEN FOREIGN ORDER'!F594</f>
        <v>0</v>
      </c>
      <c r="C968">
        <f>'OPEN FOREIGN ORDER'!Z594</f>
        <v>0</v>
      </c>
      <c r="D968" s="123">
        <f>'OPEN FOREIGN ORDER'!AA594</f>
        <v>0</v>
      </c>
      <c r="E968" s="112">
        <f>'OPEN FOREIGN ORDER'!AB594</f>
        <v>0</v>
      </c>
      <c r="F968" s="112">
        <f>'OPEN FOREIGN ORDER'!AC594</f>
        <v>0</v>
      </c>
      <c r="G968" s="112">
        <f>'OPEN FOREIGN ORDER'!AD594</f>
        <v>0</v>
      </c>
      <c r="H968" s="112">
        <f>'OPEN FOREIGN ORDER'!AE594</f>
        <v>0</v>
      </c>
      <c r="I968" s="112">
        <f>'OPEN FOREIGN ORDER'!AF594</f>
        <v>0</v>
      </c>
      <c r="J968" s="112">
        <f>'OPEN FOREIGN ORDER'!AG594</f>
        <v>0</v>
      </c>
    </row>
    <row r="969" spans="1:10">
      <c r="A969">
        <f>'OPEN FOREIGN ORDER'!D595</f>
        <v>0</v>
      </c>
      <c r="B969">
        <f>'OPEN FOREIGN ORDER'!F595</f>
        <v>0</v>
      </c>
      <c r="C969">
        <f>'OPEN FOREIGN ORDER'!Z595</f>
        <v>0</v>
      </c>
      <c r="D969" s="123">
        <f>'OPEN FOREIGN ORDER'!AA595</f>
        <v>0</v>
      </c>
      <c r="E969" s="112">
        <f>'OPEN FOREIGN ORDER'!AB595</f>
        <v>0</v>
      </c>
      <c r="F969" s="112">
        <f>'OPEN FOREIGN ORDER'!AC595</f>
        <v>0</v>
      </c>
      <c r="G969" s="112">
        <f>'OPEN FOREIGN ORDER'!AD595</f>
        <v>0</v>
      </c>
      <c r="H969" s="112">
        <f>'OPEN FOREIGN ORDER'!AE595</f>
        <v>0</v>
      </c>
      <c r="I969" s="112">
        <f>'OPEN FOREIGN ORDER'!AF595</f>
        <v>0</v>
      </c>
      <c r="J969" s="112">
        <f>'OPEN FOREIGN ORDER'!AG595</f>
        <v>0</v>
      </c>
    </row>
    <row r="970" spans="1:10">
      <c r="A970">
        <f>'OPEN FOREIGN ORDER'!D596</f>
        <v>0</v>
      </c>
      <c r="B970">
        <f>'OPEN FOREIGN ORDER'!F596</f>
        <v>0</v>
      </c>
      <c r="C970">
        <f>'OPEN FOREIGN ORDER'!Z596</f>
        <v>0</v>
      </c>
      <c r="D970" s="123">
        <f>'OPEN FOREIGN ORDER'!AA596</f>
        <v>0</v>
      </c>
      <c r="E970" s="112">
        <f>'OPEN FOREIGN ORDER'!AB596</f>
        <v>0</v>
      </c>
      <c r="F970" s="112">
        <f>'OPEN FOREIGN ORDER'!AC596</f>
        <v>0</v>
      </c>
      <c r="G970" s="112">
        <f>'OPEN FOREIGN ORDER'!AD596</f>
        <v>0</v>
      </c>
      <c r="H970" s="112">
        <f>'OPEN FOREIGN ORDER'!AE596</f>
        <v>0</v>
      </c>
      <c r="I970" s="112">
        <f>'OPEN FOREIGN ORDER'!AF596</f>
        <v>0</v>
      </c>
      <c r="J970" s="112">
        <f>'OPEN FOREIGN ORDER'!AG596</f>
        <v>0</v>
      </c>
    </row>
    <row r="971" spans="1:10">
      <c r="A971">
        <f>'OPEN FOREIGN ORDER'!D597</f>
        <v>0</v>
      </c>
      <c r="B971">
        <f>'OPEN FOREIGN ORDER'!F597</f>
        <v>0</v>
      </c>
      <c r="C971">
        <f>'OPEN FOREIGN ORDER'!Z597</f>
        <v>0</v>
      </c>
      <c r="D971" s="123">
        <f>'OPEN FOREIGN ORDER'!AA597</f>
        <v>0</v>
      </c>
      <c r="E971" s="112">
        <f>'OPEN FOREIGN ORDER'!AB597</f>
        <v>0</v>
      </c>
      <c r="F971" s="112">
        <f>'OPEN FOREIGN ORDER'!AC597</f>
        <v>0</v>
      </c>
      <c r="G971" s="112">
        <f>'OPEN FOREIGN ORDER'!AD597</f>
        <v>0</v>
      </c>
      <c r="H971" s="112">
        <f>'OPEN FOREIGN ORDER'!AE597</f>
        <v>0</v>
      </c>
      <c r="I971" s="112">
        <f>'OPEN FOREIGN ORDER'!AF597</f>
        <v>0</v>
      </c>
      <c r="J971" s="112">
        <f>'OPEN FOREIGN ORDER'!AG597</f>
        <v>0</v>
      </c>
    </row>
    <row r="972" spans="1:10">
      <c r="A972">
        <f>'OPEN FOREIGN ORDER'!D598</f>
        <v>0</v>
      </c>
      <c r="B972">
        <f>'OPEN FOREIGN ORDER'!F598</f>
        <v>0</v>
      </c>
      <c r="C972">
        <f>'OPEN FOREIGN ORDER'!Z598</f>
        <v>0</v>
      </c>
      <c r="D972" s="123">
        <f>'OPEN FOREIGN ORDER'!AA598</f>
        <v>0</v>
      </c>
      <c r="E972" s="112">
        <f>'OPEN FOREIGN ORDER'!AB598</f>
        <v>0</v>
      </c>
      <c r="F972" s="112">
        <f>'OPEN FOREIGN ORDER'!AC598</f>
        <v>0</v>
      </c>
      <c r="G972" s="112">
        <f>'OPEN FOREIGN ORDER'!AD598</f>
        <v>0</v>
      </c>
      <c r="H972" s="112">
        <f>'OPEN FOREIGN ORDER'!AE598</f>
        <v>0</v>
      </c>
      <c r="I972" s="112">
        <f>'OPEN FOREIGN ORDER'!AF598</f>
        <v>0</v>
      </c>
      <c r="J972" s="112">
        <f>'OPEN FOREIGN ORDER'!AG598</f>
        <v>0</v>
      </c>
    </row>
    <row r="973" spans="1:10">
      <c r="A973">
        <f>'OPEN FOREIGN ORDER'!D599</f>
        <v>0</v>
      </c>
      <c r="B973">
        <f>'OPEN FOREIGN ORDER'!F599</f>
        <v>0</v>
      </c>
      <c r="C973">
        <f>'OPEN FOREIGN ORDER'!Z599</f>
        <v>0</v>
      </c>
      <c r="D973" s="123">
        <f>'OPEN FOREIGN ORDER'!AA599</f>
        <v>0</v>
      </c>
      <c r="E973" s="112">
        <f>'OPEN FOREIGN ORDER'!AB599</f>
        <v>0</v>
      </c>
      <c r="F973" s="112">
        <f>'OPEN FOREIGN ORDER'!AC599</f>
        <v>0</v>
      </c>
      <c r="G973" s="112">
        <f>'OPEN FOREIGN ORDER'!AD599</f>
        <v>0</v>
      </c>
      <c r="H973" s="112">
        <f>'OPEN FOREIGN ORDER'!AE599</f>
        <v>0</v>
      </c>
      <c r="I973" s="112">
        <f>'OPEN FOREIGN ORDER'!AF599</f>
        <v>0</v>
      </c>
      <c r="J973" s="112">
        <f>'OPEN FOREIGN ORDER'!AG599</f>
        <v>0</v>
      </c>
    </row>
    <row r="974" spans="1:10">
      <c r="A974">
        <f>'OPEN FOREIGN ORDER'!D600</f>
        <v>0</v>
      </c>
      <c r="B974">
        <f>'OPEN FOREIGN ORDER'!F600</f>
        <v>0</v>
      </c>
      <c r="C974">
        <f>'OPEN FOREIGN ORDER'!Z600</f>
        <v>0</v>
      </c>
      <c r="D974" s="123">
        <f>'OPEN FOREIGN ORDER'!AA600</f>
        <v>0</v>
      </c>
      <c r="E974" s="112">
        <f>'OPEN FOREIGN ORDER'!AB600</f>
        <v>0</v>
      </c>
      <c r="F974" s="112">
        <f>'OPEN FOREIGN ORDER'!AC600</f>
        <v>0</v>
      </c>
      <c r="G974" s="112">
        <f>'OPEN FOREIGN ORDER'!AD600</f>
        <v>0</v>
      </c>
      <c r="H974" s="112">
        <f>'OPEN FOREIGN ORDER'!AE600</f>
        <v>0</v>
      </c>
      <c r="I974" s="112">
        <f>'OPEN FOREIGN ORDER'!AF600</f>
        <v>0</v>
      </c>
      <c r="J974" s="112">
        <f>'OPEN FOREIGN ORDER'!AG600</f>
        <v>0</v>
      </c>
    </row>
    <row r="975" spans="1:10">
      <c r="A975">
        <f>'OPEN FOREIGN ORDER'!D601</f>
        <v>0</v>
      </c>
      <c r="B975">
        <f>'OPEN FOREIGN ORDER'!F601</f>
        <v>0</v>
      </c>
      <c r="C975">
        <f>'OPEN FOREIGN ORDER'!Z601</f>
        <v>0</v>
      </c>
      <c r="D975" s="123">
        <f>'OPEN FOREIGN ORDER'!AA601</f>
        <v>0</v>
      </c>
      <c r="E975" s="112">
        <f>'OPEN FOREIGN ORDER'!AB601</f>
        <v>0</v>
      </c>
      <c r="F975" s="112">
        <f>'OPEN FOREIGN ORDER'!AC601</f>
        <v>0</v>
      </c>
      <c r="G975" s="112">
        <f>'OPEN FOREIGN ORDER'!AD601</f>
        <v>0</v>
      </c>
      <c r="H975" s="112">
        <f>'OPEN FOREIGN ORDER'!AE601</f>
        <v>0</v>
      </c>
      <c r="I975" s="112">
        <f>'OPEN FOREIGN ORDER'!AF601</f>
        <v>0</v>
      </c>
      <c r="J975" s="112">
        <f>'OPEN FOREIGN ORDER'!AG601</f>
        <v>0</v>
      </c>
    </row>
    <row r="976" spans="1:10">
      <c r="A976">
        <f>'OPEN FOREIGN ORDER'!D602</f>
        <v>0</v>
      </c>
      <c r="B976">
        <f>'OPEN FOREIGN ORDER'!F602</f>
        <v>0</v>
      </c>
      <c r="C976">
        <f>'OPEN FOREIGN ORDER'!Z602</f>
        <v>0</v>
      </c>
      <c r="D976" s="123">
        <f>'OPEN FOREIGN ORDER'!AA602</f>
        <v>0</v>
      </c>
      <c r="E976" s="112">
        <f>'OPEN FOREIGN ORDER'!AB602</f>
        <v>0</v>
      </c>
      <c r="F976" s="112">
        <f>'OPEN FOREIGN ORDER'!AC602</f>
        <v>0</v>
      </c>
      <c r="G976" s="112">
        <f>'OPEN FOREIGN ORDER'!AD602</f>
        <v>0</v>
      </c>
      <c r="H976" s="112">
        <f>'OPEN FOREIGN ORDER'!AE602</f>
        <v>0</v>
      </c>
      <c r="I976" s="112">
        <f>'OPEN FOREIGN ORDER'!AF602</f>
        <v>0</v>
      </c>
      <c r="J976" s="112">
        <f>'OPEN FOREIGN ORDER'!AG602</f>
        <v>0</v>
      </c>
    </row>
    <row r="977" spans="1:10">
      <c r="A977">
        <f>'OPEN FOREIGN ORDER'!D603</f>
        <v>0</v>
      </c>
      <c r="B977">
        <f>'OPEN FOREIGN ORDER'!F603</f>
        <v>0</v>
      </c>
      <c r="C977">
        <f>'OPEN FOREIGN ORDER'!Z603</f>
        <v>0</v>
      </c>
      <c r="D977" s="123">
        <f>'OPEN FOREIGN ORDER'!AA603</f>
        <v>0</v>
      </c>
      <c r="E977" s="112">
        <f>'OPEN FOREIGN ORDER'!AB603</f>
        <v>0</v>
      </c>
      <c r="F977" s="112">
        <f>'OPEN FOREIGN ORDER'!AC603</f>
        <v>0</v>
      </c>
      <c r="G977" s="112">
        <f>'OPEN FOREIGN ORDER'!AD603</f>
        <v>0</v>
      </c>
      <c r="H977" s="112">
        <f>'OPEN FOREIGN ORDER'!AE603</f>
        <v>0</v>
      </c>
      <c r="I977" s="112">
        <f>'OPEN FOREIGN ORDER'!AF603</f>
        <v>0</v>
      </c>
      <c r="J977" s="112">
        <f>'OPEN FOREIGN ORDER'!AG603</f>
        <v>0</v>
      </c>
    </row>
    <row r="978" spans="1:10">
      <c r="A978">
        <f>'OPEN FOREIGN ORDER'!D604</f>
        <v>0</v>
      </c>
      <c r="B978">
        <f>'OPEN FOREIGN ORDER'!F604</f>
        <v>0</v>
      </c>
      <c r="C978">
        <f>'OPEN FOREIGN ORDER'!Z604</f>
        <v>0</v>
      </c>
      <c r="D978" s="123">
        <f>'OPEN FOREIGN ORDER'!AA604</f>
        <v>0</v>
      </c>
      <c r="E978" s="112">
        <f>'OPEN FOREIGN ORDER'!AB604</f>
        <v>0</v>
      </c>
      <c r="F978" s="112">
        <f>'OPEN FOREIGN ORDER'!AC604</f>
        <v>0</v>
      </c>
      <c r="G978" s="112">
        <f>'OPEN FOREIGN ORDER'!AD604</f>
        <v>0</v>
      </c>
      <c r="H978" s="112">
        <f>'OPEN FOREIGN ORDER'!AE604</f>
        <v>0</v>
      </c>
      <c r="I978" s="112">
        <f>'OPEN FOREIGN ORDER'!AF604</f>
        <v>0</v>
      </c>
      <c r="J978" s="112">
        <f>'OPEN FOREIGN ORDER'!AG604</f>
        <v>0</v>
      </c>
    </row>
    <row r="979" spans="1:10">
      <c r="A979">
        <f>'OPEN FOREIGN ORDER'!D605</f>
        <v>0</v>
      </c>
      <c r="B979">
        <f>'OPEN FOREIGN ORDER'!F605</f>
        <v>0</v>
      </c>
      <c r="C979">
        <f>'OPEN FOREIGN ORDER'!Z605</f>
        <v>0</v>
      </c>
      <c r="D979" s="123">
        <f>'OPEN FOREIGN ORDER'!AA605</f>
        <v>0</v>
      </c>
      <c r="E979" s="112">
        <f>'OPEN FOREIGN ORDER'!AB605</f>
        <v>0</v>
      </c>
      <c r="F979" s="112">
        <f>'OPEN FOREIGN ORDER'!AC605</f>
        <v>0</v>
      </c>
      <c r="G979" s="112">
        <f>'OPEN FOREIGN ORDER'!AD605</f>
        <v>0</v>
      </c>
      <c r="H979" s="112">
        <f>'OPEN FOREIGN ORDER'!AE605</f>
        <v>0</v>
      </c>
      <c r="I979" s="112">
        <f>'OPEN FOREIGN ORDER'!AF605</f>
        <v>0</v>
      </c>
      <c r="J979" s="112">
        <f>'OPEN FOREIGN ORDER'!AG605</f>
        <v>0</v>
      </c>
    </row>
    <row r="980" spans="1:10">
      <c r="A980">
        <f>'OPEN FOREIGN ORDER'!D606</f>
        <v>0</v>
      </c>
      <c r="B980">
        <f>'OPEN FOREIGN ORDER'!F606</f>
        <v>0</v>
      </c>
      <c r="C980">
        <f>'OPEN FOREIGN ORDER'!Z606</f>
        <v>0</v>
      </c>
      <c r="D980" s="123">
        <f>'OPEN FOREIGN ORDER'!AA606</f>
        <v>0</v>
      </c>
      <c r="E980" s="112">
        <f>'OPEN FOREIGN ORDER'!AB606</f>
        <v>0</v>
      </c>
      <c r="F980" s="112">
        <f>'OPEN FOREIGN ORDER'!AC606</f>
        <v>0</v>
      </c>
      <c r="G980" s="112">
        <f>'OPEN FOREIGN ORDER'!AD606</f>
        <v>0</v>
      </c>
      <c r="H980" s="112">
        <f>'OPEN FOREIGN ORDER'!AE606</f>
        <v>0</v>
      </c>
      <c r="I980" s="112">
        <f>'OPEN FOREIGN ORDER'!AF606</f>
        <v>0</v>
      </c>
      <c r="J980" s="112">
        <f>'OPEN FOREIGN ORDER'!AG606</f>
        <v>0</v>
      </c>
    </row>
    <row r="981" spans="1:10">
      <c r="A981">
        <f>'OPEN FOREIGN ORDER'!D607</f>
        <v>0</v>
      </c>
      <c r="B981">
        <f>'OPEN FOREIGN ORDER'!F607</f>
        <v>0</v>
      </c>
      <c r="C981">
        <f>'OPEN FOREIGN ORDER'!Z607</f>
        <v>0</v>
      </c>
      <c r="D981" s="123">
        <f>'OPEN FOREIGN ORDER'!AA607</f>
        <v>0</v>
      </c>
      <c r="E981" s="112">
        <f>'OPEN FOREIGN ORDER'!AB607</f>
        <v>0</v>
      </c>
      <c r="F981" s="112">
        <f>'OPEN FOREIGN ORDER'!AC607</f>
        <v>0</v>
      </c>
      <c r="G981" s="112">
        <f>'OPEN FOREIGN ORDER'!AD607</f>
        <v>0</v>
      </c>
      <c r="H981" s="112">
        <f>'OPEN FOREIGN ORDER'!AE607</f>
        <v>0</v>
      </c>
      <c r="I981" s="112">
        <f>'OPEN FOREIGN ORDER'!AF607</f>
        <v>0</v>
      </c>
      <c r="J981" s="112">
        <f>'OPEN FOREIGN ORDER'!AG607</f>
        <v>0</v>
      </c>
    </row>
    <row r="982" spans="1:10">
      <c r="A982">
        <f>'OPEN FOREIGN ORDER'!D608</f>
        <v>0</v>
      </c>
      <c r="B982">
        <f>'OPEN FOREIGN ORDER'!F608</f>
        <v>0</v>
      </c>
      <c r="C982">
        <f>'OPEN FOREIGN ORDER'!Z608</f>
        <v>0</v>
      </c>
      <c r="D982" s="123">
        <f>'OPEN FOREIGN ORDER'!AA608</f>
        <v>0</v>
      </c>
      <c r="E982" s="112">
        <f>'OPEN FOREIGN ORDER'!AB608</f>
        <v>0</v>
      </c>
      <c r="F982" s="112">
        <f>'OPEN FOREIGN ORDER'!AC608</f>
        <v>0</v>
      </c>
      <c r="G982" s="112">
        <f>'OPEN FOREIGN ORDER'!AD608</f>
        <v>0</v>
      </c>
      <c r="H982" s="112">
        <f>'OPEN FOREIGN ORDER'!AE608</f>
        <v>0</v>
      </c>
      <c r="I982" s="112">
        <f>'OPEN FOREIGN ORDER'!AF608</f>
        <v>0</v>
      </c>
      <c r="J982" s="112">
        <f>'OPEN FOREIGN ORDER'!AG608</f>
        <v>0</v>
      </c>
    </row>
    <row r="983" spans="1:10">
      <c r="A983">
        <f>'OPEN FOREIGN ORDER'!D609</f>
        <v>0</v>
      </c>
      <c r="B983">
        <f>'OPEN FOREIGN ORDER'!F609</f>
        <v>0</v>
      </c>
      <c r="C983">
        <f>'OPEN FOREIGN ORDER'!Z609</f>
        <v>0</v>
      </c>
      <c r="D983" s="123">
        <f>'OPEN FOREIGN ORDER'!AA609</f>
        <v>0</v>
      </c>
      <c r="E983" s="112">
        <f>'OPEN FOREIGN ORDER'!AB609</f>
        <v>0</v>
      </c>
      <c r="F983" s="112">
        <f>'OPEN FOREIGN ORDER'!AC609</f>
        <v>0</v>
      </c>
      <c r="G983" s="112">
        <f>'OPEN FOREIGN ORDER'!AD609</f>
        <v>0</v>
      </c>
      <c r="H983" s="112">
        <f>'OPEN FOREIGN ORDER'!AE609</f>
        <v>0</v>
      </c>
      <c r="I983" s="112">
        <f>'OPEN FOREIGN ORDER'!AF609</f>
        <v>0</v>
      </c>
      <c r="J983" s="112">
        <f>'OPEN FOREIGN ORDER'!AG609</f>
        <v>0</v>
      </c>
    </row>
    <row r="984" spans="1:10">
      <c r="A984">
        <f>'OPEN FOREIGN ORDER'!D610</f>
        <v>0</v>
      </c>
      <c r="B984">
        <f>'OPEN FOREIGN ORDER'!F610</f>
        <v>0</v>
      </c>
      <c r="C984">
        <f>'OPEN FOREIGN ORDER'!Z610</f>
        <v>0</v>
      </c>
      <c r="D984" s="123">
        <f>'OPEN FOREIGN ORDER'!AA610</f>
        <v>0</v>
      </c>
      <c r="E984" s="112">
        <f>'OPEN FOREIGN ORDER'!AB610</f>
        <v>0</v>
      </c>
      <c r="F984" s="112">
        <f>'OPEN FOREIGN ORDER'!AC610</f>
        <v>0</v>
      </c>
      <c r="G984" s="112">
        <f>'OPEN FOREIGN ORDER'!AD610</f>
        <v>0</v>
      </c>
      <c r="H984" s="112">
        <f>'OPEN FOREIGN ORDER'!AE610</f>
        <v>0</v>
      </c>
      <c r="I984" s="112">
        <f>'OPEN FOREIGN ORDER'!AF610</f>
        <v>0</v>
      </c>
      <c r="J984" s="112">
        <f>'OPEN FOREIGN ORDER'!AG610</f>
        <v>0</v>
      </c>
    </row>
    <row r="985" spans="1:10">
      <c r="A985">
        <f>'OPEN FOREIGN ORDER'!D611</f>
        <v>0</v>
      </c>
      <c r="B985">
        <f>'OPEN FOREIGN ORDER'!F611</f>
        <v>0</v>
      </c>
      <c r="C985">
        <f>'OPEN FOREIGN ORDER'!Z611</f>
        <v>0</v>
      </c>
      <c r="D985" s="123">
        <f>'OPEN FOREIGN ORDER'!AA611</f>
        <v>0</v>
      </c>
      <c r="E985" s="112">
        <f>'OPEN FOREIGN ORDER'!AB611</f>
        <v>0</v>
      </c>
      <c r="F985" s="112">
        <f>'OPEN FOREIGN ORDER'!AC611</f>
        <v>0</v>
      </c>
      <c r="G985" s="112">
        <f>'OPEN FOREIGN ORDER'!AD611</f>
        <v>0</v>
      </c>
      <c r="H985" s="112">
        <f>'OPEN FOREIGN ORDER'!AE611</f>
        <v>0</v>
      </c>
      <c r="I985" s="112">
        <f>'OPEN FOREIGN ORDER'!AF611</f>
        <v>0</v>
      </c>
      <c r="J985" s="112">
        <f>'OPEN FOREIGN ORDER'!AG611</f>
        <v>0</v>
      </c>
    </row>
    <row r="986" spans="1:10">
      <c r="A986">
        <f>'OPEN FOREIGN ORDER'!D612</f>
        <v>0</v>
      </c>
      <c r="B986">
        <f>'OPEN FOREIGN ORDER'!F612</f>
        <v>0</v>
      </c>
      <c r="C986">
        <f>'OPEN FOREIGN ORDER'!Z612</f>
        <v>0</v>
      </c>
      <c r="D986" s="123">
        <f>'OPEN FOREIGN ORDER'!AA612</f>
        <v>0</v>
      </c>
      <c r="E986" s="112">
        <f>'OPEN FOREIGN ORDER'!AB612</f>
        <v>0</v>
      </c>
      <c r="F986" s="112">
        <f>'OPEN FOREIGN ORDER'!AC612</f>
        <v>0</v>
      </c>
      <c r="G986" s="112">
        <f>'OPEN FOREIGN ORDER'!AD612</f>
        <v>0</v>
      </c>
      <c r="H986" s="112">
        <f>'OPEN FOREIGN ORDER'!AE612</f>
        <v>0</v>
      </c>
      <c r="I986" s="112">
        <f>'OPEN FOREIGN ORDER'!AF612</f>
        <v>0</v>
      </c>
      <c r="J986" s="112">
        <f>'OPEN FOREIGN ORDER'!AG612</f>
        <v>0</v>
      </c>
    </row>
    <row r="987" spans="1:10">
      <c r="A987">
        <f>'OPEN FOREIGN ORDER'!D613</f>
        <v>0</v>
      </c>
      <c r="B987">
        <f>'OPEN FOREIGN ORDER'!F613</f>
        <v>0</v>
      </c>
      <c r="C987">
        <f>'OPEN FOREIGN ORDER'!Z613</f>
        <v>0</v>
      </c>
      <c r="D987" s="123">
        <f>'OPEN FOREIGN ORDER'!AA613</f>
        <v>0</v>
      </c>
      <c r="E987" s="112">
        <f>'OPEN FOREIGN ORDER'!AB613</f>
        <v>0</v>
      </c>
      <c r="F987" s="112">
        <f>'OPEN FOREIGN ORDER'!AC613</f>
        <v>0</v>
      </c>
      <c r="G987" s="112">
        <f>'OPEN FOREIGN ORDER'!AD613</f>
        <v>0</v>
      </c>
      <c r="H987" s="112">
        <f>'OPEN FOREIGN ORDER'!AE613</f>
        <v>0</v>
      </c>
      <c r="I987" s="112">
        <f>'OPEN FOREIGN ORDER'!AF613</f>
        <v>0</v>
      </c>
      <c r="J987" s="112">
        <f>'OPEN FOREIGN ORDER'!AG613</f>
        <v>0</v>
      </c>
    </row>
    <row r="988" spans="1:10">
      <c r="A988">
        <f>'OPEN FOREIGN ORDER'!D614</f>
        <v>0</v>
      </c>
      <c r="B988">
        <f>'OPEN FOREIGN ORDER'!F614</f>
        <v>0</v>
      </c>
      <c r="C988">
        <f>'OPEN FOREIGN ORDER'!Z614</f>
        <v>0</v>
      </c>
      <c r="D988" s="123">
        <f>'OPEN FOREIGN ORDER'!AA614</f>
        <v>0</v>
      </c>
      <c r="E988" s="112">
        <f>'OPEN FOREIGN ORDER'!AB614</f>
        <v>0</v>
      </c>
      <c r="F988" s="112">
        <f>'OPEN FOREIGN ORDER'!AC614</f>
        <v>0</v>
      </c>
      <c r="G988" s="112">
        <f>'OPEN FOREIGN ORDER'!AD614</f>
        <v>0</v>
      </c>
      <c r="H988" s="112">
        <f>'OPEN FOREIGN ORDER'!AE614</f>
        <v>0</v>
      </c>
      <c r="I988" s="112">
        <f>'OPEN FOREIGN ORDER'!AF614</f>
        <v>0</v>
      </c>
      <c r="J988" s="112">
        <f>'OPEN FOREIGN ORDER'!AG614</f>
        <v>0</v>
      </c>
    </row>
    <row r="989" spans="1:10">
      <c r="A989">
        <f>'OPEN FOREIGN ORDER'!D615</f>
        <v>0</v>
      </c>
      <c r="B989">
        <f>'OPEN FOREIGN ORDER'!F615</f>
        <v>0</v>
      </c>
      <c r="C989">
        <f>'OPEN FOREIGN ORDER'!Z615</f>
        <v>0</v>
      </c>
      <c r="D989" s="123">
        <f>'OPEN FOREIGN ORDER'!AA615</f>
        <v>0</v>
      </c>
      <c r="E989" s="112">
        <f>'OPEN FOREIGN ORDER'!AB615</f>
        <v>0</v>
      </c>
      <c r="F989" s="112">
        <f>'OPEN FOREIGN ORDER'!AC615</f>
        <v>0</v>
      </c>
      <c r="G989" s="112">
        <f>'OPEN FOREIGN ORDER'!AD615</f>
        <v>0</v>
      </c>
      <c r="H989" s="112">
        <f>'OPEN FOREIGN ORDER'!AE615</f>
        <v>0</v>
      </c>
      <c r="I989" s="112">
        <f>'OPEN FOREIGN ORDER'!AF615</f>
        <v>0</v>
      </c>
      <c r="J989" s="112">
        <f>'OPEN FOREIGN ORDER'!AG615</f>
        <v>0</v>
      </c>
    </row>
    <row r="990" spans="1:10">
      <c r="A990">
        <f>'OPEN FOREIGN ORDER'!D616</f>
        <v>0</v>
      </c>
      <c r="B990">
        <f>'OPEN FOREIGN ORDER'!F616</f>
        <v>0</v>
      </c>
      <c r="C990">
        <f>'OPEN FOREIGN ORDER'!Z616</f>
        <v>0</v>
      </c>
      <c r="D990" s="123">
        <f>'OPEN FOREIGN ORDER'!AA616</f>
        <v>0</v>
      </c>
      <c r="E990" s="112">
        <f>'OPEN FOREIGN ORDER'!AB616</f>
        <v>0</v>
      </c>
      <c r="F990" s="112">
        <f>'OPEN FOREIGN ORDER'!AC616</f>
        <v>0</v>
      </c>
      <c r="G990" s="112">
        <f>'OPEN FOREIGN ORDER'!AD616</f>
        <v>0</v>
      </c>
      <c r="H990" s="112">
        <f>'OPEN FOREIGN ORDER'!AE616</f>
        <v>0</v>
      </c>
      <c r="I990" s="112">
        <f>'OPEN FOREIGN ORDER'!AF616</f>
        <v>0</v>
      </c>
      <c r="J990" s="112">
        <f>'OPEN FOREIGN ORDER'!AG616</f>
        <v>0</v>
      </c>
    </row>
    <row r="991" spans="1:10">
      <c r="A991">
        <f>'OPEN FOREIGN ORDER'!D617</f>
        <v>0</v>
      </c>
      <c r="B991">
        <f>'OPEN FOREIGN ORDER'!F617</f>
        <v>0</v>
      </c>
      <c r="C991">
        <f>'OPEN FOREIGN ORDER'!Z617</f>
        <v>0</v>
      </c>
      <c r="D991" s="123">
        <f>'OPEN FOREIGN ORDER'!AA617</f>
        <v>0</v>
      </c>
      <c r="E991" s="112">
        <f>'OPEN FOREIGN ORDER'!AB617</f>
        <v>0</v>
      </c>
      <c r="F991" s="112">
        <f>'OPEN FOREIGN ORDER'!AC617</f>
        <v>0</v>
      </c>
      <c r="G991" s="112">
        <f>'OPEN FOREIGN ORDER'!AD617</f>
        <v>0</v>
      </c>
      <c r="H991" s="112">
        <f>'OPEN FOREIGN ORDER'!AE617</f>
        <v>0</v>
      </c>
      <c r="I991" s="112">
        <f>'OPEN FOREIGN ORDER'!AF617</f>
        <v>0</v>
      </c>
      <c r="J991" s="112">
        <f>'OPEN FOREIGN ORDER'!AG617</f>
        <v>0</v>
      </c>
    </row>
    <row r="992" spans="1:10">
      <c r="A992">
        <f>'OPEN FOREIGN ORDER'!D618</f>
        <v>0</v>
      </c>
      <c r="B992">
        <f>'OPEN FOREIGN ORDER'!F618</f>
        <v>0</v>
      </c>
      <c r="C992">
        <f>'OPEN FOREIGN ORDER'!Z618</f>
        <v>0</v>
      </c>
      <c r="D992" s="123">
        <f>'OPEN FOREIGN ORDER'!AA618</f>
        <v>0</v>
      </c>
      <c r="E992" s="112">
        <f>'OPEN FOREIGN ORDER'!AB618</f>
        <v>0</v>
      </c>
      <c r="F992" s="112">
        <f>'OPEN FOREIGN ORDER'!AC618</f>
        <v>0</v>
      </c>
      <c r="G992" s="112">
        <f>'OPEN FOREIGN ORDER'!AD618</f>
        <v>0</v>
      </c>
      <c r="H992" s="112">
        <f>'OPEN FOREIGN ORDER'!AE618</f>
        <v>0</v>
      </c>
      <c r="I992" s="112">
        <f>'OPEN FOREIGN ORDER'!AF618</f>
        <v>0</v>
      </c>
      <c r="J992" s="112">
        <f>'OPEN FOREIGN ORDER'!AG618</f>
        <v>0</v>
      </c>
    </row>
    <row r="993" spans="1:10">
      <c r="A993">
        <f>'OPEN FOREIGN ORDER'!D619</f>
        <v>0</v>
      </c>
      <c r="B993">
        <f>'OPEN FOREIGN ORDER'!F619</f>
        <v>0</v>
      </c>
      <c r="C993">
        <f>'OPEN FOREIGN ORDER'!Z619</f>
        <v>0</v>
      </c>
      <c r="D993" s="123">
        <f>'OPEN FOREIGN ORDER'!AA619</f>
        <v>0</v>
      </c>
      <c r="E993" s="112">
        <f>'OPEN FOREIGN ORDER'!AB619</f>
        <v>0</v>
      </c>
      <c r="F993" s="112">
        <f>'OPEN FOREIGN ORDER'!AC619</f>
        <v>0</v>
      </c>
      <c r="G993" s="112">
        <f>'OPEN FOREIGN ORDER'!AD619</f>
        <v>0</v>
      </c>
      <c r="H993" s="112">
        <f>'OPEN FOREIGN ORDER'!AE619</f>
        <v>0</v>
      </c>
      <c r="I993" s="112">
        <f>'OPEN FOREIGN ORDER'!AF619</f>
        <v>0</v>
      </c>
      <c r="J993" s="112">
        <f>'OPEN FOREIGN ORDER'!AG619</f>
        <v>0</v>
      </c>
    </row>
    <row r="994" spans="1:10">
      <c r="A994">
        <f>'OPEN FOREIGN ORDER'!D620</f>
        <v>0</v>
      </c>
      <c r="B994">
        <f>'OPEN FOREIGN ORDER'!F620</f>
        <v>0</v>
      </c>
      <c r="C994">
        <f>'OPEN FOREIGN ORDER'!Z620</f>
        <v>0</v>
      </c>
      <c r="D994" s="123">
        <f>'OPEN FOREIGN ORDER'!AA620</f>
        <v>0</v>
      </c>
      <c r="E994" s="112">
        <f>'OPEN FOREIGN ORDER'!AB620</f>
        <v>0</v>
      </c>
      <c r="F994" s="112">
        <f>'OPEN FOREIGN ORDER'!AC620</f>
        <v>0</v>
      </c>
      <c r="G994" s="112">
        <f>'OPEN FOREIGN ORDER'!AD620</f>
        <v>0</v>
      </c>
      <c r="H994" s="112">
        <f>'OPEN FOREIGN ORDER'!AE620</f>
        <v>0</v>
      </c>
      <c r="I994" s="112">
        <f>'OPEN FOREIGN ORDER'!AF620</f>
        <v>0</v>
      </c>
      <c r="J994" s="112">
        <f>'OPEN FOREIGN ORDER'!AG620</f>
        <v>0</v>
      </c>
    </row>
    <row r="995" spans="1:10">
      <c r="A995">
        <f>'OPEN FOREIGN ORDER'!D621</f>
        <v>0</v>
      </c>
      <c r="B995">
        <f>'OPEN FOREIGN ORDER'!F621</f>
        <v>0</v>
      </c>
      <c r="C995">
        <f>'OPEN FOREIGN ORDER'!Z621</f>
        <v>0</v>
      </c>
      <c r="D995" s="123">
        <f>'OPEN FOREIGN ORDER'!AA621</f>
        <v>0</v>
      </c>
      <c r="E995" s="112">
        <f>'OPEN FOREIGN ORDER'!AB621</f>
        <v>0</v>
      </c>
      <c r="F995" s="112">
        <f>'OPEN FOREIGN ORDER'!AC621</f>
        <v>0</v>
      </c>
      <c r="G995" s="112">
        <f>'OPEN FOREIGN ORDER'!AD621</f>
        <v>0</v>
      </c>
      <c r="H995" s="112">
        <f>'OPEN FOREIGN ORDER'!AE621</f>
        <v>0</v>
      </c>
      <c r="I995" s="112">
        <f>'OPEN FOREIGN ORDER'!AF621</f>
        <v>0</v>
      </c>
      <c r="J995" s="112">
        <f>'OPEN FOREIGN ORDER'!AG621</f>
        <v>0</v>
      </c>
    </row>
    <row r="996" spans="1:10">
      <c r="A996">
        <f>'OPEN FOREIGN ORDER'!D622</f>
        <v>0</v>
      </c>
      <c r="B996">
        <f>'OPEN FOREIGN ORDER'!F622</f>
        <v>0</v>
      </c>
      <c r="C996">
        <f>'OPEN FOREIGN ORDER'!Z622</f>
        <v>0</v>
      </c>
      <c r="D996" s="123">
        <f>'OPEN FOREIGN ORDER'!AA622</f>
        <v>0</v>
      </c>
      <c r="E996" s="112">
        <f>'OPEN FOREIGN ORDER'!AB622</f>
        <v>0</v>
      </c>
      <c r="F996" s="112">
        <f>'OPEN FOREIGN ORDER'!AC622</f>
        <v>0</v>
      </c>
      <c r="G996" s="112">
        <f>'OPEN FOREIGN ORDER'!AD622</f>
        <v>0</v>
      </c>
      <c r="H996" s="112">
        <f>'OPEN FOREIGN ORDER'!AE622</f>
        <v>0</v>
      </c>
      <c r="I996" s="112">
        <f>'OPEN FOREIGN ORDER'!AF622</f>
        <v>0</v>
      </c>
      <c r="J996" s="112">
        <f>'OPEN FOREIGN ORDER'!AG622</f>
        <v>0</v>
      </c>
    </row>
    <row r="997" spans="1:10">
      <c r="A997">
        <f>'OPEN FOREIGN ORDER'!D623</f>
        <v>0</v>
      </c>
      <c r="B997">
        <f>'OPEN FOREIGN ORDER'!F623</f>
        <v>0</v>
      </c>
      <c r="C997">
        <f>'OPEN FOREIGN ORDER'!Z623</f>
        <v>0</v>
      </c>
      <c r="D997" s="123">
        <f>'OPEN FOREIGN ORDER'!AA623</f>
        <v>0</v>
      </c>
      <c r="E997" s="112">
        <f>'OPEN FOREIGN ORDER'!AB623</f>
        <v>0</v>
      </c>
      <c r="F997" s="112">
        <f>'OPEN FOREIGN ORDER'!AC623</f>
        <v>0</v>
      </c>
      <c r="G997" s="112">
        <f>'OPEN FOREIGN ORDER'!AD623</f>
        <v>0</v>
      </c>
      <c r="H997" s="112">
        <f>'OPEN FOREIGN ORDER'!AE623</f>
        <v>0</v>
      </c>
      <c r="I997" s="112">
        <f>'OPEN FOREIGN ORDER'!AF623</f>
        <v>0</v>
      </c>
      <c r="J997" s="112">
        <f>'OPEN FOREIGN ORDER'!AG623</f>
        <v>0</v>
      </c>
    </row>
    <row r="998" spans="1:10">
      <c r="A998">
        <f>'OPEN FOREIGN ORDER'!D624</f>
        <v>0</v>
      </c>
      <c r="B998">
        <f>'OPEN FOREIGN ORDER'!F624</f>
        <v>0</v>
      </c>
      <c r="C998">
        <f>'OPEN FOREIGN ORDER'!Z624</f>
        <v>0</v>
      </c>
      <c r="D998" s="123">
        <f>'OPEN FOREIGN ORDER'!AA624</f>
        <v>0</v>
      </c>
      <c r="E998" s="112">
        <f>'OPEN FOREIGN ORDER'!AB624</f>
        <v>0</v>
      </c>
      <c r="F998" s="112">
        <f>'OPEN FOREIGN ORDER'!AC624</f>
        <v>0</v>
      </c>
      <c r="G998" s="112">
        <f>'OPEN FOREIGN ORDER'!AD624</f>
        <v>0</v>
      </c>
      <c r="H998" s="112">
        <f>'OPEN FOREIGN ORDER'!AE624</f>
        <v>0</v>
      </c>
      <c r="I998" s="112">
        <f>'OPEN FOREIGN ORDER'!AF624</f>
        <v>0</v>
      </c>
      <c r="J998" s="112">
        <f>'OPEN FOREIGN ORDER'!AG624</f>
        <v>0</v>
      </c>
    </row>
    <row r="999" spans="1:10">
      <c r="A999">
        <f>'OPEN FOREIGN ORDER'!D625</f>
        <v>0</v>
      </c>
      <c r="B999">
        <f>'OPEN FOREIGN ORDER'!F625</f>
        <v>0</v>
      </c>
      <c r="C999">
        <f>'OPEN FOREIGN ORDER'!Z625</f>
        <v>0</v>
      </c>
      <c r="D999" s="123">
        <f>'OPEN FOREIGN ORDER'!AA625</f>
        <v>0</v>
      </c>
      <c r="E999" s="112">
        <f>'OPEN FOREIGN ORDER'!AB625</f>
        <v>0</v>
      </c>
      <c r="F999" s="112">
        <f>'OPEN FOREIGN ORDER'!AC625</f>
        <v>0</v>
      </c>
      <c r="G999" s="112">
        <f>'OPEN FOREIGN ORDER'!AD625</f>
        <v>0</v>
      </c>
      <c r="H999" s="112">
        <f>'OPEN FOREIGN ORDER'!AE625</f>
        <v>0</v>
      </c>
      <c r="I999" s="112">
        <f>'OPEN FOREIGN ORDER'!AF625</f>
        <v>0</v>
      </c>
      <c r="J999" s="112">
        <f>'OPEN FOREIGN ORDER'!AG625</f>
        <v>0</v>
      </c>
    </row>
    <row r="1000" spans="1:10">
      <c r="A1000">
        <f>'OPEN FOREIGN ORDER'!D626</f>
        <v>0</v>
      </c>
      <c r="B1000">
        <f>'OPEN FOREIGN ORDER'!F626</f>
        <v>0</v>
      </c>
      <c r="C1000">
        <f>'OPEN FOREIGN ORDER'!Z626</f>
        <v>0</v>
      </c>
      <c r="D1000" s="123">
        <f>'OPEN FOREIGN ORDER'!AA626</f>
        <v>0</v>
      </c>
      <c r="E1000" s="112">
        <f>'OPEN FOREIGN ORDER'!AB626</f>
        <v>0</v>
      </c>
      <c r="F1000" s="112">
        <f>'OPEN FOREIGN ORDER'!AC626</f>
        <v>0</v>
      </c>
      <c r="G1000" s="112">
        <f>'OPEN FOREIGN ORDER'!AD626</f>
        <v>0</v>
      </c>
      <c r="H1000" s="112">
        <f>'OPEN FOREIGN ORDER'!AE626</f>
        <v>0</v>
      </c>
      <c r="I1000" s="112">
        <f>'OPEN FOREIGN ORDER'!AF626</f>
        <v>0</v>
      </c>
      <c r="J1000" s="112">
        <f>'OPEN FOREIGN ORDER'!AG626</f>
        <v>0</v>
      </c>
    </row>
    <row r="1001" spans="1:10">
      <c r="A1001">
        <f>'OPEN FOREIGN ORDER'!D627</f>
        <v>0</v>
      </c>
      <c r="B1001">
        <f>'OPEN FOREIGN ORDER'!F627</f>
        <v>0</v>
      </c>
      <c r="C1001">
        <f>'OPEN FOREIGN ORDER'!Z627</f>
        <v>0</v>
      </c>
      <c r="D1001" s="123">
        <f>'OPEN FOREIGN ORDER'!AA627</f>
        <v>0</v>
      </c>
      <c r="E1001" s="112">
        <f>'OPEN FOREIGN ORDER'!AB627</f>
        <v>0</v>
      </c>
      <c r="F1001" s="112">
        <f>'OPEN FOREIGN ORDER'!AC627</f>
        <v>0</v>
      </c>
      <c r="G1001" s="112">
        <f>'OPEN FOREIGN ORDER'!AD627</f>
        <v>0</v>
      </c>
      <c r="H1001" s="112">
        <f>'OPEN FOREIGN ORDER'!AE627</f>
        <v>0</v>
      </c>
      <c r="I1001" s="112">
        <f>'OPEN FOREIGN ORDER'!AF627</f>
        <v>0</v>
      </c>
      <c r="J1001" s="112">
        <f>'OPEN FOREIGN ORDER'!AG627</f>
        <v>0</v>
      </c>
    </row>
    <row r="1002" spans="1:10">
      <c r="A1002">
        <f>'OPEN FOREIGN ORDER'!D628</f>
        <v>0</v>
      </c>
      <c r="B1002">
        <f>'OPEN FOREIGN ORDER'!F628</f>
        <v>0</v>
      </c>
      <c r="C1002">
        <f>'OPEN FOREIGN ORDER'!Z628</f>
        <v>0</v>
      </c>
      <c r="D1002" s="123">
        <f>'OPEN FOREIGN ORDER'!AA628</f>
        <v>0</v>
      </c>
      <c r="E1002" s="112">
        <f>'OPEN FOREIGN ORDER'!AB628</f>
        <v>0</v>
      </c>
      <c r="F1002" s="112">
        <f>'OPEN FOREIGN ORDER'!AC628</f>
        <v>0</v>
      </c>
      <c r="G1002" s="112">
        <f>'OPEN FOREIGN ORDER'!AD628</f>
        <v>0</v>
      </c>
      <c r="H1002" s="112">
        <f>'OPEN FOREIGN ORDER'!AE628</f>
        <v>0</v>
      </c>
      <c r="I1002" s="112">
        <f>'OPEN FOREIGN ORDER'!AF628</f>
        <v>0</v>
      </c>
      <c r="J1002" s="112">
        <f>'OPEN FOREIGN ORDER'!AG628</f>
        <v>0</v>
      </c>
    </row>
    <row r="1003" spans="1:10">
      <c r="A1003">
        <f>'OPEN FOREIGN ORDER'!D629</f>
        <v>0</v>
      </c>
      <c r="B1003">
        <f>'OPEN FOREIGN ORDER'!F629</f>
        <v>0</v>
      </c>
      <c r="C1003">
        <f>'OPEN FOREIGN ORDER'!Z629</f>
        <v>0</v>
      </c>
      <c r="D1003" s="123">
        <f>'OPEN FOREIGN ORDER'!AA629</f>
        <v>0</v>
      </c>
      <c r="E1003" s="112">
        <f>'OPEN FOREIGN ORDER'!AB629</f>
        <v>0</v>
      </c>
      <c r="F1003" s="112">
        <f>'OPEN FOREIGN ORDER'!AC629</f>
        <v>0</v>
      </c>
      <c r="G1003" s="112">
        <f>'OPEN FOREIGN ORDER'!AD629</f>
        <v>0</v>
      </c>
      <c r="H1003" s="112">
        <f>'OPEN FOREIGN ORDER'!AE629</f>
        <v>0</v>
      </c>
      <c r="I1003" s="112">
        <f>'OPEN FOREIGN ORDER'!AF629</f>
        <v>0</v>
      </c>
      <c r="J1003" s="112">
        <f>'OPEN FOREIGN ORDER'!AG629</f>
        <v>0</v>
      </c>
    </row>
    <row r="1004" spans="1:10">
      <c r="A1004">
        <f>'OPEN FOREIGN ORDER'!D630</f>
        <v>0</v>
      </c>
      <c r="B1004">
        <f>'OPEN FOREIGN ORDER'!F630</f>
        <v>0</v>
      </c>
      <c r="C1004">
        <f>'OPEN FOREIGN ORDER'!Z630</f>
        <v>0</v>
      </c>
      <c r="D1004" s="123">
        <f>'OPEN FOREIGN ORDER'!AA630</f>
        <v>0</v>
      </c>
      <c r="E1004" s="112">
        <f>'OPEN FOREIGN ORDER'!AB630</f>
        <v>0</v>
      </c>
      <c r="F1004" s="112">
        <f>'OPEN FOREIGN ORDER'!AC630</f>
        <v>0</v>
      </c>
      <c r="G1004" s="112">
        <f>'OPEN FOREIGN ORDER'!AD630</f>
        <v>0</v>
      </c>
      <c r="H1004" s="112">
        <f>'OPEN FOREIGN ORDER'!AE630</f>
        <v>0</v>
      </c>
      <c r="I1004" s="112">
        <f>'OPEN FOREIGN ORDER'!AF630</f>
        <v>0</v>
      </c>
      <c r="J1004" s="112">
        <f>'OPEN FOREIGN ORDER'!AG630</f>
        <v>0</v>
      </c>
    </row>
    <row r="1005" spans="1:10">
      <c r="A1005">
        <f>'OPEN FOREIGN ORDER'!D631</f>
        <v>0</v>
      </c>
      <c r="B1005">
        <f>'OPEN FOREIGN ORDER'!F631</f>
        <v>0</v>
      </c>
      <c r="C1005">
        <f>'OPEN FOREIGN ORDER'!Z631</f>
        <v>0</v>
      </c>
      <c r="D1005" s="123">
        <f>'OPEN FOREIGN ORDER'!AA631</f>
        <v>0</v>
      </c>
      <c r="E1005" s="112">
        <f>'OPEN FOREIGN ORDER'!AB631</f>
        <v>0</v>
      </c>
      <c r="F1005" s="112">
        <f>'OPEN FOREIGN ORDER'!AC631</f>
        <v>0</v>
      </c>
      <c r="G1005" s="112">
        <f>'OPEN FOREIGN ORDER'!AD631</f>
        <v>0</v>
      </c>
      <c r="H1005" s="112">
        <f>'OPEN FOREIGN ORDER'!AE631</f>
        <v>0</v>
      </c>
      <c r="I1005" s="112">
        <f>'OPEN FOREIGN ORDER'!AF631</f>
        <v>0</v>
      </c>
      <c r="J1005" s="112">
        <f>'OPEN FOREIGN ORDER'!AG631</f>
        <v>0</v>
      </c>
    </row>
    <row r="1006" spans="1:10">
      <c r="A1006">
        <f>'OPEN FOREIGN ORDER'!D632</f>
        <v>0</v>
      </c>
      <c r="B1006">
        <f>'OPEN FOREIGN ORDER'!F632</f>
        <v>0</v>
      </c>
      <c r="C1006">
        <f>'OPEN FOREIGN ORDER'!Z632</f>
        <v>0</v>
      </c>
      <c r="D1006" s="123">
        <f>'OPEN FOREIGN ORDER'!AA632</f>
        <v>0</v>
      </c>
      <c r="E1006" s="112">
        <f>'OPEN FOREIGN ORDER'!AB632</f>
        <v>0</v>
      </c>
      <c r="F1006" s="112">
        <f>'OPEN FOREIGN ORDER'!AC632</f>
        <v>0</v>
      </c>
      <c r="G1006" s="112">
        <f>'OPEN FOREIGN ORDER'!AD632</f>
        <v>0</v>
      </c>
      <c r="H1006" s="112">
        <f>'OPEN FOREIGN ORDER'!AE632</f>
        <v>0</v>
      </c>
      <c r="I1006" s="112">
        <f>'OPEN FOREIGN ORDER'!AF632</f>
        <v>0</v>
      </c>
      <c r="J1006" s="112">
        <f>'OPEN FOREIGN ORDER'!AG632</f>
        <v>0</v>
      </c>
    </row>
    <row r="1007" spans="1:10">
      <c r="A1007">
        <f>'OPEN FOREIGN ORDER'!D633</f>
        <v>0</v>
      </c>
      <c r="B1007">
        <f>'OPEN FOREIGN ORDER'!F633</f>
        <v>0</v>
      </c>
      <c r="C1007">
        <f>'OPEN FOREIGN ORDER'!Z633</f>
        <v>0</v>
      </c>
      <c r="D1007" s="123">
        <f>'OPEN FOREIGN ORDER'!AA633</f>
        <v>0</v>
      </c>
      <c r="E1007" s="112">
        <f>'OPEN FOREIGN ORDER'!AB633</f>
        <v>0</v>
      </c>
      <c r="F1007" s="112">
        <f>'OPEN FOREIGN ORDER'!AC633</f>
        <v>0</v>
      </c>
      <c r="G1007" s="112">
        <f>'OPEN FOREIGN ORDER'!AD633</f>
        <v>0</v>
      </c>
      <c r="H1007" s="112">
        <f>'OPEN FOREIGN ORDER'!AE633</f>
        <v>0</v>
      </c>
      <c r="I1007" s="112">
        <f>'OPEN FOREIGN ORDER'!AF633</f>
        <v>0</v>
      </c>
      <c r="J1007" s="112">
        <f>'OPEN FOREIGN ORDER'!AG633</f>
        <v>0</v>
      </c>
    </row>
    <row r="1008" spans="1:10">
      <c r="A1008">
        <f>'OPEN FOREIGN ORDER'!D634</f>
        <v>0</v>
      </c>
      <c r="B1008">
        <f>'OPEN FOREIGN ORDER'!F634</f>
        <v>0</v>
      </c>
      <c r="C1008">
        <f>'OPEN FOREIGN ORDER'!Z634</f>
        <v>0</v>
      </c>
      <c r="D1008" s="123">
        <f>'OPEN FOREIGN ORDER'!AA634</f>
        <v>0</v>
      </c>
      <c r="E1008" s="112">
        <f>'OPEN FOREIGN ORDER'!AB634</f>
        <v>0</v>
      </c>
      <c r="F1008" s="112">
        <f>'OPEN FOREIGN ORDER'!AC634</f>
        <v>0</v>
      </c>
      <c r="G1008" s="112">
        <f>'OPEN FOREIGN ORDER'!AD634</f>
        <v>0</v>
      </c>
      <c r="H1008" s="112">
        <f>'OPEN FOREIGN ORDER'!AE634</f>
        <v>0</v>
      </c>
      <c r="I1008" s="112">
        <f>'OPEN FOREIGN ORDER'!AF634</f>
        <v>0</v>
      </c>
      <c r="J1008" s="112">
        <f>'OPEN FOREIGN ORDER'!AG634</f>
        <v>0</v>
      </c>
    </row>
    <row r="1009" spans="1:10">
      <c r="A1009">
        <f>'OPEN FOREIGN ORDER'!D635</f>
        <v>0</v>
      </c>
      <c r="B1009">
        <f>'OPEN FOREIGN ORDER'!F635</f>
        <v>0</v>
      </c>
      <c r="C1009">
        <f>'OPEN FOREIGN ORDER'!Z635</f>
        <v>0</v>
      </c>
      <c r="D1009" s="123">
        <f>'OPEN FOREIGN ORDER'!AA635</f>
        <v>0</v>
      </c>
      <c r="E1009" s="112">
        <f>'OPEN FOREIGN ORDER'!AB635</f>
        <v>0</v>
      </c>
      <c r="F1009" s="112">
        <f>'OPEN FOREIGN ORDER'!AC635</f>
        <v>0</v>
      </c>
      <c r="G1009" s="112">
        <f>'OPEN FOREIGN ORDER'!AD635</f>
        <v>0</v>
      </c>
      <c r="H1009" s="112">
        <f>'OPEN FOREIGN ORDER'!AE635</f>
        <v>0</v>
      </c>
      <c r="I1009" s="112">
        <f>'OPEN FOREIGN ORDER'!AF635</f>
        <v>0</v>
      </c>
      <c r="J1009" s="112">
        <f>'OPEN FOREIGN ORDER'!AG635</f>
        <v>0</v>
      </c>
    </row>
    <row r="1010" spans="1:10">
      <c r="A1010">
        <f>'OPEN FOREIGN ORDER'!D636</f>
        <v>0</v>
      </c>
      <c r="B1010">
        <f>'OPEN FOREIGN ORDER'!F636</f>
        <v>0</v>
      </c>
      <c r="C1010">
        <f>'OPEN FOREIGN ORDER'!Z636</f>
        <v>0</v>
      </c>
      <c r="D1010" s="123">
        <f>'OPEN FOREIGN ORDER'!AA636</f>
        <v>0</v>
      </c>
      <c r="E1010" s="112">
        <f>'OPEN FOREIGN ORDER'!AB636</f>
        <v>0</v>
      </c>
      <c r="F1010" s="112">
        <f>'OPEN FOREIGN ORDER'!AC636</f>
        <v>0</v>
      </c>
      <c r="G1010" s="112">
        <f>'OPEN FOREIGN ORDER'!AD636</f>
        <v>0</v>
      </c>
      <c r="H1010" s="112">
        <f>'OPEN FOREIGN ORDER'!AE636</f>
        <v>0</v>
      </c>
      <c r="I1010" s="112">
        <f>'OPEN FOREIGN ORDER'!AF636</f>
        <v>0</v>
      </c>
      <c r="J1010" s="112">
        <f>'OPEN FOREIGN ORDER'!AG636</f>
        <v>0</v>
      </c>
    </row>
    <row r="1011" spans="1:10">
      <c r="A1011">
        <f>'OPEN FOREIGN ORDER'!D637</f>
        <v>0</v>
      </c>
      <c r="B1011">
        <f>'OPEN FOREIGN ORDER'!F637</f>
        <v>0</v>
      </c>
      <c r="C1011">
        <f>'OPEN FOREIGN ORDER'!Z637</f>
        <v>0</v>
      </c>
      <c r="D1011" s="123">
        <f>'OPEN FOREIGN ORDER'!AA637</f>
        <v>0</v>
      </c>
      <c r="E1011" s="112">
        <f>'OPEN FOREIGN ORDER'!AB637</f>
        <v>0</v>
      </c>
      <c r="F1011" s="112">
        <f>'OPEN FOREIGN ORDER'!AC637</f>
        <v>0</v>
      </c>
      <c r="G1011" s="112">
        <f>'OPEN FOREIGN ORDER'!AD637</f>
        <v>0</v>
      </c>
      <c r="H1011" s="112">
        <f>'OPEN FOREIGN ORDER'!AE637</f>
        <v>0</v>
      </c>
      <c r="I1011" s="112">
        <f>'OPEN FOREIGN ORDER'!AF637</f>
        <v>0</v>
      </c>
      <c r="J1011" s="112">
        <f>'OPEN FOREIGN ORDER'!AG637</f>
        <v>0</v>
      </c>
    </row>
    <row r="1012" spans="1:10">
      <c r="A1012">
        <f>'OPEN FOREIGN ORDER'!D638</f>
        <v>0</v>
      </c>
      <c r="B1012">
        <f>'OPEN FOREIGN ORDER'!F638</f>
        <v>0</v>
      </c>
      <c r="C1012">
        <f>'OPEN FOREIGN ORDER'!Z638</f>
        <v>0</v>
      </c>
      <c r="D1012" s="123">
        <f>'OPEN FOREIGN ORDER'!AA638</f>
        <v>0</v>
      </c>
      <c r="E1012" s="112">
        <f>'OPEN FOREIGN ORDER'!AB638</f>
        <v>0</v>
      </c>
      <c r="F1012" s="112">
        <f>'OPEN FOREIGN ORDER'!AC638</f>
        <v>0</v>
      </c>
      <c r="G1012" s="112">
        <f>'OPEN FOREIGN ORDER'!AD638</f>
        <v>0</v>
      </c>
      <c r="H1012" s="112">
        <f>'OPEN FOREIGN ORDER'!AE638</f>
        <v>0</v>
      </c>
      <c r="I1012" s="112">
        <f>'OPEN FOREIGN ORDER'!AF638</f>
        <v>0</v>
      </c>
      <c r="J1012" s="112">
        <f>'OPEN FOREIGN ORDER'!AG638</f>
        <v>0</v>
      </c>
    </row>
    <row r="1013" spans="1:10">
      <c r="A1013">
        <f>'OPEN FOREIGN ORDER'!D639</f>
        <v>0</v>
      </c>
      <c r="B1013">
        <f>'OPEN FOREIGN ORDER'!F639</f>
        <v>0</v>
      </c>
      <c r="C1013">
        <f>'OPEN FOREIGN ORDER'!Z639</f>
        <v>0</v>
      </c>
      <c r="D1013" s="123">
        <f>'OPEN FOREIGN ORDER'!AA639</f>
        <v>0</v>
      </c>
      <c r="E1013" s="112">
        <f>'OPEN FOREIGN ORDER'!AB639</f>
        <v>0</v>
      </c>
      <c r="F1013" s="112">
        <f>'OPEN FOREIGN ORDER'!AC639</f>
        <v>0</v>
      </c>
      <c r="G1013" s="112">
        <f>'OPEN FOREIGN ORDER'!AD639</f>
        <v>0</v>
      </c>
      <c r="H1013" s="112">
        <f>'OPEN FOREIGN ORDER'!AE639</f>
        <v>0</v>
      </c>
      <c r="I1013" s="112">
        <f>'OPEN FOREIGN ORDER'!AF639</f>
        <v>0</v>
      </c>
      <c r="J1013" s="112">
        <f>'OPEN FOREIGN ORDER'!AG639</f>
        <v>0</v>
      </c>
    </row>
    <row r="1014" spans="1:10">
      <c r="A1014">
        <f>'OPEN FOREIGN ORDER'!D640</f>
        <v>0</v>
      </c>
      <c r="B1014">
        <f>'OPEN FOREIGN ORDER'!F640</f>
        <v>0</v>
      </c>
      <c r="C1014">
        <f>'OPEN FOREIGN ORDER'!Z640</f>
        <v>0</v>
      </c>
      <c r="D1014" s="123">
        <f>'OPEN FOREIGN ORDER'!AA640</f>
        <v>0</v>
      </c>
      <c r="E1014" s="112">
        <f>'OPEN FOREIGN ORDER'!AB640</f>
        <v>0</v>
      </c>
      <c r="F1014" s="112">
        <f>'OPEN FOREIGN ORDER'!AC640</f>
        <v>0</v>
      </c>
      <c r="G1014" s="112">
        <f>'OPEN FOREIGN ORDER'!AD640</f>
        <v>0</v>
      </c>
      <c r="H1014" s="112">
        <f>'OPEN FOREIGN ORDER'!AE640</f>
        <v>0</v>
      </c>
      <c r="I1014" s="112">
        <f>'OPEN FOREIGN ORDER'!AF640</f>
        <v>0</v>
      </c>
      <c r="J1014" s="112">
        <f>'OPEN FOREIGN ORDER'!AG640</f>
        <v>0</v>
      </c>
    </row>
    <row r="1015" spans="1:10">
      <c r="A1015">
        <f>'OPEN FOREIGN ORDER'!D641</f>
        <v>0</v>
      </c>
      <c r="B1015">
        <f>'OPEN FOREIGN ORDER'!F641</f>
        <v>0</v>
      </c>
      <c r="C1015">
        <f>'OPEN FOREIGN ORDER'!Z641</f>
        <v>0</v>
      </c>
      <c r="D1015" s="123">
        <f>'OPEN FOREIGN ORDER'!AA641</f>
        <v>0</v>
      </c>
      <c r="E1015" s="112">
        <f>'OPEN FOREIGN ORDER'!AB641</f>
        <v>0</v>
      </c>
      <c r="F1015" s="112">
        <f>'OPEN FOREIGN ORDER'!AC641</f>
        <v>0</v>
      </c>
      <c r="G1015" s="112">
        <f>'OPEN FOREIGN ORDER'!AD641</f>
        <v>0</v>
      </c>
      <c r="H1015" s="112">
        <f>'OPEN FOREIGN ORDER'!AE641</f>
        <v>0</v>
      </c>
      <c r="I1015" s="112">
        <f>'OPEN FOREIGN ORDER'!AF641</f>
        <v>0</v>
      </c>
      <c r="J1015" s="112">
        <f>'OPEN FOREIGN ORDER'!AG641</f>
        <v>0</v>
      </c>
    </row>
    <row r="1016" spans="1:10">
      <c r="A1016">
        <f>'OPEN FOREIGN ORDER'!D642</f>
        <v>0</v>
      </c>
      <c r="B1016">
        <f>'OPEN FOREIGN ORDER'!F642</f>
        <v>0</v>
      </c>
      <c r="C1016">
        <f>'OPEN FOREIGN ORDER'!Z642</f>
        <v>0</v>
      </c>
      <c r="D1016" s="123">
        <f>'OPEN FOREIGN ORDER'!AA642</f>
        <v>0</v>
      </c>
      <c r="E1016" s="112">
        <f>'OPEN FOREIGN ORDER'!AB642</f>
        <v>0</v>
      </c>
      <c r="F1016" s="112">
        <f>'OPEN FOREIGN ORDER'!AC642</f>
        <v>0</v>
      </c>
      <c r="G1016" s="112">
        <f>'OPEN FOREIGN ORDER'!AD642</f>
        <v>0</v>
      </c>
      <c r="H1016" s="112">
        <f>'OPEN FOREIGN ORDER'!AE642</f>
        <v>0</v>
      </c>
      <c r="I1016" s="112">
        <f>'OPEN FOREIGN ORDER'!AF642</f>
        <v>0</v>
      </c>
      <c r="J1016" s="112">
        <f>'OPEN FOREIGN ORDER'!AG642</f>
        <v>0</v>
      </c>
    </row>
    <row r="1017" spans="1:10">
      <c r="A1017">
        <f>'OPEN FOREIGN ORDER'!D643</f>
        <v>0</v>
      </c>
      <c r="B1017">
        <f>'OPEN FOREIGN ORDER'!F643</f>
        <v>0</v>
      </c>
      <c r="C1017">
        <f>'OPEN FOREIGN ORDER'!Z643</f>
        <v>0</v>
      </c>
      <c r="D1017" s="123">
        <f>'OPEN FOREIGN ORDER'!AA643</f>
        <v>0</v>
      </c>
      <c r="E1017" s="112">
        <f>'OPEN FOREIGN ORDER'!AB643</f>
        <v>0</v>
      </c>
      <c r="F1017" s="112">
        <f>'OPEN FOREIGN ORDER'!AC643</f>
        <v>0</v>
      </c>
      <c r="G1017" s="112">
        <f>'OPEN FOREIGN ORDER'!AD643</f>
        <v>0</v>
      </c>
      <c r="H1017" s="112">
        <f>'OPEN FOREIGN ORDER'!AE643</f>
        <v>0</v>
      </c>
      <c r="I1017" s="112">
        <f>'OPEN FOREIGN ORDER'!AF643</f>
        <v>0</v>
      </c>
      <c r="J1017" s="112">
        <f>'OPEN FOREIGN ORDER'!AG643</f>
        <v>0</v>
      </c>
    </row>
    <row r="1018" spans="1:10">
      <c r="A1018">
        <f>'OPEN FOREIGN ORDER'!D644</f>
        <v>0</v>
      </c>
      <c r="B1018">
        <f>'OPEN FOREIGN ORDER'!F644</f>
        <v>0</v>
      </c>
      <c r="C1018">
        <f>'OPEN FOREIGN ORDER'!Z644</f>
        <v>0</v>
      </c>
      <c r="D1018" s="123">
        <f>'OPEN FOREIGN ORDER'!AA644</f>
        <v>0</v>
      </c>
      <c r="E1018" s="112">
        <f>'OPEN FOREIGN ORDER'!AB644</f>
        <v>0</v>
      </c>
      <c r="F1018" s="112">
        <f>'OPEN FOREIGN ORDER'!AC644</f>
        <v>0</v>
      </c>
      <c r="G1018" s="112">
        <f>'OPEN FOREIGN ORDER'!AD644</f>
        <v>0</v>
      </c>
      <c r="H1018" s="112">
        <f>'OPEN FOREIGN ORDER'!AE644</f>
        <v>0</v>
      </c>
      <c r="I1018" s="112">
        <f>'OPEN FOREIGN ORDER'!AF644</f>
        <v>0</v>
      </c>
      <c r="J1018" s="112">
        <f>'OPEN FOREIGN ORDER'!AG644</f>
        <v>0</v>
      </c>
    </row>
    <row r="1019" spans="1:10">
      <c r="A1019">
        <f>'OPEN FOREIGN ORDER'!D645</f>
        <v>0</v>
      </c>
      <c r="B1019">
        <f>'OPEN FOREIGN ORDER'!F645</f>
        <v>0</v>
      </c>
      <c r="C1019">
        <f>'OPEN FOREIGN ORDER'!Z645</f>
        <v>0</v>
      </c>
      <c r="D1019" s="123">
        <f>'OPEN FOREIGN ORDER'!AA645</f>
        <v>0</v>
      </c>
      <c r="E1019" s="112">
        <f>'OPEN FOREIGN ORDER'!AB645</f>
        <v>0</v>
      </c>
      <c r="F1019" s="112">
        <f>'OPEN FOREIGN ORDER'!AC645</f>
        <v>0</v>
      </c>
      <c r="G1019" s="112">
        <f>'OPEN FOREIGN ORDER'!AD645</f>
        <v>0</v>
      </c>
      <c r="H1019" s="112">
        <f>'OPEN FOREIGN ORDER'!AE645</f>
        <v>0</v>
      </c>
      <c r="I1019" s="112">
        <f>'OPEN FOREIGN ORDER'!AF645</f>
        <v>0</v>
      </c>
      <c r="J1019" s="112">
        <f>'OPEN FOREIGN ORDER'!AG645</f>
        <v>0</v>
      </c>
    </row>
    <row r="1020" spans="1:10">
      <c r="A1020">
        <f>'OPEN FOREIGN ORDER'!D646</f>
        <v>0</v>
      </c>
      <c r="B1020">
        <f>'OPEN FOREIGN ORDER'!F646</f>
        <v>0</v>
      </c>
      <c r="C1020">
        <f>'OPEN FOREIGN ORDER'!Z646</f>
        <v>0</v>
      </c>
      <c r="D1020" s="123">
        <f>'OPEN FOREIGN ORDER'!AA646</f>
        <v>0</v>
      </c>
      <c r="E1020" s="112">
        <f>'OPEN FOREIGN ORDER'!AB646</f>
        <v>0</v>
      </c>
      <c r="F1020" s="112">
        <f>'OPEN FOREIGN ORDER'!AC646</f>
        <v>0</v>
      </c>
      <c r="G1020" s="112">
        <f>'OPEN FOREIGN ORDER'!AD646</f>
        <v>0</v>
      </c>
      <c r="H1020" s="112">
        <f>'OPEN FOREIGN ORDER'!AE646</f>
        <v>0</v>
      </c>
      <c r="I1020" s="112">
        <f>'OPEN FOREIGN ORDER'!AF646</f>
        <v>0</v>
      </c>
      <c r="J1020" s="112">
        <f>'OPEN FOREIGN ORDER'!AG646</f>
        <v>0</v>
      </c>
    </row>
    <row r="1021" spans="1:10">
      <c r="A1021">
        <f>'OPEN FOREIGN ORDER'!D647</f>
        <v>0</v>
      </c>
      <c r="B1021">
        <f>'OPEN FOREIGN ORDER'!F647</f>
        <v>0</v>
      </c>
      <c r="C1021">
        <f>'OPEN FOREIGN ORDER'!Z647</f>
        <v>0</v>
      </c>
      <c r="D1021" s="123">
        <f>'OPEN FOREIGN ORDER'!AA647</f>
        <v>0</v>
      </c>
      <c r="E1021" s="112">
        <f>'OPEN FOREIGN ORDER'!AB647</f>
        <v>0</v>
      </c>
      <c r="F1021" s="112">
        <f>'OPEN FOREIGN ORDER'!AC647</f>
        <v>0</v>
      </c>
      <c r="G1021" s="112">
        <f>'OPEN FOREIGN ORDER'!AD647</f>
        <v>0</v>
      </c>
      <c r="H1021" s="112">
        <f>'OPEN FOREIGN ORDER'!AE647</f>
        <v>0</v>
      </c>
      <c r="I1021" s="112">
        <f>'OPEN FOREIGN ORDER'!AF647</f>
        <v>0</v>
      </c>
      <c r="J1021" s="112">
        <f>'OPEN FOREIGN ORDER'!AG647</f>
        <v>0</v>
      </c>
    </row>
    <row r="1022" spans="1:10">
      <c r="A1022">
        <f>'OPEN FOREIGN ORDER'!D648</f>
        <v>0</v>
      </c>
      <c r="B1022">
        <f>'OPEN FOREIGN ORDER'!F648</f>
        <v>0</v>
      </c>
      <c r="C1022">
        <f>'OPEN FOREIGN ORDER'!Z648</f>
        <v>0</v>
      </c>
      <c r="D1022" s="123">
        <f>'OPEN FOREIGN ORDER'!AA648</f>
        <v>0</v>
      </c>
      <c r="E1022" s="112">
        <f>'OPEN FOREIGN ORDER'!AB648</f>
        <v>0</v>
      </c>
      <c r="F1022" s="112">
        <f>'OPEN FOREIGN ORDER'!AC648</f>
        <v>0</v>
      </c>
      <c r="G1022" s="112">
        <f>'OPEN FOREIGN ORDER'!AD648</f>
        <v>0</v>
      </c>
      <c r="H1022" s="112">
        <f>'OPEN FOREIGN ORDER'!AE648</f>
        <v>0</v>
      </c>
      <c r="I1022" s="112">
        <f>'OPEN FOREIGN ORDER'!AF648</f>
        <v>0</v>
      </c>
      <c r="J1022" s="112">
        <f>'OPEN FOREIGN ORDER'!AG648</f>
        <v>0</v>
      </c>
    </row>
    <row r="1023" spans="1:10">
      <c r="A1023">
        <f>'OPEN FOREIGN ORDER'!D649</f>
        <v>0</v>
      </c>
      <c r="B1023">
        <f>'OPEN FOREIGN ORDER'!F649</f>
        <v>0</v>
      </c>
      <c r="C1023">
        <f>'OPEN FOREIGN ORDER'!Z649</f>
        <v>0</v>
      </c>
      <c r="D1023" s="123">
        <f>'OPEN FOREIGN ORDER'!AA649</f>
        <v>0</v>
      </c>
      <c r="E1023" s="112">
        <f>'OPEN FOREIGN ORDER'!AB649</f>
        <v>0</v>
      </c>
      <c r="F1023" s="112">
        <f>'OPEN FOREIGN ORDER'!AC649</f>
        <v>0</v>
      </c>
      <c r="G1023" s="112">
        <f>'OPEN FOREIGN ORDER'!AD649</f>
        <v>0</v>
      </c>
      <c r="H1023" s="112">
        <f>'OPEN FOREIGN ORDER'!AE649</f>
        <v>0</v>
      </c>
      <c r="I1023" s="112">
        <f>'OPEN FOREIGN ORDER'!AF649</f>
        <v>0</v>
      </c>
      <c r="J1023" s="112">
        <f>'OPEN FOREIGN ORDER'!AG649</f>
        <v>0</v>
      </c>
    </row>
    <row r="1024" spans="1:10">
      <c r="A1024">
        <f>'OPEN FOREIGN ORDER'!D650</f>
        <v>0</v>
      </c>
      <c r="B1024">
        <f>'OPEN FOREIGN ORDER'!F650</f>
        <v>0</v>
      </c>
      <c r="C1024">
        <f>'OPEN FOREIGN ORDER'!Z650</f>
        <v>0</v>
      </c>
      <c r="D1024" s="123">
        <f>'OPEN FOREIGN ORDER'!AA650</f>
        <v>0</v>
      </c>
      <c r="E1024" s="112">
        <f>'OPEN FOREIGN ORDER'!AB650</f>
        <v>0</v>
      </c>
      <c r="F1024" s="112">
        <f>'OPEN FOREIGN ORDER'!AC650</f>
        <v>0</v>
      </c>
      <c r="G1024" s="112">
        <f>'OPEN FOREIGN ORDER'!AD650</f>
        <v>0</v>
      </c>
      <c r="H1024" s="112">
        <f>'OPEN FOREIGN ORDER'!AE650</f>
        <v>0</v>
      </c>
      <c r="I1024" s="112">
        <f>'OPEN FOREIGN ORDER'!AF650</f>
        <v>0</v>
      </c>
      <c r="J1024" s="112">
        <f>'OPEN FOREIGN ORDER'!AG650</f>
        <v>0</v>
      </c>
    </row>
    <row r="1025" spans="1:10">
      <c r="A1025">
        <f>'OPEN FOREIGN ORDER'!D651</f>
        <v>0</v>
      </c>
      <c r="B1025">
        <f>'OPEN FOREIGN ORDER'!F651</f>
        <v>0</v>
      </c>
      <c r="C1025">
        <f>'OPEN FOREIGN ORDER'!Z651</f>
        <v>0</v>
      </c>
      <c r="D1025" s="123">
        <f>'OPEN FOREIGN ORDER'!AA651</f>
        <v>0</v>
      </c>
      <c r="E1025" s="112">
        <f>'OPEN FOREIGN ORDER'!AB651</f>
        <v>0</v>
      </c>
      <c r="F1025" s="112">
        <f>'OPEN FOREIGN ORDER'!AC651</f>
        <v>0</v>
      </c>
      <c r="G1025" s="112">
        <f>'OPEN FOREIGN ORDER'!AD651</f>
        <v>0</v>
      </c>
      <c r="H1025" s="112">
        <f>'OPEN FOREIGN ORDER'!AE651</f>
        <v>0</v>
      </c>
      <c r="I1025" s="112">
        <f>'OPEN FOREIGN ORDER'!AF651</f>
        <v>0</v>
      </c>
      <c r="J1025" s="112">
        <f>'OPEN FOREIGN ORDER'!AG651</f>
        <v>0</v>
      </c>
    </row>
    <row r="1026" spans="1:10">
      <c r="A1026">
        <f>'OPEN FOREIGN ORDER'!D652</f>
        <v>0</v>
      </c>
      <c r="B1026">
        <f>'OPEN FOREIGN ORDER'!F652</f>
        <v>0</v>
      </c>
      <c r="C1026">
        <f>'OPEN FOREIGN ORDER'!Z652</f>
        <v>0</v>
      </c>
      <c r="D1026" s="123">
        <f>'OPEN FOREIGN ORDER'!AA652</f>
        <v>0</v>
      </c>
      <c r="E1026" s="112">
        <f>'OPEN FOREIGN ORDER'!AB652</f>
        <v>0</v>
      </c>
      <c r="F1026" s="112">
        <f>'OPEN FOREIGN ORDER'!AC652</f>
        <v>0</v>
      </c>
      <c r="G1026" s="112">
        <f>'OPEN FOREIGN ORDER'!AD652</f>
        <v>0</v>
      </c>
      <c r="H1026" s="112">
        <f>'OPEN FOREIGN ORDER'!AE652</f>
        <v>0</v>
      </c>
      <c r="I1026" s="112">
        <f>'OPEN FOREIGN ORDER'!AF652</f>
        <v>0</v>
      </c>
      <c r="J1026" s="112">
        <f>'OPEN FOREIGN ORDER'!AG652</f>
        <v>0</v>
      </c>
    </row>
    <row r="1027" spans="1:10">
      <c r="A1027">
        <f>'OPEN FOREIGN ORDER'!D653</f>
        <v>0</v>
      </c>
      <c r="B1027">
        <f>'OPEN FOREIGN ORDER'!F653</f>
        <v>0</v>
      </c>
      <c r="C1027">
        <f>'OPEN FOREIGN ORDER'!Z653</f>
        <v>0</v>
      </c>
      <c r="D1027" s="123">
        <f>'OPEN FOREIGN ORDER'!AA653</f>
        <v>0</v>
      </c>
      <c r="E1027" s="112">
        <f>'OPEN FOREIGN ORDER'!AB653</f>
        <v>0</v>
      </c>
      <c r="F1027" s="112">
        <f>'OPEN FOREIGN ORDER'!AC653</f>
        <v>0</v>
      </c>
      <c r="G1027" s="112">
        <f>'OPEN FOREIGN ORDER'!AD653</f>
        <v>0</v>
      </c>
      <c r="H1027" s="112">
        <f>'OPEN FOREIGN ORDER'!AE653</f>
        <v>0</v>
      </c>
      <c r="I1027" s="112">
        <f>'OPEN FOREIGN ORDER'!AF653</f>
        <v>0</v>
      </c>
      <c r="J1027" s="112">
        <f>'OPEN FOREIGN ORDER'!AG653</f>
        <v>0</v>
      </c>
    </row>
    <row r="1028" spans="1:10">
      <c r="A1028">
        <f>'OPEN FOREIGN ORDER'!D654</f>
        <v>0</v>
      </c>
      <c r="B1028">
        <f>'OPEN FOREIGN ORDER'!F654</f>
        <v>0</v>
      </c>
      <c r="C1028">
        <f>'OPEN FOREIGN ORDER'!Z654</f>
        <v>0</v>
      </c>
      <c r="D1028" s="123">
        <f>'OPEN FOREIGN ORDER'!AA654</f>
        <v>0</v>
      </c>
      <c r="E1028" s="112">
        <f>'OPEN FOREIGN ORDER'!AB654</f>
        <v>0</v>
      </c>
      <c r="F1028" s="112">
        <f>'OPEN FOREIGN ORDER'!AC654</f>
        <v>0</v>
      </c>
      <c r="G1028" s="112">
        <f>'OPEN FOREIGN ORDER'!AD654</f>
        <v>0</v>
      </c>
      <c r="H1028" s="112">
        <f>'OPEN FOREIGN ORDER'!AE654</f>
        <v>0</v>
      </c>
      <c r="I1028" s="112">
        <f>'OPEN FOREIGN ORDER'!AF654</f>
        <v>0</v>
      </c>
      <c r="J1028" s="112">
        <f>'OPEN FOREIGN ORDER'!AG654</f>
        <v>0</v>
      </c>
    </row>
    <row r="1029" spans="1:10">
      <c r="A1029">
        <f>'OPEN FOREIGN ORDER'!D655</f>
        <v>0</v>
      </c>
      <c r="B1029">
        <f>'OPEN FOREIGN ORDER'!F655</f>
        <v>0</v>
      </c>
      <c r="C1029">
        <f>'OPEN FOREIGN ORDER'!Z655</f>
        <v>0</v>
      </c>
      <c r="D1029" s="123">
        <f>'OPEN FOREIGN ORDER'!AA655</f>
        <v>0</v>
      </c>
      <c r="E1029" s="112">
        <f>'OPEN FOREIGN ORDER'!AB655</f>
        <v>0</v>
      </c>
      <c r="F1029" s="112">
        <f>'OPEN FOREIGN ORDER'!AC655</f>
        <v>0</v>
      </c>
      <c r="G1029" s="112">
        <f>'OPEN FOREIGN ORDER'!AD655</f>
        <v>0</v>
      </c>
      <c r="H1029" s="112">
        <f>'OPEN FOREIGN ORDER'!AE655</f>
        <v>0</v>
      </c>
      <c r="I1029" s="112">
        <f>'OPEN FOREIGN ORDER'!AF655</f>
        <v>0</v>
      </c>
      <c r="J1029" s="112">
        <f>'OPEN FOREIGN ORDER'!AG655</f>
        <v>0</v>
      </c>
    </row>
    <row r="1030" spans="1:10">
      <c r="A1030">
        <f>'OPEN FOREIGN ORDER'!D656</f>
        <v>0</v>
      </c>
      <c r="B1030">
        <f>'OPEN FOREIGN ORDER'!F656</f>
        <v>0</v>
      </c>
      <c r="C1030">
        <f>'OPEN FOREIGN ORDER'!Z656</f>
        <v>0</v>
      </c>
      <c r="D1030" s="123">
        <f>'OPEN FOREIGN ORDER'!AA656</f>
        <v>0</v>
      </c>
      <c r="E1030" s="112">
        <f>'OPEN FOREIGN ORDER'!AB656</f>
        <v>0</v>
      </c>
      <c r="F1030" s="112">
        <f>'OPEN FOREIGN ORDER'!AC656</f>
        <v>0</v>
      </c>
      <c r="G1030" s="112">
        <f>'OPEN FOREIGN ORDER'!AD656</f>
        <v>0</v>
      </c>
      <c r="H1030" s="112">
        <f>'OPEN FOREIGN ORDER'!AE656</f>
        <v>0</v>
      </c>
      <c r="I1030" s="112">
        <f>'OPEN FOREIGN ORDER'!AF656</f>
        <v>0</v>
      </c>
      <c r="J1030" s="112">
        <f>'OPEN FOREIGN ORDER'!AG656</f>
        <v>0</v>
      </c>
    </row>
    <row r="1031" spans="1:10">
      <c r="A1031">
        <f>'OPEN FOREIGN ORDER'!D657</f>
        <v>0</v>
      </c>
      <c r="B1031">
        <f>'OPEN FOREIGN ORDER'!F657</f>
        <v>0</v>
      </c>
      <c r="C1031">
        <f>'OPEN FOREIGN ORDER'!Z657</f>
        <v>0</v>
      </c>
      <c r="D1031" s="123">
        <f>'OPEN FOREIGN ORDER'!AA657</f>
        <v>0</v>
      </c>
      <c r="E1031" s="112">
        <f>'OPEN FOREIGN ORDER'!AB657</f>
        <v>0</v>
      </c>
      <c r="F1031" s="112">
        <f>'OPEN FOREIGN ORDER'!AC657</f>
        <v>0</v>
      </c>
      <c r="G1031" s="112">
        <f>'OPEN FOREIGN ORDER'!AD657</f>
        <v>0</v>
      </c>
      <c r="H1031" s="112">
        <f>'OPEN FOREIGN ORDER'!AE657</f>
        <v>0</v>
      </c>
      <c r="I1031" s="112">
        <f>'OPEN FOREIGN ORDER'!AF657</f>
        <v>0</v>
      </c>
      <c r="J1031" s="112">
        <f>'OPEN FOREIGN ORDER'!AG657</f>
        <v>0</v>
      </c>
    </row>
    <row r="1032" spans="1:10">
      <c r="A1032">
        <f>'OPEN FOREIGN ORDER'!D658</f>
        <v>0</v>
      </c>
      <c r="B1032">
        <f>'OPEN FOREIGN ORDER'!F658</f>
        <v>0</v>
      </c>
      <c r="C1032">
        <f>'OPEN FOREIGN ORDER'!Z658</f>
        <v>0</v>
      </c>
      <c r="D1032" s="123">
        <f>'OPEN FOREIGN ORDER'!AA658</f>
        <v>0</v>
      </c>
      <c r="E1032" s="112">
        <f>'OPEN FOREIGN ORDER'!AB658</f>
        <v>0</v>
      </c>
      <c r="F1032" s="112">
        <f>'OPEN FOREIGN ORDER'!AC658</f>
        <v>0</v>
      </c>
      <c r="G1032" s="112">
        <f>'OPEN FOREIGN ORDER'!AD658</f>
        <v>0</v>
      </c>
      <c r="H1032" s="112">
        <f>'OPEN FOREIGN ORDER'!AE658</f>
        <v>0</v>
      </c>
      <c r="I1032" s="112">
        <f>'OPEN FOREIGN ORDER'!AF658</f>
        <v>0</v>
      </c>
      <c r="J1032" s="112">
        <f>'OPEN FOREIGN ORDER'!AG658</f>
        <v>0</v>
      </c>
    </row>
    <row r="1033" spans="1:10">
      <c r="A1033">
        <f>'OPEN FOREIGN ORDER'!D659</f>
        <v>0</v>
      </c>
      <c r="B1033">
        <f>'OPEN FOREIGN ORDER'!F659</f>
        <v>0</v>
      </c>
      <c r="C1033">
        <f>'OPEN FOREIGN ORDER'!Z659</f>
        <v>0</v>
      </c>
      <c r="D1033" s="123">
        <f>'OPEN FOREIGN ORDER'!AA659</f>
        <v>0</v>
      </c>
      <c r="E1033" s="112">
        <f>'OPEN FOREIGN ORDER'!AB659</f>
        <v>0</v>
      </c>
      <c r="F1033" s="112">
        <f>'OPEN FOREIGN ORDER'!AC659</f>
        <v>0</v>
      </c>
      <c r="G1033" s="112">
        <f>'OPEN FOREIGN ORDER'!AD659</f>
        <v>0</v>
      </c>
      <c r="H1033" s="112">
        <f>'OPEN FOREIGN ORDER'!AE659</f>
        <v>0</v>
      </c>
      <c r="I1033" s="112">
        <f>'OPEN FOREIGN ORDER'!AF659</f>
        <v>0</v>
      </c>
      <c r="J1033" s="112">
        <f>'OPEN FOREIGN ORDER'!AG659</f>
        <v>0</v>
      </c>
    </row>
    <row r="1034" spans="1:10">
      <c r="A1034">
        <f>'OPEN FOREIGN ORDER'!D660</f>
        <v>0</v>
      </c>
      <c r="B1034">
        <f>'OPEN FOREIGN ORDER'!F660</f>
        <v>0</v>
      </c>
      <c r="C1034">
        <f>'OPEN FOREIGN ORDER'!Z660</f>
        <v>0</v>
      </c>
      <c r="D1034" s="123">
        <f>'OPEN FOREIGN ORDER'!AA660</f>
        <v>0</v>
      </c>
      <c r="E1034" s="112">
        <f>'OPEN FOREIGN ORDER'!AB660</f>
        <v>0</v>
      </c>
      <c r="F1034" s="112">
        <f>'OPEN FOREIGN ORDER'!AC660</f>
        <v>0</v>
      </c>
      <c r="G1034" s="112">
        <f>'OPEN FOREIGN ORDER'!AD660</f>
        <v>0</v>
      </c>
      <c r="H1034" s="112">
        <f>'OPEN FOREIGN ORDER'!AE660</f>
        <v>0</v>
      </c>
      <c r="I1034" s="112">
        <f>'OPEN FOREIGN ORDER'!AF660</f>
        <v>0</v>
      </c>
      <c r="J1034" s="112">
        <f>'OPEN FOREIGN ORDER'!AG660</f>
        <v>0</v>
      </c>
    </row>
    <row r="1035" spans="1:10">
      <c r="A1035">
        <f>'OPEN FOREIGN ORDER'!D661</f>
        <v>0</v>
      </c>
      <c r="B1035">
        <f>'OPEN FOREIGN ORDER'!F661</f>
        <v>0</v>
      </c>
      <c r="C1035">
        <f>'OPEN FOREIGN ORDER'!Z661</f>
        <v>0</v>
      </c>
      <c r="D1035" s="123">
        <f>'OPEN FOREIGN ORDER'!AA661</f>
        <v>0</v>
      </c>
      <c r="E1035" s="112">
        <f>'OPEN FOREIGN ORDER'!AB661</f>
        <v>0</v>
      </c>
      <c r="F1035" s="112">
        <f>'OPEN FOREIGN ORDER'!AC661</f>
        <v>0</v>
      </c>
      <c r="G1035" s="112">
        <f>'OPEN FOREIGN ORDER'!AD661</f>
        <v>0</v>
      </c>
      <c r="H1035" s="112">
        <f>'OPEN FOREIGN ORDER'!AE661</f>
        <v>0</v>
      </c>
      <c r="I1035" s="112">
        <f>'OPEN FOREIGN ORDER'!AF661</f>
        <v>0</v>
      </c>
      <c r="J1035" s="112">
        <f>'OPEN FOREIGN ORDER'!AG661</f>
        <v>0</v>
      </c>
    </row>
    <row r="1036" spans="1:10">
      <c r="A1036">
        <f>'OPEN FOREIGN ORDER'!D662</f>
        <v>0</v>
      </c>
      <c r="B1036">
        <f>'OPEN FOREIGN ORDER'!F662</f>
        <v>0</v>
      </c>
      <c r="C1036">
        <f>'OPEN FOREIGN ORDER'!Z662</f>
        <v>0</v>
      </c>
      <c r="D1036" s="123">
        <f>'OPEN FOREIGN ORDER'!AA662</f>
        <v>0</v>
      </c>
      <c r="E1036" s="112">
        <f>'OPEN FOREIGN ORDER'!AB662</f>
        <v>0</v>
      </c>
      <c r="F1036" s="112">
        <f>'OPEN FOREIGN ORDER'!AC662</f>
        <v>0</v>
      </c>
      <c r="G1036" s="112">
        <f>'OPEN FOREIGN ORDER'!AD662</f>
        <v>0</v>
      </c>
      <c r="H1036" s="112">
        <f>'OPEN FOREIGN ORDER'!AE662</f>
        <v>0</v>
      </c>
      <c r="I1036" s="112">
        <f>'OPEN FOREIGN ORDER'!AF662</f>
        <v>0</v>
      </c>
      <c r="J1036" s="112">
        <f>'OPEN FOREIGN ORDER'!AG662</f>
        <v>0</v>
      </c>
    </row>
    <row r="1037" spans="1:10">
      <c r="A1037">
        <f>'OPEN FOREIGN ORDER'!D663</f>
        <v>0</v>
      </c>
      <c r="B1037">
        <f>'OPEN FOREIGN ORDER'!F663</f>
        <v>0</v>
      </c>
      <c r="C1037">
        <f>'OPEN FOREIGN ORDER'!Z663</f>
        <v>0</v>
      </c>
      <c r="D1037" s="123">
        <f>'OPEN FOREIGN ORDER'!AA663</f>
        <v>0</v>
      </c>
      <c r="E1037" s="112">
        <f>'OPEN FOREIGN ORDER'!AB663</f>
        <v>0</v>
      </c>
      <c r="F1037" s="112">
        <f>'OPEN FOREIGN ORDER'!AC663</f>
        <v>0</v>
      </c>
      <c r="G1037" s="112">
        <f>'OPEN FOREIGN ORDER'!AD663</f>
        <v>0</v>
      </c>
      <c r="H1037" s="112">
        <f>'OPEN FOREIGN ORDER'!AE663</f>
        <v>0</v>
      </c>
      <c r="I1037" s="112">
        <f>'OPEN FOREIGN ORDER'!AF663</f>
        <v>0</v>
      </c>
      <c r="J1037" s="112">
        <f>'OPEN FOREIGN ORDER'!AG663</f>
        <v>0</v>
      </c>
    </row>
    <row r="1038" spans="1:10">
      <c r="A1038">
        <f>'OPEN FOREIGN ORDER'!D664</f>
        <v>0</v>
      </c>
      <c r="B1038">
        <f>'OPEN FOREIGN ORDER'!F664</f>
        <v>0</v>
      </c>
      <c r="C1038">
        <f>'OPEN FOREIGN ORDER'!Z664</f>
        <v>0</v>
      </c>
      <c r="D1038" s="123">
        <f>'OPEN FOREIGN ORDER'!AA664</f>
        <v>0</v>
      </c>
      <c r="E1038" s="112">
        <f>'OPEN FOREIGN ORDER'!AB664</f>
        <v>0</v>
      </c>
      <c r="F1038" s="112">
        <f>'OPEN FOREIGN ORDER'!AC664</f>
        <v>0</v>
      </c>
      <c r="G1038" s="112">
        <f>'OPEN FOREIGN ORDER'!AD664</f>
        <v>0</v>
      </c>
      <c r="H1038" s="112">
        <f>'OPEN FOREIGN ORDER'!AE664</f>
        <v>0</v>
      </c>
      <c r="I1038" s="112">
        <f>'OPEN FOREIGN ORDER'!AF664</f>
        <v>0</v>
      </c>
      <c r="J1038" s="112">
        <f>'OPEN FOREIGN ORDER'!AG664</f>
        <v>0</v>
      </c>
    </row>
    <row r="1039" spans="1:10">
      <c r="A1039">
        <f>'OPEN FOREIGN ORDER'!D665</f>
        <v>0</v>
      </c>
      <c r="B1039">
        <f>'OPEN FOREIGN ORDER'!F665</f>
        <v>0</v>
      </c>
      <c r="C1039">
        <f>'OPEN FOREIGN ORDER'!Z665</f>
        <v>0</v>
      </c>
      <c r="D1039" s="123">
        <f>'OPEN FOREIGN ORDER'!AA665</f>
        <v>0</v>
      </c>
      <c r="E1039" s="112">
        <f>'OPEN FOREIGN ORDER'!AB665</f>
        <v>0</v>
      </c>
      <c r="F1039" s="112">
        <f>'OPEN FOREIGN ORDER'!AC665</f>
        <v>0</v>
      </c>
      <c r="G1039" s="112">
        <f>'OPEN FOREIGN ORDER'!AD665</f>
        <v>0</v>
      </c>
      <c r="H1039" s="112">
        <f>'OPEN FOREIGN ORDER'!AE665</f>
        <v>0</v>
      </c>
      <c r="I1039" s="112">
        <f>'OPEN FOREIGN ORDER'!AF665</f>
        <v>0</v>
      </c>
      <c r="J1039" s="112">
        <f>'OPEN FOREIGN ORDER'!AG665</f>
        <v>0</v>
      </c>
    </row>
    <row r="1040" spans="1:10">
      <c r="A1040">
        <f>'OPEN FOREIGN ORDER'!D666</f>
        <v>0</v>
      </c>
      <c r="B1040">
        <f>'OPEN FOREIGN ORDER'!F666</f>
        <v>0</v>
      </c>
      <c r="C1040">
        <f>'OPEN FOREIGN ORDER'!Z666</f>
        <v>0</v>
      </c>
      <c r="D1040" s="123">
        <f>'OPEN FOREIGN ORDER'!AA666</f>
        <v>0</v>
      </c>
      <c r="E1040" s="112">
        <f>'OPEN FOREIGN ORDER'!AB666</f>
        <v>0</v>
      </c>
      <c r="F1040" s="112">
        <f>'OPEN FOREIGN ORDER'!AC666</f>
        <v>0</v>
      </c>
      <c r="G1040" s="112">
        <f>'OPEN FOREIGN ORDER'!AD666</f>
        <v>0</v>
      </c>
      <c r="H1040" s="112">
        <f>'OPEN FOREIGN ORDER'!AE666</f>
        <v>0</v>
      </c>
      <c r="I1040" s="112">
        <f>'OPEN FOREIGN ORDER'!AF666</f>
        <v>0</v>
      </c>
      <c r="J1040" s="112">
        <f>'OPEN FOREIGN ORDER'!AG666</f>
        <v>0</v>
      </c>
    </row>
    <row r="1041" spans="1:10">
      <c r="A1041">
        <f>'OPEN FOREIGN ORDER'!D667</f>
        <v>0</v>
      </c>
      <c r="B1041">
        <f>'OPEN FOREIGN ORDER'!F667</f>
        <v>0</v>
      </c>
      <c r="C1041">
        <f>'OPEN FOREIGN ORDER'!Z667</f>
        <v>0</v>
      </c>
      <c r="D1041" s="123">
        <f>'OPEN FOREIGN ORDER'!AA667</f>
        <v>0</v>
      </c>
      <c r="E1041" s="112">
        <f>'OPEN FOREIGN ORDER'!AB667</f>
        <v>0</v>
      </c>
      <c r="F1041" s="112">
        <f>'OPEN FOREIGN ORDER'!AC667</f>
        <v>0</v>
      </c>
      <c r="G1041" s="112">
        <f>'OPEN FOREIGN ORDER'!AD667</f>
        <v>0</v>
      </c>
      <c r="H1041" s="112">
        <f>'OPEN FOREIGN ORDER'!AE667</f>
        <v>0</v>
      </c>
      <c r="I1041" s="112">
        <f>'OPEN FOREIGN ORDER'!AF667</f>
        <v>0</v>
      </c>
      <c r="J1041" s="112">
        <f>'OPEN FOREIGN ORDER'!AG667</f>
        <v>0</v>
      </c>
    </row>
    <row r="1042" spans="1:10">
      <c r="A1042">
        <f>'OPEN FOREIGN ORDER'!D668</f>
        <v>0</v>
      </c>
      <c r="B1042">
        <f>'OPEN FOREIGN ORDER'!F668</f>
        <v>0</v>
      </c>
      <c r="C1042">
        <f>'OPEN FOREIGN ORDER'!Z668</f>
        <v>0</v>
      </c>
      <c r="D1042" s="123">
        <f>'OPEN FOREIGN ORDER'!AA668</f>
        <v>0</v>
      </c>
      <c r="E1042" s="112">
        <f>'OPEN FOREIGN ORDER'!AB668</f>
        <v>0</v>
      </c>
      <c r="F1042" s="112">
        <f>'OPEN FOREIGN ORDER'!AC668</f>
        <v>0</v>
      </c>
      <c r="G1042" s="112">
        <f>'OPEN FOREIGN ORDER'!AD668</f>
        <v>0</v>
      </c>
      <c r="H1042" s="112">
        <f>'OPEN FOREIGN ORDER'!AE668</f>
        <v>0</v>
      </c>
      <c r="I1042" s="112">
        <f>'OPEN FOREIGN ORDER'!AF668</f>
        <v>0</v>
      </c>
      <c r="J1042" s="112">
        <f>'OPEN FOREIGN ORDER'!AG668</f>
        <v>0</v>
      </c>
    </row>
    <row r="1043" spans="1:10">
      <c r="A1043">
        <f>'OPEN FOREIGN ORDER'!D669</f>
        <v>0</v>
      </c>
      <c r="B1043">
        <f>'OPEN FOREIGN ORDER'!F669</f>
        <v>0</v>
      </c>
      <c r="C1043">
        <f>'OPEN FOREIGN ORDER'!Z669</f>
        <v>0</v>
      </c>
      <c r="D1043" s="123">
        <f>'OPEN FOREIGN ORDER'!AA669</f>
        <v>0</v>
      </c>
      <c r="E1043" s="112">
        <f>'OPEN FOREIGN ORDER'!AB669</f>
        <v>0</v>
      </c>
      <c r="F1043" s="112">
        <f>'OPEN FOREIGN ORDER'!AC669</f>
        <v>0</v>
      </c>
      <c r="G1043" s="112">
        <f>'OPEN FOREIGN ORDER'!AD669</f>
        <v>0</v>
      </c>
      <c r="H1043" s="112">
        <f>'OPEN FOREIGN ORDER'!AE669</f>
        <v>0</v>
      </c>
      <c r="I1043" s="112">
        <f>'OPEN FOREIGN ORDER'!AF669</f>
        <v>0</v>
      </c>
      <c r="J1043" s="112">
        <f>'OPEN FOREIGN ORDER'!AG669</f>
        <v>0</v>
      </c>
    </row>
    <row r="1044" spans="1:10">
      <c r="A1044">
        <f>'OPEN FOREIGN ORDER'!D670</f>
        <v>0</v>
      </c>
      <c r="B1044">
        <f>'OPEN FOREIGN ORDER'!F670</f>
        <v>0</v>
      </c>
      <c r="C1044">
        <f>'OPEN FOREIGN ORDER'!Z670</f>
        <v>0</v>
      </c>
      <c r="D1044" s="123">
        <f>'OPEN FOREIGN ORDER'!AA670</f>
        <v>0</v>
      </c>
      <c r="E1044" s="112">
        <f>'OPEN FOREIGN ORDER'!AB670</f>
        <v>0</v>
      </c>
      <c r="F1044" s="112">
        <f>'OPEN FOREIGN ORDER'!AC670</f>
        <v>0</v>
      </c>
      <c r="G1044" s="112">
        <f>'OPEN FOREIGN ORDER'!AD670</f>
        <v>0</v>
      </c>
      <c r="H1044" s="112">
        <f>'OPEN FOREIGN ORDER'!AE670</f>
        <v>0</v>
      </c>
      <c r="I1044" s="112">
        <f>'OPEN FOREIGN ORDER'!AF670</f>
        <v>0</v>
      </c>
      <c r="J1044" s="112">
        <f>'OPEN FOREIGN ORDER'!AG670</f>
        <v>0</v>
      </c>
    </row>
    <row r="1045" spans="1:10">
      <c r="A1045">
        <f>'OPEN FOREIGN ORDER'!D671</f>
        <v>0</v>
      </c>
      <c r="B1045">
        <f>'OPEN FOREIGN ORDER'!F671</f>
        <v>0</v>
      </c>
      <c r="C1045">
        <f>'OPEN FOREIGN ORDER'!Z671</f>
        <v>0</v>
      </c>
      <c r="D1045" s="123">
        <f>'OPEN FOREIGN ORDER'!AA671</f>
        <v>0</v>
      </c>
      <c r="E1045" s="112">
        <f>'OPEN FOREIGN ORDER'!AB671</f>
        <v>0</v>
      </c>
      <c r="F1045" s="112">
        <f>'OPEN FOREIGN ORDER'!AC671</f>
        <v>0</v>
      </c>
      <c r="G1045" s="112">
        <f>'OPEN FOREIGN ORDER'!AD671</f>
        <v>0</v>
      </c>
      <c r="H1045" s="112">
        <f>'OPEN FOREIGN ORDER'!AE671</f>
        <v>0</v>
      </c>
      <c r="I1045" s="112">
        <f>'OPEN FOREIGN ORDER'!AF671</f>
        <v>0</v>
      </c>
      <c r="J1045" s="112">
        <f>'OPEN FOREIGN ORDER'!AG671</f>
        <v>0</v>
      </c>
    </row>
    <row r="1046" spans="1:10">
      <c r="A1046">
        <f>'OPEN FOREIGN ORDER'!D672</f>
        <v>0</v>
      </c>
      <c r="B1046">
        <f>'OPEN FOREIGN ORDER'!F672</f>
        <v>0</v>
      </c>
      <c r="C1046">
        <f>'OPEN FOREIGN ORDER'!Z672</f>
        <v>0</v>
      </c>
      <c r="D1046" s="123">
        <f>'OPEN FOREIGN ORDER'!AA672</f>
        <v>0</v>
      </c>
      <c r="E1046" s="112">
        <f>'OPEN FOREIGN ORDER'!AB672</f>
        <v>0</v>
      </c>
      <c r="F1046" s="112">
        <f>'OPEN FOREIGN ORDER'!AC672</f>
        <v>0</v>
      </c>
      <c r="G1046" s="112">
        <f>'OPEN FOREIGN ORDER'!AD672</f>
        <v>0</v>
      </c>
      <c r="H1046" s="112">
        <f>'OPEN FOREIGN ORDER'!AE672</f>
        <v>0</v>
      </c>
      <c r="I1046" s="112">
        <f>'OPEN FOREIGN ORDER'!AF672</f>
        <v>0</v>
      </c>
      <c r="J1046" s="112">
        <f>'OPEN FOREIGN ORDER'!AG672</f>
        <v>0</v>
      </c>
    </row>
    <row r="1047" spans="1:10">
      <c r="A1047">
        <f>'OPEN FOREIGN ORDER'!D673</f>
        <v>0</v>
      </c>
      <c r="B1047">
        <f>'OPEN FOREIGN ORDER'!F673</f>
        <v>0</v>
      </c>
      <c r="C1047">
        <f>'OPEN FOREIGN ORDER'!Z673</f>
        <v>0</v>
      </c>
      <c r="D1047" s="123">
        <f>'OPEN FOREIGN ORDER'!AA673</f>
        <v>0</v>
      </c>
      <c r="E1047" s="112">
        <f>'OPEN FOREIGN ORDER'!AB673</f>
        <v>0</v>
      </c>
      <c r="F1047" s="112">
        <f>'OPEN FOREIGN ORDER'!AC673</f>
        <v>0</v>
      </c>
      <c r="G1047" s="112">
        <f>'OPEN FOREIGN ORDER'!AD673</f>
        <v>0</v>
      </c>
      <c r="H1047" s="112">
        <f>'OPEN FOREIGN ORDER'!AE673</f>
        <v>0</v>
      </c>
      <c r="I1047" s="112">
        <f>'OPEN FOREIGN ORDER'!AF673</f>
        <v>0</v>
      </c>
      <c r="J1047" s="112">
        <f>'OPEN FOREIGN ORDER'!AG673</f>
        <v>0</v>
      </c>
    </row>
    <row r="1048" spans="1:10">
      <c r="A1048">
        <f>'OPEN FOREIGN ORDER'!D674</f>
        <v>0</v>
      </c>
      <c r="B1048">
        <f>'OPEN FOREIGN ORDER'!F674</f>
        <v>0</v>
      </c>
      <c r="C1048">
        <f>'OPEN FOREIGN ORDER'!Z674</f>
        <v>0</v>
      </c>
      <c r="D1048" s="123">
        <f>'OPEN FOREIGN ORDER'!AA674</f>
        <v>0</v>
      </c>
      <c r="E1048" s="112">
        <f>'OPEN FOREIGN ORDER'!AB674</f>
        <v>0</v>
      </c>
      <c r="F1048" s="112">
        <f>'OPEN FOREIGN ORDER'!AC674</f>
        <v>0</v>
      </c>
      <c r="G1048" s="112">
        <f>'OPEN FOREIGN ORDER'!AD674</f>
        <v>0</v>
      </c>
      <c r="H1048" s="112">
        <f>'OPEN FOREIGN ORDER'!AE674</f>
        <v>0</v>
      </c>
      <c r="I1048" s="112">
        <f>'OPEN FOREIGN ORDER'!AF674</f>
        <v>0</v>
      </c>
      <c r="J1048" s="112">
        <f>'OPEN FOREIGN ORDER'!AG674</f>
        <v>0</v>
      </c>
    </row>
    <row r="1049" spans="1:10">
      <c r="A1049">
        <f>'OPEN FOREIGN ORDER'!D675</f>
        <v>0</v>
      </c>
      <c r="B1049">
        <f>'OPEN FOREIGN ORDER'!F675</f>
        <v>0</v>
      </c>
      <c r="C1049">
        <f>'OPEN FOREIGN ORDER'!Z675</f>
        <v>0</v>
      </c>
      <c r="D1049" s="123">
        <f>'OPEN FOREIGN ORDER'!AA675</f>
        <v>0</v>
      </c>
      <c r="E1049" s="112">
        <f>'OPEN FOREIGN ORDER'!AB675</f>
        <v>0</v>
      </c>
      <c r="F1049" s="112">
        <f>'OPEN FOREIGN ORDER'!AC675</f>
        <v>0</v>
      </c>
      <c r="G1049" s="112">
        <f>'OPEN FOREIGN ORDER'!AD675</f>
        <v>0</v>
      </c>
      <c r="H1049" s="112">
        <f>'OPEN FOREIGN ORDER'!AE675</f>
        <v>0</v>
      </c>
      <c r="I1049" s="112">
        <f>'OPEN FOREIGN ORDER'!AF675</f>
        <v>0</v>
      </c>
      <c r="J1049" s="112">
        <f>'OPEN FOREIGN ORDER'!AG675</f>
        <v>0</v>
      </c>
    </row>
    <row r="1050" spans="1:10">
      <c r="A1050">
        <f>'OPEN FOREIGN ORDER'!D676</f>
        <v>0</v>
      </c>
      <c r="B1050">
        <f>'OPEN FOREIGN ORDER'!F676</f>
        <v>0</v>
      </c>
      <c r="C1050">
        <f>'OPEN FOREIGN ORDER'!Z676</f>
        <v>0</v>
      </c>
      <c r="D1050" s="123">
        <f>'OPEN FOREIGN ORDER'!AA676</f>
        <v>0</v>
      </c>
      <c r="E1050" s="112">
        <f>'OPEN FOREIGN ORDER'!AB676</f>
        <v>0</v>
      </c>
      <c r="F1050" s="112">
        <f>'OPEN FOREIGN ORDER'!AC676</f>
        <v>0</v>
      </c>
      <c r="G1050" s="112">
        <f>'OPEN FOREIGN ORDER'!AD676</f>
        <v>0</v>
      </c>
      <c r="H1050" s="112">
        <f>'OPEN FOREIGN ORDER'!AE676</f>
        <v>0</v>
      </c>
      <c r="I1050" s="112">
        <f>'OPEN FOREIGN ORDER'!AF676</f>
        <v>0</v>
      </c>
      <c r="J1050" s="112">
        <f>'OPEN FOREIGN ORDER'!AG676</f>
        <v>0</v>
      </c>
    </row>
    <row r="1051" spans="1:10">
      <c r="A1051">
        <f>'OPEN FOREIGN ORDER'!D677</f>
        <v>0</v>
      </c>
      <c r="B1051">
        <f>'OPEN FOREIGN ORDER'!F677</f>
        <v>0</v>
      </c>
      <c r="C1051">
        <f>'OPEN FOREIGN ORDER'!Z677</f>
        <v>0</v>
      </c>
      <c r="D1051" s="123">
        <f>'OPEN FOREIGN ORDER'!AA677</f>
        <v>0</v>
      </c>
      <c r="E1051" s="112">
        <f>'OPEN FOREIGN ORDER'!AB677</f>
        <v>0</v>
      </c>
      <c r="F1051" s="112">
        <f>'OPEN FOREIGN ORDER'!AC677</f>
        <v>0</v>
      </c>
      <c r="G1051" s="112">
        <f>'OPEN FOREIGN ORDER'!AD677</f>
        <v>0</v>
      </c>
      <c r="H1051" s="112">
        <f>'OPEN FOREIGN ORDER'!AE677</f>
        <v>0</v>
      </c>
      <c r="I1051" s="112">
        <f>'OPEN FOREIGN ORDER'!AF677</f>
        <v>0</v>
      </c>
      <c r="J1051" s="112">
        <f>'OPEN FOREIGN ORDER'!AG677</f>
        <v>0</v>
      </c>
    </row>
    <row r="1052" spans="1:10">
      <c r="A1052">
        <f>'OPEN FOREIGN ORDER'!D678</f>
        <v>0</v>
      </c>
      <c r="B1052">
        <f>'OPEN FOREIGN ORDER'!F678</f>
        <v>0</v>
      </c>
      <c r="C1052">
        <f>'OPEN FOREIGN ORDER'!Z678</f>
        <v>0</v>
      </c>
      <c r="D1052" s="123">
        <f>'OPEN FOREIGN ORDER'!AA678</f>
        <v>0</v>
      </c>
      <c r="E1052" s="112">
        <f>'OPEN FOREIGN ORDER'!AB678</f>
        <v>0</v>
      </c>
      <c r="F1052" s="112">
        <f>'OPEN FOREIGN ORDER'!AC678</f>
        <v>0</v>
      </c>
      <c r="G1052" s="112">
        <f>'OPEN FOREIGN ORDER'!AD678</f>
        <v>0</v>
      </c>
      <c r="H1052" s="112">
        <f>'OPEN FOREIGN ORDER'!AE678</f>
        <v>0</v>
      </c>
      <c r="I1052" s="112">
        <f>'OPEN FOREIGN ORDER'!AF678</f>
        <v>0</v>
      </c>
      <c r="J1052" s="112">
        <f>'OPEN FOREIGN ORDER'!AG678</f>
        <v>0</v>
      </c>
    </row>
    <row r="1053" spans="1:10">
      <c r="A1053">
        <f>'OPEN FOREIGN ORDER'!D679</f>
        <v>0</v>
      </c>
      <c r="B1053">
        <f>'OPEN FOREIGN ORDER'!F679</f>
        <v>0</v>
      </c>
      <c r="C1053">
        <f>'OPEN FOREIGN ORDER'!Z679</f>
        <v>0</v>
      </c>
      <c r="D1053" s="123">
        <f>'OPEN FOREIGN ORDER'!AA679</f>
        <v>0</v>
      </c>
      <c r="E1053" s="112">
        <f>'OPEN FOREIGN ORDER'!AB679</f>
        <v>0</v>
      </c>
      <c r="F1053" s="112">
        <f>'OPEN FOREIGN ORDER'!AC679</f>
        <v>0</v>
      </c>
      <c r="G1053" s="112">
        <f>'OPEN FOREIGN ORDER'!AD679</f>
        <v>0</v>
      </c>
      <c r="H1053" s="112">
        <f>'OPEN FOREIGN ORDER'!AE679</f>
        <v>0</v>
      </c>
      <c r="I1053" s="112">
        <f>'OPEN FOREIGN ORDER'!AF679</f>
        <v>0</v>
      </c>
      <c r="J1053" s="112">
        <f>'OPEN FOREIGN ORDER'!AG679</f>
        <v>0</v>
      </c>
    </row>
    <row r="1054" spans="1:10">
      <c r="A1054">
        <f>'OPEN FOREIGN ORDER'!D680</f>
        <v>0</v>
      </c>
      <c r="B1054">
        <f>'OPEN FOREIGN ORDER'!F680</f>
        <v>0</v>
      </c>
      <c r="C1054">
        <f>'OPEN FOREIGN ORDER'!Z680</f>
        <v>0</v>
      </c>
      <c r="D1054" s="123">
        <f>'OPEN FOREIGN ORDER'!AA680</f>
        <v>0</v>
      </c>
      <c r="E1054" s="112">
        <f>'OPEN FOREIGN ORDER'!AB680</f>
        <v>0</v>
      </c>
      <c r="F1054" s="112">
        <f>'OPEN FOREIGN ORDER'!AC680</f>
        <v>0</v>
      </c>
      <c r="G1054" s="112">
        <f>'OPEN FOREIGN ORDER'!AD680</f>
        <v>0</v>
      </c>
      <c r="H1054" s="112">
        <f>'OPEN FOREIGN ORDER'!AE680</f>
        <v>0</v>
      </c>
      <c r="I1054" s="112">
        <f>'OPEN FOREIGN ORDER'!AF680</f>
        <v>0</v>
      </c>
      <c r="J1054" s="112">
        <f>'OPEN FOREIGN ORDER'!AG680</f>
        <v>0</v>
      </c>
    </row>
    <row r="1055" spans="1:10">
      <c r="A1055">
        <f>'OPEN FOREIGN ORDER'!D681</f>
        <v>0</v>
      </c>
      <c r="B1055">
        <f>'OPEN FOREIGN ORDER'!F681</f>
        <v>0</v>
      </c>
      <c r="C1055">
        <f>'OPEN FOREIGN ORDER'!Z681</f>
        <v>0</v>
      </c>
      <c r="D1055" s="123">
        <f>'OPEN FOREIGN ORDER'!AA681</f>
        <v>0</v>
      </c>
      <c r="E1055" s="112">
        <f>'OPEN FOREIGN ORDER'!AB681</f>
        <v>0</v>
      </c>
      <c r="F1055" s="112">
        <f>'OPEN FOREIGN ORDER'!AC681</f>
        <v>0</v>
      </c>
      <c r="G1055" s="112">
        <f>'OPEN FOREIGN ORDER'!AD681</f>
        <v>0</v>
      </c>
      <c r="H1055" s="112">
        <f>'OPEN FOREIGN ORDER'!AE681</f>
        <v>0</v>
      </c>
      <c r="I1055" s="112">
        <f>'OPEN FOREIGN ORDER'!AF681</f>
        <v>0</v>
      </c>
      <c r="J1055" s="112">
        <f>'OPEN FOREIGN ORDER'!AG681</f>
        <v>0</v>
      </c>
    </row>
    <row r="1056" spans="1:10">
      <c r="A1056">
        <f>'OPEN FOREIGN ORDER'!D682</f>
        <v>0</v>
      </c>
      <c r="B1056">
        <f>'OPEN FOREIGN ORDER'!F682</f>
        <v>0</v>
      </c>
      <c r="C1056">
        <f>'OPEN FOREIGN ORDER'!Z682</f>
        <v>0</v>
      </c>
      <c r="D1056" s="123">
        <f>'OPEN FOREIGN ORDER'!AA682</f>
        <v>0</v>
      </c>
      <c r="E1056" s="112">
        <f>'OPEN FOREIGN ORDER'!AB682</f>
        <v>0</v>
      </c>
      <c r="F1056" s="112">
        <f>'OPEN FOREIGN ORDER'!AC682</f>
        <v>0</v>
      </c>
      <c r="G1056" s="112">
        <f>'OPEN FOREIGN ORDER'!AD682</f>
        <v>0</v>
      </c>
      <c r="H1056" s="112">
        <f>'OPEN FOREIGN ORDER'!AE682</f>
        <v>0</v>
      </c>
      <c r="I1056" s="112">
        <f>'OPEN FOREIGN ORDER'!AF682</f>
        <v>0</v>
      </c>
      <c r="J1056" s="112">
        <f>'OPEN FOREIGN ORDER'!AG682</f>
        <v>0</v>
      </c>
    </row>
    <row r="1057" spans="1:10">
      <c r="A1057">
        <f>'OPEN FOREIGN ORDER'!D683</f>
        <v>0</v>
      </c>
      <c r="B1057">
        <f>'OPEN FOREIGN ORDER'!F683</f>
        <v>0</v>
      </c>
      <c r="C1057">
        <f>'OPEN FOREIGN ORDER'!Z683</f>
        <v>0</v>
      </c>
      <c r="D1057" s="123">
        <f>'OPEN FOREIGN ORDER'!AA683</f>
        <v>0</v>
      </c>
      <c r="E1057" s="112">
        <f>'OPEN FOREIGN ORDER'!AB683</f>
        <v>0</v>
      </c>
      <c r="F1057" s="112">
        <f>'OPEN FOREIGN ORDER'!AC683</f>
        <v>0</v>
      </c>
      <c r="G1057" s="112">
        <f>'OPEN FOREIGN ORDER'!AD683</f>
        <v>0</v>
      </c>
      <c r="H1057" s="112">
        <f>'OPEN FOREIGN ORDER'!AE683</f>
        <v>0</v>
      </c>
      <c r="I1057" s="112">
        <f>'OPEN FOREIGN ORDER'!AF683</f>
        <v>0</v>
      </c>
      <c r="J1057" s="112">
        <f>'OPEN FOREIGN ORDER'!AG683</f>
        <v>0</v>
      </c>
    </row>
    <row r="1058" spans="1:10">
      <c r="A1058">
        <f>'OPEN FOREIGN ORDER'!D684</f>
        <v>0</v>
      </c>
      <c r="B1058">
        <f>'OPEN FOREIGN ORDER'!F684</f>
        <v>0</v>
      </c>
      <c r="C1058">
        <f>'OPEN FOREIGN ORDER'!Z684</f>
        <v>0</v>
      </c>
      <c r="D1058" s="123">
        <f>'OPEN FOREIGN ORDER'!AA684</f>
        <v>0</v>
      </c>
      <c r="E1058" s="112">
        <f>'OPEN FOREIGN ORDER'!AB684</f>
        <v>0</v>
      </c>
      <c r="F1058" s="112">
        <f>'OPEN FOREIGN ORDER'!AC684</f>
        <v>0</v>
      </c>
      <c r="G1058" s="112">
        <f>'OPEN FOREIGN ORDER'!AD684</f>
        <v>0</v>
      </c>
      <c r="H1058" s="112">
        <f>'OPEN FOREIGN ORDER'!AE684</f>
        <v>0</v>
      </c>
      <c r="I1058" s="112">
        <f>'OPEN FOREIGN ORDER'!AF684</f>
        <v>0</v>
      </c>
      <c r="J1058" s="112">
        <f>'OPEN FOREIGN ORDER'!AG684</f>
        <v>0</v>
      </c>
    </row>
    <row r="1059" spans="1:10">
      <c r="A1059">
        <f>'OPEN FOREIGN ORDER'!D685</f>
        <v>0</v>
      </c>
      <c r="B1059">
        <f>'OPEN FOREIGN ORDER'!F685</f>
        <v>0</v>
      </c>
      <c r="C1059">
        <f>'OPEN FOREIGN ORDER'!Z685</f>
        <v>0</v>
      </c>
      <c r="D1059" s="123">
        <f>'OPEN FOREIGN ORDER'!AA685</f>
        <v>0</v>
      </c>
      <c r="E1059" s="112">
        <f>'OPEN FOREIGN ORDER'!AB685</f>
        <v>0</v>
      </c>
      <c r="F1059" s="112">
        <f>'OPEN FOREIGN ORDER'!AC685</f>
        <v>0</v>
      </c>
      <c r="G1059" s="112">
        <f>'OPEN FOREIGN ORDER'!AD685</f>
        <v>0</v>
      </c>
      <c r="H1059" s="112">
        <f>'OPEN FOREIGN ORDER'!AE685</f>
        <v>0</v>
      </c>
      <c r="I1059" s="112">
        <f>'OPEN FOREIGN ORDER'!AF685</f>
        <v>0</v>
      </c>
      <c r="J1059" s="112">
        <f>'OPEN FOREIGN ORDER'!AG685</f>
        <v>0</v>
      </c>
    </row>
    <row r="1060" spans="1:10">
      <c r="A1060">
        <f>'OPEN FOREIGN ORDER'!D686</f>
        <v>0</v>
      </c>
      <c r="B1060">
        <f>'OPEN FOREIGN ORDER'!F686</f>
        <v>0</v>
      </c>
      <c r="C1060">
        <f>'OPEN FOREIGN ORDER'!Z686</f>
        <v>0</v>
      </c>
      <c r="D1060" s="123">
        <f>'OPEN FOREIGN ORDER'!AA686</f>
        <v>0</v>
      </c>
      <c r="E1060" s="112">
        <f>'OPEN FOREIGN ORDER'!AB686</f>
        <v>0</v>
      </c>
      <c r="F1060" s="112">
        <f>'OPEN FOREIGN ORDER'!AC686</f>
        <v>0</v>
      </c>
      <c r="G1060" s="112">
        <f>'OPEN FOREIGN ORDER'!AD686</f>
        <v>0</v>
      </c>
      <c r="H1060" s="112">
        <f>'OPEN FOREIGN ORDER'!AE686</f>
        <v>0</v>
      </c>
      <c r="I1060" s="112">
        <f>'OPEN FOREIGN ORDER'!AF686</f>
        <v>0</v>
      </c>
      <c r="J1060" s="112">
        <f>'OPEN FOREIGN ORDER'!AG686</f>
        <v>0</v>
      </c>
    </row>
    <row r="1061" spans="1:10">
      <c r="A1061">
        <f>'OPEN FOREIGN ORDER'!D687</f>
        <v>0</v>
      </c>
      <c r="B1061">
        <f>'OPEN FOREIGN ORDER'!F687</f>
        <v>0</v>
      </c>
      <c r="C1061">
        <f>'OPEN FOREIGN ORDER'!Z687</f>
        <v>0</v>
      </c>
      <c r="D1061" s="123">
        <f>'OPEN FOREIGN ORDER'!AA687</f>
        <v>0</v>
      </c>
      <c r="E1061" s="112">
        <f>'OPEN FOREIGN ORDER'!AB687</f>
        <v>0</v>
      </c>
      <c r="F1061" s="112">
        <f>'OPEN FOREIGN ORDER'!AC687</f>
        <v>0</v>
      </c>
      <c r="G1061" s="112">
        <f>'OPEN FOREIGN ORDER'!AD687</f>
        <v>0</v>
      </c>
      <c r="H1061" s="112">
        <f>'OPEN FOREIGN ORDER'!AE687</f>
        <v>0</v>
      </c>
      <c r="I1061" s="112">
        <f>'OPEN FOREIGN ORDER'!AF687</f>
        <v>0</v>
      </c>
      <c r="J1061" s="112">
        <f>'OPEN FOREIGN ORDER'!AG687</f>
        <v>0</v>
      </c>
    </row>
    <row r="1062" spans="1:10">
      <c r="A1062">
        <f>'OPEN FOREIGN ORDER'!D688</f>
        <v>0</v>
      </c>
      <c r="B1062">
        <f>'OPEN FOREIGN ORDER'!F688</f>
        <v>0</v>
      </c>
      <c r="C1062">
        <f>'OPEN FOREIGN ORDER'!Z688</f>
        <v>0</v>
      </c>
      <c r="D1062" s="123">
        <f>'OPEN FOREIGN ORDER'!AA688</f>
        <v>0</v>
      </c>
      <c r="E1062" s="112">
        <f>'OPEN FOREIGN ORDER'!AB688</f>
        <v>0</v>
      </c>
      <c r="F1062" s="112">
        <f>'OPEN FOREIGN ORDER'!AC688</f>
        <v>0</v>
      </c>
      <c r="G1062" s="112">
        <f>'OPEN FOREIGN ORDER'!AD688</f>
        <v>0</v>
      </c>
      <c r="H1062" s="112">
        <f>'OPEN FOREIGN ORDER'!AE688</f>
        <v>0</v>
      </c>
      <c r="I1062" s="112">
        <f>'OPEN FOREIGN ORDER'!AF688</f>
        <v>0</v>
      </c>
      <c r="J1062" s="112">
        <f>'OPEN FOREIGN ORDER'!AG688</f>
        <v>0</v>
      </c>
    </row>
    <row r="1063" spans="1:10">
      <c r="A1063">
        <f>'OPEN FOREIGN ORDER'!D689</f>
        <v>0</v>
      </c>
      <c r="B1063">
        <f>'OPEN FOREIGN ORDER'!F689</f>
        <v>0</v>
      </c>
      <c r="C1063">
        <f>'OPEN FOREIGN ORDER'!Z689</f>
        <v>0</v>
      </c>
      <c r="D1063" s="123">
        <f>'OPEN FOREIGN ORDER'!AA689</f>
        <v>0</v>
      </c>
      <c r="E1063" s="112">
        <f>'OPEN FOREIGN ORDER'!AB689</f>
        <v>0</v>
      </c>
      <c r="F1063" s="112">
        <f>'OPEN FOREIGN ORDER'!AC689</f>
        <v>0</v>
      </c>
      <c r="G1063" s="112">
        <f>'OPEN FOREIGN ORDER'!AD689</f>
        <v>0</v>
      </c>
      <c r="H1063" s="112">
        <f>'OPEN FOREIGN ORDER'!AE689</f>
        <v>0</v>
      </c>
      <c r="I1063" s="112">
        <f>'OPEN FOREIGN ORDER'!AF689</f>
        <v>0</v>
      </c>
      <c r="J1063" s="112">
        <f>'OPEN FOREIGN ORDER'!AG689</f>
        <v>0</v>
      </c>
    </row>
    <row r="1064" spans="1:10">
      <c r="A1064">
        <f>'OPEN FOREIGN ORDER'!D690</f>
        <v>0</v>
      </c>
      <c r="B1064">
        <f>'OPEN FOREIGN ORDER'!F690</f>
        <v>0</v>
      </c>
      <c r="C1064">
        <f>'OPEN FOREIGN ORDER'!Z690</f>
        <v>0</v>
      </c>
      <c r="D1064" s="123">
        <f>'OPEN FOREIGN ORDER'!AA690</f>
        <v>0</v>
      </c>
      <c r="E1064" s="112">
        <f>'OPEN FOREIGN ORDER'!AB690</f>
        <v>0</v>
      </c>
      <c r="F1064" s="112">
        <f>'OPEN FOREIGN ORDER'!AC690</f>
        <v>0</v>
      </c>
      <c r="G1064" s="112">
        <f>'OPEN FOREIGN ORDER'!AD690</f>
        <v>0</v>
      </c>
      <c r="H1064" s="112">
        <f>'OPEN FOREIGN ORDER'!AE690</f>
        <v>0</v>
      </c>
      <c r="I1064" s="112">
        <f>'OPEN FOREIGN ORDER'!AF690</f>
        <v>0</v>
      </c>
      <c r="J1064" s="112">
        <f>'OPEN FOREIGN ORDER'!AG690</f>
        <v>0</v>
      </c>
    </row>
    <row r="1065" spans="1:10">
      <c r="A1065">
        <f>'OPEN FOREIGN ORDER'!D691</f>
        <v>0</v>
      </c>
      <c r="B1065">
        <f>'OPEN FOREIGN ORDER'!F691</f>
        <v>0</v>
      </c>
      <c r="C1065">
        <f>'OPEN FOREIGN ORDER'!Z691</f>
        <v>0</v>
      </c>
      <c r="D1065" s="123">
        <f>'OPEN FOREIGN ORDER'!AA691</f>
        <v>0</v>
      </c>
      <c r="E1065" s="112">
        <f>'OPEN FOREIGN ORDER'!AB691</f>
        <v>0</v>
      </c>
      <c r="F1065" s="112">
        <f>'OPEN FOREIGN ORDER'!AC691</f>
        <v>0</v>
      </c>
      <c r="G1065" s="112">
        <f>'OPEN FOREIGN ORDER'!AD691</f>
        <v>0</v>
      </c>
      <c r="H1065" s="112">
        <f>'OPEN FOREIGN ORDER'!AE691</f>
        <v>0</v>
      </c>
      <c r="I1065" s="112">
        <f>'OPEN FOREIGN ORDER'!AF691</f>
        <v>0</v>
      </c>
      <c r="J1065" s="112">
        <f>'OPEN FOREIGN ORDER'!AG691</f>
        <v>0</v>
      </c>
    </row>
    <row r="1066" spans="1:10">
      <c r="A1066">
        <f>'OPEN FOREIGN ORDER'!D692</f>
        <v>0</v>
      </c>
      <c r="B1066">
        <f>'OPEN FOREIGN ORDER'!F692</f>
        <v>0</v>
      </c>
      <c r="C1066">
        <f>'OPEN FOREIGN ORDER'!Z692</f>
        <v>0</v>
      </c>
      <c r="D1066" s="123">
        <f>'OPEN FOREIGN ORDER'!AA692</f>
        <v>0</v>
      </c>
      <c r="E1066" s="112">
        <f>'OPEN FOREIGN ORDER'!AB692</f>
        <v>0</v>
      </c>
      <c r="F1066" s="112">
        <f>'OPEN FOREIGN ORDER'!AC692</f>
        <v>0</v>
      </c>
      <c r="G1066" s="112">
        <f>'OPEN FOREIGN ORDER'!AD692</f>
        <v>0</v>
      </c>
      <c r="H1066" s="112">
        <f>'OPEN FOREIGN ORDER'!AE692</f>
        <v>0</v>
      </c>
      <c r="I1066" s="112">
        <f>'OPEN FOREIGN ORDER'!AF692</f>
        <v>0</v>
      </c>
      <c r="J1066" s="112">
        <f>'OPEN FOREIGN ORDER'!AG692</f>
        <v>0</v>
      </c>
    </row>
    <row r="1067" spans="1:10">
      <c r="A1067">
        <f>'OPEN FOREIGN ORDER'!D693</f>
        <v>0</v>
      </c>
      <c r="B1067">
        <f>'OPEN FOREIGN ORDER'!F693</f>
        <v>0</v>
      </c>
      <c r="C1067">
        <f>'OPEN FOREIGN ORDER'!Z693</f>
        <v>0</v>
      </c>
      <c r="D1067" s="123">
        <f>'OPEN FOREIGN ORDER'!AA693</f>
        <v>0</v>
      </c>
      <c r="E1067" s="112">
        <f>'OPEN FOREIGN ORDER'!AB693</f>
        <v>0</v>
      </c>
      <c r="F1067" s="112">
        <f>'OPEN FOREIGN ORDER'!AC693</f>
        <v>0</v>
      </c>
      <c r="G1067" s="112">
        <f>'OPEN FOREIGN ORDER'!AD693</f>
        <v>0</v>
      </c>
      <c r="H1067" s="112">
        <f>'OPEN FOREIGN ORDER'!AE693</f>
        <v>0</v>
      </c>
      <c r="I1067" s="112">
        <f>'OPEN FOREIGN ORDER'!AF693</f>
        <v>0</v>
      </c>
      <c r="J1067" s="112">
        <f>'OPEN FOREIGN ORDER'!AG693</f>
        <v>0</v>
      </c>
    </row>
    <row r="1068" spans="1:10">
      <c r="A1068">
        <f>'OPEN FOREIGN ORDER'!D694</f>
        <v>0</v>
      </c>
      <c r="B1068">
        <f>'OPEN FOREIGN ORDER'!F694</f>
        <v>0</v>
      </c>
      <c r="C1068">
        <f>'OPEN FOREIGN ORDER'!Z694</f>
        <v>0</v>
      </c>
      <c r="D1068" s="123">
        <f>'OPEN FOREIGN ORDER'!AA694</f>
        <v>0</v>
      </c>
      <c r="E1068" s="112">
        <f>'OPEN FOREIGN ORDER'!AB694</f>
        <v>0</v>
      </c>
      <c r="F1068" s="112">
        <f>'OPEN FOREIGN ORDER'!AC694</f>
        <v>0</v>
      </c>
      <c r="G1068" s="112">
        <f>'OPEN FOREIGN ORDER'!AD694</f>
        <v>0</v>
      </c>
      <c r="H1068" s="112">
        <f>'OPEN FOREIGN ORDER'!AE694</f>
        <v>0</v>
      </c>
      <c r="I1068" s="112">
        <f>'OPEN FOREIGN ORDER'!AF694</f>
        <v>0</v>
      </c>
      <c r="J1068" s="112">
        <f>'OPEN FOREIGN ORDER'!AG694</f>
        <v>0</v>
      </c>
    </row>
    <row r="1069" spans="1:10">
      <c r="A1069">
        <f>'OPEN FOREIGN ORDER'!D695</f>
        <v>0</v>
      </c>
      <c r="B1069">
        <f>'OPEN FOREIGN ORDER'!F695</f>
        <v>0</v>
      </c>
      <c r="C1069">
        <f>'OPEN FOREIGN ORDER'!Z695</f>
        <v>0</v>
      </c>
      <c r="D1069" s="123">
        <f>'OPEN FOREIGN ORDER'!AA695</f>
        <v>0</v>
      </c>
      <c r="E1069" s="112">
        <f>'OPEN FOREIGN ORDER'!AB695</f>
        <v>0</v>
      </c>
      <c r="F1069" s="112">
        <f>'OPEN FOREIGN ORDER'!AC695</f>
        <v>0</v>
      </c>
      <c r="G1069" s="112">
        <f>'OPEN FOREIGN ORDER'!AD695</f>
        <v>0</v>
      </c>
      <c r="H1069" s="112">
        <f>'OPEN FOREIGN ORDER'!AE695</f>
        <v>0</v>
      </c>
      <c r="I1069" s="112">
        <f>'OPEN FOREIGN ORDER'!AF695</f>
        <v>0</v>
      </c>
      <c r="J1069" s="112">
        <f>'OPEN FOREIGN ORDER'!AG695</f>
        <v>0</v>
      </c>
    </row>
    <row r="1070" spans="1:10">
      <c r="A1070">
        <f>'OPEN FOREIGN ORDER'!D696</f>
        <v>0</v>
      </c>
      <c r="B1070">
        <f>'OPEN FOREIGN ORDER'!F696</f>
        <v>0</v>
      </c>
      <c r="C1070">
        <f>'OPEN FOREIGN ORDER'!Z696</f>
        <v>0</v>
      </c>
      <c r="D1070" s="123">
        <f>'OPEN FOREIGN ORDER'!AA696</f>
        <v>0</v>
      </c>
      <c r="E1070" s="112">
        <f>'OPEN FOREIGN ORDER'!AB696</f>
        <v>0</v>
      </c>
      <c r="F1070" s="112">
        <f>'OPEN FOREIGN ORDER'!AC696</f>
        <v>0</v>
      </c>
      <c r="G1070" s="112">
        <f>'OPEN FOREIGN ORDER'!AD696</f>
        <v>0</v>
      </c>
      <c r="H1070" s="112">
        <f>'OPEN FOREIGN ORDER'!AE696</f>
        <v>0</v>
      </c>
      <c r="I1070" s="112">
        <f>'OPEN FOREIGN ORDER'!AF696</f>
        <v>0</v>
      </c>
      <c r="J1070" s="112">
        <f>'OPEN FOREIGN ORDER'!AG696</f>
        <v>0</v>
      </c>
    </row>
    <row r="1071" spans="1:10">
      <c r="A1071">
        <f>'OPEN FOREIGN ORDER'!D697</f>
        <v>0</v>
      </c>
      <c r="B1071">
        <f>'OPEN FOREIGN ORDER'!F697</f>
        <v>0</v>
      </c>
      <c r="C1071">
        <f>'OPEN FOREIGN ORDER'!Z697</f>
        <v>0</v>
      </c>
      <c r="D1071" s="123">
        <f>'OPEN FOREIGN ORDER'!AA697</f>
        <v>0</v>
      </c>
      <c r="E1071" s="112">
        <f>'OPEN FOREIGN ORDER'!AB697</f>
        <v>0</v>
      </c>
      <c r="F1071" s="112">
        <f>'OPEN FOREIGN ORDER'!AC697</f>
        <v>0</v>
      </c>
      <c r="G1071" s="112">
        <f>'OPEN FOREIGN ORDER'!AD697</f>
        <v>0</v>
      </c>
      <c r="H1071" s="112">
        <f>'OPEN FOREIGN ORDER'!AE697</f>
        <v>0</v>
      </c>
      <c r="I1071" s="112">
        <f>'OPEN FOREIGN ORDER'!AF697</f>
        <v>0</v>
      </c>
      <c r="J1071" s="112">
        <f>'OPEN FOREIGN ORDER'!AG697</f>
        <v>0</v>
      </c>
    </row>
    <row r="1072" spans="1:10">
      <c r="A1072">
        <f>'OPEN FOREIGN ORDER'!D698</f>
        <v>0</v>
      </c>
      <c r="B1072">
        <f>'OPEN FOREIGN ORDER'!F698</f>
        <v>0</v>
      </c>
      <c r="C1072">
        <f>'OPEN FOREIGN ORDER'!Z698</f>
        <v>0</v>
      </c>
      <c r="D1072" s="123">
        <f>'OPEN FOREIGN ORDER'!AA698</f>
        <v>0</v>
      </c>
      <c r="E1072" s="112">
        <f>'OPEN FOREIGN ORDER'!AB698</f>
        <v>0</v>
      </c>
      <c r="F1072" s="112">
        <f>'OPEN FOREIGN ORDER'!AC698</f>
        <v>0</v>
      </c>
      <c r="G1072" s="112">
        <f>'OPEN FOREIGN ORDER'!AD698</f>
        <v>0</v>
      </c>
      <c r="H1072" s="112">
        <f>'OPEN FOREIGN ORDER'!AE698</f>
        <v>0</v>
      </c>
      <c r="I1072" s="112">
        <f>'OPEN FOREIGN ORDER'!AF698</f>
        <v>0</v>
      </c>
      <c r="J1072" s="112">
        <f>'OPEN FOREIGN ORDER'!AG698</f>
        <v>0</v>
      </c>
    </row>
    <row r="1073" spans="1:10">
      <c r="A1073">
        <f>'OPEN FOREIGN ORDER'!D699</f>
        <v>0</v>
      </c>
      <c r="B1073">
        <f>'OPEN FOREIGN ORDER'!F699</f>
        <v>0</v>
      </c>
      <c r="C1073">
        <f>'OPEN FOREIGN ORDER'!Z699</f>
        <v>0</v>
      </c>
      <c r="D1073" s="123">
        <f>'OPEN FOREIGN ORDER'!AA699</f>
        <v>0</v>
      </c>
      <c r="E1073" s="112">
        <f>'OPEN FOREIGN ORDER'!AB699</f>
        <v>0</v>
      </c>
      <c r="F1073" s="112">
        <f>'OPEN FOREIGN ORDER'!AC699</f>
        <v>0</v>
      </c>
      <c r="G1073" s="112">
        <f>'OPEN FOREIGN ORDER'!AD699</f>
        <v>0</v>
      </c>
      <c r="H1073" s="112">
        <f>'OPEN FOREIGN ORDER'!AE699</f>
        <v>0</v>
      </c>
      <c r="I1073" s="112">
        <f>'OPEN FOREIGN ORDER'!AF699</f>
        <v>0</v>
      </c>
      <c r="J1073" s="112">
        <f>'OPEN FOREIGN ORDER'!AG699</f>
        <v>0</v>
      </c>
    </row>
    <row r="1074" spans="1:10">
      <c r="A1074">
        <f>'OPEN FOREIGN ORDER'!D700</f>
        <v>0</v>
      </c>
      <c r="B1074">
        <f>'OPEN FOREIGN ORDER'!F700</f>
        <v>0</v>
      </c>
      <c r="C1074">
        <f>'OPEN FOREIGN ORDER'!Z700</f>
        <v>0</v>
      </c>
      <c r="D1074" s="123">
        <f>'OPEN FOREIGN ORDER'!AA700</f>
        <v>0</v>
      </c>
      <c r="E1074" s="112">
        <f>'OPEN FOREIGN ORDER'!AB700</f>
        <v>0</v>
      </c>
      <c r="F1074" s="112">
        <f>'OPEN FOREIGN ORDER'!AC700</f>
        <v>0</v>
      </c>
      <c r="G1074" s="112">
        <f>'OPEN FOREIGN ORDER'!AD700</f>
        <v>0</v>
      </c>
      <c r="H1074" s="112">
        <f>'OPEN FOREIGN ORDER'!AE700</f>
        <v>0</v>
      </c>
      <c r="I1074" s="112">
        <f>'OPEN FOREIGN ORDER'!AF700</f>
        <v>0</v>
      </c>
      <c r="J1074" s="112">
        <f>'OPEN FOREIGN ORDER'!AG700</f>
        <v>0</v>
      </c>
    </row>
    <row r="1075" spans="1:10">
      <c r="A1075">
        <f>'OPEN FOREIGN ORDER'!D701</f>
        <v>0</v>
      </c>
      <c r="B1075">
        <f>'OPEN FOREIGN ORDER'!F701</f>
        <v>0</v>
      </c>
      <c r="C1075">
        <f>'OPEN FOREIGN ORDER'!Z701</f>
        <v>0</v>
      </c>
      <c r="D1075" s="123">
        <f>'OPEN FOREIGN ORDER'!AA701</f>
        <v>0</v>
      </c>
      <c r="E1075" s="112">
        <f>'OPEN FOREIGN ORDER'!AB701</f>
        <v>0</v>
      </c>
      <c r="F1075" s="112">
        <f>'OPEN FOREIGN ORDER'!AC701</f>
        <v>0</v>
      </c>
      <c r="G1075" s="112">
        <f>'OPEN FOREIGN ORDER'!AD701</f>
        <v>0</v>
      </c>
      <c r="H1075" s="112">
        <f>'OPEN FOREIGN ORDER'!AE701</f>
        <v>0</v>
      </c>
      <c r="I1075" s="112">
        <f>'OPEN FOREIGN ORDER'!AF701</f>
        <v>0</v>
      </c>
      <c r="J1075" s="112">
        <f>'OPEN FOREIGN ORDER'!AG701</f>
        <v>0</v>
      </c>
    </row>
    <row r="1076" spans="1:10">
      <c r="A1076">
        <f>'OPEN FOREIGN ORDER'!D702</f>
        <v>0</v>
      </c>
      <c r="B1076">
        <f>'OPEN FOREIGN ORDER'!F702</f>
        <v>0</v>
      </c>
      <c r="C1076">
        <f>'OPEN FOREIGN ORDER'!Z702</f>
        <v>0</v>
      </c>
      <c r="D1076" s="123">
        <f>'OPEN FOREIGN ORDER'!AA702</f>
        <v>0</v>
      </c>
      <c r="E1076" s="112">
        <f>'OPEN FOREIGN ORDER'!AB702</f>
        <v>0</v>
      </c>
      <c r="F1076" s="112">
        <f>'OPEN FOREIGN ORDER'!AC702</f>
        <v>0</v>
      </c>
      <c r="G1076" s="112">
        <f>'OPEN FOREIGN ORDER'!AD702</f>
        <v>0</v>
      </c>
      <c r="H1076" s="112">
        <f>'OPEN FOREIGN ORDER'!AE702</f>
        <v>0</v>
      </c>
      <c r="I1076" s="112">
        <f>'OPEN FOREIGN ORDER'!AF702</f>
        <v>0</v>
      </c>
      <c r="J1076" s="112">
        <f>'OPEN FOREIGN ORDER'!AG702</f>
        <v>0</v>
      </c>
    </row>
    <row r="1077" spans="1:10">
      <c r="A1077">
        <f>'OPEN FOREIGN ORDER'!D703</f>
        <v>0</v>
      </c>
      <c r="B1077">
        <f>'OPEN FOREIGN ORDER'!F703</f>
        <v>0</v>
      </c>
      <c r="C1077">
        <f>'OPEN FOREIGN ORDER'!Z703</f>
        <v>0</v>
      </c>
      <c r="D1077" s="123">
        <f>'OPEN FOREIGN ORDER'!AA703</f>
        <v>0</v>
      </c>
      <c r="E1077" s="112">
        <f>'OPEN FOREIGN ORDER'!AB703</f>
        <v>0</v>
      </c>
      <c r="F1077" s="112">
        <f>'OPEN FOREIGN ORDER'!AC703</f>
        <v>0</v>
      </c>
      <c r="G1077" s="112">
        <f>'OPEN FOREIGN ORDER'!AD703</f>
        <v>0</v>
      </c>
      <c r="H1077" s="112">
        <f>'OPEN FOREIGN ORDER'!AE703</f>
        <v>0</v>
      </c>
      <c r="I1077" s="112">
        <f>'OPEN FOREIGN ORDER'!AF703</f>
        <v>0</v>
      </c>
      <c r="J1077" s="112">
        <f>'OPEN FOREIGN ORDER'!AG703</f>
        <v>0</v>
      </c>
    </row>
    <row r="1078" spans="1:10">
      <c r="A1078">
        <f>'OPEN FOREIGN ORDER'!D704</f>
        <v>0</v>
      </c>
      <c r="B1078">
        <f>'OPEN FOREIGN ORDER'!F704</f>
        <v>0</v>
      </c>
      <c r="C1078">
        <f>'OPEN FOREIGN ORDER'!Z704</f>
        <v>0</v>
      </c>
      <c r="D1078" s="123">
        <f>'OPEN FOREIGN ORDER'!AA704</f>
        <v>0</v>
      </c>
      <c r="E1078" s="112">
        <f>'OPEN FOREIGN ORDER'!AB704</f>
        <v>0</v>
      </c>
      <c r="F1078" s="112">
        <f>'OPEN FOREIGN ORDER'!AC704</f>
        <v>0</v>
      </c>
      <c r="G1078" s="112">
        <f>'OPEN FOREIGN ORDER'!AD704</f>
        <v>0</v>
      </c>
      <c r="H1078" s="112">
        <f>'OPEN FOREIGN ORDER'!AE704</f>
        <v>0</v>
      </c>
      <c r="I1078" s="112">
        <f>'OPEN FOREIGN ORDER'!AF704</f>
        <v>0</v>
      </c>
      <c r="J1078" s="112">
        <f>'OPEN FOREIGN ORDER'!AG704</f>
        <v>0</v>
      </c>
    </row>
    <row r="1079" spans="1:10">
      <c r="A1079">
        <f>'OPEN FOREIGN ORDER'!D705</f>
        <v>0</v>
      </c>
      <c r="B1079">
        <f>'OPEN FOREIGN ORDER'!F705</f>
        <v>0</v>
      </c>
      <c r="C1079">
        <f>'OPEN FOREIGN ORDER'!Z705</f>
        <v>0</v>
      </c>
      <c r="D1079" s="123">
        <f>'OPEN FOREIGN ORDER'!AA705</f>
        <v>0</v>
      </c>
      <c r="E1079" s="112">
        <f>'OPEN FOREIGN ORDER'!AB705</f>
        <v>0</v>
      </c>
      <c r="F1079" s="112">
        <f>'OPEN FOREIGN ORDER'!AC705</f>
        <v>0</v>
      </c>
      <c r="G1079" s="112">
        <f>'OPEN FOREIGN ORDER'!AD705</f>
        <v>0</v>
      </c>
      <c r="H1079" s="112">
        <f>'OPEN FOREIGN ORDER'!AE705</f>
        <v>0</v>
      </c>
      <c r="I1079" s="112">
        <f>'OPEN FOREIGN ORDER'!AF705</f>
        <v>0</v>
      </c>
      <c r="J1079" s="112">
        <f>'OPEN FOREIGN ORDER'!AG705</f>
        <v>0</v>
      </c>
    </row>
    <row r="1080" spans="1:10">
      <c r="A1080">
        <f>'OPEN FOREIGN ORDER'!D706</f>
        <v>0</v>
      </c>
      <c r="B1080">
        <f>'OPEN FOREIGN ORDER'!F706</f>
        <v>0</v>
      </c>
      <c r="C1080">
        <f>'OPEN FOREIGN ORDER'!Z706</f>
        <v>0</v>
      </c>
      <c r="D1080" s="123">
        <f>'OPEN FOREIGN ORDER'!AA706</f>
        <v>0</v>
      </c>
      <c r="E1080" s="112">
        <f>'OPEN FOREIGN ORDER'!AB706</f>
        <v>0</v>
      </c>
      <c r="F1080" s="112">
        <f>'OPEN FOREIGN ORDER'!AC706</f>
        <v>0</v>
      </c>
      <c r="G1080" s="112">
        <f>'OPEN FOREIGN ORDER'!AD706</f>
        <v>0</v>
      </c>
      <c r="H1080" s="112">
        <f>'OPEN FOREIGN ORDER'!AE706</f>
        <v>0</v>
      </c>
      <c r="I1080" s="112">
        <f>'OPEN FOREIGN ORDER'!AF706</f>
        <v>0</v>
      </c>
      <c r="J1080" s="112">
        <f>'OPEN FOREIGN ORDER'!AG706</f>
        <v>0</v>
      </c>
    </row>
    <row r="1081" spans="1:10">
      <c r="A1081">
        <f>'OPEN FOREIGN ORDER'!D707</f>
        <v>0</v>
      </c>
      <c r="B1081">
        <f>'OPEN FOREIGN ORDER'!F707</f>
        <v>0</v>
      </c>
      <c r="C1081">
        <f>'OPEN FOREIGN ORDER'!Z707</f>
        <v>0</v>
      </c>
      <c r="D1081" s="123">
        <f>'OPEN FOREIGN ORDER'!AA707</f>
        <v>0</v>
      </c>
      <c r="E1081" s="112">
        <f>'OPEN FOREIGN ORDER'!AB707</f>
        <v>0</v>
      </c>
      <c r="F1081" s="112">
        <f>'OPEN FOREIGN ORDER'!AC707</f>
        <v>0</v>
      </c>
      <c r="G1081" s="112">
        <f>'OPEN FOREIGN ORDER'!AD707</f>
        <v>0</v>
      </c>
      <c r="H1081" s="112">
        <f>'OPEN FOREIGN ORDER'!AE707</f>
        <v>0</v>
      </c>
      <c r="I1081" s="112">
        <f>'OPEN FOREIGN ORDER'!AF707</f>
        <v>0</v>
      </c>
      <c r="J1081" s="112">
        <f>'OPEN FOREIGN ORDER'!AG707</f>
        <v>0</v>
      </c>
    </row>
    <row r="1082" spans="1:10">
      <c r="A1082">
        <f>'OPEN FOREIGN ORDER'!D708</f>
        <v>0</v>
      </c>
      <c r="B1082">
        <f>'OPEN FOREIGN ORDER'!F708</f>
        <v>0</v>
      </c>
      <c r="C1082">
        <f>'OPEN FOREIGN ORDER'!Z708</f>
        <v>0</v>
      </c>
      <c r="D1082" s="123">
        <f>'OPEN FOREIGN ORDER'!AA708</f>
        <v>0</v>
      </c>
      <c r="E1082" s="112">
        <f>'OPEN FOREIGN ORDER'!AB708</f>
        <v>0</v>
      </c>
      <c r="F1082" s="112">
        <f>'OPEN FOREIGN ORDER'!AC708</f>
        <v>0</v>
      </c>
      <c r="G1082" s="112">
        <f>'OPEN FOREIGN ORDER'!AD708</f>
        <v>0</v>
      </c>
      <c r="H1082" s="112">
        <f>'OPEN FOREIGN ORDER'!AE708</f>
        <v>0</v>
      </c>
      <c r="I1082" s="112">
        <f>'OPEN FOREIGN ORDER'!AF708</f>
        <v>0</v>
      </c>
      <c r="J1082" s="112">
        <f>'OPEN FOREIGN ORDER'!AG708</f>
        <v>0</v>
      </c>
    </row>
    <row r="1083" spans="1:10">
      <c r="A1083">
        <f>'OPEN FOREIGN ORDER'!D709</f>
        <v>0</v>
      </c>
      <c r="B1083">
        <f>'OPEN FOREIGN ORDER'!F709</f>
        <v>0</v>
      </c>
      <c r="C1083">
        <f>'OPEN FOREIGN ORDER'!Z709</f>
        <v>0</v>
      </c>
      <c r="D1083" s="123">
        <f>'OPEN FOREIGN ORDER'!AA709</f>
        <v>0</v>
      </c>
      <c r="E1083" s="112">
        <f>'OPEN FOREIGN ORDER'!AB709</f>
        <v>0</v>
      </c>
      <c r="F1083" s="112">
        <f>'OPEN FOREIGN ORDER'!AC709</f>
        <v>0</v>
      </c>
      <c r="G1083" s="112">
        <f>'OPEN FOREIGN ORDER'!AD709</f>
        <v>0</v>
      </c>
      <c r="H1083" s="112">
        <f>'OPEN FOREIGN ORDER'!AE709</f>
        <v>0</v>
      </c>
      <c r="I1083" s="112">
        <f>'OPEN FOREIGN ORDER'!AF709</f>
        <v>0</v>
      </c>
      <c r="J1083" s="112">
        <f>'OPEN FOREIGN ORDER'!AG709</f>
        <v>0</v>
      </c>
    </row>
    <row r="1084" spans="1:10">
      <c r="A1084">
        <f>'OPEN FOREIGN ORDER'!D710</f>
        <v>0</v>
      </c>
      <c r="B1084">
        <f>'OPEN FOREIGN ORDER'!F710</f>
        <v>0</v>
      </c>
      <c r="C1084">
        <f>'OPEN FOREIGN ORDER'!Z710</f>
        <v>0</v>
      </c>
      <c r="D1084" s="123">
        <f>'OPEN FOREIGN ORDER'!AA710</f>
        <v>0</v>
      </c>
      <c r="E1084" s="112">
        <f>'OPEN FOREIGN ORDER'!AB710</f>
        <v>0</v>
      </c>
      <c r="F1084" s="112">
        <f>'OPEN FOREIGN ORDER'!AC710</f>
        <v>0</v>
      </c>
      <c r="G1084" s="112">
        <f>'OPEN FOREIGN ORDER'!AD710</f>
        <v>0</v>
      </c>
      <c r="H1084" s="112">
        <f>'OPEN FOREIGN ORDER'!AE710</f>
        <v>0</v>
      </c>
      <c r="I1084" s="112">
        <f>'OPEN FOREIGN ORDER'!AF710</f>
        <v>0</v>
      </c>
      <c r="J1084" s="112">
        <f>'OPEN FOREIGN ORDER'!AG710</f>
        <v>0</v>
      </c>
    </row>
    <row r="1085" spans="1:10">
      <c r="A1085">
        <f>'OPEN FOREIGN ORDER'!D711</f>
        <v>0</v>
      </c>
      <c r="B1085">
        <f>'OPEN FOREIGN ORDER'!F711</f>
        <v>0</v>
      </c>
      <c r="C1085">
        <f>'OPEN FOREIGN ORDER'!Z711</f>
        <v>0</v>
      </c>
      <c r="D1085" s="123">
        <f>'OPEN FOREIGN ORDER'!AA711</f>
        <v>0</v>
      </c>
      <c r="E1085" s="112">
        <f>'OPEN FOREIGN ORDER'!AB711</f>
        <v>0</v>
      </c>
      <c r="F1085" s="112">
        <f>'OPEN FOREIGN ORDER'!AC711</f>
        <v>0</v>
      </c>
      <c r="G1085" s="112">
        <f>'OPEN FOREIGN ORDER'!AD711</f>
        <v>0</v>
      </c>
      <c r="H1085" s="112">
        <f>'OPEN FOREIGN ORDER'!AE711</f>
        <v>0</v>
      </c>
      <c r="I1085" s="112">
        <f>'OPEN FOREIGN ORDER'!AF711</f>
        <v>0</v>
      </c>
      <c r="J1085" s="112">
        <f>'OPEN FOREIGN ORDER'!AG711</f>
        <v>0</v>
      </c>
    </row>
    <row r="1086" spans="1:10">
      <c r="A1086">
        <f>'OPEN FOREIGN ORDER'!D712</f>
        <v>0</v>
      </c>
      <c r="B1086">
        <f>'OPEN FOREIGN ORDER'!F712</f>
        <v>0</v>
      </c>
      <c r="C1086">
        <f>'OPEN FOREIGN ORDER'!Z712</f>
        <v>0</v>
      </c>
      <c r="D1086" s="123">
        <f>'OPEN FOREIGN ORDER'!AA712</f>
        <v>0</v>
      </c>
      <c r="E1086" s="112">
        <f>'OPEN FOREIGN ORDER'!AB712</f>
        <v>0</v>
      </c>
      <c r="F1086" s="112">
        <f>'OPEN FOREIGN ORDER'!AC712</f>
        <v>0</v>
      </c>
      <c r="G1086" s="112">
        <f>'OPEN FOREIGN ORDER'!AD712</f>
        <v>0</v>
      </c>
      <c r="H1086" s="112">
        <f>'OPEN FOREIGN ORDER'!AE712</f>
        <v>0</v>
      </c>
      <c r="I1086" s="112">
        <f>'OPEN FOREIGN ORDER'!AF712</f>
        <v>0</v>
      </c>
      <c r="J1086" s="112">
        <f>'OPEN FOREIGN ORDER'!AG712</f>
        <v>0</v>
      </c>
    </row>
    <row r="1087" spans="1:10">
      <c r="A1087">
        <f>'OPEN FOREIGN ORDER'!D713</f>
        <v>0</v>
      </c>
      <c r="B1087">
        <f>'OPEN FOREIGN ORDER'!F713</f>
        <v>0</v>
      </c>
      <c r="C1087">
        <f>'OPEN FOREIGN ORDER'!Z713</f>
        <v>0</v>
      </c>
      <c r="D1087" s="123">
        <f>'OPEN FOREIGN ORDER'!AA713</f>
        <v>0</v>
      </c>
      <c r="E1087" s="112">
        <f>'OPEN FOREIGN ORDER'!AB713</f>
        <v>0</v>
      </c>
      <c r="F1087" s="112">
        <f>'OPEN FOREIGN ORDER'!AC713</f>
        <v>0</v>
      </c>
      <c r="G1087" s="112">
        <f>'OPEN FOREIGN ORDER'!AD713</f>
        <v>0</v>
      </c>
      <c r="H1087" s="112">
        <f>'OPEN FOREIGN ORDER'!AE713</f>
        <v>0</v>
      </c>
      <c r="I1087" s="112">
        <f>'OPEN FOREIGN ORDER'!AF713</f>
        <v>0</v>
      </c>
      <c r="J1087" s="112">
        <f>'OPEN FOREIGN ORDER'!AG713</f>
        <v>0</v>
      </c>
    </row>
    <row r="1088" spans="1:10">
      <c r="A1088">
        <f>'OPEN FOREIGN ORDER'!D714</f>
        <v>0</v>
      </c>
      <c r="B1088">
        <f>'OPEN FOREIGN ORDER'!F714</f>
        <v>0</v>
      </c>
      <c r="C1088">
        <f>'OPEN FOREIGN ORDER'!Z714</f>
        <v>0</v>
      </c>
      <c r="D1088" s="123">
        <f>'OPEN FOREIGN ORDER'!AA714</f>
        <v>0</v>
      </c>
      <c r="E1088" s="112">
        <f>'OPEN FOREIGN ORDER'!AB714</f>
        <v>0</v>
      </c>
      <c r="F1088" s="112">
        <f>'OPEN FOREIGN ORDER'!AC714</f>
        <v>0</v>
      </c>
      <c r="G1088" s="112">
        <f>'OPEN FOREIGN ORDER'!AD714</f>
        <v>0</v>
      </c>
      <c r="H1088" s="112">
        <f>'OPEN FOREIGN ORDER'!AE714</f>
        <v>0</v>
      </c>
      <c r="I1088" s="112">
        <f>'OPEN FOREIGN ORDER'!AF714</f>
        <v>0</v>
      </c>
      <c r="J1088" s="112">
        <f>'OPEN FOREIGN ORDER'!AG714</f>
        <v>0</v>
      </c>
    </row>
    <row r="1089" spans="1:10">
      <c r="A1089">
        <f>'OPEN FOREIGN ORDER'!D715</f>
        <v>0</v>
      </c>
      <c r="B1089">
        <f>'OPEN FOREIGN ORDER'!F715</f>
        <v>0</v>
      </c>
      <c r="C1089">
        <f>'OPEN FOREIGN ORDER'!Z715</f>
        <v>0</v>
      </c>
      <c r="D1089" s="123">
        <f>'OPEN FOREIGN ORDER'!AA715</f>
        <v>0</v>
      </c>
      <c r="E1089" s="112">
        <f>'OPEN FOREIGN ORDER'!AB715</f>
        <v>0</v>
      </c>
      <c r="F1089" s="112">
        <f>'OPEN FOREIGN ORDER'!AC715</f>
        <v>0</v>
      </c>
      <c r="G1089" s="112">
        <f>'OPEN FOREIGN ORDER'!AD715</f>
        <v>0</v>
      </c>
      <c r="H1089" s="112">
        <f>'OPEN FOREIGN ORDER'!AE715</f>
        <v>0</v>
      </c>
      <c r="I1089" s="112">
        <f>'OPEN FOREIGN ORDER'!AF715</f>
        <v>0</v>
      </c>
      <c r="J1089" s="112">
        <f>'OPEN FOREIGN ORDER'!AG715</f>
        <v>0</v>
      </c>
    </row>
    <row r="1090" spans="1:10">
      <c r="A1090">
        <f>'OPEN FOREIGN ORDER'!D716</f>
        <v>0</v>
      </c>
      <c r="B1090">
        <f>'OPEN FOREIGN ORDER'!F716</f>
        <v>0</v>
      </c>
      <c r="C1090">
        <f>'OPEN FOREIGN ORDER'!Z716</f>
        <v>0</v>
      </c>
      <c r="D1090" s="123">
        <f>'OPEN FOREIGN ORDER'!AA716</f>
        <v>0</v>
      </c>
      <c r="E1090" s="112">
        <f>'OPEN FOREIGN ORDER'!AB716</f>
        <v>0</v>
      </c>
      <c r="F1090" s="112">
        <f>'OPEN FOREIGN ORDER'!AC716</f>
        <v>0</v>
      </c>
      <c r="G1090" s="112">
        <f>'OPEN FOREIGN ORDER'!AD716</f>
        <v>0</v>
      </c>
      <c r="H1090" s="112">
        <f>'OPEN FOREIGN ORDER'!AE716</f>
        <v>0</v>
      </c>
      <c r="I1090" s="112">
        <f>'OPEN FOREIGN ORDER'!AF716</f>
        <v>0</v>
      </c>
      <c r="J1090" s="112">
        <f>'OPEN FOREIGN ORDER'!AG716</f>
        <v>0</v>
      </c>
    </row>
    <row r="1091" spans="1:10">
      <c r="A1091">
        <f>'OPEN FOREIGN ORDER'!D717</f>
        <v>0</v>
      </c>
      <c r="B1091">
        <f>'OPEN FOREIGN ORDER'!F717</f>
        <v>0</v>
      </c>
      <c r="C1091">
        <f>'OPEN FOREIGN ORDER'!Z717</f>
        <v>0</v>
      </c>
      <c r="D1091" s="123">
        <f>'OPEN FOREIGN ORDER'!AA717</f>
        <v>0</v>
      </c>
      <c r="E1091" s="112">
        <f>'OPEN FOREIGN ORDER'!AB717</f>
        <v>0</v>
      </c>
      <c r="F1091" s="112">
        <f>'OPEN FOREIGN ORDER'!AC717</f>
        <v>0</v>
      </c>
      <c r="G1091" s="112">
        <f>'OPEN FOREIGN ORDER'!AD717</f>
        <v>0</v>
      </c>
      <c r="H1091" s="112">
        <f>'OPEN FOREIGN ORDER'!AE717</f>
        <v>0</v>
      </c>
      <c r="I1091" s="112">
        <f>'OPEN FOREIGN ORDER'!AF717</f>
        <v>0</v>
      </c>
      <c r="J1091" s="112">
        <f>'OPEN FOREIGN ORDER'!AG717</f>
        <v>0</v>
      </c>
    </row>
    <row r="1092" spans="1:10">
      <c r="A1092">
        <f>'OPEN FOREIGN ORDER'!D718</f>
        <v>0</v>
      </c>
      <c r="B1092">
        <f>'OPEN FOREIGN ORDER'!F718</f>
        <v>0</v>
      </c>
      <c r="C1092">
        <f>'OPEN FOREIGN ORDER'!Z718</f>
        <v>0</v>
      </c>
      <c r="D1092" s="123">
        <f>'OPEN FOREIGN ORDER'!AA718</f>
        <v>0</v>
      </c>
      <c r="E1092" s="112">
        <f>'OPEN FOREIGN ORDER'!AB718</f>
        <v>0</v>
      </c>
      <c r="F1092" s="112">
        <f>'OPEN FOREIGN ORDER'!AC718</f>
        <v>0</v>
      </c>
      <c r="G1092" s="112">
        <f>'OPEN FOREIGN ORDER'!AD718</f>
        <v>0</v>
      </c>
      <c r="H1092" s="112">
        <f>'OPEN FOREIGN ORDER'!AE718</f>
        <v>0</v>
      </c>
      <c r="I1092" s="112">
        <f>'OPEN FOREIGN ORDER'!AF718</f>
        <v>0</v>
      </c>
      <c r="J1092" s="112">
        <f>'OPEN FOREIGN ORDER'!AG718</f>
        <v>0</v>
      </c>
    </row>
    <row r="1093" spans="1:10">
      <c r="A1093">
        <f>'OPEN FOREIGN ORDER'!D719</f>
        <v>0</v>
      </c>
      <c r="B1093">
        <f>'OPEN FOREIGN ORDER'!F719</f>
        <v>0</v>
      </c>
      <c r="C1093">
        <f>'OPEN FOREIGN ORDER'!Z719</f>
        <v>0</v>
      </c>
      <c r="D1093" s="123">
        <f>'OPEN FOREIGN ORDER'!AA719</f>
        <v>0</v>
      </c>
      <c r="E1093" s="112">
        <f>'OPEN FOREIGN ORDER'!AB719</f>
        <v>0</v>
      </c>
      <c r="F1093" s="112">
        <f>'OPEN FOREIGN ORDER'!AC719</f>
        <v>0</v>
      </c>
      <c r="G1093" s="112">
        <f>'OPEN FOREIGN ORDER'!AD719</f>
        <v>0</v>
      </c>
      <c r="H1093" s="112">
        <f>'OPEN FOREIGN ORDER'!AE719</f>
        <v>0</v>
      </c>
      <c r="I1093" s="112">
        <f>'OPEN FOREIGN ORDER'!AF719</f>
        <v>0</v>
      </c>
      <c r="J1093" s="112">
        <f>'OPEN FOREIGN ORDER'!AG719</f>
        <v>0</v>
      </c>
    </row>
    <row r="1094" spans="1:10">
      <c r="A1094">
        <f>'OPEN FOREIGN ORDER'!D720</f>
        <v>0</v>
      </c>
      <c r="B1094">
        <f>'OPEN FOREIGN ORDER'!F720</f>
        <v>0</v>
      </c>
      <c r="C1094">
        <f>'OPEN FOREIGN ORDER'!Z720</f>
        <v>0</v>
      </c>
      <c r="D1094" s="123">
        <f>'OPEN FOREIGN ORDER'!AA720</f>
        <v>0</v>
      </c>
      <c r="E1094" s="112">
        <f>'OPEN FOREIGN ORDER'!AB720</f>
        <v>0</v>
      </c>
      <c r="F1094" s="112">
        <f>'OPEN FOREIGN ORDER'!AC720</f>
        <v>0</v>
      </c>
      <c r="G1094" s="112">
        <f>'OPEN FOREIGN ORDER'!AD720</f>
        <v>0</v>
      </c>
      <c r="H1094" s="112">
        <f>'OPEN FOREIGN ORDER'!AE720</f>
        <v>0</v>
      </c>
      <c r="I1094" s="112">
        <f>'OPEN FOREIGN ORDER'!AF720</f>
        <v>0</v>
      </c>
      <c r="J1094" s="112">
        <f>'OPEN FOREIGN ORDER'!AG720</f>
        <v>0</v>
      </c>
    </row>
    <row r="1095" spans="1:10">
      <c r="A1095">
        <f>'OPEN FOREIGN ORDER'!D721</f>
        <v>0</v>
      </c>
      <c r="B1095">
        <f>'OPEN FOREIGN ORDER'!F721</f>
        <v>0</v>
      </c>
      <c r="C1095">
        <f>'OPEN FOREIGN ORDER'!Z721</f>
        <v>0</v>
      </c>
      <c r="D1095" s="123">
        <f>'OPEN FOREIGN ORDER'!AA721</f>
        <v>0</v>
      </c>
      <c r="E1095" s="112">
        <f>'OPEN FOREIGN ORDER'!AB721</f>
        <v>0</v>
      </c>
      <c r="F1095" s="112">
        <f>'OPEN FOREIGN ORDER'!AC721</f>
        <v>0</v>
      </c>
      <c r="G1095" s="112">
        <f>'OPEN FOREIGN ORDER'!AD721</f>
        <v>0</v>
      </c>
      <c r="H1095" s="112">
        <f>'OPEN FOREIGN ORDER'!AE721</f>
        <v>0</v>
      </c>
      <c r="I1095" s="112">
        <f>'OPEN FOREIGN ORDER'!AF721</f>
        <v>0</v>
      </c>
      <c r="J1095" s="112">
        <f>'OPEN FOREIGN ORDER'!AG721</f>
        <v>0</v>
      </c>
    </row>
    <row r="1096" spans="1:10">
      <c r="A1096">
        <f>'OPEN FOREIGN ORDER'!D722</f>
        <v>0</v>
      </c>
      <c r="B1096">
        <f>'OPEN FOREIGN ORDER'!F722</f>
        <v>0</v>
      </c>
      <c r="C1096">
        <f>'OPEN FOREIGN ORDER'!Z722</f>
        <v>0</v>
      </c>
      <c r="D1096" s="123">
        <f>'OPEN FOREIGN ORDER'!AA722</f>
        <v>0</v>
      </c>
      <c r="E1096" s="112">
        <f>'OPEN FOREIGN ORDER'!AB722</f>
        <v>0</v>
      </c>
      <c r="F1096" s="112">
        <f>'OPEN FOREIGN ORDER'!AC722</f>
        <v>0</v>
      </c>
      <c r="G1096" s="112">
        <f>'OPEN FOREIGN ORDER'!AD722</f>
        <v>0</v>
      </c>
      <c r="H1096" s="112">
        <f>'OPEN FOREIGN ORDER'!AE722</f>
        <v>0</v>
      </c>
      <c r="I1096" s="112">
        <f>'OPEN FOREIGN ORDER'!AF722</f>
        <v>0</v>
      </c>
      <c r="J1096" s="112">
        <f>'OPEN FOREIGN ORDER'!AG722</f>
        <v>0</v>
      </c>
    </row>
    <row r="1097" spans="1:10">
      <c r="A1097">
        <f>'OPEN FOREIGN ORDER'!D723</f>
        <v>0</v>
      </c>
      <c r="B1097">
        <f>'OPEN FOREIGN ORDER'!F723</f>
        <v>0</v>
      </c>
      <c r="C1097">
        <f>'OPEN FOREIGN ORDER'!Z723</f>
        <v>0</v>
      </c>
      <c r="D1097" s="123">
        <f>'OPEN FOREIGN ORDER'!AA723</f>
        <v>0</v>
      </c>
      <c r="E1097" s="112">
        <f>'OPEN FOREIGN ORDER'!AB723</f>
        <v>0</v>
      </c>
      <c r="F1097" s="112">
        <f>'OPEN FOREIGN ORDER'!AC723</f>
        <v>0</v>
      </c>
      <c r="G1097" s="112">
        <f>'OPEN FOREIGN ORDER'!AD723</f>
        <v>0</v>
      </c>
      <c r="H1097" s="112">
        <f>'OPEN FOREIGN ORDER'!AE723</f>
        <v>0</v>
      </c>
      <c r="I1097" s="112">
        <f>'OPEN FOREIGN ORDER'!AF723</f>
        <v>0</v>
      </c>
      <c r="J1097" s="112">
        <f>'OPEN FOREIGN ORDER'!AG723</f>
        <v>0</v>
      </c>
    </row>
    <row r="1098" spans="1:10">
      <c r="A1098">
        <f>'OPEN FOREIGN ORDER'!D724</f>
        <v>0</v>
      </c>
      <c r="B1098">
        <f>'OPEN FOREIGN ORDER'!F724</f>
        <v>0</v>
      </c>
      <c r="C1098">
        <f>'OPEN FOREIGN ORDER'!Z724</f>
        <v>0</v>
      </c>
      <c r="D1098" s="123">
        <f>'OPEN FOREIGN ORDER'!AA724</f>
        <v>0</v>
      </c>
      <c r="E1098" s="112">
        <f>'OPEN FOREIGN ORDER'!AB724</f>
        <v>0</v>
      </c>
      <c r="F1098" s="112">
        <f>'OPEN FOREIGN ORDER'!AC724</f>
        <v>0</v>
      </c>
      <c r="G1098" s="112">
        <f>'OPEN FOREIGN ORDER'!AD724</f>
        <v>0</v>
      </c>
      <c r="H1098" s="112">
        <f>'OPEN FOREIGN ORDER'!AE724</f>
        <v>0</v>
      </c>
      <c r="I1098" s="112">
        <f>'OPEN FOREIGN ORDER'!AF724</f>
        <v>0</v>
      </c>
      <c r="J1098" s="112">
        <f>'OPEN FOREIGN ORDER'!AG724</f>
        <v>0</v>
      </c>
    </row>
    <row r="1099" spans="1:10">
      <c r="A1099">
        <f>'OPEN FOREIGN ORDER'!D725</f>
        <v>0</v>
      </c>
      <c r="B1099">
        <f>'OPEN FOREIGN ORDER'!F725</f>
        <v>0</v>
      </c>
      <c r="C1099">
        <f>'OPEN FOREIGN ORDER'!Z725</f>
        <v>0</v>
      </c>
      <c r="D1099" s="123">
        <f>'OPEN FOREIGN ORDER'!AA725</f>
        <v>0</v>
      </c>
      <c r="E1099" s="112">
        <f>'OPEN FOREIGN ORDER'!AB725</f>
        <v>0</v>
      </c>
      <c r="F1099" s="112">
        <f>'OPEN FOREIGN ORDER'!AC725</f>
        <v>0</v>
      </c>
      <c r="G1099" s="112">
        <f>'OPEN FOREIGN ORDER'!AD725</f>
        <v>0</v>
      </c>
      <c r="H1099" s="112">
        <f>'OPEN FOREIGN ORDER'!AE725</f>
        <v>0</v>
      </c>
      <c r="I1099" s="112">
        <f>'OPEN FOREIGN ORDER'!AF725</f>
        <v>0</v>
      </c>
      <c r="J1099" s="112">
        <f>'OPEN FOREIGN ORDER'!AG725</f>
        <v>0</v>
      </c>
    </row>
    <row r="1100" spans="1:10">
      <c r="A1100">
        <f>'OPEN FOREIGN ORDER'!D726</f>
        <v>0</v>
      </c>
      <c r="B1100">
        <f>'OPEN FOREIGN ORDER'!F726</f>
        <v>0</v>
      </c>
      <c r="C1100">
        <f>'OPEN FOREIGN ORDER'!Z726</f>
        <v>0</v>
      </c>
      <c r="D1100" s="123">
        <f>'OPEN FOREIGN ORDER'!AA726</f>
        <v>0</v>
      </c>
      <c r="E1100" s="112">
        <f>'OPEN FOREIGN ORDER'!AB726</f>
        <v>0</v>
      </c>
      <c r="F1100" s="112">
        <f>'OPEN FOREIGN ORDER'!AC726</f>
        <v>0</v>
      </c>
      <c r="G1100" s="112">
        <f>'OPEN FOREIGN ORDER'!AD726</f>
        <v>0</v>
      </c>
      <c r="H1100" s="112">
        <f>'OPEN FOREIGN ORDER'!AE726</f>
        <v>0</v>
      </c>
      <c r="I1100" s="112">
        <f>'OPEN FOREIGN ORDER'!AF726</f>
        <v>0</v>
      </c>
      <c r="J1100" s="112">
        <f>'OPEN FOREIGN ORDER'!AG726</f>
        <v>0</v>
      </c>
    </row>
    <row r="1101" spans="1:10">
      <c r="A1101">
        <f>'OPEN FOREIGN ORDER'!D727</f>
        <v>0</v>
      </c>
      <c r="B1101">
        <f>'OPEN FOREIGN ORDER'!F727</f>
        <v>0</v>
      </c>
      <c r="C1101">
        <f>'OPEN FOREIGN ORDER'!Z727</f>
        <v>0</v>
      </c>
      <c r="D1101" s="123">
        <f>'OPEN FOREIGN ORDER'!AA727</f>
        <v>0</v>
      </c>
      <c r="E1101" s="112">
        <f>'OPEN FOREIGN ORDER'!AB727</f>
        <v>0</v>
      </c>
      <c r="F1101" s="112">
        <f>'OPEN FOREIGN ORDER'!AC727</f>
        <v>0</v>
      </c>
      <c r="G1101" s="112">
        <f>'OPEN FOREIGN ORDER'!AD727</f>
        <v>0</v>
      </c>
      <c r="H1101" s="112">
        <f>'OPEN FOREIGN ORDER'!AE727</f>
        <v>0</v>
      </c>
      <c r="I1101" s="112">
        <f>'OPEN FOREIGN ORDER'!AF727</f>
        <v>0</v>
      </c>
      <c r="J1101" s="112">
        <f>'OPEN FOREIGN ORDER'!AG727</f>
        <v>0</v>
      </c>
    </row>
    <row r="1102" spans="1:10">
      <c r="A1102">
        <f>'OPEN FOREIGN ORDER'!D728</f>
        <v>0</v>
      </c>
      <c r="B1102">
        <f>'OPEN FOREIGN ORDER'!F728</f>
        <v>0</v>
      </c>
      <c r="C1102">
        <f>'OPEN FOREIGN ORDER'!Z728</f>
        <v>0</v>
      </c>
      <c r="D1102" s="123">
        <f>'OPEN FOREIGN ORDER'!AA728</f>
        <v>0</v>
      </c>
      <c r="E1102" s="112">
        <f>'OPEN FOREIGN ORDER'!AB728</f>
        <v>0</v>
      </c>
      <c r="F1102" s="112">
        <f>'OPEN FOREIGN ORDER'!AC728</f>
        <v>0</v>
      </c>
      <c r="G1102" s="112">
        <f>'OPEN FOREIGN ORDER'!AD728</f>
        <v>0</v>
      </c>
      <c r="H1102" s="112">
        <f>'OPEN FOREIGN ORDER'!AE728</f>
        <v>0</v>
      </c>
      <c r="I1102" s="112">
        <f>'OPEN FOREIGN ORDER'!AF728</f>
        <v>0</v>
      </c>
      <c r="J1102" s="112">
        <f>'OPEN FOREIGN ORDER'!AG728</f>
        <v>0</v>
      </c>
    </row>
    <row r="1103" spans="1:10">
      <c r="A1103">
        <f>'OPEN FOREIGN ORDER'!D729</f>
        <v>0</v>
      </c>
      <c r="B1103">
        <f>'OPEN FOREIGN ORDER'!F729</f>
        <v>0</v>
      </c>
      <c r="C1103">
        <f>'OPEN FOREIGN ORDER'!Z729</f>
        <v>0</v>
      </c>
      <c r="D1103" s="123">
        <f>'OPEN FOREIGN ORDER'!AA729</f>
        <v>0</v>
      </c>
      <c r="E1103" s="112">
        <f>'OPEN FOREIGN ORDER'!AB729</f>
        <v>0</v>
      </c>
      <c r="F1103" s="112">
        <f>'OPEN FOREIGN ORDER'!AC729</f>
        <v>0</v>
      </c>
      <c r="G1103" s="112">
        <f>'OPEN FOREIGN ORDER'!AD729</f>
        <v>0</v>
      </c>
      <c r="H1103" s="112">
        <f>'OPEN FOREIGN ORDER'!AE729</f>
        <v>0</v>
      </c>
      <c r="I1103" s="112">
        <f>'OPEN FOREIGN ORDER'!AF729</f>
        <v>0</v>
      </c>
      <c r="J1103" s="112">
        <f>'OPEN FOREIGN ORDER'!AG729</f>
        <v>0</v>
      </c>
    </row>
    <row r="1104" spans="1:10">
      <c r="A1104">
        <f>'OPEN FOREIGN ORDER'!D730</f>
        <v>0</v>
      </c>
      <c r="B1104">
        <f>'OPEN FOREIGN ORDER'!F730</f>
        <v>0</v>
      </c>
      <c r="C1104">
        <f>'OPEN FOREIGN ORDER'!Z730</f>
        <v>0</v>
      </c>
      <c r="D1104" s="123">
        <f>'OPEN FOREIGN ORDER'!AA730</f>
        <v>0</v>
      </c>
      <c r="E1104" s="112">
        <f>'OPEN FOREIGN ORDER'!AB730</f>
        <v>0</v>
      </c>
      <c r="F1104" s="112">
        <f>'OPEN FOREIGN ORDER'!AC730</f>
        <v>0</v>
      </c>
      <c r="G1104" s="112">
        <f>'OPEN FOREIGN ORDER'!AD730</f>
        <v>0</v>
      </c>
      <c r="H1104" s="112">
        <f>'OPEN FOREIGN ORDER'!AE730</f>
        <v>0</v>
      </c>
      <c r="I1104" s="112">
        <f>'OPEN FOREIGN ORDER'!AF730</f>
        <v>0</v>
      </c>
      <c r="J1104" s="112">
        <f>'OPEN FOREIGN ORDER'!AG730</f>
        <v>0</v>
      </c>
    </row>
    <row r="1105" spans="1:10">
      <c r="A1105">
        <f>'OPEN FOREIGN ORDER'!D731</f>
        <v>0</v>
      </c>
      <c r="B1105">
        <f>'OPEN FOREIGN ORDER'!F731</f>
        <v>0</v>
      </c>
      <c r="C1105">
        <f>'OPEN FOREIGN ORDER'!Z731</f>
        <v>0</v>
      </c>
      <c r="D1105" s="123">
        <f>'OPEN FOREIGN ORDER'!AA731</f>
        <v>0</v>
      </c>
      <c r="E1105" s="112">
        <f>'OPEN FOREIGN ORDER'!AB731</f>
        <v>0</v>
      </c>
      <c r="F1105" s="112">
        <f>'OPEN FOREIGN ORDER'!AC731</f>
        <v>0</v>
      </c>
      <c r="G1105" s="112">
        <f>'OPEN FOREIGN ORDER'!AD731</f>
        <v>0</v>
      </c>
      <c r="H1105" s="112">
        <f>'OPEN FOREIGN ORDER'!AE731</f>
        <v>0</v>
      </c>
      <c r="I1105" s="112">
        <f>'OPEN FOREIGN ORDER'!AF731</f>
        <v>0</v>
      </c>
      <c r="J1105" s="112">
        <f>'OPEN FOREIGN ORDER'!AG731</f>
        <v>0</v>
      </c>
    </row>
    <row r="1106" spans="1:10">
      <c r="A1106">
        <f>'OPEN FOREIGN ORDER'!D732</f>
        <v>0</v>
      </c>
      <c r="B1106">
        <f>'OPEN FOREIGN ORDER'!F732</f>
        <v>0</v>
      </c>
      <c r="C1106">
        <f>'OPEN FOREIGN ORDER'!Z732</f>
        <v>0</v>
      </c>
      <c r="D1106" s="123">
        <f>'OPEN FOREIGN ORDER'!AA732</f>
        <v>0</v>
      </c>
      <c r="E1106" s="112">
        <f>'OPEN FOREIGN ORDER'!AB732</f>
        <v>0</v>
      </c>
      <c r="F1106" s="112">
        <f>'OPEN FOREIGN ORDER'!AC732</f>
        <v>0</v>
      </c>
      <c r="G1106" s="112">
        <f>'OPEN FOREIGN ORDER'!AD732</f>
        <v>0</v>
      </c>
      <c r="H1106" s="112">
        <f>'OPEN FOREIGN ORDER'!AE732</f>
        <v>0</v>
      </c>
      <c r="I1106" s="112">
        <f>'OPEN FOREIGN ORDER'!AF732</f>
        <v>0</v>
      </c>
      <c r="J1106" s="112">
        <f>'OPEN FOREIGN ORDER'!AG732</f>
        <v>0</v>
      </c>
    </row>
    <row r="1107" spans="1:10">
      <c r="A1107">
        <f>'OPEN FOREIGN ORDER'!D733</f>
        <v>0</v>
      </c>
      <c r="B1107">
        <f>'OPEN FOREIGN ORDER'!F733</f>
        <v>0</v>
      </c>
      <c r="C1107">
        <f>'OPEN FOREIGN ORDER'!Z733</f>
        <v>0</v>
      </c>
      <c r="D1107" s="123">
        <f>'OPEN FOREIGN ORDER'!AA733</f>
        <v>0</v>
      </c>
      <c r="E1107" s="112">
        <f>'OPEN FOREIGN ORDER'!AB733</f>
        <v>0</v>
      </c>
      <c r="F1107" s="112">
        <f>'OPEN FOREIGN ORDER'!AC733</f>
        <v>0</v>
      </c>
      <c r="G1107" s="112">
        <f>'OPEN FOREIGN ORDER'!AD733</f>
        <v>0</v>
      </c>
      <c r="H1107" s="112">
        <f>'OPEN FOREIGN ORDER'!AE733</f>
        <v>0</v>
      </c>
      <c r="I1107" s="112">
        <f>'OPEN FOREIGN ORDER'!AF733</f>
        <v>0</v>
      </c>
      <c r="J1107" s="112">
        <f>'OPEN FOREIGN ORDER'!AG733</f>
        <v>0</v>
      </c>
    </row>
    <row r="1108" spans="1:10">
      <c r="A1108">
        <f>'OPEN FOREIGN ORDER'!D734</f>
        <v>0</v>
      </c>
      <c r="B1108">
        <f>'OPEN FOREIGN ORDER'!F734</f>
        <v>0</v>
      </c>
      <c r="C1108">
        <f>'OPEN FOREIGN ORDER'!Z734</f>
        <v>0</v>
      </c>
      <c r="D1108" s="123">
        <f>'OPEN FOREIGN ORDER'!AA734</f>
        <v>0</v>
      </c>
      <c r="E1108" s="112">
        <f>'OPEN FOREIGN ORDER'!AB734</f>
        <v>0</v>
      </c>
      <c r="F1108" s="112">
        <f>'OPEN FOREIGN ORDER'!AC734</f>
        <v>0</v>
      </c>
      <c r="G1108" s="112">
        <f>'OPEN FOREIGN ORDER'!AD734</f>
        <v>0</v>
      </c>
      <c r="H1108" s="112">
        <f>'OPEN FOREIGN ORDER'!AE734</f>
        <v>0</v>
      </c>
      <c r="I1108" s="112">
        <f>'OPEN FOREIGN ORDER'!AF734</f>
        <v>0</v>
      </c>
      <c r="J1108" s="112">
        <f>'OPEN FOREIGN ORDER'!AG734</f>
        <v>0</v>
      </c>
    </row>
    <row r="1109" spans="1:10">
      <c r="A1109">
        <f>'OPEN FOREIGN ORDER'!D735</f>
        <v>0</v>
      </c>
      <c r="B1109">
        <f>'OPEN FOREIGN ORDER'!F735</f>
        <v>0</v>
      </c>
      <c r="C1109">
        <f>'OPEN FOREIGN ORDER'!Z735</f>
        <v>0</v>
      </c>
      <c r="D1109" s="123">
        <f>'OPEN FOREIGN ORDER'!AA735</f>
        <v>0</v>
      </c>
      <c r="E1109" s="112">
        <f>'OPEN FOREIGN ORDER'!AB735</f>
        <v>0</v>
      </c>
      <c r="F1109" s="112">
        <f>'OPEN FOREIGN ORDER'!AC735</f>
        <v>0</v>
      </c>
      <c r="G1109" s="112">
        <f>'OPEN FOREIGN ORDER'!AD735</f>
        <v>0</v>
      </c>
      <c r="H1109" s="112">
        <f>'OPEN FOREIGN ORDER'!AE735</f>
        <v>0</v>
      </c>
      <c r="I1109" s="112">
        <f>'OPEN FOREIGN ORDER'!AF735</f>
        <v>0</v>
      </c>
      <c r="J1109" s="112">
        <f>'OPEN FOREIGN ORDER'!AG735</f>
        <v>0</v>
      </c>
    </row>
    <row r="1110" spans="1:10">
      <c r="A1110">
        <f>'OPEN FOREIGN ORDER'!D736</f>
        <v>0</v>
      </c>
      <c r="B1110">
        <f>'OPEN FOREIGN ORDER'!F736</f>
        <v>0</v>
      </c>
      <c r="C1110">
        <f>'OPEN FOREIGN ORDER'!Z736</f>
        <v>0</v>
      </c>
      <c r="D1110" s="123">
        <f>'OPEN FOREIGN ORDER'!AA736</f>
        <v>0</v>
      </c>
      <c r="E1110" s="112">
        <f>'OPEN FOREIGN ORDER'!AB736</f>
        <v>0</v>
      </c>
      <c r="F1110" s="112">
        <f>'OPEN FOREIGN ORDER'!AC736</f>
        <v>0</v>
      </c>
      <c r="G1110" s="112">
        <f>'OPEN FOREIGN ORDER'!AD736</f>
        <v>0</v>
      </c>
      <c r="H1110" s="112">
        <f>'OPEN FOREIGN ORDER'!AE736</f>
        <v>0</v>
      </c>
      <c r="I1110" s="112">
        <f>'OPEN FOREIGN ORDER'!AF736</f>
        <v>0</v>
      </c>
      <c r="J1110" s="112">
        <f>'OPEN FOREIGN ORDER'!AG736</f>
        <v>0</v>
      </c>
    </row>
    <row r="1111" spans="1:10">
      <c r="A1111">
        <f>'OPEN FOREIGN ORDER'!D737</f>
        <v>0</v>
      </c>
      <c r="B1111">
        <f>'OPEN FOREIGN ORDER'!F737</f>
        <v>0</v>
      </c>
      <c r="C1111">
        <f>'OPEN FOREIGN ORDER'!Z737</f>
        <v>0</v>
      </c>
      <c r="D1111" s="123">
        <f>'OPEN FOREIGN ORDER'!AA737</f>
        <v>0</v>
      </c>
      <c r="E1111" s="112">
        <f>'OPEN FOREIGN ORDER'!AB737</f>
        <v>0</v>
      </c>
      <c r="F1111" s="112">
        <f>'OPEN FOREIGN ORDER'!AC737</f>
        <v>0</v>
      </c>
      <c r="G1111" s="112">
        <f>'OPEN FOREIGN ORDER'!AD737</f>
        <v>0</v>
      </c>
      <c r="H1111" s="112">
        <f>'OPEN FOREIGN ORDER'!AE737</f>
        <v>0</v>
      </c>
      <c r="I1111" s="112">
        <f>'OPEN FOREIGN ORDER'!AF737</f>
        <v>0</v>
      </c>
      <c r="J1111" s="112">
        <f>'OPEN FOREIGN ORDER'!AG737</f>
        <v>0</v>
      </c>
    </row>
    <row r="1112" spans="1:10">
      <c r="A1112">
        <f>'OPEN FOREIGN ORDER'!D738</f>
        <v>0</v>
      </c>
      <c r="B1112">
        <f>'OPEN FOREIGN ORDER'!F738</f>
        <v>0</v>
      </c>
      <c r="C1112">
        <f>'OPEN FOREIGN ORDER'!Z738</f>
        <v>0</v>
      </c>
      <c r="D1112" s="123">
        <f>'OPEN FOREIGN ORDER'!AA738</f>
        <v>0</v>
      </c>
      <c r="E1112" s="112">
        <f>'OPEN FOREIGN ORDER'!AB738</f>
        <v>0</v>
      </c>
      <c r="F1112" s="112">
        <f>'OPEN FOREIGN ORDER'!AC738</f>
        <v>0</v>
      </c>
      <c r="G1112" s="112">
        <f>'OPEN FOREIGN ORDER'!AD738</f>
        <v>0</v>
      </c>
      <c r="H1112" s="112">
        <f>'OPEN FOREIGN ORDER'!AE738</f>
        <v>0</v>
      </c>
      <c r="I1112" s="112">
        <f>'OPEN FOREIGN ORDER'!AF738</f>
        <v>0</v>
      </c>
      <c r="J1112" s="112">
        <f>'OPEN FOREIGN ORDER'!AG738</f>
        <v>0</v>
      </c>
    </row>
    <row r="1113" spans="1:10">
      <c r="A1113">
        <f>'OPEN FOREIGN ORDER'!D739</f>
        <v>0</v>
      </c>
      <c r="B1113">
        <f>'OPEN FOREIGN ORDER'!F739</f>
        <v>0</v>
      </c>
      <c r="C1113">
        <f>'OPEN FOREIGN ORDER'!Z739</f>
        <v>0</v>
      </c>
      <c r="D1113" s="123">
        <f>'OPEN FOREIGN ORDER'!AA739</f>
        <v>0</v>
      </c>
      <c r="E1113" s="112">
        <f>'OPEN FOREIGN ORDER'!AB739</f>
        <v>0</v>
      </c>
      <c r="F1113" s="112">
        <f>'OPEN FOREIGN ORDER'!AC739</f>
        <v>0</v>
      </c>
      <c r="G1113" s="112">
        <f>'OPEN FOREIGN ORDER'!AD739</f>
        <v>0</v>
      </c>
      <c r="H1113" s="112">
        <f>'OPEN FOREIGN ORDER'!AE739</f>
        <v>0</v>
      </c>
      <c r="I1113" s="112">
        <f>'OPEN FOREIGN ORDER'!AF739</f>
        <v>0</v>
      </c>
      <c r="J1113" s="112">
        <f>'OPEN FOREIGN ORDER'!AG739</f>
        <v>0</v>
      </c>
    </row>
    <row r="1114" spans="1:10">
      <c r="A1114">
        <f>'OPEN FOREIGN ORDER'!D740</f>
        <v>0</v>
      </c>
      <c r="B1114">
        <f>'OPEN FOREIGN ORDER'!F740</f>
        <v>0</v>
      </c>
      <c r="C1114">
        <f>'OPEN FOREIGN ORDER'!Z740</f>
        <v>0</v>
      </c>
      <c r="D1114" s="123">
        <f>'OPEN FOREIGN ORDER'!AA740</f>
        <v>0</v>
      </c>
      <c r="E1114" s="112">
        <f>'OPEN FOREIGN ORDER'!AB740</f>
        <v>0</v>
      </c>
      <c r="F1114" s="112">
        <f>'OPEN FOREIGN ORDER'!AC740</f>
        <v>0</v>
      </c>
      <c r="G1114" s="112">
        <f>'OPEN FOREIGN ORDER'!AD740</f>
        <v>0</v>
      </c>
      <c r="H1114" s="112">
        <f>'OPEN FOREIGN ORDER'!AE740</f>
        <v>0</v>
      </c>
      <c r="I1114" s="112">
        <f>'OPEN FOREIGN ORDER'!AF740</f>
        <v>0</v>
      </c>
      <c r="J1114" s="112">
        <f>'OPEN FOREIGN ORDER'!AG740</f>
        <v>0</v>
      </c>
    </row>
    <row r="1115" spans="1:10">
      <c r="A1115">
        <f>'OPEN FOREIGN ORDER'!D741</f>
        <v>0</v>
      </c>
      <c r="B1115">
        <f>'OPEN FOREIGN ORDER'!F741</f>
        <v>0</v>
      </c>
      <c r="C1115">
        <f>'OPEN FOREIGN ORDER'!Z741</f>
        <v>0</v>
      </c>
      <c r="D1115" s="123">
        <f>'OPEN FOREIGN ORDER'!AA741</f>
        <v>0</v>
      </c>
      <c r="E1115" s="112">
        <f>'OPEN FOREIGN ORDER'!AB741</f>
        <v>0</v>
      </c>
      <c r="F1115" s="112">
        <f>'OPEN FOREIGN ORDER'!AC741</f>
        <v>0</v>
      </c>
      <c r="G1115" s="112">
        <f>'OPEN FOREIGN ORDER'!AD741</f>
        <v>0</v>
      </c>
      <c r="H1115" s="112">
        <f>'OPEN FOREIGN ORDER'!AE741</f>
        <v>0</v>
      </c>
      <c r="I1115" s="112">
        <f>'OPEN FOREIGN ORDER'!AF741</f>
        <v>0</v>
      </c>
      <c r="J1115" s="112">
        <f>'OPEN FOREIGN ORDER'!AG741</f>
        <v>0</v>
      </c>
    </row>
    <row r="1116" spans="1:10">
      <c r="A1116">
        <f>'OPEN FOREIGN ORDER'!D742</f>
        <v>0</v>
      </c>
      <c r="B1116">
        <f>'OPEN FOREIGN ORDER'!F742</f>
        <v>0</v>
      </c>
      <c r="C1116">
        <f>'OPEN FOREIGN ORDER'!Z742</f>
        <v>0</v>
      </c>
      <c r="D1116" s="123">
        <f>'OPEN FOREIGN ORDER'!AA742</f>
        <v>0</v>
      </c>
      <c r="E1116" s="112">
        <f>'OPEN FOREIGN ORDER'!AB742</f>
        <v>0</v>
      </c>
      <c r="F1116" s="112">
        <f>'OPEN FOREIGN ORDER'!AC742</f>
        <v>0</v>
      </c>
      <c r="G1116" s="112">
        <f>'OPEN FOREIGN ORDER'!AD742</f>
        <v>0</v>
      </c>
      <c r="H1116" s="112">
        <f>'OPEN FOREIGN ORDER'!AE742</f>
        <v>0</v>
      </c>
      <c r="I1116" s="112">
        <f>'OPEN FOREIGN ORDER'!AF742</f>
        <v>0</v>
      </c>
      <c r="J1116" s="112">
        <f>'OPEN FOREIGN ORDER'!AG742</f>
        <v>0</v>
      </c>
    </row>
    <row r="1117" spans="1:10">
      <c r="A1117">
        <f>'OPEN FOREIGN ORDER'!D743</f>
        <v>0</v>
      </c>
      <c r="B1117">
        <f>'OPEN FOREIGN ORDER'!F743</f>
        <v>0</v>
      </c>
      <c r="C1117">
        <f>'OPEN FOREIGN ORDER'!Z743</f>
        <v>0</v>
      </c>
      <c r="D1117" s="123">
        <f>'OPEN FOREIGN ORDER'!AA743</f>
        <v>0</v>
      </c>
      <c r="E1117" s="112">
        <f>'OPEN FOREIGN ORDER'!AB743</f>
        <v>0</v>
      </c>
      <c r="F1117" s="112">
        <f>'OPEN FOREIGN ORDER'!AC743</f>
        <v>0</v>
      </c>
      <c r="G1117" s="112">
        <f>'OPEN FOREIGN ORDER'!AD743</f>
        <v>0</v>
      </c>
      <c r="H1117" s="112">
        <f>'OPEN FOREIGN ORDER'!AE743</f>
        <v>0</v>
      </c>
      <c r="I1117" s="112">
        <f>'OPEN FOREIGN ORDER'!AF743</f>
        <v>0</v>
      </c>
      <c r="J1117" s="112">
        <f>'OPEN FOREIGN ORDER'!AG743</f>
        <v>0</v>
      </c>
    </row>
    <row r="1118" spans="1:10">
      <c r="A1118">
        <f>'OPEN FOREIGN ORDER'!D744</f>
        <v>0</v>
      </c>
      <c r="B1118">
        <f>'OPEN FOREIGN ORDER'!F744</f>
        <v>0</v>
      </c>
      <c r="C1118">
        <f>'OPEN FOREIGN ORDER'!Z744</f>
        <v>0</v>
      </c>
      <c r="D1118" s="123">
        <f>'OPEN FOREIGN ORDER'!AA744</f>
        <v>0</v>
      </c>
      <c r="E1118" s="112">
        <f>'OPEN FOREIGN ORDER'!AB744</f>
        <v>0</v>
      </c>
      <c r="F1118" s="112">
        <f>'OPEN FOREIGN ORDER'!AC744</f>
        <v>0</v>
      </c>
      <c r="G1118" s="112">
        <f>'OPEN FOREIGN ORDER'!AD744</f>
        <v>0</v>
      </c>
      <c r="H1118" s="112">
        <f>'OPEN FOREIGN ORDER'!AE744</f>
        <v>0</v>
      </c>
      <c r="I1118" s="112">
        <f>'OPEN FOREIGN ORDER'!AF744</f>
        <v>0</v>
      </c>
      <c r="J1118" s="112">
        <f>'OPEN FOREIGN ORDER'!AG744</f>
        <v>0</v>
      </c>
    </row>
    <row r="1119" spans="1:10">
      <c r="A1119">
        <f>'OPEN FOREIGN ORDER'!D745</f>
        <v>0</v>
      </c>
      <c r="B1119">
        <f>'OPEN FOREIGN ORDER'!F745</f>
        <v>0</v>
      </c>
      <c r="C1119">
        <f>'OPEN FOREIGN ORDER'!Z745</f>
        <v>0</v>
      </c>
      <c r="D1119" s="123">
        <f>'OPEN FOREIGN ORDER'!AA745</f>
        <v>0</v>
      </c>
      <c r="E1119" s="112">
        <f>'OPEN FOREIGN ORDER'!AB745</f>
        <v>0</v>
      </c>
      <c r="F1119" s="112">
        <f>'OPEN FOREIGN ORDER'!AC745</f>
        <v>0</v>
      </c>
      <c r="G1119" s="112">
        <f>'OPEN FOREIGN ORDER'!AD745</f>
        <v>0</v>
      </c>
      <c r="H1119" s="112">
        <f>'OPEN FOREIGN ORDER'!AE745</f>
        <v>0</v>
      </c>
      <c r="I1119" s="112">
        <f>'OPEN FOREIGN ORDER'!AF745</f>
        <v>0</v>
      </c>
      <c r="J1119" s="112">
        <f>'OPEN FOREIGN ORDER'!AG745</f>
        <v>0</v>
      </c>
    </row>
    <row r="1120" spans="1:10">
      <c r="A1120">
        <f>'OPEN FOREIGN ORDER'!D746</f>
        <v>0</v>
      </c>
      <c r="B1120">
        <f>'OPEN FOREIGN ORDER'!F746</f>
        <v>0</v>
      </c>
      <c r="C1120">
        <f>'OPEN FOREIGN ORDER'!Z746</f>
        <v>0</v>
      </c>
      <c r="D1120" s="123">
        <f>'OPEN FOREIGN ORDER'!AA746</f>
        <v>0</v>
      </c>
      <c r="E1120" s="112">
        <f>'OPEN FOREIGN ORDER'!AB746</f>
        <v>0</v>
      </c>
      <c r="F1120" s="112">
        <f>'OPEN FOREIGN ORDER'!AC746</f>
        <v>0</v>
      </c>
      <c r="G1120" s="112">
        <f>'OPEN FOREIGN ORDER'!AD746</f>
        <v>0</v>
      </c>
      <c r="H1120" s="112">
        <f>'OPEN FOREIGN ORDER'!AE746</f>
        <v>0</v>
      </c>
      <c r="I1120" s="112">
        <f>'OPEN FOREIGN ORDER'!AF746</f>
        <v>0</v>
      </c>
      <c r="J1120" s="112">
        <f>'OPEN FOREIGN ORDER'!AG746</f>
        <v>0</v>
      </c>
    </row>
    <row r="1121" spans="1:10">
      <c r="A1121">
        <f>'OPEN FOREIGN ORDER'!D747</f>
        <v>0</v>
      </c>
      <c r="B1121">
        <f>'OPEN FOREIGN ORDER'!F747</f>
        <v>0</v>
      </c>
      <c r="C1121">
        <f>'OPEN FOREIGN ORDER'!Z747</f>
        <v>0</v>
      </c>
      <c r="D1121" s="123">
        <f>'OPEN FOREIGN ORDER'!AA747</f>
        <v>0</v>
      </c>
      <c r="E1121" s="112">
        <f>'OPEN FOREIGN ORDER'!AB747</f>
        <v>0</v>
      </c>
      <c r="F1121" s="112">
        <f>'OPEN FOREIGN ORDER'!AC747</f>
        <v>0</v>
      </c>
      <c r="G1121" s="112">
        <f>'OPEN FOREIGN ORDER'!AD747</f>
        <v>0</v>
      </c>
      <c r="H1121" s="112">
        <f>'OPEN FOREIGN ORDER'!AE747</f>
        <v>0</v>
      </c>
      <c r="I1121" s="112">
        <f>'OPEN FOREIGN ORDER'!AF747</f>
        <v>0</v>
      </c>
      <c r="J1121" s="112">
        <f>'OPEN FOREIGN ORDER'!AG747</f>
        <v>0</v>
      </c>
    </row>
    <row r="1122" spans="1:10">
      <c r="A1122">
        <f>'OPEN FOREIGN ORDER'!D748</f>
        <v>0</v>
      </c>
      <c r="B1122">
        <f>'OPEN FOREIGN ORDER'!F748</f>
        <v>0</v>
      </c>
      <c r="C1122">
        <f>'OPEN FOREIGN ORDER'!Z748</f>
        <v>0</v>
      </c>
      <c r="D1122" s="123">
        <f>'OPEN FOREIGN ORDER'!AA748</f>
        <v>0</v>
      </c>
      <c r="E1122" s="112">
        <f>'OPEN FOREIGN ORDER'!AB748</f>
        <v>0</v>
      </c>
      <c r="F1122" s="112">
        <f>'OPEN FOREIGN ORDER'!AC748</f>
        <v>0</v>
      </c>
      <c r="G1122" s="112">
        <f>'OPEN FOREIGN ORDER'!AD748</f>
        <v>0</v>
      </c>
      <c r="H1122" s="112">
        <f>'OPEN FOREIGN ORDER'!AE748</f>
        <v>0</v>
      </c>
      <c r="I1122" s="112">
        <f>'OPEN FOREIGN ORDER'!AF748</f>
        <v>0</v>
      </c>
      <c r="J1122" s="112">
        <f>'OPEN FOREIGN ORDER'!AG748</f>
        <v>0</v>
      </c>
    </row>
    <row r="1123" spans="1:10">
      <c r="A1123">
        <f>'OPEN FOREIGN ORDER'!D749</f>
        <v>0</v>
      </c>
      <c r="B1123">
        <f>'OPEN FOREIGN ORDER'!F749</f>
        <v>0</v>
      </c>
      <c r="C1123">
        <f>'OPEN FOREIGN ORDER'!Z749</f>
        <v>0</v>
      </c>
      <c r="D1123" s="123">
        <f>'OPEN FOREIGN ORDER'!AA749</f>
        <v>0</v>
      </c>
      <c r="E1123" s="112">
        <f>'OPEN FOREIGN ORDER'!AB749</f>
        <v>0</v>
      </c>
      <c r="F1123" s="112">
        <f>'OPEN FOREIGN ORDER'!AC749</f>
        <v>0</v>
      </c>
      <c r="G1123" s="112">
        <f>'OPEN FOREIGN ORDER'!AD749</f>
        <v>0</v>
      </c>
      <c r="H1123" s="112">
        <f>'OPEN FOREIGN ORDER'!AE749</f>
        <v>0</v>
      </c>
      <c r="I1123" s="112">
        <f>'OPEN FOREIGN ORDER'!AF749</f>
        <v>0</v>
      </c>
      <c r="J1123" s="112">
        <f>'OPEN FOREIGN ORDER'!AG749</f>
        <v>0</v>
      </c>
    </row>
    <row r="1124" spans="1:10">
      <c r="A1124">
        <f>'OPEN FOREIGN ORDER'!D750</f>
        <v>0</v>
      </c>
      <c r="B1124">
        <f>'OPEN FOREIGN ORDER'!F750</f>
        <v>0</v>
      </c>
      <c r="C1124">
        <f>'OPEN FOREIGN ORDER'!Z750</f>
        <v>0</v>
      </c>
      <c r="D1124" s="123">
        <f>'OPEN FOREIGN ORDER'!AA750</f>
        <v>0</v>
      </c>
      <c r="E1124" s="112">
        <f>'OPEN FOREIGN ORDER'!AB750</f>
        <v>0</v>
      </c>
      <c r="F1124" s="112">
        <f>'OPEN FOREIGN ORDER'!AC750</f>
        <v>0</v>
      </c>
      <c r="G1124" s="112">
        <f>'OPEN FOREIGN ORDER'!AD750</f>
        <v>0</v>
      </c>
      <c r="H1124" s="112">
        <f>'OPEN FOREIGN ORDER'!AE750</f>
        <v>0</v>
      </c>
      <c r="I1124" s="112">
        <f>'OPEN FOREIGN ORDER'!AF750</f>
        <v>0</v>
      </c>
      <c r="J1124" s="112">
        <f>'OPEN FOREIGN ORDER'!AG750</f>
        <v>0</v>
      </c>
    </row>
    <row r="1125" spans="1:10">
      <c r="A1125">
        <f>'OPEN FOREIGN ORDER'!D751</f>
        <v>0</v>
      </c>
      <c r="B1125">
        <f>'OPEN FOREIGN ORDER'!F751</f>
        <v>0</v>
      </c>
      <c r="C1125">
        <f>'OPEN FOREIGN ORDER'!Z751</f>
        <v>0</v>
      </c>
      <c r="D1125" s="123">
        <f>'OPEN FOREIGN ORDER'!AA751</f>
        <v>0</v>
      </c>
      <c r="E1125" s="112">
        <f>'OPEN FOREIGN ORDER'!AB751</f>
        <v>0</v>
      </c>
      <c r="F1125" s="112">
        <f>'OPEN FOREIGN ORDER'!AC751</f>
        <v>0</v>
      </c>
      <c r="G1125" s="112">
        <f>'OPEN FOREIGN ORDER'!AD751</f>
        <v>0</v>
      </c>
      <c r="H1125" s="112">
        <f>'OPEN FOREIGN ORDER'!AE751</f>
        <v>0</v>
      </c>
      <c r="I1125" s="112">
        <f>'OPEN FOREIGN ORDER'!AF751</f>
        <v>0</v>
      </c>
      <c r="J1125" s="112">
        <f>'OPEN FOREIGN ORDER'!AG751</f>
        <v>0</v>
      </c>
    </row>
    <row r="1126" spans="1:10">
      <c r="A1126">
        <f>'OPEN FOREIGN ORDER'!D752</f>
        <v>0</v>
      </c>
      <c r="B1126">
        <f>'OPEN FOREIGN ORDER'!F752</f>
        <v>0</v>
      </c>
      <c r="C1126">
        <f>'OPEN FOREIGN ORDER'!Z752</f>
        <v>0</v>
      </c>
      <c r="D1126" s="123">
        <f>'OPEN FOREIGN ORDER'!AA752</f>
        <v>0</v>
      </c>
      <c r="E1126" s="112">
        <f>'OPEN FOREIGN ORDER'!AB752</f>
        <v>0</v>
      </c>
      <c r="F1126" s="112">
        <f>'OPEN FOREIGN ORDER'!AC752</f>
        <v>0</v>
      </c>
      <c r="G1126" s="112">
        <f>'OPEN FOREIGN ORDER'!AD752</f>
        <v>0</v>
      </c>
      <c r="H1126" s="112">
        <f>'OPEN FOREIGN ORDER'!AE752</f>
        <v>0</v>
      </c>
      <c r="I1126" s="112">
        <f>'OPEN FOREIGN ORDER'!AF752</f>
        <v>0</v>
      </c>
      <c r="J1126" s="112">
        <f>'OPEN FOREIGN ORDER'!AG752</f>
        <v>0</v>
      </c>
    </row>
    <row r="1127" spans="1:10">
      <c r="A1127">
        <f>'OPEN FOREIGN ORDER'!D753</f>
        <v>0</v>
      </c>
      <c r="B1127">
        <f>'OPEN FOREIGN ORDER'!F753</f>
        <v>0</v>
      </c>
      <c r="C1127">
        <f>'OPEN FOREIGN ORDER'!Z753</f>
        <v>0</v>
      </c>
      <c r="D1127" s="123">
        <f>'OPEN FOREIGN ORDER'!AA753</f>
        <v>0</v>
      </c>
      <c r="E1127" s="112">
        <f>'OPEN FOREIGN ORDER'!AB753</f>
        <v>0</v>
      </c>
      <c r="F1127" s="112">
        <f>'OPEN FOREIGN ORDER'!AC753</f>
        <v>0</v>
      </c>
      <c r="G1127" s="112">
        <f>'OPEN FOREIGN ORDER'!AD753</f>
        <v>0</v>
      </c>
      <c r="H1127" s="112">
        <f>'OPEN FOREIGN ORDER'!AE753</f>
        <v>0</v>
      </c>
      <c r="I1127" s="112">
        <f>'OPEN FOREIGN ORDER'!AF753</f>
        <v>0</v>
      </c>
      <c r="J1127" s="112">
        <f>'OPEN FOREIGN ORDER'!AG753</f>
        <v>0</v>
      </c>
    </row>
    <row r="1128" spans="1:10">
      <c r="A1128">
        <f>'OPEN FOREIGN ORDER'!D754</f>
        <v>0</v>
      </c>
      <c r="B1128">
        <f>'OPEN FOREIGN ORDER'!F754</f>
        <v>0</v>
      </c>
      <c r="C1128">
        <f>'OPEN FOREIGN ORDER'!Z754</f>
        <v>0</v>
      </c>
      <c r="D1128" s="123">
        <f>'OPEN FOREIGN ORDER'!AA754</f>
        <v>0</v>
      </c>
      <c r="E1128" s="112">
        <f>'OPEN FOREIGN ORDER'!AB754</f>
        <v>0</v>
      </c>
      <c r="F1128" s="112">
        <f>'OPEN FOREIGN ORDER'!AC754</f>
        <v>0</v>
      </c>
      <c r="G1128" s="112">
        <f>'OPEN FOREIGN ORDER'!AD754</f>
        <v>0</v>
      </c>
      <c r="H1128" s="112">
        <f>'OPEN FOREIGN ORDER'!AE754</f>
        <v>0</v>
      </c>
      <c r="I1128" s="112">
        <f>'OPEN FOREIGN ORDER'!AF754</f>
        <v>0</v>
      </c>
      <c r="J1128" s="112">
        <f>'OPEN FOREIGN ORDER'!AG754</f>
        <v>0</v>
      </c>
    </row>
    <row r="1129" spans="1:10">
      <c r="A1129">
        <f>'OPEN FOREIGN ORDER'!D755</f>
        <v>0</v>
      </c>
      <c r="B1129">
        <f>'OPEN FOREIGN ORDER'!F755</f>
        <v>0</v>
      </c>
      <c r="C1129">
        <f>'OPEN FOREIGN ORDER'!Z755</f>
        <v>0</v>
      </c>
      <c r="D1129" s="123">
        <f>'OPEN FOREIGN ORDER'!AA755</f>
        <v>0</v>
      </c>
      <c r="E1129" s="112">
        <f>'OPEN FOREIGN ORDER'!AB755</f>
        <v>0</v>
      </c>
      <c r="F1129" s="112">
        <f>'OPEN FOREIGN ORDER'!AC755</f>
        <v>0</v>
      </c>
      <c r="G1129" s="112">
        <f>'OPEN FOREIGN ORDER'!AD755</f>
        <v>0</v>
      </c>
      <c r="H1129" s="112">
        <f>'OPEN FOREIGN ORDER'!AE755</f>
        <v>0</v>
      </c>
      <c r="I1129" s="112">
        <f>'OPEN FOREIGN ORDER'!AF755</f>
        <v>0</v>
      </c>
      <c r="J1129" s="112">
        <f>'OPEN FOREIGN ORDER'!AG755</f>
        <v>0</v>
      </c>
    </row>
    <row r="1130" spans="1:10">
      <c r="A1130">
        <f>'OPEN FOREIGN ORDER'!D756</f>
        <v>0</v>
      </c>
      <c r="B1130">
        <f>'OPEN FOREIGN ORDER'!F756</f>
        <v>0</v>
      </c>
      <c r="C1130">
        <f>'OPEN FOREIGN ORDER'!Z756</f>
        <v>0</v>
      </c>
      <c r="D1130" s="123">
        <f>'OPEN FOREIGN ORDER'!AA756</f>
        <v>0</v>
      </c>
      <c r="E1130" s="112">
        <f>'OPEN FOREIGN ORDER'!AB756</f>
        <v>0</v>
      </c>
      <c r="F1130" s="112">
        <f>'OPEN FOREIGN ORDER'!AC756</f>
        <v>0</v>
      </c>
      <c r="G1130" s="112">
        <f>'OPEN FOREIGN ORDER'!AD756</f>
        <v>0</v>
      </c>
      <c r="H1130" s="112">
        <f>'OPEN FOREIGN ORDER'!AE756</f>
        <v>0</v>
      </c>
      <c r="I1130" s="112">
        <f>'OPEN FOREIGN ORDER'!AF756</f>
        <v>0</v>
      </c>
      <c r="J1130" s="112">
        <f>'OPEN FOREIGN ORDER'!AG756</f>
        <v>0</v>
      </c>
    </row>
    <row r="1131" spans="1:10">
      <c r="A1131">
        <f>'OPEN FOREIGN ORDER'!D757</f>
        <v>0</v>
      </c>
      <c r="B1131">
        <f>'OPEN FOREIGN ORDER'!F757</f>
        <v>0</v>
      </c>
      <c r="C1131">
        <f>'OPEN FOREIGN ORDER'!Z757</f>
        <v>0</v>
      </c>
      <c r="D1131" s="123">
        <f>'OPEN FOREIGN ORDER'!AA757</f>
        <v>0</v>
      </c>
      <c r="E1131" s="112">
        <f>'OPEN FOREIGN ORDER'!AB757</f>
        <v>0</v>
      </c>
      <c r="F1131" s="112">
        <f>'OPEN FOREIGN ORDER'!AC757</f>
        <v>0</v>
      </c>
      <c r="G1131" s="112">
        <f>'OPEN FOREIGN ORDER'!AD757</f>
        <v>0</v>
      </c>
      <c r="H1131" s="112">
        <f>'OPEN FOREIGN ORDER'!AE757</f>
        <v>0</v>
      </c>
      <c r="I1131" s="112">
        <f>'OPEN FOREIGN ORDER'!AF757</f>
        <v>0</v>
      </c>
      <c r="J1131" s="112">
        <f>'OPEN FOREIGN ORDER'!AG757</f>
        <v>0</v>
      </c>
    </row>
    <row r="1132" spans="1:10">
      <c r="A1132">
        <f>'OPEN FOREIGN ORDER'!D758</f>
        <v>0</v>
      </c>
      <c r="B1132">
        <f>'OPEN FOREIGN ORDER'!F758</f>
        <v>0</v>
      </c>
      <c r="C1132">
        <f>'OPEN FOREIGN ORDER'!Z758</f>
        <v>0</v>
      </c>
      <c r="D1132" s="123">
        <f>'OPEN FOREIGN ORDER'!AA758</f>
        <v>0</v>
      </c>
      <c r="E1132" s="112">
        <f>'OPEN FOREIGN ORDER'!AB758</f>
        <v>0</v>
      </c>
      <c r="F1132" s="112">
        <f>'OPEN FOREIGN ORDER'!AC758</f>
        <v>0</v>
      </c>
      <c r="G1132" s="112">
        <f>'OPEN FOREIGN ORDER'!AD758</f>
        <v>0</v>
      </c>
      <c r="H1132" s="112">
        <f>'OPEN FOREIGN ORDER'!AE758</f>
        <v>0</v>
      </c>
      <c r="I1132" s="112">
        <f>'OPEN FOREIGN ORDER'!AF758</f>
        <v>0</v>
      </c>
      <c r="J1132" s="112">
        <f>'OPEN FOREIGN ORDER'!AG758</f>
        <v>0</v>
      </c>
    </row>
    <row r="1133" spans="1:10">
      <c r="A1133">
        <f>'OPEN FOREIGN ORDER'!D759</f>
        <v>0</v>
      </c>
      <c r="B1133">
        <f>'OPEN FOREIGN ORDER'!F759</f>
        <v>0</v>
      </c>
      <c r="C1133">
        <f>'OPEN FOREIGN ORDER'!Z759</f>
        <v>0</v>
      </c>
      <c r="D1133" s="123">
        <f>'OPEN FOREIGN ORDER'!AA759</f>
        <v>0</v>
      </c>
      <c r="E1133" s="112">
        <f>'OPEN FOREIGN ORDER'!AB759</f>
        <v>0</v>
      </c>
      <c r="F1133" s="112">
        <f>'OPEN FOREIGN ORDER'!AC759</f>
        <v>0</v>
      </c>
      <c r="G1133" s="112">
        <f>'OPEN FOREIGN ORDER'!AD759</f>
        <v>0</v>
      </c>
      <c r="H1133" s="112">
        <f>'OPEN FOREIGN ORDER'!AE759</f>
        <v>0</v>
      </c>
      <c r="I1133" s="112">
        <f>'OPEN FOREIGN ORDER'!AF759</f>
        <v>0</v>
      </c>
      <c r="J1133" s="112">
        <f>'OPEN FOREIGN ORDER'!AG759</f>
        <v>0</v>
      </c>
    </row>
    <row r="1134" spans="1:10">
      <c r="A1134">
        <f>'OPEN FOREIGN ORDER'!D760</f>
        <v>0</v>
      </c>
      <c r="B1134">
        <f>'OPEN FOREIGN ORDER'!F760</f>
        <v>0</v>
      </c>
      <c r="C1134">
        <f>'OPEN FOREIGN ORDER'!Z760</f>
        <v>0</v>
      </c>
      <c r="D1134" s="123">
        <f>'OPEN FOREIGN ORDER'!AA760</f>
        <v>0</v>
      </c>
      <c r="E1134" s="112">
        <f>'OPEN FOREIGN ORDER'!AB760</f>
        <v>0</v>
      </c>
      <c r="F1134" s="112">
        <f>'OPEN FOREIGN ORDER'!AC760</f>
        <v>0</v>
      </c>
      <c r="G1134" s="112">
        <f>'OPEN FOREIGN ORDER'!AD760</f>
        <v>0</v>
      </c>
      <c r="H1134" s="112">
        <f>'OPEN FOREIGN ORDER'!AE760</f>
        <v>0</v>
      </c>
      <c r="I1134" s="112">
        <f>'OPEN FOREIGN ORDER'!AF760</f>
        <v>0</v>
      </c>
      <c r="J1134" s="112">
        <f>'OPEN FOREIGN ORDER'!AG760</f>
        <v>0</v>
      </c>
    </row>
    <row r="1135" spans="1:10">
      <c r="A1135">
        <f>'OPEN FOREIGN ORDER'!D761</f>
        <v>0</v>
      </c>
      <c r="B1135">
        <f>'OPEN FOREIGN ORDER'!F761</f>
        <v>0</v>
      </c>
      <c r="C1135">
        <f>'OPEN FOREIGN ORDER'!Z761</f>
        <v>0</v>
      </c>
      <c r="D1135" s="123">
        <f>'OPEN FOREIGN ORDER'!AA761</f>
        <v>0</v>
      </c>
      <c r="E1135" s="112">
        <f>'OPEN FOREIGN ORDER'!AB761</f>
        <v>0</v>
      </c>
      <c r="F1135" s="112">
        <f>'OPEN FOREIGN ORDER'!AC761</f>
        <v>0</v>
      </c>
      <c r="G1135" s="112">
        <f>'OPEN FOREIGN ORDER'!AD761</f>
        <v>0</v>
      </c>
      <c r="H1135" s="112">
        <f>'OPEN FOREIGN ORDER'!AE761</f>
        <v>0</v>
      </c>
      <c r="I1135" s="112">
        <f>'OPEN FOREIGN ORDER'!AF761</f>
        <v>0</v>
      </c>
      <c r="J1135" s="112">
        <f>'OPEN FOREIGN ORDER'!AG761</f>
        <v>0</v>
      </c>
    </row>
    <row r="1136" spans="1:10">
      <c r="A1136">
        <f>'OPEN FOREIGN ORDER'!D762</f>
        <v>0</v>
      </c>
      <c r="B1136">
        <f>'OPEN FOREIGN ORDER'!F762</f>
        <v>0</v>
      </c>
      <c r="C1136">
        <f>'OPEN FOREIGN ORDER'!Z762</f>
        <v>0</v>
      </c>
      <c r="D1136" s="123">
        <f>'OPEN FOREIGN ORDER'!AA762</f>
        <v>0</v>
      </c>
      <c r="E1136" s="112">
        <f>'OPEN FOREIGN ORDER'!AB762</f>
        <v>0</v>
      </c>
      <c r="F1136" s="112">
        <f>'OPEN FOREIGN ORDER'!AC762</f>
        <v>0</v>
      </c>
      <c r="G1136" s="112">
        <f>'OPEN FOREIGN ORDER'!AD762</f>
        <v>0</v>
      </c>
      <c r="H1136" s="112">
        <f>'OPEN FOREIGN ORDER'!AE762</f>
        <v>0</v>
      </c>
      <c r="I1136" s="112">
        <f>'OPEN FOREIGN ORDER'!AF762</f>
        <v>0</v>
      </c>
      <c r="J1136" s="112">
        <f>'OPEN FOREIGN ORDER'!AG762</f>
        <v>0</v>
      </c>
    </row>
    <row r="1137" spans="1:10">
      <c r="A1137">
        <f>'OPEN FOREIGN ORDER'!D763</f>
        <v>0</v>
      </c>
      <c r="B1137">
        <f>'OPEN FOREIGN ORDER'!F763</f>
        <v>0</v>
      </c>
      <c r="C1137">
        <f>'OPEN FOREIGN ORDER'!Z763</f>
        <v>0</v>
      </c>
      <c r="D1137" s="123">
        <f>'OPEN FOREIGN ORDER'!AA763</f>
        <v>0</v>
      </c>
      <c r="E1137" s="112">
        <f>'OPEN FOREIGN ORDER'!AB763</f>
        <v>0</v>
      </c>
      <c r="F1137" s="112">
        <f>'OPEN FOREIGN ORDER'!AC763</f>
        <v>0</v>
      </c>
      <c r="G1137" s="112">
        <f>'OPEN FOREIGN ORDER'!AD763</f>
        <v>0</v>
      </c>
      <c r="H1137" s="112">
        <f>'OPEN FOREIGN ORDER'!AE763</f>
        <v>0</v>
      </c>
      <c r="I1137" s="112">
        <f>'OPEN FOREIGN ORDER'!AF763</f>
        <v>0</v>
      </c>
      <c r="J1137" s="112">
        <f>'OPEN FOREIGN ORDER'!AG763</f>
        <v>0</v>
      </c>
    </row>
    <row r="1138" spans="1:10">
      <c r="A1138">
        <f>'OPEN FOREIGN ORDER'!D764</f>
        <v>0</v>
      </c>
      <c r="B1138">
        <f>'OPEN FOREIGN ORDER'!F764</f>
        <v>0</v>
      </c>
      <c r="C1138">
        <f>'OPEN FOREIGN ORDER'!Z764</f>
        <v>0</v>
      </c>
      <c r="D1138" s="123">
        <f>'OPEN FOREIGN ORDER'!AA764</f>
        <v>0</v>
      </c>
      <c r="E1138" s="112">
        <f>'OPEN FOREIGN ORDER'!AB764</f>
        <v>0</v>
      </c>
      <c r="F1138" s="112">
        <f>'OPEN FOREIGN ORDER'!AC764</f>
        <v>0</v>
      </c>
      <c r="G1138" s="112">
        <f>'OPEN FOREIGN ORDER'!AD764</f>
        <v>0</v>
      </c>
      <c r="H1138" s="112">
        <f>'OPEN FOREIGN ORDER'!AE764</f>
        <v>0</v>
      </c>
      <c r="I1138" s="112">
        <f>'OPEN FOREIGN ORDER'!AF764</f>
        <v>0</v>
      </c>
      <c r="J1138" s="112">
        <f>'OPEN FOREIGN ORDER'!AG764</f>
        <v>0</v>
      </c>
    </row>
    <row r="1139" spans="1:10">
      <c r="A1139">
        <f>'OPEN FOREIGN ORDER'!D765</f>
        <v>0</v>
      </c>
      <c r="B1139">
        <f>'OPEN FOREIGN ORDER'!F765</f>
        <v>0</v>
      </c>
      <c r="C1139">
        <f>'OPEN FOREIGN ORDER'!Z765</f>
        <v>0</v>
      </c>
      <c r="D1139" s="123">
        <f>'OPEN FOREIGN ORDER'!AA765</f>
        <v>0</v>
      </c>
      <c r="E1139" s="112">
        <f>'OPEN FOREIGN ORDER'!AB765</f>
        <v>0</v>
      </c>
      <c r="F1139" s="112">
        <f>'OPEN FOREIGN ORDER'!AC765</f>
        <v>0</v>
      </c>
      <c r="G1139" s="112">
        <f>'OPEN FOREIGN ORDER'!AD765</f>
        <v>0</v>
      </c>
      <c r="H1139" s="112">
        <f>'OPEN FOREIGN ORDER'!AE765</f>
        <v>0</v>
      </c>
      <c r="I1139" s="112">
        <f>'OPEN FOREIGN ORDER'!AF765</f>
        <v>0</v>
      </c>
      <c r="J1139" s="112">
        <f>'OPEN FOREIGN ORDER'!AG765</f>
        <v>0</v>
      </c>
    </row>
    <row r="1140" spans="1:10">
      <c r="A1140">
        <f>'OPEN FOREIGN ORDER'!D766</f>
        <v>0</v>
      </c>
      <c r="B1140">
        <f>'OPEN FOREIGN ORDER'!F766</f>
        <v>0</v>
      </c>
      <c r="C1140">
        <f>'OPEN FOREIGN ORDER'!Z766</f>
        <v>0</v>
      </c>
      <c r="D1140" s="123">
        <f>'OPEN FOREIGN ORDER'!AA766</f>
        <v>0</v>
      </c>
      <c r="E1140" s="112">
        <f>'OPEN FOREIGN ORDER'!AB766</f>
        <v>0</v>
      </c>
      <c r="F1140" s="112">
        <f>'OPEN FOREIGN ORDER'!AC766</f>
        <v>0</v>
      </c>
      <c r="G1140" s="112">
        <f>'OPEN FOREIGN ORDER'!AD766</f>
        <v>0</v>
      </c>
      <c r="H1140" s="112">
        <f>'OPEN FOREIGN ORDER'!AE766</f>
        <v>0</v>
      </c>
      <c r="I1140" s="112">
        <f>'OPEN FOREIGN ORDER'!AF766</f>
        <v>0</v>
      </c>
      <c r="J1140" s="112">
        <f>'OPEN FOREIGN ORDER'!AG766</f>
        <v>0</v>
      </c>
    </row>
    <row r="1141" spans="1:10">
      <c r="A1141">
        <f>'OPEN FOREIGN ORDER'!D767</f>
        <v>0</v>
      </c>
      <c r="B1141">
        <f>'OPEN FOREIGN ORDER'!F767</f>
        <v>0</v>
      </c>
      <c r="C1141">
        <f>'OPEN FOREIGN ORDER'!Z767</f>
        <v>0</v>
      </c>
      <c r="D1141" s="123">
        <f>'OPEN FOREIGN ORDER'!AA767</f>
        <v>0</v>
      </c>
      <c r="E1141" s="112">
        <f>'OPEN FOREIGN ORDER'!AB767</f>
        <v>0</v>
      </c>
      <c r="F1141" s="112">
        <f>'OPEN FOREIGN ORDER'!AC767</f>
        <v>0</v>
      </c>
      <c r="G1141" s="112">
        <f>'OPEN FOREIGN ORDER'!AD767</f>
        <v>0</v>
      </c>
      <c r="H1141" s="112">
        <f>'OPEN FOREIGN ORDER'!AE767</f>
        <v>0</v>
      </c>
      <c r="I1141" s="112">
        <f>'OPEN FOREIGN ORDER'!AF767</f>
        <v>0</v>
      </c>
      <c r="J1141" s="112">
        <f>'OPEN FOREIGN ORDER'!AG767</f>
        <v>0</v>
      </c>
    </row>
    <row r="1142" spans="1:10">
      <c r="A1142">
        <f>'OPEN FOREIGN ORDER'!D768</f>
        <v>0</v>
      </c>
      <c r="B1142">
        <f>'OPEN FOREIGN ORDER'!F768</f>
        <v>0</v>
      </c>
      <c r="C1142">
        <f>'OPEN FOREIGN ORDER'!Z768</f>
        <v>0</v>
      </c>
      <c r="D1142" s="123">
        <f>'OPEN FOREIGN ORDER'!AA768</f>
        <v>0</v>
      </c>
      <c r="E1142" s="112">
        <f>'OPEN FOREIGN ORDER'!AB768</f>
        <v>0</v>
      </c>
      <c r="F1142" s="112">
        <f>'OPEN FOREIGN ORDER'!AC768</f>
        <v>0</v>
      </c>
      <c r="G1142" s="112">
        <f>'OPEN FOREIGN ORDER'!AD768</f>
        <v>0</v>
      </c>
      <c r="H1142" s="112">
        <f>'OPEN FOREIGN ORDER'!AE768</f>
        <v>0</v>
      </c>
      <c r="I1142" s="112">
        <f>'OPEN FOREIGN ORDER'!AF768</f>
        <v>0</v>
      </c>
      <c r="J1142" s="112">
        <f>'OPEN FOREIGN ORDER'!AG768</f>
        <v>0</v>
      </c>
    </row>
    <row r="1143" spans="1:10">
      <c r="A1143">
        <f>'OPEN FOREIGN ORDER'!D769</f>
        <v>0</v>
      </c>
      <c r="B1143">
        <f>'OPEN FOREIGN ORDER'!F769</f>
        <v>0</v>
      </c>
      <c r="C1143">
        <f>'OPEN FOREIGN ORDER'!Z769</f>
        <v>0</v>
      </c>
      <c r="D1143" s="123">
        <f>'OPEN FOREIGN ORDER'!AA769</f>
        <v>0</v>
      </c>
      <c r="E1143" s="112">
        <f>'OPEN FOREIGN ORDER'!AB769</f>
        <v>0</v>
      </c>
      <c r="F1143" s="112">
        <f>'OPEN FOREIGN ORDER'!AC769</f>
        <v>0</v>
      </c>
      <c r="G1143" s="112">
        <f>'OPEN FOREIGN ORDER'!AD769</f>
        <v>0</v>
      </c>
      <c r="H1143" s="112">
        <f>'OPEN FOREIGN ORDER'!AE769</f>
        <v>0</v>
      </c>
      <c r="I1143" s="112">
        <f>'OPEN FOREIGN ORDER'!AF769</f>
        <v>0</v>
      </c>
      <c r="J1143" s="112">
        <f>'OPEN FOREIGN ORDER'!AG769</f>
        <v>0</v>
      </c>
    </row>
    <row r="1144" spans="1:10">
      <c r="A1144">
        <f>'OPEN FOREIGN ORDER'!D770</f>
        <v>0</v>
      </c>
      <c r="B1144">
        <f>'OPEN FOREIGN ORDER'!F770</f>
        <v>0</v>
      </c>
      <c r="C1144">
        <f>'OPEN FOREIGN ORDER'!Z770</f>
        <v>0</v>
      </c>
      <c r="D1144" s="123">
        <f>'OPEN FOREIGN ORDER'!AA770</f>
        <v>0</v>
      </c>
      <c r="E1144" s="112">
        <f>'OPEN FOREIGN ORDER'!AB770</f>
        <v>0</v>
      </c>
      <c r="F1144" s="112">
        <f>'OPEN FOREIGN ORDER'!AC770</f>
        <v>0</v>
      </c>
      <c r="G1144" s="112">
        <f>'OPEN FOREIGN ORDER'!AD770</f>
        <v>0</v>
      </c>
      <c r="H1144" s="112">
        <f>'OPEN FOREIGN ORDER'!AE770</f>
        <v>0</v>
      </c>
      <c r="I1144" s="112">
        <f>'OPEN FOREIGN ORDER'!AF770</f>
        <v>0</v>
      </c>
      <c r="J1144" s="112">
        <f>'OPEN FOREIGN ORDER'!AG770</f>
        <v>0</v>
      </c>
    </row>
    <row r="1145" spans="1:10">
      <c r="A1145">
        <f>'OPEN FOREIGN ORDER'!D771</f>
        <v>0</v>
      </c>
      <c r="B1145">
        <f>'OPEN FOREIGN ORDER'!F771</f>
        <v>0</v>
      </c>
      <c r="C1145">
        <f>'OPEN FOREIGN ORDER'!Z771</f>
        <v>0</v>
      </c>
      <c r="D1145" s="123">
        <f>'OPEN FOREIGN ORDER'!AA771</f>
        <v>0</v>
      </c>
      <c r="E1145" s="112">
        <f>'OPEN FOREIGN ORDER'!AB771</f>
        <v>0</v>
      </c>
      <c r="F1145" s="112">
        <f>'OPEN FOREIGN ORDER'!AC771</f>
        <v>0</v>
      </c>
      <c r="G1145" s="112">
        <f>'OPEN FOREIGN ORDER'!AD771</f>
        <v>0</v>
      </c>
      <c r="H1145" s="112">
        <f>'OPEN FOREIGN ORDER'!AE771</f>
        <v>0</v>
      </c>
      <c r="I1145" s="112">
        <f>'OPEN FOREIGN ORDER'!AF771</f>
        <v>0</v>
      </c>
      <c r="J1145" s="112">
        <f>'OPEN FOREIGN ORDER'!AG771</f>
        <v>0</v>
      </c>
    </row>
    <row r="1146" spans="1:10">
      <c r="A1146">
        <f>'OPEN FOREIGN ORDER'!D772</f>
        <v>0</v>
      </c>
      <c r="B1146">
        <f>'OPEN FOREIGN ORDER'!F772</f>
        <v>0</v>
      </c>
      <c r="C1146">
        <f>'OPEN FOREIGN ORDER'!Z772</f>
        <v>0</v>
      </c>
      <c r="D1146" s="123">
        <f>'OPEN FOREIGN ORDER'!AA772</f>
        <v>0</v>
      </c>
      <c r="E1146" s="112">
        <f>'OPEN FOREIGN ORDER'!AB772</f>
        <v>0</v>
      </c>
      <c r="F1146" s="112">
        <f>'OPEN FOREIGN ORDER'!AC772</f>
        <v>0</v>
      </c>
      <c r="G1146" s="112">
        <f>'OPEN FOREIGN ORDER'!AD772</f>
        <v>0</v>
      </c>
      <c r="H1146" s="112">
        <f>'OPEN FOREIGN ORDER'!AE772</f>
        <v>0</v>
      </c>
      <c r="I1146" s="112">
        <f>'OPEN FOREIGN ORDER'!AF772</f>
        <v>0</v>
      </c>
      <c r="J1146" s="112">
        <f>'OPEN FOREIGN ORDER'!AG772</f>
        <v>0</v>
      </c>
    </row>
    <row r="1147" spans="1:10">
      <c r="A1147">
        <f>'OPEN FOREIGN ORDER'!D773</f>
        <v>0</v>
      </c>
      <c r="B1147">
        <f>'OPEN FOREIGN ORDER'!F773</f>
        <v>0</v>
      </c>
      <c r="C1147">
        <f>'OPEN FOREIGN ORDER'!Z773</f>
        <v>0</v>
      </c>
      <c r="D1147" s="123">
        <f>'OPEN FOREIGN ORDER'!AA773</f>
        <v>0</v>
      </c>
      <c r="E1147" s="112">
        <f>'OPEN FOREIGN ORDER'!AB773</f>
        <v>0</v>
      </c>
      <c r="F1147" s="112">
        <f>'OPEN FOREIGN ORDER'!AC773</f>
        <v>0</v>
      </c>
      <c r="G1147" s="112">
        <f>'OPEN FOREIGN ORDER'!AD773</f>
        <v>0</v>
      </c>
      <c r="H1147" s="112">
        <f>'OPEN FOREIGN ORDER'!AE773</f>
        <v>0</v>
      </c>
      <c r="I1147" s="112">
        <f>'OPEN FOREIGN ORDER'!AF773</f>
        <v>0</v>
      </c>
      <c r="J1147" s="112">
        <f>'OPEN FOREIGN ORDER'!AG773</f>
        <v>0</v>
      </c>
    </row>
    <row r="1148" spans="1:10">
      <c r="A1148">
        <f>'OPEN FOREIGN ORDER'!D774</f>
        <v>0</v>
      </c>
      <c r="B1148">
        <f>'OPEN FOREIGN ORDER'!F774</f>
        <v>0</v>
      </c>
      <c r="C1148">
        <f>'OPEN FOREIGN ORDER'!Z774</f>
        <v>0</v>
      </c>
      <c r="D1148" s="123">
        <f>'OPEN FOREIGN ORDER'!AA774</f>
        <v>0</v>
      </c>
      <c r="E1148" s="112">
        <f>'OPEN FOREIGN ORDER'!AB774</f>
        <v>0</v>
      </c>
      <c r="F1148" s="112">
        <f>'OPEN FOREIGN ORDER'!AC774</f>
        <v>0</v>
      </c>
      <c r="G1148" s="112">
        <f>'OPEN FOREIGN ORDER'!AD774</f>
        <v>0</v>
      </c>
      <c r="H1148" s="112">
        <f>'OPEN FOREIGN ORDER'!AE774</f>
        <v>0</v>
      </c>
      <c r="I1148" s="112">
        <f>'OPEN FOREIGN ORDER'!AF774</f>
        <v>0</v>
      </c>
      <c r="J1148" s="112">
        <f>'OPEN FOREIGN ORDER'!AG774</f>
        <v>0</v>
      </c>
    </row>
    <row r="1149" spans="1:10">
      <c r="A1149">
        <f>'OPEN FOREIGN ORDER'!D775</f>
        <v>0</v>
      </c>
      <c r="B1149">
        <f>'OPEN FOREIGN ORDER'!F775</f>
        <v>0</v>
      </c>
      <c r="C1149">
        <f>'OPEN FOREIGN ORDER'!Z775</f>
        <v>0</v>
      </c>
      <c r="D1149" s="123">
        <f>'OPEN FOREIGN ORDER'!AA775</f>
        <v>0</v>
      </c>
      <c r="E1149" s="112">
        <f>'OPEN FOREIGN ORDER'!AB775</f>
        <v>0</v>
      </c>
      <c r="F1149" s="112">
        <f>'OPEN FOREIGN ORDER'!AC775</f>
        <v>0</v>
      </c>
      <c r="G1149" s="112">
        <f>'OPEN FOREIGN ORDER'!AD775</f>
        <v>0</v>
      </c>
      <c r="H1149" s="112">
        <f>'OPEN FOREIGN ORDER'!AE775</f>
        <v>0</v>
      </c>
      <c r="I1149" s="112">
        <f>'OPEN FOREIGN ORDER'!AF775</f>
        <v>0</v>
      </c>
      <c r="J1149" s="112">
        <f>'OPEN FOREIGN ORDER'!AG775</f>
        <v>0</v>
      </c>
    </row>
    <row r="1150" spans="1:10">
      <c r="A1150">
        <f>'OPEN FOREIGN ORDER'!D776</f>
        <v>0</v>
      </c>
      <c r="B1150">
        <f>'OPEN FOREIGN ORDER'!F776</f>
        <v>0</v>
      </c>
      <c r="C1150">
        <f>'OPEN FOREIGN ORDER'!Z776</f>
        <v>0</v>
      </c>
      <c r="D1150" s="123">
        <f>'OPEN FOREIGN ORDER'!AA776</f>
        <v>0</v>
      </c>
      <c r="E1150" s="112">
        <f>'OPEN FOREIGN ORDER'!AB776</f>
        <v>0</v>
      </c>
      <c r="F1150" s="112">
        <f>'OPEN FOREIGN ORDER'!AC776</f>
        <v>0</v>
      </c>
      <c r="G1150" s="112">
        <f>'OPEN FOREIGN ORDER'!AD776</f>
        <v>0</v>
      </c>
      <c r="H1150" s="112">
        <f>'OPEN FOREIGN ORDER'!AE776</f>
        <v>0</v>
      </c>
      <c r="I1150" s="112">
        <f>'OPEN FOREIGN ORDER'!AF776</f>
        <v>0</v>
      </c>
      <c r="J1150" s="112">
        <f>'OPEN FOREIGN ORDER'!AG776</f>
        <v>0</v>
      </c>
    </row>
    <row r="1151" spans="1:10">
      <c r="A1151">
        <f>'OPEN FOREIGN ORDER'!D777</f>
        <v>0</v>
      </c>
      <c r="B1151">
        <f>'OPEN FOREIGN ORDER'!F777</f>
        <v>0</v>
      </c>
      <c r="C1151">
        <f>'OPEN FOREIGN ORDER'!Z777</f>
        <v>0</v>
      </c>
      <c r="D1151" s="123">
        <f>'OPEN FOREIGN ORDER'!AA777</f>
        <v>0</v>
      </c>
      <c r="E1151" s="112">
        <f>'OPEN FOREIGN ORDER'!AB777</f>
        <v>0</v>
      </c>
      <c r="F1151" s="112">
        <f>'OPEN FOREIGN ORDER'!AC777</f>
        <v>0</v>
      </c>
      <c r="G1151" s="112">
        <f>'OPEN FOREIGN ORDER'!AD777</f>
        <v>0</v>
      </c>
      <c r="H1151" s="112">
        <f>'OPEN FOREIGN ORDER'!AE777</f>
        <v>0</v>
      </c>
      <c r="I1151" s="112">
        <f>'OPEN FOREIGN ORDER'!AF777</f>
        <v>0</v>
      </c>
      <c r="J1151" s="112">
        <f>'OPEN FOREIGN ORDER'!AG777</f>
        <v>0</v>
      </c>
    </row>
    <row r="1152" spans="1:10">
      <c r="A1152">
        <f>'OPEN FOREIGN ORDER'!D778</f>
        <v>0</v>
      </c>
      <c r="B1152">
        <f>'OPEN FOREIGN ORDER'!F778</f>
        <v>0</v>
      </c>
      <c r="C1152">
        <f>'OPEN FOREIGN ORDER'!Z778</f>
        <v>0</v>
      </c>
      <c r="D1152" s="123">
        <f>'OPEN FOREIGN ORDER'!AA778</f>
        <v>0</v>
      </c>
      <c r="E1152" s="112">
        <f>'OPEN FOREIGN ORDER'!AB778</f>
        <v>0</v>
      </c>
      <c r="F1152" s="112">
        <f>'OPEN FOREIGN ORDER'!AC778</f>
        <v>0</v>
      </c>
      <c r="G1152" s="112">
        <f>'OPEN FOREIGN ORDER'!AD778</f>
        <v>0</v>
      </c>
      <c r="H1152" s="112">
        <f>'OPEN FOREIGN ORDER'!AE778</f>
        <v>0</v>
      </c>
      <c r="I1152" s="112">
        <f>'OPEN FOREIGN ORDER'!AF778</f>
        <v>0</v>
      </c>
      <c r="J1152" s="112">
        <f>'OPEN FOREIGN ORDER'!AG778</f>
        <v>0</v>
      </c>
    </row>
    <row r="1153" spans="1:10">
      <c r="A1153">
        <f>'OPEN FOREIGN ORDER'!D779</f>
        <v>0</v>
      </c>
      <c r="B1153">
        <f>'OPEN FOREIGN ORDER'!F779</f>
        <v>0</v>
      </c>
      <c r="C1153">
        <f>'OPEN FOREIGN ORDER'!Z779</f>
        <v>0</v>
      </c>
      <c r="D1153" s="123">
        <f>'OPEN FOREIGN ORDER'!AA779</f>
        <v>0</v>
      </c>
      <c r="E1153" s="112">
        <f>'OPEN FOREIGN ORDER'!AB779</f>
        <v>0</v>
      </c>
      <c r="F1153" s="112">
        <f>'OPEN FOREIGN ORDER'!AC779</f>
        <v>0</v>
      </c>
      <c r="G1153" s="112">
        <f>'OPEN FOREIGN ORDER'!AD779</f>
        <v>0</v>
      </c>
      <c r="H1153" s="112">
        <f>'OPEN FOREIGN ORDER'!AE779</f>
        <v>0</v>
      </c>
      <c r="I1153" s="112">
        <f>'OPEN FOREIGN ORDER'!AF779</f>
        <v>0</v>
      </c>
      <c r="J1153" s="112">
        <f>'OPEN FOREIGN ORDER'!AG779</f>
        <v>0</v>
      </c>
    </row>
    <row r="1154" spans="1:10">
      <c r="A1154">
        <f>'OPEN FOREIGN ORDER'!D780</f>
        <v>0</v>
      </c>
      <c r="B1154">
        <f>'OPEN FOREIGN ORDER'!F780</f>
        <v>0</v>
      </c>
      <c r="C1154">
        <f>'OPEN FOREIGN ORDER'!Z780</f>
        <v>0</v>
      </c>
      <c r="D1154" s="123">
        <f>'OPEN FOREIGN ORDER'!AA780</f>
        <v>0</v>
      </c>
      <c r="E1154" s="112">
        <f>'OPEN FOREIGN ORDER'!AB780</f>
        <v>0</v>
      </c>
      <c r="F1154" s="112">
        <f>'OPEN FOREIGN ORDER'!AC780</f>
        <v>0</v>
      </c>
      <c r="G1154" s="112">
        <f>'OPEN FOREIGN ORDER'!AD780</f>
        <v>0</v>
      </c>
      <c r="H1154" s="112">
        <f>'OPEN FOREIGN ORDER'!AE780</f>
        <v>0</v>
      </c>
      <c r="I1154" s="112">
        <f>'OPEN FOREIGN ORDER'!AF780</f>
        <v>0</v>
      </c>
      <c r="J1154" s="112">
        <f>'OPEN FOREIGN ORDER'!AG780</f>
        <v>0</v>
      </c>
    </row>
    <row r="1155" spans="1:10">
      <c r="A1155">
        <f>'OPEN FOREIGN ORDER'!D781</f>
        <v>0</v>
      </c>
      <c r="B1155">
        <f>'OPEN FOREIGN ORDER'!F781</f>
        <v>0</v>
      </c>
      <c r="C1155">
        <f>'OPEN FOREIGN ORDER'!Z781</f>
        <v>0</v>
      </c>
      <c r="D1155" s="123">
        <f>'OPEN FOREIGN ORDER'!AA781</f>
        <v>0</v>
      </c>
      <c r="E1155" s="112">
        <f>'OPEN FOREIGN ORDER'!AB781</f>
        <v>0</v>
      </c>
      <c r="F1155" s="112">
        <f>'OPEN FOREIGN ORDER'!AC781</f>
        <v>0</v>
      </c>
      <c r="G1155" s="112">
        <f>'OPEN FOREIGN ORDER'!AD781</f>
        <v>0</v>
      </c>
      <c r="H1155" s="112">
        <f>'OPEN FOREIGN ORDER'!AE781</f>
        <v>0</v>
      </c>
      <c r="I1155" s="112">
        <f>'OPEN FOREIGN ORDER'!AF781</f>
        <v>0</v>
      </c>
      <c r="J1155" s="112">
        <f>'OPEN FOREIGN ORDER'!AG781</f>
        <v>0</v>
      </c>
    </row>
    <row r="1156" spans="1:10">
      <c r="A1156">
        <f>'OPEN FOREIGN ORDER'!D782</f>
        <v>0</v>
      </c>
      <c r="B1156">
        <f>'OPEN FOREIGN ORDER'!F782</f>
        <v>0</v>
      </c>
      <c r="C1156">
        <f>'OPEN FOREIGN ORDER'!Z782</f>
        <v>0</v>
      </c>
      <c r="D1156" s="123">
        <f>'OPEN FOREIGN ORDER'!AA782</f>
        <v>0</v>
      </c>
      <c r="E1156" s="112">
        <f>'OPEN FOREIGN ORDER'!AB782</f>
        <v>0</v>
      </c>
      <c r="F1156" s="112">
        <f>'OPEN FOREIGN ORDER'!AC782</f>
        <v>0</v>
      </c>
      <c r="G1156" s="112">
        <f>'OPEN FOREIGN ORDER'!AD782</f>
        <v>0</v>
      </c>
      <c r="H1156" s="112">
        <f>'OPEN FOREIGN ORDER'!AE782</f>
        <v>0</v>
      </c>
      <c r="I1156" s="112">
        <f>'OPEN FOREIGN ORDER'!AF782</f>
        <v>0</v>
      </c>
      <c r="J1156" s="112">
        <f>'OPEN FOREIGN ORDER'!AG782</f>
        <v>0</v>
      </c>
    </row>
    <row r="1157" spans="1:10">
      <c r="A1157">
        <f>'OPEN FOREIGN ORDER'!D783</f>
        <v>0</v>
      </c>
      <c r="B1157">
        <f>'OPEN FOREIGN ORDER'!F783</f>
        <v>0</v>
      </c>
      <c r="C1157">
        <f>'OPEN FOREIGN ORDER'!Z783</f>
        <v>0</v>
      </c>
      <c r="D1157" s="123">
        <f>'OPEN FOREIGN ORDER'!AA783</f>
        <v>0</v>
      </c>
      <c r="E1157" s="112">
        <f>'OPEN FOREIGN ORDER'!AB783</f>
        <v>0</v>
      </c>
      <c r="F1157" s="112">
        <f>'OPEN FOREIGN ORDER'!AC783</f>
        <v>0</v>
      </c>
      <c r="G1157" s="112">
        <f>'OPEN FOREIGN ORDER'!AD783</f>
        <v>0</v>
      </c>
      <c r="H1157" s="112">
        <f>'OPEN FOREIGN ORDER'!AE783</f>
        <v>0</v>
      </c>
      <c r="I1157" s="112">
        <f>'OPEN FOREIGN ORDER'!AF783</f>
        <v>0</v>
      </c>
      <c r="J1157" s="112">
        <f>'OPEN FOREIGN ORDER'!AG783</f>
        <v>0</v>
      </c>
    </row>
    <row r="1158" spans="1:10">
      <c r="A1158">
        <f>'OPEN FOREIGN ORDER'!D784</f>
        <v>0</v>
      </c>
      <c r="B1158">
        <f>'OPEN FOREIGN ORDER'!F784</f>
        <v>0</v>
      </c>
      <c r="C1158">
        <f>'OPEN FOREIGN ORDER'!Z784</f>
        <v>0</v>
      </c>
      <c r="D1158" s="123">
        <f>'OPEN FOREIGN ORDER'!AA784</f>
        <v>0</v>
      </c>
      <c r="E1158" s="112">
        <f>'OPEN FOREIGN ORDER'!AB784</f>
        <v>0</v>
      </c>
      <c r="F1158" s="112">
        <f>'OPEN FOREIGN ORDER'!AC784</f>
        <v>0</v>
      </c>
      <c r="G1158" s="112">
        <f>'OPEN FOREIGN ORDER'!AD784</f>
        <v>0</v>
      </c>
      <c r="H1158" s="112">
        <f>'OPEN FOREIGN ORDER'!AE784</f>
        <v>0</v>
      </c>
      <c r="I1158" s="112">
        <f>'OPEN FOREIGN ORDER'!AF784</f>
        <v>0</v>
      </c>
      <c r="J1158" s="112">
        <f>'OPEN FOREIGN ORDER'!AG784</f>
        <v>0</v>
      </c>
    </row>
    <row r="1159" spans="1:10">
      <c r="A1159">
        <f>'OPEN FOREIGN ORDER'!D785</f>
        <v>0</v>
      </c>
      <c r="B1159">
        <f>'OPEN FOREIGN ORDER'!F785</f>
        <v>0</v>
      </c>
      <c r="C1159">
        <f>'OPEN FOREIGN ORDER'!Z785</f>
        <v>0</v>
      </c>
      <c r="D1159" s="123">
        <f>'OPEN FOREIGN ORDER'!AA785</f>
        <v>0</v>
      </c>
      <c r="E1159" s="112">
        <f>'OPEN FOREIGN ORDER'!AB785</f>
        <v>0</v>
      </c>
      <c r="F1159" s="112">
        <f>'OPEN FOREIGN ORDER'!AC785</f>
        <v>0</v>
      </c>
      <c r="G1159" s="112">
        <f>'OPEN FOREIGN ORDER'!AD785</f>
        <v>0</v>
      </c>
      <c r="H1159" s="112">
        <f>'OPEN FOREIGN ORDER'!AE785</f>
        <v>0</v>
      </c>
      <c r="I1159" s="112">
        <f>'OPEN FOREIGN ORDER'!AF785</f>
        <v>0</v>
      </c>
      <c r="J1159" s="112">
        <f>'OPEN FOREIGN ORDER'!AG785</f>
        <v>0</v>
      </c>
    </row>
    <row r="1160" spans="1:10">
      <c r="A1160">
        <f>'OPEN FOREIGN ORDER'!D786</f>
        <v>0</v>
      </c>
      <c r="B1160">
        <f>'OPEN FOREIGN ORDER'!F786</f>
        <v>0</v>
      </c>
      <c r="C1160">
        <f>'OPEN FOREIGN ORDER'!Z786</f>
        <v>0</v>
      </c>
      <c r="D1160" s="123">
        <f>'OPEN FOREIGN ORDER'!AA786</f>
        <v>0</v>
      </c>
      <c r="E1160" s="112">
        <f>'OPEN FOREIGN ORDER'!AB786</f>
        <v>0</v>
      </c>
      <c r="F1160" s="112">
        <f>'OPEN FOREIGN ORDER'!AC786</f>
        <v>0</v>
      </c>
      <c r="G1160" s="112">
        <f>'OPEN FOREIGN ORDER'!AD786</f>
        <v>0</v>
      </c>
      <c r="H1160" s="112">
        <f>'OPEN FOREIGN ORDER'!AE786</f>
        <v>0</v>
      </c>
      <c r="I1160" s="112">
        <f>'OPEN FOREIGN ORDER'!AF786</f>
        <v>0</v>
      </c>
      <c r="J1160" s="112">
        <f>'OPEN FOREIGN ORDER'!AG786</f>
        <v>0</v>
      </c>
    </row>
    <row r="1161" spans="1:10">
      <c r="A1161">
        <f>'OPEN FOREIGN ORDER'!D787</f>
        <v>0</v>
      </c>
      <c r="B1161">
        <f>'OPEN FOREIGN ORDER'!F787</f>
        <v>0</v>
      </c>
      <c r="C1161">
        <f>'OPEN FOREIGN ORDER'!Z787</f>
        <v>0</v>
      </c>
      <c r="D1161" s="123">
        <f>'OPEN FOREIGN ORDER'!AA787</f>
        <v>0</v>
      </c>
      <c r="E1161" s="112">
        <f>'OPEN FOREIGN ORDER'!AB787</f>
        <v>0</v>
      </c>
      <c r="F1161" s="112">
        <f>'OPEN FOREIGN ORDER'!AC787</f>
        <v>0</v>
      </c>
      <c r="G1161" s="112">
        <f>'OPEN FOREIGN ORDER'!AD787</f>
        <v>0</v>
      </c>
      <c r="H1161" s="112">
        <f>'OPEN FOREIGN ORDER'!AE787</f>
        <v>0</v>
      </c>
      <c r="I1161" s="112">
        <f>'OPEN FOREIGN ORDER'!AF787</f>
        <v>0</v>
      </c>
      <c r="J1161" s="112">
        <f>'OPEN FOREIGN ORDER'!AG787</f>
        <v>0</v>
      </c>
    </row>
    <row r="1162" spans="1:10">
      <c r="A1162">
        <f>'OPEN FOREIGN ORDER'!D788</f>
        <v>0</v>
      </c>
      <c r="B1162">
        <f>'OPEN FOREIGN ORDER'!F788</f>
        <v>0</v>
      </c>
      <c r="C1162">
        <f>'OPEN FOREIGN ORDER'!Z788</f>
        <v>0</v>
      </c>
      <c r="D1162" s="123">
        <f>'OPEN FOREIGN ORDER'!AA788</f>
        <v>0</v>
      </c>
      <c r="E1162" s="112">
        <f>'OPEN FOREIGN ORDER'!AB788</f>
        <v>0</v>
      </c>
      <c r="F1162" s="112">
        <f>'OPEN FOREIGN ORDER'!AC788</f>
        <v>0</v>
      </c>
      <c r="G1162" s="112">
        <f>'OPEN FOREIGN ORDER'!AD788</f>
        <v>0</v>
      </c>
      <c r="H1162" s="112">
        <f>'OPEN FOREIGN ORDER'!AE788</f>
        <v>0</v>
      </c>
      <c r="I1162" s="112">
        <f>'OPEN FOREIGN ORDER'!AF788</f>
        <v>0</v>
      </c>
      <c r="J1162" s="112">
        <f>'OPEN FOREIGN ORDER'!AG788</f>
        <v>0</v>
      </c>
    </row>
    <row r="1163" spans="1:10">
      <c r="A1163">
        <f>'OPEN FOREIGN ORDER'!D789</f>
        <v>0</v>
      </c>
      <c r="B1163">
        <f>'OPEN FOREIGN ORDER'!F789</f>
        <v>0</v>
      </c>
      <c r="C1163">
        <f>'OPEN FOREIGN ORDER'!Z789</f>
        <v>0</v>
      </c>
      <c r="D1163" s="123">
        <f>'OPEN FOREIGN ORDER'!AA789</f>
        <v>0</v>
      </c>
      <c r="E1163" s="112">
        <f>'OPEN FOREIGN ORDER'!AB789</f>
        <v>0</v>
      </c>
      <c r="F1163" s="112">
        <f>'OPEN FOREIGN ORDER'!AC789</f>
        <v>0</v>
      </c>
      <c r="G1163" s="112">
        <f>'OPEN FOREIGN ORDER'!AD789</f>
        <v>0</v>
      </c>
      <c r="H1163" s="112">
        <f>'OPEN FOREIGN ORDER'!AE789</f>
        <v>0</v>
      </c>
      <c r="I1163" s="112">
        <f>'OPEN FOREIGN ORDER'!AF789</f>
        <v>0</v>
      </c>
      <c r="J1163" s="112">
        <f>'OPEN FOREIGN ORDER'!AG789</f>
        <v>0</v>
      </c>
    </row>
    <row r="1164" spans="1:10">
      <c r="A1164">
        <f>'OPEN FOREIGN ORDER'!D790</f>
        <v>0</v>
      </c>
      <c r="B1164">
        <f>'OPEN FOREIGN ORDER'!F790</f>
        <v>0</v>
      </c>
      <c r="C1164">
        <f>'OPEN FOREIGN ORDER'!Z790</f>
        <v>0</v>
      </c>
      <c r="D1164" s="123">
        <f>'OPEN FOREIGN ORDER'!AA790</f>
        <v>0</v>
      </c>
      <c r="E1164" s="112">
        <f>'OPEN FOREIGN ORDER'!AB790</f>
        <v>0</v>
      </c>
      <c r="F1164" s="112">
        <f>'OPEN FOREIGN ORDER'!AC790</f>
        <v>0</v>
      </c>
      <c r="G1164" s="112">
        <f>'OPEN FOREIGN ORDER'!AD790</f>
        <v>0</v>
      </c>
      <c r="H1164" s="112">
        <f>'OPEN FOREIGN ORDER'!AE790</f>
        <v>0</v>
      </c>
      <c r="I1164" s="112">
        <f>'OPEN FOREIGN ORDER'!AF790</f>
        <v>0</v>
      </c>
      <c r="J1164" s="112">
        <f>'OPEN FOREIGN ORDER'!AG790</f>
        <v>0</v>
      </c>
    </row>
    <row r="1165" spans="1:10">
      <c r="A1165">
        <f>'OPEN FOREIGN ORDER'!D791</f>
        <v>0</v>
      </c>
      <c r="B1165">
        <f>'OPEN FOREIGN ORDER'!F791</f>
        <v>0</v>
      </c>
      <c r="C1165">
        <f>'OPEN FOREIGN ORDER'!Z791</f>
        <v>0</v>
      </c>
      <c r="D1165" s="123">
        <f>'OPEN FOREIGN ORDER'!AA791</f>
        <v>0</v>
      </c>
      <c r="E1165" s="112">
        <f>'OPEN FOREIGN ORDER'!AB791</f>
        <v>0</v>
      </c>
      <c r="F1165" s="112">
        <f>'OPEN FOREIGN ORDER'!AC791</f>
        <v>0</v>
      </c>
      <c r="G1165" s="112">
        <f>'OPEN FOREIGN ORDER'!AD791</f>
        <v>0</v>
      </c>
      <c r="H1165" s="112">
        <f>'OPEN FOREIGN ORDER'!AE791</f>
        <v>0</v>
      </c>
      <c r="I1165" s="112">
        <f>'OPEN FOREIGN ORDER'!AF791</f>
        <v>0</v>
      </c>
      <c r="J1165" s="112">
        <f>'OPEN FOREIGN ORDER'!AG791</f>
        <v>0</v>
      </c>
    </row>
    <row r="1166" spans="1:10">
      <c r="A1166">
        <f>'OPEN FOREIGN ORDER'!D792</f>
        <v>0</v>
      </c>
      <c r="B1166">
        <f>'OPEN FOREIGN ORDER'!F792</f>
        <v>0</v>
      </c>
      <c r="C1166">
        <f>'OPEN FOREIGN ORDER'!Z792</f>
        <v>0</v>
      </c>
      <c r="D1166" s="123">
        <f>'OPEN FOREIGN ORDER'!AA792</f>
        <v>0</v>
      </c>
      <c r="E1166" s="112">
        <f>'OPEN FOREIGN ORDER'!AB792</f>
        <v>0</v>
      </c>
      <c r="F1166" s="112">
        <f>'OPEN FOREIGN ORDER'!AC792</f>
        <v>0</v>
      </c>
      <c r="G1166" s="112">
        <f>'OPEN FOREIGN ORDER'!AD792</f>
        <v>0</v>
      </c>
      <c r="H1166" s="112">
        <f>'OPEN FOREIGN ORDER'!AE792</f>
        <v>0</v>
      </c>
      <c r="I1166" s="112">
        <f>'OPEN FOREIGN ORDER'!AF792</f>
        <v>0</v>
      </c>
      <c r="J1166" s="112">
        <f>'OPEN FOREIGN ORDER'!AG792</f>
        <v>0</v>
      </c>
    </row>
    <row r="1167" spans="1:10">
      <c r="A1167">
        <f>'OPEN FOREIGN ORDER'!D793</f>
        <v>0</v>
      </c>
      <c r="B1167">
        <f>'OPEN FOREIGN ORDER'!F793</f>
        <v>0</v>
      </c>
      <c r="C1167">
        <f>'OPEN FOREIGN ORDER'!Z793</f>
        <v>0</v>
      </c>
      <c r="D1167" s="123">
        <f>'OPEN FOREIGN ORDER'!AA793</f>
        <v>0</v>
      </c>
      <c r="E1167" s="112">
        <f>'OPEN FOREIGN ORDER'!AB793</f>
        <v>0</v>
      </c>
      <c r="F1167" s="112">
        <f>'OPEN FOREIGN ORDER'!AC793</f>
        <v>0</v>
      </c>
      <c r="G1167" s="112">
        <f>'OPEN FOREIGN ORDER'!AD793</f>
        <v>0</v>
      </c>
      <c r="H1167" s="112">
        <f>'OPEN FOREIGN ORDER'!AE793</f>
        <v>0</v>
      </c>
      <c r="I1167" s="112">
        <f>'OPEN FOREIGN ORDER'!AF793</f>
        <v>0</v>
      </c>
      <c r="J1167" s="112">
        <f>'OPEN FOREIGN ORDER'!AG793</f>
        <v>0</v>
      </c>
    </row>
    <row r="1168" spans="1:10">
      <c r="A1168">
        <f>'OPEN FOREIGN ORDER'!D794</f>
        <v>0</v>
      </c>
      <c r="B1168">
        <f>'OPEN FOREIGN ORDER'!F794</f>
        <v>0</v>
      </c>
      <c r="C1168">
        <f>'OPEN FOREIGN ORDER'!Z794</f>
        <v>0</v>
      </c>
      <c r="D1168" s="123">
        <f>'OPEN FOREIGN ORDER'!AA794</f>
        <v>0</v>
      </c>
      <c r="E1168" s="112">
        <f>'OPEN FOREIGN ORDER'!AB794</f>
        <v>0</v>
      </c>
      <c r="F1168" s="112">
        <f>'OPEN FOREIGN ORDER'!AC794</f>
        <v>0</v>
      </c>
      <c r="G1168" s="112">
        <f>'OPEN FOREIGN ORDER'!AD794</f>
        <v>0</v>
      </c>
      <c r="H1168" s="112">
        <f>'OPEN FOREIGN ORDER'!AE794</f>
        <v>0</v>
      </c>
      <c r="I1168" s="112">
        <f>'OPEN FOREIGN ORDER'!AF794</f>
        <v>0</v>
      </c>
      <c r="J1168" s="112">
        <f>'OPEN FOREIGN ORDER'!AG794</f>
        <v>0</v>
      </c>
    </row>
    <row r="1169" spans="1:10">
      <c r="A1169">
        <f>'OPEN FOREIGN ORDER'!D795</f>
        <v>0</v>
      </c>
      <c r="B1169">
        <f>'OPEN FOREIGN ORDER'!F795</f>
        <v>0</v>
      </c>
      <c r="C1169">
        <f>'OPEN FOREIGN ORDER'!Z795</f>
        <v>0</v>
      </c>
      <c r="D1169" s="123">
        <f>'OPEN FOREIGN ORDER'!AA795</f>
        <v>0</v>
      </c>
      <c r="E1169" s="112">
        <f>'OPEN FOREIGN ORDER'!AB795</f>
        <v>0</v>
      </c>
      <c r="F1169" s="112">
        <f>'OPEN FOREIGN ORDER'!AC795</f>
        <v>0</v>
      </c>
      <c r="G1169" s="112">
        <f>'OPEN FOREIGN ORDER'!AD795</f>
        <v>0</v>
      </c>
      <c r="H1169" s="112">
        <f>'OPEN FOREIGN ORDER'!AE795</f>
        <v>0</v>
      </c>
      <c r="I1169" s="112">
        <f>'OPEN FOREIGN ORDER'!AF795</f>
        <v>0</v>
      </c>
      <c r="J1169" s="112">
        <f>'OPEN FOREIGN ORDER'!AG795</f>
        <v>0</v>
      </c>
    </row>
    <row r="1170" spans="1:10">
      <c r="A1170">
        <f>'OPEN FOREIGN ORDER'!D796</f>
        <v>0</v>
      </c>
      <c r="B1170">
        <f>'OPEN FOREIGN ORDER'!F796</f>
        <v>0</v>
      </c>
      <c r="C1170">
        <f>'OPEN FOREIGN ORDER'!Z796</f>
        <v>0</v>
      </c>
      <c r="D1170" s="123">
        <f>'OPEN FOREIGN ORDER'!AA796</f>
        <v>0</v>
      </c>
      <c r="E1170" s="112">
        <f>'OPEN FOREIGN ORDER'!AB796</f>
        <v>0</v>
      </c>
      <c r="F1170" s="112">
        <f>'OPEN FOREIGN ORDER'!AC796</f>
        <v>0</v>
      </c>
      <c r="G1170" s="112">
        <f>'OPEN FOREIGN ORDER'!AD796</f>
        <v>0</v>
      </c>
      <c r="H1170" s="112">
        <f>'OPEN FOREIGN ORDER'!AE796</f>
        <v>0</v>
      </c>
      <c r="I1170" s="112">
        <f>'OPEN FOREIGN ORDER'!AF796</f>
        <v>0</v>
      </c>
      <c r="J1170" s="112">
        <f>'OPEN FOREIGN ORDER'!AG796</f>
        <v>0</v>
      </c>
    </row>
    <row r="1171" spans="1:10">
      <c r="A1171">
        <f>'OPEN FOREIGN ORDER'!D797</f>
        <v>0</v>
      </c>
      <c r="B1171">
        <f>'OPEN FOREIGN ORDER'!F797</f>
        <v>0</v>
      </c>
      <c r="C1171">
        <f>'OPEN FOREIGN ORDER'!Z797</f>
        <v>0</v>
      </c>
      <c r="D1171" s="123">
        <f>'OPEN FOREIGN ORDER'!AA797</f>
        <v>0</v>
      </c>
      <c r="E1171" s="112">
        <f>'OPEN FOREIGN ORDER'!AB797</f>
        <v>0</v>
      </c>
      <c r="F1171" s="112">
        <f>'OPEN FOREIGN ORDER'!AC797</f>
        <v>0</v>
      </c>
      <c r="G1171" s="112">
        <f>'OPEN FOREIGN ORDER'!AD797</f>
        <v>0</v>
      </c>
      <c r="H1171" s="112">
        <f>'OPEN FOREIGN ORDER'!AE797</f>
        <v>0</v>
      </c>
      <c r="I1171" s="112">
        <f>'OPEN FOREIGN ORDER'!AF797</f>
        <v>0</v>
      </c>
      <c r="J1171" s="112">
        <f>'OPEN FOREIGN ORDER'!AG797</f>
        <v>0</v>
      </c>
    </row>
    <row r="1172" spans="1:10">
      <c r="A1172">
        <f>'OPEN FOREIGN ORDER'!D798</f>
        <v>0</v>
      </c>
      <c r="B1172">
        <f>'OPEN FOREIGN ORDER'!F798</f>
        <v>0</v>
      </c>
      <c r="C1172">
        <f>'OPEN FOREIGN ORDER'!Z798</f>
        <v>0</v>
      </c>
      <c r="D1172" s="123">
        <f>'OPEN FOREIGN ORDER'!AA798</f>
        <v>0</v>
      </c>
      <c r="E1172" s="112">
        <f>'OPEN FOREIGN ORDER'!AB798</f>
        <v>0</v>
      </c>
      <c r="F1172" s="112">
        <f>'OPEN FOREIGN ORDER'!AC798</f>
        <v>0</v>
      </c>
      <c r="G1172" s="112">
        <f>'OPEN FOREIGN ORDER'!AD798</f>
        <v>0</v>
      </c>
      <c r="H1172" s="112">
        <f>'OPEN FOREIGN ORDER'!AE798</f>
        <v>0</v>
      </c>
      <c r="I1172" s="112">
        <f>'OPEN FOREIGN ORDER'!AF798</f>
        <v>0</v>
      </c>
      <c r="J1172" s="112">
        <f>'OPEN FOREIGN ORDER'!AG798</f>
        <v>0</v>
      </c>
    </row>
    <row r="1173" spans="1:10">
      <c r="A1173">
        <f>'OPEN FOREIGN ORDER'!D799</f>
        <v>0</v>
      </c>
      <c r="B1173">
        <f>'OPEN FOREIGN ORDER'!F799</f>
        <v>0</v>
      </c>
      <c r="C1173">
        <f>'OPEN FOREIGN ORDER'!Z799</f>
        <v>0</v>
      </c>
      <c r="D1173" s="123">
        <f>'OPEN FOREIGN ORDER'!AA799</f>
        <v>0</v>
      </c>
      <c r="E1173" s="112">
        <f>'OPEN FOREIGN ORDER'!AB799</f>
        <v>0</v>
      </c>
      <c r="F1173" s="112">
        <f>'OPEN FOREIGN ORDER'!AC799</f>
        <v>0</v>
      </c>
      <c r="G1173" s="112">
        <f>'OPEN FOREIGN ORDER'!AD799</f>
        <v>0</v>
      </c>
      <c r="H1173" s="112">
        <f>'OPEN FOREIGN ORDER'!AE799</f>
        <v>0</v>
      </c>
      <c r="I1173" s="112">
        <f>'OPEN FOREIGN ORDER'!AF799</f>
        <v>0</v>
      </c>
      <c r="J1173" s="112">
        <f>'OPEN FOREIGN ORDER'!AG799</f>
        <v>0</v>
      </c>
    </row>
    <row r="1174" spans="1:10">
      <c r="A1174">
        <f>'OPEN FOREIGN ORDER'!D800</f>
        <v>0</v>
      </c>
      <c r="B1174">
        <f>'OPEN FOREIGN ORDER'!F800</f>
        <v>0</v>
      </c>
      <c r="C1174">
        <f>'OPEN FOREIGN ORDER'!Z800</f>
        <v>0</v>
      </c>
      <c r="D1174" s="123">
        <f>'OPEN FOREIGN ORDER'!AA800</f>
        <v>0</v>
      </c>
      <c r="E1174" s="112">
        <f>'OPEN FOREIGN ORDER'!AB800</f>
        <v>0</v>
      </c>
      <c r="F1174" s="112">
        <f>'OPEN FOREIGN ORDER'!AC800</f>
        <v>0</v>
      </c>
      <c r="G1174" s="112">
        <f>'OPEN FOREIGN ORDER'!AD800</f>
        <v>0</v>
      </c>
      <c r="H1174" s="112">
        <f>'OPEN FOREIGN ORDER'!AE800</f>
        <v>0</v>
      </c>
      <c r="I1174" s="112">
        <f>'OPEN FOREIGN ORDER'!AF800</f>
        <v>0</v>
      </c>
      <c r="J1174" s="112">
        <f>'OPEN FOREIGN ORDER'!AG800</f>
        <v>0</v>
      </c>
    </row>
    <row r="1175" spans="1:10">
      <c r="A1175">
        <f>'OPEN FOREIGN ORDER'!D801</f>
        <v>0</v>
      </c>
      <c r="B1175">
        <f>'OPEN FOREIGN ORDER'!F801</f>
        <v>0</v>
      </c>
      <c r="C1175">
        <f>'OPEN FOREIGN ORDER'!Z801</f>
        <v>0</v>
      </c>
      <c r="D1175" s="123">
        <f>'OPEN FOREIGN ORDER'!AA801</f>
        <v>0</v>
      </c>
      <c r="E1175" s="112">
        <f>'OPEN FOREIGN ORDER'!AB801</f>
        <v>0</v>
      </c>
      <c r="F1175" s="112">
        <f>'OPEN FOREIGN ORDER'!AC801</f>
        <v>0</v>
      </c>
      <c r="G1175" s="112">
        <f>'OPEN FOREIGN ORDER'!AD801</f>
        <v>0</v>
      </c>
      <c r="H1175" s="112">
        <f>'OPEN FOREIGN ORDER'!AE801</f>
        <v>0</v>
      </c>
      <c r="I1175" s="112">
        <f>'OPEN FOREIGN ORDER'!AF801</f>
        <v>0</v>
      </c>
      <c r="J1175" s="112">
        <f>'OPEN FOREIGN ORDER'!AG801</f>
        <v>0</v>
      </c>
    </row>
    <row r="1176" spans="1:10">
      <c r="A1176">
        <f>'OPEN FOREIGN ORDER'!D802</f>
        <v>0</v>
      </c>
      <c r="B1176">
        <f>'OPEN FOREIGN ORDER'!F802</f>
        <v>0</v>
      </c>
      <c r="C1176">
        <f>'OPEN FOREIGN ORDER'!Z802</f>
        <v>0</v>
      </c>
      <c r="D1176" s="123">
        <f>'OPEN FOREIGN ORDER'!AA802</f>
        <v>0</v>
      </c>
      <c r="E1176" s="112">
        <f>'OPEN FOREIGN ORDER'!AB802</f>
        <v>0</v>
      </c>
      <c r="F1176" s="112">
        <f>'OPEN FOREIGN ORDER'!AC802</f>
        <v>0</v>
      </c>
      <c r="G1176" s="112">
        <f>'OPEN FOREIGN ORDER'!AD802</f>
        <v>0</v>
      </c>
      <c r="H1176" s="112">
        <f>'OPEN FOREIGN ORDER'!AE802</f>
        <v>0</v>
      </c>
      <c r="I1176" s="112">
        <f>'OPEN FOREIGN ORDER'!AF802</f>
        <v>0</v>
      </c>
      <c r="J1176" s="112">
        <f>'OPEN FOREIGN ORDER'!AG802</f>
        <v>0</v>
      </c>
    </row>
    <row r="1177" spans="1:10">
      <c r="A1177">
        <f>'OPEN FOREIGN ORDER'!D803</f>
        <v>0</v>
      </c>
      <c r="B1177">
        <f>'OPEN FOREIGN ORDER'!F803</f>
        <v>0</v>
      </c>
      <c r="C1177">
        <f>'OPEN FOREIGN ORDER'!Z803</f>
        <v>0</v>
      </c>
      <c r="D1177" s="123">
        <f>'OPEN FOREIGN ORDER'!AA803</f>
        <v>0</v>
      </c>
      <c r="E1177" s="112">
        <f>'OPEN FOREIGN ORDER'!AB803</f>
        <v>0</v>
      </c>
      <c r="F1177" s="112">
        <f>'OPEN FOREIGN ORDER'!AC803</f>
        <v>0</v>
      </c>
      <c r="G1177" s="112">
        <f>'OPEN FOREIGN ORDER'!AD803</f>
        <v>0</v>
      </c>
      <c r="H1177" s="112">
        <f>'OPEN FOREIGN ORDER'!AE803</f>
        <v>0</v>
      </c>
      <c r="I1177" s="112">
        <f>'OPEN FOREIGN ORDER'!AF803</f>
        <v>0</v>
      </c>
      <c r="J1177" s="112">
        <f>'OPEN FOREIGN ORDER'!AG803</f>
        <v>0</v>
      </c>
    </row>
    <row r="1178" spans="1:10">
      <c r="A1178">
        <f>'OPEN FOREIGN ORDER'!D804</f>
        <v>0</v>
      </c>
      <c r="B1178">
        <f>'OPEN FOREIGN ORDER'!F804</f>
        <v>0</v>
      </c>
      <c r="C1178">
        <f>'OPEN FOREIGN ORDER'!Z804</f>
        <v>0</v>
      </c>
      <c r="D1178" s="123">
        <f>'OPEN FOREIGN ORDER'!AA804</f>
        <v>0</v>
      </c>
      <c r="E1178" s="112">
        <f>'OPEN FOREIGN ORDER'!AB804</f>
        <v>0</v>
      </c>
      <c r="F1178" s="112">
        <f>'OPEN FOREIGN ORDER'!AC804</f>
        <v>0</v>
      </c>
      <c r="G1178" s="112">
        <f>'OPEN FOREIGN ORDER'!AD804</f>
        <v>0</v>
      </c>
      <c r="H1178" s="112">
        <f>'OPEN FOREIGN ORDER'!AE804</f>
        <v>0</v>
      </c>
      <c r="I1178" s="112">
        <f>'OPEN FOREIGN ORDER'!AF804</f>
        <v>0</v>
      </c>
      <c r="J1178" s="112">
        <f>'OPEN FOREIGN ORDER'!AG804</f>
        <v>0</v>
      </c>
    </row>
    <row r="1179" spans="1:10">
      <c r="A1179">
        <f>'OPEN FOREIGN ORDER'!D805</f>
        <v>0</v>
      </c>
      <c r="B1179">
        <f>'OPEN FOREIGN ORDER'!F805</f>
        <v>0</v>
      </c>
      <c r="C1179">
        <f>'OPEN FOREIGN ORDER'!Z805</f>
        <v>0</v>
      </c>
      <c r="D1179" s="123">
        <f>'OPEN FOREIGN ORDER'!AA805</f>
        <v>0</v>
      </c>
      <c r="E1179" s="112">
        <f>'OPEN FOREIGN ORDER'!AB805</f>
        <v>0</v>
      </c>
      <c r="F1179" s="112">
        <f>'OPEN FOREIGN ORDER'!AC805</f>
        <v>0</v>
      </c>
      <c r="G1179" s="112">
        <f>'OPEN FOREIGN ORDER'!AD805</f>
        <v>0</v>
      </c>
      <c r="H1179" s="112">
        <f>'OPEN FOREIGN ORDER'!AE805</f>
        <v>0</v>
      </c>
      <c r="I1179" s="112">
        <f>'OPEN FOREIGN ORDER'!AF805</f>
        <v>0</v>
      </c>
      <c r="J1179" s="112">
        <f>'OPEN FOREIGN ORDER'!AG805</f>
        <v>0</v>
      </c>
    </row>
    <row r="1180" spans="1:10">
      <c r="A1180">
        <f>'OPEN FOREIGN ORDER'!D806</f>
        <v>0</v>
      </c>
      <c r="B1180">
        <f>'OPEN FOREIGN ORDER'!F806</f>
        <v>0</v>
      </c>
      <c r="C1180">
        <f>'OPEN FOREIGN ORDER'!Z806</f>
        <v>0</v>
      </c>
      <c r="D1180" s="123">
        <f>'OPEN FOREIGN ORDER'!AA806</f>
        <v>0</v>
      </c>
      <c r="E1180" s="112">
        <f>'OPEN FOREIGN ORDER'!AB806</f>
        <v>0</v>
      </c>
      <c r="F1180" s="112">
        <f>'OPEN FOREIGN ORDER'!AC806</f>
        <v>0</v>
      </c>
      <c r="G1180" s="112">
        <f>'OPEN FOREIGN ORDER'!AD806</f>
        <v>0</v>
      </c>
      <c r="H1180" s="112">
        <f>'OPEN FOREIGN ORDER'!AE806</f>
        <v>0</v>
      </c>
      <c r="I1180" s="112">
        <f>'OPEN FOREIGN ORDER'!AF806</f>
        <v>0</v>
      </c>
      <c r="J1180" s="112">
        <f>'OPEN FOREIGN ORDER'!AG806</f>
        <v>0</v>
      </c>
    </row>
    <row r="1181" spans="1:10">
      <c r="A1181">
        <f>'OPEN FOREIGN ORDER'!D807</f>
        <v>0</v>
      </c>
      <c r="B1181">
        <f>'OPEN FOREIGN ORDER'!F807</f>
        <v>0</v>
      </c>
      <c r="C1181">
        <f>'OPEN FOREIGN ORDER'!Z807</f>
        <v>0</v>
      </c>
      <c r="D1181" s="123">
        <f>'OPEN FOREIGN ORDER'!AA807</f>
        <v>0</v>
      </c>
      <c r="E1181" s="112">
        <f>'OPEN FOREIGN ORDER'!AB807</f>
        <v>0</v>
      </c>
      <c r="F1181" s="112">
        <f>'OPEN FOREIGN ORDER'!AC807</f>
        <v>0</v>
      </c>
      <c r="G1181" s="112">
        <f>'OPEN FOREIGN ORDER'!AD807</f>
        <v>0</v>
      </c>
      <c r="H1181" s="112">
        <f>'OPEN FOREIGN ORDER'!AE807</f>
        <v>0</v>
      </c>
      <c r="I1181" s="112">
        <f>'OPEN FOREIGN ORDER'!AF807</f>
        <v>0</v>
      </c>
      <c r="J1181" s="112">
        <f>'OPEN FOREIGN ORDER'!AG807</f>
        <v>0</v>
      </c>
    </row>
    <row r="1182" spans="1:10">
      <c r="A1182">
        <f>'OPEN FOREIGN ORDER'!D808</f>
        <v>0</v>
      </c>
      <c r="B1182">
        <f>'OPEN FOREIGN ORDER'!F808</f>
        <v>0</v>
      </c>
      <c r="C1182">
        <f>'OPEN FOREIGN ORDER'!Z808</f>
        <v>0</v>
      </c>
      <c r="D1182" s="123">
        <f>'OPEN FOREIGN ORDER'!AA808</f>
        <v>0</v>
      </c>
      <c r="E1182" s="112">
        <f>'OPEN FOREIGN ORDER'!AB808</f>
        <v>0</v>
      </c>
      <c r="F1182" s="112">
        <f>'OPEN FOREIGN ORDER'!AC808</f>
        <v>0</v>
      </c>
      <c r="G1182" s="112">
        <f>'OPEN FOREIGN ORDER'!AD808</f>
        <v>0</v>
      </c>
      <c r="H1182" s="112">
        <f>'OPEN FOREIGN ORDER'!AE808</f>
        <v>0</v>
      </c>
      <c r="I1182" s="112">
        <f>'OPEN FOREIGN ORDER'!AF808</f>
        <v>0</v>
      </c>
      <c r="J1182" s="112">
        <f>'OPEN FOREIGN ORDER'!AG808</f>
        <v>0</v>
      </c>
    </row>
    <row r="1183" spans="1:10">
      <c r="A1183">
        <f>'OPEN FOREIGN ORDER'!D809</f>
        <v>0</v>
      </c>
      <c r="B1183">
        <f>'OPEN FOREIGN ORDER'!F809</f>
        <v>0</v>
      </c>
      <c r="C1183">
        <f>'OPEN FOREIGN ORDER'!Z809</f>
        <v>0</v>
      </c>
      <c r="D1183" s="123">
        <f>'OPEN FOREIGN ORDER'!AA809</f>
        <v>0</v>
      </c>
      <c r="E1183" s="112">
        <f>'OPEN FOREIGN ORDER'!AB809</f>
        <v>0</v>
      </c>
      <c r="F1183" s="112">
        <f>'OPEN FOREIGN ORDER'!AC809</f>
        <v>0</v>
      </c>
      <c r="G1183" s="112">
        <f>'OPEN FOREIGN ORDER'!AD809</f>
        <v>0</v>
      </c>
      <c r="H1183" s="112">
        <f>'OPEN FOREIGN ORDER'!AE809</f>
        <v>0</v>
      </c>
      <c r="I1183" s="112">
        <f>'OPEN FOREIGN ORDER'!AF809</f>
        <v>0</v>
      </c>
      <c r="J1183" s="112">
        <f>'OPEN FOREIGN ORDER'!AG809</f>
        <v>0</v>
      </c>
    </row>
    <row r="1184" spans="1:10">
      <c r="A1184">
        <f>'OPEN FOREIGN ORDER'!D810</f>
        <v>0</v>
      </c>
      <c r="B1184">
        <f>'OPEN FOREIGN ORDER'!F810</f>
        <v>0</v>
      </c>
      <c r="C1184">
        <f>'OPEN FOREIGN ORDER'!Z810</f>
        <v>0</v>
      </c>
      <c r="D1184" s="123">
        <f>'OPEN FOREIGN ORDER'!AA810</f>
        <v>0</v>
      </c>
      <c r="E1184" s="112">
        <f>'OPEN FOREIGN ORDER'!AB810</f>
        <v>0</v>
      </c>
      <c r="F1184" s="112">
        <f>'OPEN FOREIGN ORDER'!AC810</f>
        <v>0</v>
      </c>
      <c r="G1184" s="112">
        <f>'OPEN FOREIGN ORDER'!AD810</f>
        <v>0</v>
      </c>
      <c r="H1184" s="112">
        <f>'OPEN FOREIGN ORDER'!AE810</f>
        <v>0</v>
      </c>
      <c r="I1184" s="112">
        <f>'OPEN FOREIGN ORDER'!AF810</f>
        <v>0</v>
      </c>
      <c r="J1184" s="112">
        <f>'OPEN FOREIGN ORDER'!AG810</f>
        <v>0</v>
      </c>
    </row>
    <row r="1185" spans="1:10">
      <c r="A1185">
        <f>'OPEN FOREIGN ORDER'!D811</f>
        <v>0</v>
      </c>
      <c r="B1185">
        <f>'OPEN FOREIGN ORDER'!F811</f>
        <v>0</v>
      </c>
      <c r="C1185">
        <f>'OPEN FOREIGN ORDER'!Z811</f>
        <v>0</v>
      </c>
      <c r="D1185" s="123">
        <f>'OPEN FOREIGN ORDER'!AA811</f>
        <v>0</v>
      </c>
      <c r="E1185" s="112">
        <f>'OPEN FOREIGN ORDER'!AB811</f>
        <v>0</v>
      </c>
      <c r="F1185" s="112">
        <f>'OPEN FOREIGN ORDER'!AC811</f>
        <v>0</v>
      </c>
      <c r="G1185" s="112">
        <f>'OPEN FOREIGN ORDER'!AD811</f>
        <v>0</v>
      </c>
      <c r="H1185" s="112">
        <f>'OPEN FOREIGN ORDER'!AE811</f>
        <v>0</v>
      </c>
      <c r="I1185" s="112">
        <f>'OPEN FOREIGN ORDER'!AF811</f>
        <v>0</v>
      </c>
      <c r="J1185" s="112">
        <f>'OPEN FOREIGN ORDER'!AG811</f>
        <v>0</v>
      </c>
    </row>
    <row r="1186" spans="1:10">
      <c r="A1186">
        <f>'OPEN FOREIGN ORDER'!D812</f>
        <v>0</v>
      </c>
      <c r="B1186">
        <f>'OPEN FOREIGN ORDER'!F812</f>
        <v>0</v>
      </c>
      <c r="C1186">
        <f>'OPEN FOREIGN ORDER'!Z812</f>
        <v>0</v>
      </c>
      <c r="D1186" s="123">
        <f>'OPEN FOREIGN ORDER'!AA812</f>
        <v>0</v>
      </c>
      <c r="E1186" s="112">
        <f>'OPEN FOREIGN ORDER'!AB812</f>
        <v>0</v>
      </c>
      <c r="F1186" s="112">
        <f>'OPEN FOREIGN ORDER'!AC812</f>
        <v>0</v>
      </c>
      <c r="G1186" s="112">
        <f>'OPEN FOREIGN ORDER'!AD812</f>
        <v>0</v>
      </c>
      <c r="H1186" s="112">
        <f>'OPEN FOREIGN ORDER'!AE812</f>
        <v>0</v>
      </c>
      <c r="I1186" s="112">
        <f>'OPEN FOREIGN ORDER'!AF812</f>
        <v>0</v>
      </c>
      <c r="J1186" s="112">
        <f>'OPEN FOREIGN ORDER'!AG812</f>
        <v>0</v>
      </c>
    </row>
    <row r="1187" spans="1:10">
      <c r="A1187">
        <f>'OPEN FOREIGN ORDER'!D813</f>
        <v>0</v>
      </c>
      <c r="B1187">
        <f>'OPEN FOREIGN ORDER'!F813</f>
        <v>0</v>
      </c>
      <c r="C1187">
        <f>'OPEN FOREIGN ORDER'!Z813</f>
        <v>0</v>
      </c>
      <c r="D1187" s="123">
        <f>'OPEN FOREIGN ORDER'!AA813</f>
        <v>0</v>
      </c>
      <c r="E1187" s="112">
        <f>'OPEN FOREIGN ORDER'!AB813</f>
        <v>0</v>
      </c>
      <c r="F1187" s="112">
        <f>'OPEN FOREIGN ORDER'!AC813</f>
        <v>0</v>
      </c>
      <c r="G1187" s="112">
        <f>'OPEN FOREIGN ORDER'!AD813</f>
        <v>0</v>
      </c>
      <c r="H1187" s="112">
        <f>'OPEN FOREIGN ORDER'!AE813</f>
        <v>0</v>
      </c>
      <c r="I1187" s="112">
        <f>'OPEN FOREIGN ORDER'!AF813</f>
        <v>0</v>
      </c>
      <c r="J1187" s="112">
        <f>'OPEN FOREIGN ORDER'!AG813</f>
        <v>0</v>
      </c>
    </row>
    <row r="1188" spans="1:10">
      <c r="A1188">
        <f>'OPEN FOREIGN ORDER'!D814</f>
        <v>0</v>
      </c>
      <c r="B1188">
        <f>'OPEN FOREIGN ORDER'!F814</f>
        <v>0</v>
      </c>
      <c r="C1188">
        <f>'OPEN FOREIGN ORDER'!Z814</f>
        <v>0</v>
      </c>
      <c r="D1188" s="123">
        <f>'OPEN FOREIGN ORDER'!AA814</f>
        <v>0</v>
      </c>
      <c r="E1188" s="112">
        <f>'OPEN FOREIGN ORDER'!AB814</f>
        <v>0</v>
      </c>
      <c r="F1188" s="112">
        <f>'OPEN FOREIGN ORDER'!AC814</f>
        <v>0</v>
      </c>
      <c r="G1188" s="112">
        <f>'OPEN FOREIGN ORDER'!AD814</f>
        <v>0</v>
      </c>
      <c r="H1188" s="112">
        <f>'OPEN FOREIGN ORDER'!AE814</f>
        <v>0</v>
      </c>
      <c r="I1188" s="112">
        <f>'OPEN FOREIGN ORDER'!AF814</f>
        <v>0</v>
      </c>
      <c r="J1188" s="112">
        <f>'OPEN FOREIGN ORDER'!AG814</f>
        <v>0</v>
      </c>
    </row>
    <row r="1189" spans="1:10">
      <c r="A1189">
        <f>'OPEN FOREIGN ORDER'!D815</f>
        <v>0</v>
      </c>
      <c r="B1189">
        <f>'OPEN FOREIGN ORDER'!F815</f>
        <v>0</v>
      </c>
      <c r="C1189">
        <f>'OPEN FOREIGN ORDER'!Z815</f>
        <v>0</v>
      </c>
      <c r="D1189" s="123">
        <f>'OPEN FOREIGN ORDER'!AA815</f>
        <v>0</v>
      </c>
      <c r="E1189" s="112">
        <f>'OPEN FOREIGN ORDER'!AB815</f>
        <v>0</v>
      </c>
      <c r="F1189" s="112">
        <f>'OPEN FOREIGN ORDER'!AC815</f>
        <v>0</v>
      </c>
      <c r="G1189" s="112">
        <f>'OPEN FOREIGN ORDER'!AD815</f>
        <v>0</v>
      </c>
      <c r="H1189" s="112">
        <f>'OPEN FOREIGN ORDER'!AE815</f>
        <v>0</v>
      </c>
      <c r="I1189" s="112">
        <f>'OPEN FOREIGN ORDER'!AF815</f>
        <v>0</v>
      </c>
      <c r="J1189" s="112">
        <f>'OPEN FOREIGN ORDER'!AG815</f>
        <v>0</v>
      </c>
    </row>
    <row r="1190" spans="1:10">
      <c r="A1190">
        <f>'OPEN FOREIGN ORDER'!D816</f>
        <v>0</v>
      </c>
      <c r="B1190">
        <f>'OPEN FOREIGN ORDER'!F816</f>
        <v>0</v>
      </c>
      <c r="C1190">
        <f>'OPEN FOREIGN ORDER'!Z816</f>
        <v>0</v>
      </c>
      <c r="D1190" s="123">
        <f>'OPEN FOREIGN ORDER'!AA816</f>
        <v>0</v>
      </c>
      <c r="E1190" s="112">
        <f>'OPEN FOREIGN ORDER'!AB816</f>
        <v>0</v>
      </c>
      <c r="F1190" s="112">
        <f>'OPEN FOREIGN ORDER'!AC816</f>
        <v>0</v>
      </c>
      <c r="G1190" s="112">
        <f>'OPEN FOREIGN ORDER'!AD816</f>
        <v>0</v>
      </c>
      <c r="H1190" s="112">
        <f>'OPEN FOREIGN ORDER'!AE816</f>
        <v>0</v>
      </c>
      <c r="I1190" s="112">
        <f>'OPEN FOREIGN ORDER'!AF816</f>
        <v>0</v>
      </c>
      <c r="J1190" s="112">
        <f>'OPEN FOREIGN ORDER'!AG816</f>
        <v>0</v>
      </c>
    </row>
    <row r="1191" spans="1:10">
      <c r="A1191">
        <f>'OPEN FOREIGN ORDER'!D817</f>
        <v>0</v>
      </c>
      <c r="B1191">
        <f>'OPEN FOREIGN ORDER'!F817</f>
        <v>0</v>
      </c>
      <c r="C1191">
        <f>'OPEN FOREIGN ORDER'!Z817</f>
        <v>0</v>
      </c>
      <c r="D1191" s="123">
        <f>'OPEN FOREIGN ORDER'!AA817</f>
        <v>0</v>
      </c>
      <c r="E1191" s="112">
        <f>'OPEN FOREIGN ORDER'!AB817</f>
        <v>0</v>
      </c>
      <c r="F1191" s="112">
        <f>'OPEN FOREIGN ORDER'!AC817</f>
        <v>0</v>
      </c>
      <c r="G1191" s="112">
        <f>'OPEN FOREIGN ORDER'!AD817</f>
        <v>0</v>
      </c>
      <c r="H1191" s="112">
        <f>'OPEN FOREIGN ORDER'!AE817</f>
        <v>0</v>
      </c>
      <c r="I1191" s="112">
        <f>'OPEN FOREIGN ORDER'!AF817</f>
        <v>0</v>
      </c>
      <c r="J1191" s="112">
        <f>'OPEN FOREIGN ORDER'!AG817</f>
        <v>0</v>
      </c>
    </row>
    <row r="1192" spans="1:10">
      <c r="A1192">
        <f>'OPEN FOREIGN ORDER'!D818</f>
        <v>0</v>
      </c>
      <c r="B1192">
        <f>'OPEN FOREIGN ORDER'!F818</f>
        <v>0</v>
      </c>
      <c r="C1192">
        <f>'OPEN FOREIGN ORDER'!Z818</f>
        <v>0</v>
      </c>
      <c r="D1192" s="123">
        <f>'OPEN FOREIGN ORDER'!AA818</f>
        <v>0</v>
      </c>
      <c r="E1192" s="112">
        <f>'OPEN FOREIGN ORDER'!AB818</f>
        <v>0</v>
      </c>
      <c r="F1192" s="112">
        <f>'OPEN FOREIGN ORDER'!AC818</f>
        <v>0</v>
      </c>
      <c r="G1192" s="112">
        <f>'OPEN FOREIGN ORDER'!AD818</f>
        <v>0</v>
      </c>
      <c r="H1192" s="112">
        <f>'OPEN FOREIGN ORDER'!AE818</f>
        <v>0</v>
      </c>
      <c r="I1192" s="112">
        <f>'OPEN FOREIGN ORDER'!AF818</f>
        <v>0</v>
      </c>
      <c r="J1192" s="112">
        <f>'OPEN FOREIGN ORDER'!AG818</f>
        <v>0</v>
      </c>
    </row>
    <row r="1193" spans="1:10">
      <c r="A1193">
        <f>'OPEN FOREIGN ORDER'!D819</f>
        <v>0</v>
      </c>
      <c r="B1193">
        <f>'OPEN FOREIGN ORDER'!F819</f>
        <v>0</v>
      </c>
      <c r="C1193">
        <f>'OPEN FOREIGN ORDER'!Z819</f>
        <v>0</v>
      </c>
      <c r="D1193" s="123">
        <f>'OPEN FOREIGN ORDER'!AA819</f>
        <v>0</v>
      </c>
      <c r="E1193" s="112">
        <f>'OPEN FOREIGN ORDER'!AB819</f>
        <v>0</v>
      </c>
      <c r="F1193" s="112">
        <f>'OPEN FOREIGN ORDER'!AC819</f>
        <v>0</v>
      </c>
      <c r="G1193" s="112">
        <f>'OPEN FOREIGN ORDER'!AD819</f>
        <v>0</v>
      </c>
      <c r="H1193" s="112">
        <f>'OPEN FOREIGN ORDER'!AE819</f>
        <v>0</v>
      </c>
      <c r="I1193" s="112">
        <f>'OPEN FOREIGN ORDER'!AF819</f>
        <v>0</v>
      </c>
      <c r="J1193" s="112">
        <f>'OPEN FOREIGN ORDER'!AG819</f>
        <v>0</v>
      </c>
    </row>
    <row r="1194" spans="1:10">
      <c r="A1194">
        <f>'OPEN FOREIGN ORDER'!D820</f>
        <v>0</v>
      </c>
      <c r="B1194">
        <f>'OPEN FOREIGN ORDER'!F820</f>
        <v>0</v>
      </c>
      <c r="C1194">
        <f>'OPEN FOREIGN ORDER'!Z820</f>
        <v>0</v>
      </c>
      <c r="D1194" s="123">
        <f>'OPEN FOREIGN ORDER'!AA820</f>
        <v>0</v>
      </c>
      <c r="E1194" s="112">
        <f>'OPEN FOREIGN ORDER'!AB820</f>
        <v>0</v>
      </c>
      <c r="F1194" s="112">
        <f>'OPEN FOREIGN ORDER'!AC820</f>
        <v>0</v>
      </c>
      <c r="G1194" s="112">
        <f>'OPEN FOREIGN ORDER'!AD820</f>
        <v>0</v>
      </c>
      <c r="H1194" s="112">
        <f>'OPEN FOREIGN ORDER'!AE820</f>
        <v>0</v>
      </c>
      <c r="I1194" s="112">
        <f>'OPEN FOREIGN ORDER'!AF820</f>
        <v>0</v>
      </c>
      <c r="J1194" s="112">
        <f>'OPEN FOREIGN ORDER'!AG820</f>
        <v>0</v>
      </c>
    </row>
    <row r="1195" spans="1:10">
      <c r="A1195">
        <f>'OPEN FOREIGN ORDER'!D821</f>
        <v>0</v>
      </c>
      <c r="B1195">
        <f>'OPEN FOREIGN ORDER'!F821</f>
        <v>0</v>
      </c>
      <c r="C1195">
        <f>'OPEN FOREIGN ORDER'!Z821</f>
        <v>0</v>
      </c>
      <c r="D1195" s="123">
        <f>'OPEN FOREIGN ORDER'!AA821</f>
        <v>0</v>
      </c>
      <c r="E1195" s="112">
        <f>'OPEN FOREIGN ORDER'!AB821</f>
        <v>0</v>
      </c>
      <c r="F1195" s="112">
        <f>'OPEN FOREIGN ORDER'!AC821</f>
        <v>0</v>
      </c>
      <c r="G1195" s="112">
        <f>'OPEN FOREIGN ORDER'!AD821</f>
        <v>0</v>
      </c>
      <c r="H1195" s="112">
        <f>'OPEN FOREIGN ORDER'!AE821</f>
        <v>0</v>
      </c>
      <c r="I1195" s="112">
        <f>'OPEN FOREIGN ORDER'!AF821</f>
        <v>0</v>
      </c>
      <c r="J1195" s="112">
        <f>'OPEN FOREIGN ORDER'!AG821</f>
        <v>0</v>
      </c>
    </row>
    <row r="1196" spans="1:10">
      <c r="A1196">
        <f>'OPEN FOREIGN ORDER'!D822</f>
        <v>0</v>
      </c>
      <c r="B1196">
        <f>'OPEN FOREIGN ORDER'!F822</f>
        <v>0</v>
      </c>
      <c r="C1196">
        <f>'OPEN FOREIGN ORDER'!Z822</f>
        <v>0</v>
      </c>
      <c r="D1196" s="123">
        <f>'OPEN FOREIGN ORDER'!AA822</f>
        <v>0</v>
      </c>
      <c r="E1196" s="112">
        <f>'OPEN FOREIGN ORDER'!AB822</f>
        <v>0</v>
      </c>
      <c r="F1196" s="112">
        <f>'OPEN FOREIGN ORDER'!AC822</f>
        <v>0</v>
      </c>
      <c r="G1196" s="112">
        <f>'OPEN FOREIGN ORDER'!AD822</f>
        <v>0</v>
      </c>
      <c r="H1196" s="112">
        <f>'OPEN FOREIGN ORDER'!AE822</f>
        <v>0</v>
      </c>
      <c r="I1196" s="112">
        <f>'OPEN FOREIGN ORDER'!AF822</f>
        <v>0</v>
      </c>
      <c r="J1196" s="112">
        <f>'OPEN FOREIGN ORDER'!AG822</f>
        <v>0</v>
      </c>
    </row>
    <row r="1197" spans="1:10">
      <c r="A1197">
        <f>'OPEN FOREIGN ORDER'!D823</f>
        <v>0</v>
      </c>
      <c r="B1197">
        <f>'OPEN FOREIGN ORDER'!F823</f>
        <v>0</v>
      </c>
      <c r="C1197">
        <f>'OPEN FOREIGN ORDER'!Z823</f>
        <v>0</v>
      </c>
      <c r="D1197" s="123">
        <f>'OPEN FOREIGN ORDER'!AA823</f>
        <v>0</v>
      </c>
      <c r="E1197" s="112">
        <f>'OPEN FOREIGN ORDER'!AB823</f>
        <v>0</v>
      </c>
      <c r="F1197" s="112">
        <f>'OPEN FOREIGN ORDER'!AC823</f>
        <v>0</v>
      </c>
      <c r="G1197" s="112">
        <f>'OPEN FOREIGN ORDER'!AD823</f>
        <v>0</v>
      </c>
      <c r="H1197" s="112">
        <f>'OPEN FOREIGN ORDER'!AE823</f>
        <v>0</v>
      </c>
      <c r="I1197" s="112">
        <f>'OPEN FOREIGN ORDER'!AF823</f>
        <v>0</v>
      </c>
      <c r="J1197" s="112">
        <f>'OPEN FOREIGN ORDER'!AG823</f>
        <v>0</v>
      </c>
    </row>
    <row r="1198" spans="1:10">
      <c r="A1198">
        <f>'OPEN FOREIGN ORDER'!D824</f>
        <v>0</v>
      </c>
      <c r="B1198">
        <f>'OPEN FOREIGN ORDER'!F824</f>
        <v>0</v>
      </c>
      <c r="C1198">
        <f>'OPEN FOREIGN ORDER'!Z824</f>
        <v>0</v>
      </c>
      <c r="D1198" s="123">
        <f>'OPEN FOREIGN ORDER'!AA824</f>
        <v>0</v>
      </c>
      <c r="E1198" s="112">
        <f>'OPEN FOREIGN ORDER'!AB824</f>
        <v>0</v>
      </c>
      <c r="F1198" s="112">
        <f>'OPEN FOREIGN ORDER'!AC824</f>
        <v>0</v>
      </c>
      <c r="G1198" s="112">
        <f>'OPEN FOREIGN ORDER'!AD824</f>
        <v>0</v>
      </c>
      <c r="H1198" s="112">
        <f>'OPEN FOREIGN ORDER'!AE824</f>
        <v>0</v>
      </c>
      <c r="I1198" s="112">
        <f>'OPEN FOREIGN ORDER'!AF824</f>
        <v>0</v>
      </c>
      <c r="J1198" s="112">
        <f>'OPEN FOREIGN ORDER'!AG824</f>
        <v>0</v>
      </c>
    </row>
    <row r="1199" spans="1:10">
      <c r="A1199">
        <f>'OPEN FOREIGN ORDER'!D825</f>
        <v>0</v>
      </c>
      <c r="B1199">
        <f>'OPEN FOREIGN ORDER'!F825</f>
        <v>0</v>
      </c>
      <c r="C1199">
        <f>'OPEN FOREIGN ORDER'!Z825</f>
        <v>0</v>
      </c>
      <c r="D1199" s="123">
        <f>'OPEN FOREIGN ORDER'!AA825</f>
        <v>0</v>
      </c>
      <c r="E1199" s="112">
        <f>'OPEN FOREIGN ORDER'!AB825</f>
        <v>0</v>
      </c>
      <c r="F1199" s="112">
        <f>'OPEN FOREIGN ORDER'!AC825</f>
        <v>0</v>
      </c>
      <c r="G1199" s="112">
        <f>'OPEN FOREIGN ORDER'!AD825</f>
        <v>0</v>
      </c>
      <c r="H1199" s="112">
        <f>'OPEN FOREIGN ORDER'!AE825</f>
        <v>0</v>
      </c>
      <c r="I1199" s="112">
        <f>'OPEN FOREIGN ORDER'!AF825</f>
        <v>0</v>
      </c>
      <c r="J1199" s="112">
        <f>'OPEN FOREIGN ORDER'!AG825</f>
        <v>0</v>
      </c>
    </row>
    <row r="1200" spans="1:10">
      <c r="A1200">
        <f>'OPEN FOREIGN ORDER'!D826</f>
        <v>0</v>
      </c>
      <c r="B1200">
        <f>'OPEN FOREIGN ORDER'!F826</f>
        <v>0</v>
      </c>
      <c r="C1200">
        <f>'OPEN FOREIGN ORDER'!Z826</f>
        <v>0</v>
      </c>
      <c r="D1200" s="123">
        <f>'OPEN FOREIGN ORDER'!AA826</f>
        <v>0</v>
      </c>
      <c r="E1200" s="112">
        <f>'OPEN FOREIGN ORDER'!AB826</f>
        <v>0</v>
      </c>
      <c r="F1200" s="112">
        <f>'OPEN FOREIGN ORDER'!AC826</f>
        <v>0</v>
      </c>
      <c r="G1200" s="112">
        <f>'OPEN FOREIGN ORDER'!AD826</f>
        <v>0</v>
      </c>
      <c r="H1200" s="112">
        <f>'OPEN FOREIGN ORDER'!AE826</f>
        <v>0</v>
      </c>
      <c r="I1200" s="112">
        <f>'OPEN FOREIGN ORDER'!AF826</f>
        <v>0</v>
      </c>
      <c r="J1200" s="112">
        <f>'OPEN FOREIGN ORDER'!AG826</f>
        <v>0</v>
      </c>
    </row>
    <row r="1201" spans="1:10">
      <c r="A1201">
        <f>'OPEN FOREIGN ORDER'!D827</f>
        <v>0</v>
      </c>
      <c r="B1201">
        <f>'OPEN FOREIGN ORDER'!F827</f>
        <v>0</v>
      </c>
      <c r="C1201">
        <f>'OPEN FOREIGN ORDER'!Z827</f>
        <v>0</v>
      </c>
      <c r="D1201" s="123">
        <f>'OPEN FOREIGN ORDER'!AA827</f>
        <v>0</v>
      </c>
      <c r="E1201" s="112">
        <f>'OPEN FOREIGN ORDER'!AB827</f>
        <v>0</v>
      </c>
      <c r="F1201" s="112">
        <f>'OPEN FOREIGN ORDER'!AC827</f>
        <v>0</v>
      </c>
      <c r="G1201" s="112">
        <f>'OPEN FOREIGN ORDER'!AD827</f>
        <v>0</v>
      </c>
      <c r="H1201" s="112">
        <f>'OPEN FOREIGN ORDER'!AE827</f>
        <v>0</v>
      </c>
      <c r="I1201" s="112">
        <f>'OPEN FOREIGN ORDER'!AF827</f>
        <v>0</v>
      </c>
      <c r="J1201" s="112">
        <f>'OPEN FOREIGN ORDER'!AG827</f>
        <v>0</v>
      </c>
    </row>
    <row r="1202" spans="1:10">
      <c r="A1202">
        <f>'OPEN FOREIGN ORDER'!D828</f>
        <v>0</v>
      </c>
      <c r="B1202">
        <f>'OPEN FOREIGN ORDER'!F828</f>
        <v>0</v>
      </c>
      <c r="C1202">
        <f>'OPEN FOREIGN ORDER'!Z828</f>
        <v>0</v>
      </c>
      <c r="D1202" s="123">
        <f>'OPEN FOREIGN ORDER'!AA828</f>
        <v>0</v>
      </c>
      <c r="E1202" s="112">
        <f>'OPEN FOREIGN ORDER'!AB828</f>
        <v>0</v>
      </c>
      <c r="F1202" s="112">
        <f>'OPEN FOREIGN ORDER'!AC828</f>
        <v>0</v>
      </c>
      <c r="G1202" s="112">
        <f>'OPEN FOREIGN ORDER'!AD828</f>
        <v>0</v>
      </c>
      <c r="H1202" s="112">
        <f>'OPEN FOREIGN ORDER'!AE828</f>
        <v>0</v>
      </c>
      <c r="I1202" s="112">
        <f>'OPEN FOREIGN ORDER'!AF828</f>
        <v>0</v>
      </c>
      <c r="J1202" s="112">
        <f>'OPEN FOREIGN ORDER'!AG828</f>
        <v>0</v>
      </c>
    </row>
    <row r="1203" spans="1:10">
      <c r="A1203">
        <f>'OPEN FOREIGN ORDER'!D829</f>
        <v>0</v>
      </c>
      <c r="B1203">
        <f>'OPEN FOREIGN ORDER'!F829</f>
        <v>0</v>
      </c>
      <c r="C1203">
        <f>'OPEN FOREIGN ORDER'!Z829</f>
        <v>0</v>
      </c>
      <c r="D1203" s="123">
        <f>'OPEN FOREIGN ORDER'!AA829</f>
        <v>0</v>
      </c>
      <c r="E1203" s="112">
        <f>'OPEN FOREIGN ORDER'!AB829</f>
        <v>0</v>
      </c>
      <c r="F1203" s="112">
        <f>'OPEN FOREIGN ORDER'!AC829</f>
        <v>0</v>
      </c>
      <c r="G1203" s="112">
        <f>'OPEN FOREIGN ORDER'!AD829</f>
        <v>0</v>
      </c>
      <c r="H1203" s="112">
        <f>'OPEN FOREIGN ORDER'!AE829</f>
        <v>0</v>
      </c>
      <c r="I1203" s="112">
        <f>'OPEN FOREIGN ORDER'!AF829</f>
        <v>0</v>
      </c>
      <c r="J1203" s="112">
        <f>'OPEN FOREIGN ORDER'!AG829</f>
        <v>0</v>
      </c>
    </row>
    <row r="1204" spans="1:10">
      <c r="A1204">
        <f>'OPEN FOREIGN ORDER'!D830</f>
        <v>0</v>
      </c>
      <c r="B1204">
        <f>'OPEN FOREIGN ORDER'!F830</f>
        <v>0</v>
      </c>
      <c r="C1204">
        <f>'OPEN FOREIGN ORDER'!Z830</f>
        <v>0</v>
      </c>
      <c r="D1204" s="123">
        <f>'OPEN FOREIGN ORDER'!AA830</f>
        <v>0</v>
      </c>
      <c r="E1204" s="112">
        <f>'OPEN FOREIGN ORDER'!AB830</f>
        <v>0</v>
      </c>
      <c r="F1204" s="112">
        <f>'OPEN FOREIGN ORDER'!AC830</f>
        <v>0</v>
      </c>
      <c r="G1204" s="112">
        <f>'OPEN FOREIGN ORDER'!AD830</f>
        <v>0</v>
      </c>
      <c r="H1204" s="112">
        <f>'OPEN FOREIGN ORDER'!AE830</f>
        <v>0</v>
      </c>
      <c r="I1204" s="112">
        <f>'OPEN FOREIGN ORDER'!AF830</f>
        <v>0</v>
      </c>
      <c r="J1204" s="112">
        <f>'OPEN FOREIGN ORDER'!AG830</f>
        <v>0</v>
      </c>
    </row>
    <row r="1205" spans="1:10">
      <c r="A1205">
        <f>'OPEN FOREIGN ORDER'!D831</f>
        <v>0</v>
      </c>
      <c r="B1205">
        <f>'OPEN FOREIGN ORDER'!F831</f>
        <v>0</v>
      </c>
      <c r="C1205">
        <f>'OPEN FOREIGN ORDER'!Z831</f>
        <v>0</v>
      </c>
      <c r="D1205" s="123">
        <f>'OPEN FOREIGN ORDER'!AA831</f>
        <v>0</v>
      </c>
      <c r="E1205" s="112">
        <f>'OPEN FOREIGN ORDER'!AB831</f>
        <v>0</v>
      </c>
      <c r="F1205" s="112">
        <f>'OPEN FOREIGN ORDER'!AC831</f>
        <v>0</v>
      </c>
      <c r="G1205" s="112">
        <f>'OPEN FOREIGN ORDER'!AD831</f>
        <v>0</v>
      </c>
      <c r="H1205" s="112">
        <f>'OPEN FOREIGN ORDER'!AE831</f>
        <v>0</v>
      </c>
      <c r="I1205" s="112">
        <f>'OPEN FOREIGN ORDER'!AF831</f>
        <v>0</v>
      </c>
      <c r="J1205" s="112">
        <f>'OPEN FOREIGN ORDER'!AG831</f>
        <v>0</v>
      </c>
    </row>
    <row r="1206" spans="1:10">
      <c r="A1206">
        <f>'OPEN FOREIGN ORDER'!D832</f>
        <v>0</v>
      </c>
      <c r="B1206">
        <f>'OPEN FOREIGN ORDER'!F832</f>
        <v>0</v>
      </c>
      <c r="C1206">
        <f>'OPEN FOREIGN ORDER'!Z832</f>
        <v>0</v>
      </c>
      <c r="D1206" s="123">
        <f>'OPEN FOREIGN ORDER'!AA832</f>
        <v>0</v>
      </c>
      <c r="E1206" s="112">
        <f>'OPEN FOREIGN ORDER'!AB832</f>
        <v>0</v>
      </c>
      <c r="F1206" s="112">
        <f>'OPEN FOREIGN ORDER'!AC832</f>
        <v>0</v>
      </c>
      <c r="G1206" s="112">
        <f>'OPEN FOREIGN ORDER'!AD832</f>
        <v>0</v>
      </c>
      <c r="H1206" s="112">
        <f>'OPEN FOREIGN ORDER'!AE832</f>
        <v>0</v>
      </c>
      <c r="I1206" s="112">
        <f>'OPEN FOREIGN ORDER'!AF832</f>
        <v>0</v>
      </c>
      <c r="J1206" s="112">
        <f>'OPEN FOREIGN ORDER'!AG832</f>
        <v>0</v>
      </c>
    </row>
    <row r="1207" spans="1:10">
      <c r="A1207">
        <f>'OPEN FOREIGN ORDER'!D833</f>
        <v>0</v>
      </c>
      <c r="B1207">
        <f>'OPEN FOREIGN ORDER'!F833</f>
        <v>0</v>
      </c>
      <c r="C1207">
        <f>'OPEN FOREIGN ORDER'!Z833</f>
        <v>0</v>
      </c>
      <c r="D1207" s="123">
        <f>'OPEN FOREIGN ORDER'!AA833</f>
        <v>0</v>
      </c>
      <c r="E1207" s="112">
        <f>'OPEN FOREIGN ORDER'!AB833</f>
        <v>0</v>
      </c>
      <c r="F1207" s="112">
        <f>'OPEN FOREIGN ORDER'!AC833</f>
        <v>0</v>
      </c>
      <c r="G1207" s="112">
        <f>'OPEN FOREIGN ORDER'!AD833</f>
        <v>0</v>
      </c>
      <c r="H1207" s="112">
        <f>'OPEN FOREIGN ORDER'!AE833</f>
        <v>0</v>
      </c>
      <c r="I1207" s="112">
        <f>'OPEN FOREIGN ORDER'!AF833</f>
        <v>0</v>
      </c>
      <c r="J1207" s="112">
        <f>'OPEN FOREIGN ORDER'!AG833</f>
        <v>0</v>
      </c>
    </row>
    <row r="1208" spans="1:10">
      <c r="A1208">
        <f>'OPEN FOREIGN ORDER'!D834</f>
        <v>0</v>
      </c>
      <c r="B1208">
        <f>'OPEN FOREIGN ORDER'!F834</f>
        <v>0</v>
      </c>
      <c r="C1208">
        <f>'OPEN FOREIGN ORDER'!Z834</f>
        <v>0</v>
      </c>
      <c r="D1208" s="123">
        <f>'OPEN FOREIGN ORDER'!AA834</f>
        <v>0</v>
      </c>
      <c r="E1208" s="112">
        <f>'OPEN FOREIGN ORDER'!AB834</f>
        <v>0</v>
      </c>
      <c r="F1208" s="112">
        <f>'OPEN FOREIGN ORDER'!AC834</f>
        <v>0</v>
      </c>
      <c r="G1208" s="112">
        <f>'OPEN FOREIGN ORDER'!AD834</f>
        <v>0</v>
      </c>
      <c r="H1208" s="112">
        <f>'OPEN FOREIGN ORDER'!AE834</f>
        <v>0</v>
      </c>
      <c r="I1208" s="112">
        <f>'OPEN FOREIGN ORDER'!AF834</f>
        <v>0</v>
      </c>
      <c r="J1208" s="112">
        <f>'OPEN FOREIGN ORDER'!AG834</f>
        <v>0</v>
      </c>
    </row>
    <row r="1209" spans="1:10">
      <c r="A1209">
        <f>'OPEN FOREIGN ORDER'!D835</f>
        <v>0</v>
      </c>
      <c r="B1209">
        <f>'OPEN FOREIGN ORDER'!F835</f>
        <v>0</v>
      </c>
      <c r="C1209">
        <f>'OPEN FOREIGN ORDER'!Z835</f>
        <v>0</v>
      </c>
      <c r="D1209" s="123">
        <f>'OPEN FOREIGN ORDER'!AA835</f>
        <v>0</v>
      </c>
      <c r="E1209" s="112">
        <f>'OPEN FOREIGN ORDER'!AB835</f>
        <v>0</v>
      </c>
      <c r="F1209" s="112">
        <f>'OPEN FOREIGN ORDER'!AC835</f>
        <v>0</v>
      </c>
      <c r="G1209" s="112">
        <f>'OPEN FOREIGN ORDER'!AD835</f>
        <v>0</v>
      </c>
      <c r="H1209" s="112">
        <f>'OPEN FOREIGN ORDER'!AE835</f>
        <v>0</v>
      </c>
      <c r="I1209" s="112">
        <f>'OPEN FOREIGN ORDER'!AF835</f>
        <v>0</v>
      </c>
      <c r="J1209" s="112">
        <f>'OPEN FOREIGN ORDER'!AG835</f>
        <v>0</v>
      </c>
    </row>
    <row r="1210" spans="1:10">
      <c r="A1210">
        <f>'OPEN FOREIGN ORDER'!D836</f>
        <v>0</v>
      </c>
      <c r="B1210">
        <f>'OPEN FOREIGN ORDER'!F836</f>
        <v>0</v>
      </c>
      <c r="C1210">
        <f>'OPEN FOREIGN ORDER'!Z836</f>
        <v>0</v>
      </c>
      <c r="D1210" s="123">
        <f>'OPEN FOREIGN ORDER'!AA836</f>
        <v>0</v>
      </c>
      <c r="E1210" s="112">
        <f>'OPEN FOREIGN ORDER'!AB836</f>
        <v>0</v>
      </c>
      <c r="F1210" s="112">
        <f>'OPEN FOREIGN ORDER'!AC836</f>
        <v>0</v>
      </c>
      <c r="G1210" s="112">
        <f>'OPEN FOREIGN ORDER'!AD836</f>
        <v>0</v>
      </c>
      <c r="H1210" s="112">
        <f>'OPEN FOREIGN ORDER'!AE836</f>
        <v>0</v>
      </c>
      <c r="I1210" s="112">
        <f>'OPEN FOREIGN ORDER'!AF836</f>
        <v>0</v>
      </c>
      <c r="J1210" s="112">
        <f>'OPEN FOREIGN ORDER'!AG836</f>
        <v>0</v>
      </c>
    </row>
    <row r="1211" spans="1:10">
      <c r="A1211">
        <f>'OPEN FOREIGN ORDER'!D837</f>
        <v>0</v>
      </c>
      <c r="B1211">
        <f>'OPEN FOREIGN ORDER'!F837</f>
        <v>0</v>
      </c>
      <c r="C1211">
        <f>'OPEN FOREIGN ORDER'!Z837</f>
        <v>0</v>
      </c>
      <c r="D1211" s="123">
        <f>'OPEN FOREIGN ORDER'!AA837</f>
        <v>0</v>
      </c>
      <c r="E1211" s="112">
        <f>'OPEN FOREIGN ORDER'!AB837</f>
        <v>0</v>
      </c>
      <c r="F1211" s="112">
        <f>'OPEN FOREIGN ORDER'!AC837</f>
        <v>0</v>
      </c>
      <c r="G1211" s="112">
        <f>'OPEN FOREIGN ORDER'!AD837</f>
        <v>0</v>
      </c>
      <c r="H1211" s="112">
        <f>'OPEN FOREIGN ORDER'!AE837</f>
        <v>0</v>
      </c>
      <c r="I1211" s="112">
        <f>'OPEN FOREIGN ORDER'!AF837</f>
        <v>0</v>
      </c>
      <c r="J1211" s="112">
        <f>'OPEN FOREIGN ORDER'!AG837</f>
        <v>0</v>
      </c>
    </row>
    <row r="1212" spans="1:10">
      <c r="A1212">
        <f>'OPEN FOREIGN ORDER'!D838</f>
        <v>0</v>
      </c>
      <c r="B1212">
        <f>'OPEN FOREIGN ORDER'!F838</f>
        <v>0</v>
      </c>
      <c r="C1212">
        <f>'OPEN FOREIGN ORDER'!Z838</f>
        <v>0</v>
      </c>
      <c r="D1212" s="123">
        <f>'OPEN FOREIGN ORDER'!AA838</f>
        <v>0</v>
      </c>
      <c r="E1212" s="112">
        <f>'OPEN FOREIGN ORDER'!AB838</f>
        <v>0</v>
      </c>
      <c r="F1212" s="112">
        <f>'OPEN FOREIGN ORDER'!AC838</f>
        <v>0</v>
      </c>
      <c r="G1212" s="112">
        <f>'OPEN FOREIGN ORDER'!AD838</f>
        <v>0</v>
      </c>
      <c r="H1212" s="112">
        <f>'OPEN FOREIGN ORDER'!AE838</f>
        <v>0</v>
      </c>
      <c r="I1212" s="112">
        <f>'OPEN FOREIGN ORDER'!AF838</f>
        <v>0</v>
      </c>
      <c r="J1212" s="112">
        <f>'OPEN FOREIGN ORDER'!AG838</f>
        <v>0</v>
      </c>
    </row>
    <row r="1213" spans="1:10">
      <c r="A1213">
        <f>'OPEN FOREIGN ORDER'!D839</f>
        <v>0</v>
      </c>
      <c r="B1213">
        <f>'OPEN FOREIGN ORDER'!F839</f>
        <v>0</v>
      </c>
      <c r="C1213">
        <f>'OPEN FOREIGN ORDER'!Z839</f>
        <v>0</v>
      </c>
      <c r="D1213" s="123">
        <f>'OPEN FOREIGN ORDER'!AA839</f>
        <v>0</v>
      </c>
      <c r="E1213" s="112">
        <f>'OPEN FOREIGN ORDER'!AB839</f>
        <v>0</v>
      </c>
      <c r="F1213" s="112">
        <f>'OPEN FOREIGN ORDER'!AC839</f>
        <v>0</v>
      </c>
      <c r="G1213" s="112">
        <f>'OPEN FOREIGN ORDER'!AD839</f>
        <v>0</v>
      </c>
      <c r="H1213" s="112">
        <f>'OPEN FOREIGN ORDER'!AE839</f>
        <v>0</v>
      </c>
      <c r="I1213" s="112">
        <f>'OPEN FOREIGN ORDER'!AF839</f>
        <v>0</v>
      </c>
      <c r="J1213" s="112">
        <f>'OPEN FOREIGN ORDER'!AG839</f>
        <v>0</v>
      </c>
    </row>
    <row r="1214" spans="1:10">
      <c r="A1214">
        <f>'OPEN FOREIGN ORDER'!D840</f>
        <v>0</v>
      </c>
      <c r="B1214">
        <f>'OPEN FOREIGN ORDER'!F840</f>
        <v>0</v>
      </c>
      <c r="C1214">
        <f>'OPEN FOREIGN ORDER'!Z840</f>
        <v>0</v>
      </c>
      <c r="D1214" s="123">
        <f>'OPEN FOREIGN ORDER'!AA840</f>
        <v>0</v>
      </c>
      <c r="E1214" s="112">
        <f>'OPEN FOREIGN ORDER'!AB840</f>
        <v>0</v>
      </c>
      <c r="F1214" s="112">
        <f>'OPEN FOREIGN ORDER'!AC840</f>
        <v>0</v>
      </c>
      <c r="G1214" s="112">
        <f>'OPEN FOREIGN ORDER'!AD840</f>
        <v>0</v>
      </c>
      <c r="H1214" s="112">
        <f>'OPEN FOREIGN ORDER'!AE840</f>
        <v>0</v>
      </c>
      <c r="I1214" s="112">
        <f>'OPEN FOREIGN ORDER'!AF840</f>
        <v>0</v>
      </c>
      <c r="J1214" s="112">
        <f>'OPEN FOREIGN ORDER'!AG840</f>
        <v>0</v>
      </c>
    </row>
    <row r="1215" spans="1:10">
      <c r="A1215">
        <f>'OPEN FOREIGN ORDER'!D841</f>
        <v>0</v>
      </c>
      <c r="B1215">
        <f>'OPEN FOREIGN ORDER'!F841</f>
        <v>0</v>
      </c>
      <c r="C1215">
        <f>'OPEN FOREIGN ORDER'!Z841</f>
        <v>0</v>
      </c>
      <c r="D1215" s="123">
        <f>'OPEN FOREIGN ORDER'!AA841</f>
        <v>0</v>
      </c>
      <c r="E1215" s="112">
        <f>'OPEN FOREIGN ORDER'!AB841</f>
        <v>0</v>
      </c>
      <c r="F1215" s="112">
        <f>'OPEN FOREIGN ORDER'!AC841</f>
        <v>0</v>
      </c>
      <c r="G1215" s="112">
        <f>'OPEN FOREIGN ORDER'!AD841</f>
        <v>0</v>
      </c>
      <c r="H1215" s="112">
        <f>'OPEN FOREIGN ORDER'!AE841</f>
        <v>0</v>
      </c>
      <c r="I1215" s="112">
        <f>'OPEN FOREIGN ORDER'!AF841</f>
        <v>0</v>
      </c>
      <c r="J1215" s="112">
        <f>'OPEN FOREIGN ORDER'!AG841</f>
        <v>0</v>
      </c>
    </row>
    <row r="1216" spans="1:10">
      <c r="A1216">
        <f>'OPEN FOREIGN ORDER'!D842</f>
        <v>0</v>
      </c>
      <c r="B1216">
        <f>'OPEN FOREIGN ORDER'!F842</f>
        <v>0</v>
      </c>
      <c r="C1216">
        <f>'OPEN FOREIGN ORDER'!Z842</f>
        <v>0</v>
      </c>
      <c r="D1216" s="123">
        <f>'OPEN FOREIGN ORDER'!AA842</f>
        <v>0</v>
      </c>
      <c r="E1216" s="112">
        <f>'OPEN FOREIGN ORDER'!AB842</f>
        <v>0</v>
      </c>
      <c r="F1216" s="112">
        <f>'OPEN FOREIGN ORDER'!AC842</f>
        <v>0</v>
      </c>
      <c r="G1216" s="112">
        <f>'OPEN FOREIGN ORDER'!AD842</f>
        <v>0</v>
      </c>
      <c r="H1216" s="112">
        <f>'OPEN FOREIGN ORDER'!AE842</f>
        <v>0</v>
      </c>
      <c r="I1216" s="112">
        <f>'OPEN FOREIGN ORDER'!AF842</f>
        <v>0</v>
      </c>
      <c r="J1216" s="112">
        <f>'OPEN FOREIGN ORDER'!AG842</f>
        <v>0</v>
      </c>
    </row>
    <row r="1217" spans="1:10">
      <c r="A1217">
        <f>'OPEN FOREIGN ORDER'!D843</f>
        <v>0</v>
      </c>
      <c r="B1217">
        <f>'OPEN FOREIGN ORDER'!F843</f>
        <v>0</v>
      </c>
      <c r="C1217">
        <f>'OPEN FOREIGN ORDER'!Z843</f>
        <v>0</v>
      </c>
      <c r="D1217" s="123">
        <f>'OPEN FOREIGN ORDER'!AA843</f>
        <v>0</v>
      </c>
      <c r="E1217" s="112">
        <f>'OPEN FOREIGN ORDER'!AB843</f>
        <v>0</v>
      </c>
      <c r="F1217" s="112">
        <f>'OPEN FOREIGN ORDER'!AC843</f>
        <v>0</v>
      </c>
      <c r="G1217" s="112">
        <f>'OPEN FOREIGN ORDER'!AD843</f>
        <v>0</v>
      </c>
      <c r="H1217" s="112">
        <f>'OPEN FOREIGN ORDER'!AE843</f>
        <v>0</v>
      </c>
      <c r="I1217" s="112">
        <f>'OPEN FOREIGN ORDER'!AF843</f>
        <v>0</v>
      </c>
      <c r="J1217" s="112">
        <f>'OPEN FOREIGN ORDER'!AG843</f>
        <v>0</v>
      </c>
    </row>
    <row r="1218" spans="1:10">
      <c r="A1218">
        <f>'OPEN FOREIGN ORDER'!D844</f>
        <v>0</v>
      </c>
      <c r="B1218">
        <f>'OPEN FOREIGN ORDER'!F844</f>
        <v>0</v>
      </c>
      <c r="C1218">
        <f>'OPEN FOREIGN ORDER'!Z844</f>
        <v>0</v>
      </c>
      <c r="D1218" s="123">
        <f>'OPEN FOREIGN ORDER'!AA844</f>
        <v>0</v>
      </c>
      <c r="E1218" s="112">
        <f>'OPEN FOREIGN ORDER'!AB844</f>
        <v>0</v>
      </c>
      <c r="F1218" s="112">
        <f>'OPEN FOREIGN ORDER'!AC844</f>
        <v>0</v>
      </c>
      <c r="G1218" s="112">
        <f>'OPEN FOREIGN ORDER'!AD844</f>
        <v>0</v>
      </c>
      <c r="H1218" s="112">
        <f>'OPEN FOREIGN ORDER'!AE844</f>
        <v>0</v>
      </c>
      <c r="I1218" s="112">
        <f>'OPEN FOREIGN ORDER'!AF844</f>
        <v>0</v>
      </c>
      <c r="J1218" s="112">
        <f>'OPEN FOREIGN ORDER'!AG844</f>
        <v>0</v>
      </c>
    </row>
    <row r="1219" spans="1:10">
      <c r="A1219">
        <f>'OPEN FOREIGN ORDER'!D845</f>
        <v>0</v>
      </c>
      <c r="B1219">
        <f>'OPEN FOREIGN ORDER'!F845</f>
        <v>0</v>
      </c>
      <c r="C1219">
        <f>'OPEN FOREIGN ORDER'!Z845</f>
        <v>0</v>
      </c>
      <c r="D1219" s="123">
        <f>'OPEN FOREIGN ORDER'!AA845</f>
        <v>0</v>
      </c>
      <c r="E1219" s="112">
        <f>'OPEN FOREIGN ORDER'!AB845</f>
        <v>0</v>
      </c>
      <c r="F1219" s="112">
        <f>'OPEN FOREIGN ORDER'!AC845</f>
        <v>0</v>
      </c>
      <c r="G1219" s="112">
        <f>'OPEN FOREIGN ORDER'!AD845</f>
        <v>0</v>
      </c>
      <c r="H1219" s="112">
        <f>'OPEN FOREIGN ORDER'!AE845</f>
        <v>0</v>
      </c>
      <c r="I1219" s="112">
        <f>'OPEN FOREIGN ORDER'!AF845</f>
        <v>0</v>
      </c>
      <c r="J1219" s="112">
        <f>'OPEN FOREIGN ORDER'!AG845</f>
        <v>0</v>
      </c>
    </row>
    <row r="1220" spans="1:10">
      <c r="A1220">
        <f>'OPEN FOREIGN ORDER'!D846</f>
        <v>0</v>
      </c>
      <c r="B1220">
        <f>'OPEN FOREIGN ORDER'!F846</f>
        <v>0</v>
      </c>
      <c r="C1220">
        <f>'OPEN FOREIGN ORDER'!Z846</f>
        <v>0</v>
      </c>
      <c r="D1220" s="123">
        <f>'OPEN FOREIGN ORDER'!AA846</f>
        <v>0</v>
      </c>
      <c r="E1220" s="112">
        <f>'OPEN FOREIGN ORDER'!AB846</f>
        <v>0</v>
      </c>
      <c r="F1220" s="112">
        <f>'OPEN FOREIGN ORDER'!AC846</f>
        <v>0</v>
      </c>
      <c r="G1220" s="112">
        <f>'OPEN FOREIGN ORDER'!AD846</f>
        <v>0</v>
      </c>
      <c r="H1220" s="112">
        <f>'OPEN FOREIGN ORDER'!AE846</f>
        <v>0</v>
      </c>
      <c r="I1220" s="112">
        <f>'OPEN FOREIGN ORDER'!AF846</f>
        <v>0</v>
      </c>
      <c r="J1220" s="112">
        <f>'OPEN FOREIGN ORDER'!AG846</f>
        <v>0</v>
      </c>
    </row>
    <row r="1221" spans="1:10">
      <c r="A1221">
        <f>'OPEN FOREIGN ORDER'!D847</f>
        <v>0</v>
      </c>
      <c r="B1221">
        <f>'OPEN FOREIGN ORDER'!F847</f>
        <v>0</v>
      </c>
      <c r="C1221">
        <f>'OPEN FOREIGN ORDER'!Z847</f>
        <v>0</v>
      </c>
      <c r="D1221" s="123">
        <f>'OPEN FOREIGN ORDER'!AA847</f>
        <v>0</v>
      </c>
      <c r="E1221" s="112">
        <f>'OPEN FOREIGN ORDER'!AB847</f>
        <v>0</v>
      </c>
      <c r="F1221" s="112">
        <f>'OPEN FOREIGN ORDER'!AC847</f>
        <v>0</v>
      </c>
      <c r="G1221" s="112">
        <f>'OPEN FOREIGN ORDER'!AD847</f>
        <v>0</v>
      </c>
      <c r="H1221" s="112">
        <f>'OPEN FOREIGN ORDER'!AE847</f>
        <v>0</v>
      </c>
      <c r="I1221" s="112">
        <f>'OPEN FOREIGN ORDER'!AF847</f>
        <v>0</v>
      </c>
      <c r="J1221" s="112">
        <f>'OPEN FOREIGN ORDER'!AG847</f>
        <v>0</v>
      </c>
    </row>
    <row r="1222" spans="1:10">
      <c r="A1222">
        <f>'OPEN FOREIGN ORDER'!D848</f>
        <v>0</v>
      </c>
      <c r="B1222">
        <f>'OPEN FOREIGN ORDER'!F848</f>
        <v>0</v>
      </c>
      <c r="C1222">
        <f>'OPEN FOREIGN ORDER'!Z848</f>
        <v>0</v>
      </c>
      <c r="D1222" s="123">
        <f>'OPEN FOREIGN ORDER'!AA848</f>
        <v>0</v>
      </c>
      <c r="E1222" s="112">
        <f>'OPEN FOREIGN ORDER'!AB848</f>
        <v>0</v>
      </c>
      <c r="F1222" s="112">
        <f>'OPEN FOREIGN ORDER'!AC848</f>
        <v>0</v>
      </c>
      <c r="G1222" s="112">
        <f>'OPEN FOREIGN ORDER'!AD848</f>
        <v>0</v>
      </c>
      <c r="H1222" s="112">
        <f>'OPEN FOREIGN ORDER'!AE848</f>
        <v>0</v>
      </c>
      <c r="I1222" s="112">
        <f>'OPEN FOREIGN ORDER'!AF848</f>
        <v>0</v>
      </c>
      <c r="J1222" s="112">
        <f>'OPEN FOREIGN ORDER'!AG848</f>
        <v>0</v>
      </c>
    </row>
    <row r="1223" spans="1:10">
      <c r="A1223">
        <f>'OPEN FOREIGN ORDER'!D849</f>
        <v>0</v>
      </c>
      <c r="B1223">
        <f>'OPEN FOREIGN ORDER'!F849</f>
        <v>0</v>
      </c>
      <c r="C1223">
        <f>'OPEN FOREIGN ORDER'!Z849</f>
        <v>0</v>
      </c>
      <c r="D1223" s="123">
        <f>'OPEN FOREIGN ORDER'!AA849</f>
        <v>0</v>
      </c>
      <c r="E1223" s="112">
        <f>'OPEN FOREIGN ORDER'!AB849</f>
        <v>0</v>
      </c>
      <c r="F1223" s="112">
        <f>'OPEN FOREIGN ORDER'!AC849</f>
        <v>0</v>
      </c>
      <c r="G1223" s="112">
        <f>'OPEN FOREIGN ORDER'!AD849</f>
        <v>0</v>
      </c>
      <c r="H1223" s="112">
        <f>'OPEN FOREIGN ORDER'!AE849</f>
        <v>0</v>
      </c>
      <c r="I1223" s="112">
        <f>'OPEN FOREIGN ORDER'!AF849</f>
        <v>0</v>
      </c>
      <c r="J1223" s="112">
        <f>'OPEN FOREIGN ORDER'!AG849</f>
        <v>0</v>
      </c>
    </row>
    <row r="1224" spans="1:10">
      <c r="A1224">
        <f>'OPEN FOREIGN ORDER'!D850</f>
        <v>0</v>
      </c>
      <c r="B1224">
        <f>'OPEN FOREIGN ORDER'!F850</f>
        <v>0</v>
      </c>
      <c r="C1224">
        <f>'OPEN FOREIGN ORDER'!Z850</f>
        <v>0</v>
      </c>
      <c r="D1224" s="123">
        <f>'OPEN FOREIGN ORDER'!AA850</f>
        <v>0</v>
      </c>
      <c r="E1224" s="112">
        <f>'OPEN FOREIGN ORDER'!AB850</f>
        <v>0</v>
      </c>
      <c r="F1224" s="112">
        <f>'OPEN FOREIGN ORDER'!AC850</f>
        <v>0</v>
      </c>
      <c r="G1224" s="112">
        <f>'OPEN FOREIGN ORDER'!AD850</f>
        <v>0</v>
      </c>
      <c r="H1224" s="112">
        <f>'OPEN FOREIGN ORDER'!AE850</f>
        <v>0</v>
      </c>
      <c r="I1224" s="112">
        <f>'OPEN FOREIGN ORDER'!AF850</f>
        <v>0</v>
      </c>
      <c r="J1224" s="112">
        <f>'OPEN FOREIGN ORDER'!AG850</f>
        <v>0</v>
      </c>
    </row>
    <row r="1225" spans="1:10">
      <c r="A1225">
        <f>'OPEN FOREIGN ORDER'!D851</f>
        <v>0</v>
      </c>
      <c r="B1225">
        <f>'OPEN FOREIGN ORDER'!F851</f>
        <v>0</v>
      </c>
      <c r="C1225">
        <f>'OPEN FOREIGN ORDER'!Z851</f>
        <v>0</v>
      </c>
      <c r="D1225" s="123">
        <f>'OPEN FOREIGN ORDER'!AA851</f>
        <v>0</v>
      </c>
      <c r="E1225" s="112">
        <f>'OPEN FOREIGN ORDER'!AB851</f>
        <v>0</v>
      </c>
      <c r="F1225" s="112">
        <f>'OPEN FOREIGN ORDER'!AC851</f>
        <v>0</v>
      </c>
      <c r="G1225" s="112">
        <f>'OPEN FOREIGN ORDER'!AD851</f>
        <v>0</v>
      </c>
      <c r="H1225" s="112">
        <f>'OPEN FOREIGN ORDER'!AE851</f>
        <v>0</v>
      </c>
      <c r="I1225" s="112">
        <f>'OPEN FOREIGN ORDER'!AF851</f>
        <v>0</v>
      </c>
      <c r="J1225" s="112">
        <f>'OPEN FOREIGN ORDER'!AG851</f>
        <v>0</v>
      </c>
    </row>
    <row r="1226" spans="1:10">
      <c r="A1226">
        <f>'OPEN FOREIGN ORDER'!D852</f>
        <v>0</v>
      </c>
      <c r="B1226">
        <f>'OPEN FOREIGN ORDER'!F852</f>
        <v>0</v>
      </c>
      <c r="C1226">
        <f>'OPEN FOREIGN ORDER'!Z852</f>
        <v>0</v>
      </c>
      <c r="D1226" s="123">
        <f>'OPEN FOREIGN ORDER'!AA852</f>
        <v>0</v>
      </c>
      <c r="E1226" s="112">
        <f>'OPEN FOREIGN ORDER'!AB852</f>
        <v>0</v>
      </c>
      <c r="F1226" s="112">
        <f>'OPEN FOREIGN ORDER'!AC852</f>
        <v>0</v>
      </c>
      <c r="G1226" s="112">
        <f>'OPEN FOREIGN ORDER'!AD852</f>
        <v>0</v>
      </c>
      <c r="H1226" s="112">
        <f>'OPEN FOREIGN ORDER'!AE852</f>
        <v>0</v>
      </c>
      <c r="I1226" s="112">
        <f>'OPEN FOREIGN ORDER'!AF852</f>
        <v>0</v>
      </c>
      <c r="J1226" s="112">
        <f>'OPEN FOREIGN ORDER'!AG852</f>
        <v>0</v>
      </c>
    </row>
    <row r="1227" spans="1:10">
      <c r="A1227">
        <f>'OPEN FOREIGN ORDER'!D853</f>
        <v>0</v>
      </c>
      <c r="B1227">
        <f>'OPEN FOREIGN ORDER'!F853</f>
        <v>0</v>
      </c>
      <c r="C1227">
        <f>'OPEN FOREIGN ORDER'!Z853</f>
        <v>0</v>
      </c>
      <c r="D1227" s="123">
        <f>'OPEN FOREIGN ORDER'!AA853</f>
        <v>0</v>
      </c>
      <c r="E1227" s="112">
        <f>'OPEN FOREIGN ORDER'!AB853</f>
        <v>0</v>
      </c>
      <c r="F1227" s="112">
        <f>'OPEN FOREIGN ORDER'!AC853</f>
        <v>0</v>
      </c>
      <c r="G1227" s="112">
        <f>'OPEN FOREIGN ORDER'!AD853</f>
        <v>0</v>
      </c>
      <c r="H1227" s="112">
        <f>'OPEN FOREIGN ORDER'!AE853</f>
        <v>0</v>
      </c>
      <c r="I1227" s="112">
        <f>'OPEN FOREIGN ORDER'!AF853</f>
        <v>0</v>
      </c>
      <c r="J1227" s="112">
        <f>'OPEN FOREIGN ORDER'!AG853</f>
        <v>0</v>
      </c>
    </row>
    <row r="1228" spans="1:10">
      <c r="A1228">
        <f>'OPEN FOREIGN ORDER'!D854</f>
        <v>0</v>
      </c>
      <c r="B1228">
        <f>'OPEN FOREIGN ORDER'!F854</f>
        <v>0</v>
      </c>
      <c r="C1228">
        <f>'OPEN FOREIGN ORDER'!Z854</f>
        <v>0</v>
      </c>
      <c r="D1228" s="123">
        <f>'OPEN FOREIGN ORDER'!AA854</f>
        <v>0</v>
      </c>
      <c r="E1228" s="112">
        <f>'OPEN FOREIGN ORDER'!AB854</f>
        <v>0</v>
      </c>
      <c r="F1228" s="112">
        <f>'OPEN FOREIGN ORDER'!AC854</f>
        <v>0</v>
      </c>
      <c r="G1228" s="112">
        <f>'OPEN FOREIGN ORDER'!AD854</f>
        <v>0</v>
      </c>
      <c r="H1228" s="112">
        <f>'OPEN FOREIGN ORDER'!AE854</f>
        <v>0</v>
      </c>
      <c r="I1228" s="112">
        <f>'OPEN FOREIGN ORDER'!AF854</f>
        <v>0</v>
      </c>
      <c r="J1228" s="112">
        <f>'OPEN FOREIGN ORDER'!AG854</f>
        <v>0</v>
      </c>
    </row>
    <row r="1229" spans="1:10">
      <c r="A1229">
        <f>'OPEN FOREIGN ORDER'!D855</f>
        <v>0</v>
      </c>
      <c r="B1229">
        <f>'OPEN FOREIGN ORDER'!F855</f>
        <v>0</v>
      </c>
      <c r="C1229">
        <f>'OPEN FOREIGN ORDER'!Z855</f>
        <v>0</v>
      </c>
      <c r="D1229" s="123">
        <f>'OPEN FOREIGN ORDER'!AA855</f>
        <v>0</v>
      </c>
      <c r="E1229" s="112">
        <f>'OPEN FOREIGN ORDER'!AB855</f>
        <v>0</v>
      </c>
      <c r="F1229" s="112">
        <f>'OPEN FOREIGN ORDER'!AC855</f>
        <v>0</v>
      </c>
      <c r="G1229" s="112">
        <f>'OPEN FOREIGN ORDER'!AD855</f>
        <v>0</v>
      </c>
      <c r="H1229" s="112">
        <f>'OPEN FOREIGN ORDER'!AE855</f>
        <v>0</v>
      </c>
      <c r="I1229" s="112">
        <f>'OPEN FOREIGN ORDER'!AF855</f>
        <v>0</v>
      </c>
      <c r="J1229" s="112">
        <f>'OPEN FOREIGN ORDER'!AG855</f>
        <v>0</v>
      </c>
    </row>
    <row r="1230" spans="1:10">
      <c r="A1230">
        <f>'OPEN FOREIGN ORDER'!D856</f>
        <v>0</v>
      </c>
      <c r="B1230">
        <f>'OPEN FOREIGN ORDER'!F856</f>
        <v>0</v>
      </c>
      <c r="C1230">
        <f>'OPEN FOREIGN ORDER'!Z856</f>
        <v>0</v>
      </c>
      <c r="D1230" s="123">
        <f>'OPEN FOREIGN ORDER'!AA856</f>
        <v>0</v>
      </c>
      <c r="E1230" s="112">
        <f>'OPEN FOREIGN ORDER'!AB856</f>
        <v>0</v>
      </c>
      <c r="F1230" s="112">
        <f>'OPEN FOREIGN ORDER'!AC856</f>
        <v>0</v>
      </c>
      <c r="G1230" s="112">
        <f>'OPEN FOREIGN ORDER'!AD856</f>
        <v>0</v>
      </c>
      <c r="H1230" s="112">
        <f>'OPEN FOREIGN ORDER'!AE856</f>
        <v>0</v>
      </c>
      <c r="I1230" s="112">
        <f>'OPEN FOREIGN ORDER'!AF856</f>
        <v>0</v>
      </c>
      <c r="J1230" s="112">
        <f>'OPEN FOREIGN ORDER'!AG856</f>
        <v>0</v>
      </c>
    </row>
    <row r="1231" spans="1:10">
      <c r="A1231">
        <f>'OPEN FOREIGN ORDER'!D857</f>
        <v>0</v>
      </c>
      <c r="B1231">
        <f>'OPEN FOREIGN ORDER'!F857</f>
        <v>0</v>
      </c>
      <c r="C1231">
        <f>'OPEN FOREIGN ORDER'!Z857</f>
        <v>0</v>
      </c>
      <c r="D1231" s="123">
        <f>'OPEN FOREIGN ORDER'!AA857</f>
        <v>0</v>
      </c>
      <c r="E1231" s="112">
        <f>'OPEN FOREIGN ORDER'!AB857</f>
        <v>0</v>
      </c>
      <c r="F1231" s="112">
        <f>'OPEN FOREIGN ORDER'!AC857</f>
        <v>0</v>
      </c>
      <c r="G1231" s="112">
        <f>'OPEN FOREIGN ORDER'!AD857</f>
        <v>0</v>
      </c>
      <c r="H1231" s="112">
        <f>'OPEN FOREIGN ORDER'!AE857</f>
        <v>0</v>
      </c>
      <c r="I1231" s="112">
        <f>'OPEN FOREIGN ORDER'!AF857</f>
        <v>0</v>
      </c>
      <c r="J1231" s="112">
        <f>'OPEN FOREIGN ORDER'!AG857</f>
        <v>0</v>
      </c>
    </row>
    <row r="1232" spans="1:10">
      <c r="A1232">
        <f>'OPEN FOREIGN ORDER'!D858</f>
        <v>0</v>
      </c>
      <c r="B1232">
        <f>'OPEN FOREIGN ORDER'!F858</f>
        <v>0</v>
      </c>
      <c r="C1232">
        <f>'OPEN FOREIGN ORDER'!Z858</f>
        <v>0</v>
      </c>
      <c r="D1232" s="123">
        <f>'OPEN FOREIGN ORDER'!AA858</f>
        <v>0</v>
      </c>
      <c r="E1232" s="112">
        <f>'OPEN FOREIGN ORDER'!AB858</f>
        <v>0</v>
      </c>
      <c r="F1232" s="112">
        <f>'OPEN FOREIGN ORDER'!AC858</f>
        <v>0</v>
      </c>
      <c r="G1232" s="112">
        <f>'OPEN FOREIGN ORDER'!AD858</f>
        <v>0</v>
      </c>
      <c r="H1232" s="112">
        <f>'OPEN FOREIGN ORDER'!AE858</f>
        <v>0</v>
      </c>
      <c r="I1232" s="112">
        <f>'OPEN FOREIGN ORDER'!AF858</f>
        <v>0</v>
      </c>
      <c r="J1232" s="112">
        <f>'OPEN FOREIGN ORDER'!AG858</f>
        <v>0</v>
      </c>
    </row>
    <row r="1233" spans="1:10">
      <c r="A1233">
        <f>'OPEN FOREIGN ORDER'!D859</f>
        <v>0</v>
      </c>
      <c r="B1233">
        <f>'OPEN FOREIGN ORDER'!F859</f>
        <v>0</v>
      </c>
      <c r="C1233">
        <f>'OPEN FOREIGN ORDER'!Z859</f>
        <v>0</v>
      </c>
      <c r="D1233" s="123">
        <f>'OPEN FOREIGN ORDER'!AA859</f>
        <v>0</v>
      </c>
      <c r="E1233" s="112">
        <f>'OPEN FOREIGN ORDER'!AB859</f>
        <v>0</v>
      </c>
      <c r="F1233" s="112">
        <f>'OPEN FOREIGN ORDER'!AC859</f>
        <v>0</v>
      </c>
      <c r="G1233" s="112">
        <f>'OPEN FOREIGN ORDER'!AD859</f>
        <v>0</v>
      </c>
      <c r="H1233" s="112">
        <f>'OPEN FOREIGN ORDER'!AE859</f>
        <v>0</v>
      </c>
      <c r="I1233" s="112">
        <f>'OPEN FOREIGN ORDER'!AF859</f>
        <v>0</v>
      </c>
      <c r="J1233" s="112">
        <f>'OPEN FOREIGN ORDER'!AG859</f>
        <v>0</v>
      </c>
    </row>
    <row r="1234" spans="1:10">
      <c r="A1234">
        <f>'OPEN FOREIGN ORDER'!D860</f>
        <v>0</v>
      </c>
      <c r="B1234">
        <f>'OPEN FOREIGN ORDER'!F860</f>
        <v>0</v>
      </c>
      <c r="C1234">
        <f>'OPEN FOREIGN ORDER'!Z860</f>
        <v>0</v>
      </c>
      <c r="D1234" s="123">
        <f>'OPEN FOREIGN ORDER'!AA860</f>
        <v>0</v>
      </c>
      <c r="E1234" s="112">
        <f>'OPEN FOREIGN ORDER'!AB860</f>
        <v>0</v>
      </c>
      <c r="F1234" s="112">
        <f>'OPEN FOREIGN ORDER'!AC860</f>
        <v>0</v>
      </c>
      <c r="G1234" s="112">
        <f>'OPEN FOREIGN ORDER'!AD860</f>
        <v>0</v>
      </c>
      <c r="H1234" s="112">
        <f>'OPEN FOREIGN ORDER'!AE860</f>
        <v>0</v>
      </c>
      <c r="I1234" s="112">
        <f>'OPEN FOREIGN ORDER'!AF860</f>
        <v>0</v>
      </c>
      <c r="J1234" s="112">
        <f>'OPEN FOREIGN ORDER'!AG860</f>
        <v>0</v>
      </c>
    </row>
    <row r="1235" spans="1:10">
      <c r="A1235">
        <f>'OPEN FOREIGN ORDER'!D861</f>
        <v>0</v>
      </c>
      <c r="B1235">
        <f>'OPEN FOREIGN ORDER'!F861</f>
        <v>0</v>
      </c>
      <c r="C1235">
        <f>'OPEN FOREIGN ORDER'!Z861</f>
        <v>0</v>
      </c>
      <c r="D1235" s="123">
        <f>'OPEN FOREIGN ORDER'!AA861</f>
        <v>0</v>
      </c>
      <c r="E1235" s="112">
        <f>'OPEN FOREIGN ORDER'!AB861</f>
        <v>0</v>
      </c>
      <c r="F1235" s="112">
        <f>'OPEN FOREIGN ORDER'!AC861</f>
        <v>0</v>
      </c>
      <c r="G1235" s="112">
        <f>'OPEN FOREIGN ORDER'!AD861</f>
        <v>0</v>
      </c>
      <c r="H1235" s="112">
        <f>'OPEN FOREIGN ORDER'!AE861</f>
        <v>0</v>
      </c>
      <c r="I1235" s="112">
        <f>'OPEN FOREIGN ORDER'!AF861</f>
        <v>0</v>
      </c>
      <c r="J1235" s="112">
        <f>'OPEN FOREIGN ORDER'!AG861</f>
        <v>0</v>
      </c>
    </row>
    <row r="1236" spans="1:10">
      <c r="A1236">
        <f>'OPEN FOREIGN ORDER'!D862</f>
        <v>0</v>
      </c>
      <c r="B1236">
        <f>'OPEN FOREIGN ORDER'!F862</f>
        <v>0</v>
      </c>
      <c r="C1236">
        <f>'OPEN FOREIGN ORDER'!Z862</f>
        <v>0</v>
      </c>
      <c r="D1236" s="123">
        <f>'OPEN FOREIGN ORDER'!AA862</f>
        <v>0</v>
      </c>
      <c r="E1236" s="112">
        <f>'OPEN FOREIGN ORDER'!AB862</f>
        <v>0</v>
      </c>
      <c r="F1236" s="112">
        <f>'OPEN FOREIGN ORDER'!AC862</f>
        <v>0</v>
      </c>
      <c r="G1236" s="112">
        <f>'OPEN FOREIGN ORDER'!AD862</f>
        <v>0</v>
      </c>
      <c r="H1236" s="112">
        <f>'OPEN FOREIGN ORDER'!AE862</f>
        <v>0</v>
      </c>
      <c r="I1236" s="112">
        <f>'OPEN FOREIGN ORDER'!AF862</f>
        <v>0</v>
      </c>
      <c r="J1236" s="112">
        <f>'OPEN FOREIGN ORDER'!AG862</f>
        <v>0</v>
      </c>
    </row>
    <row r="1237" spans="1:10">
      <c r="A1237">
        <f>'OPEN FOREIGN ORDER'!D863</f>
        <v>0</v>
      </c>
      <c r="B1237">
        <f>'OPEN FOREIGN ORDER'!F863</f>
        <v>0</v>
      </c>
      <c r="C1237">
        <f>'OPEN FOREIGN ORDER'!Z863</f>
        <v>0</v>
      </c>
      <c r="D1237" s="123">
        <f>'OPEN FOREIGN ORDER'!AA863</f>
        <v>0</v>
      </c>
      <c r="E1237" s="112">
        <f>'OPEN FOREIGN ORDER'!AB863</f>
        <v>0</v>
      </c>
      <c r="F1237" s="112">
        <f>'OPEN FOREIGN ORDER'!AC863</f>
        <v>0</v>
      </c>
      <c r="G1237" s="112">
        <f>'OPEN FOREIGN ORDER'!AD863</f>
        <v>0</v>
      </c>
      <c r="H1237" s="112">
        <f>'OPEN FOREIGN ORDER'!AE863</f>
        <v>0</v>
      </c>
      <c r="I1237" s="112">
        <f>'OPEN FOREIGN ORDER'!AF863</f>
        <v>0</v>
      </c>
      <c r="J1237" s="112">
        <f>'OPEN FOREIGN ORDER'!AG863</f>
        <v>0</v>
      </c>
    </row>
    <row r="1238" spans="1:10">
      <c r="A1238">
        <f>'OPEN FOREIGN ORDER'!D864</f>
        <v>0</v>
      </c>
      <c r="B1238">
        <f>'OPEN FOREIGN ORDER'!F864</f>
        <v>0</v>
      </c>
      <c r="C1238">
        <f>'OPEN FOREIGN ORDER'!Z864</f>
        <v>0</v>
      </c>
      <c r="D1238" s="123">
        <f>'OPEN FOREIGN ORDER'!AA864</f>
        <v>0</v>
      </c>
      <c r="E1238" s="112">
        <f>'OPEN FOREIGN ORDER'!AB864</f>
        <v>0</v>
      </c>
      <c r="F1238" s="112">
        <f>'OPEN FOREIGN ORDER'!AC864</f>
        <v>0</v>
      </c>
      <c r="G1238" s="112">
        <f>'OPEN FOREIGN ORDER'!AD864</f>
        <v>0</v>
      </c>
      <c r="H1238" s="112">
        <f>'OPEN FOREIGN ORDER'!AE864</f>
        <v>0</v>
      </c>
      <c r="I1238" s="112">
        <f>'OPEN FOREIGN ORDER'!AF864</f>
        <v>0</v>
      </c>
      <c r="J1238" s="112">
        <f>'OPEN FOREIGN ORDER'!AG864</f>
        <v>0</v>
      </c>
    </row>
    <row r="1239" spans="1:10">
      <c r="A1239">
        <f>'OPEN FOREIGN ORDER'!D865</f>
        <v>0</v>
      </c>
      <c r="B1239">
        <f>'OPEN FOREIGN ORDER'!F865</f>
        <v>0</v>
      </c>
      <c r="C1239">
        <f>'OPEN FOREIGN ORDER'!Z865</f>
        <v>0</v>
      </c>
      <c r="D1239" s="123">
        <f>'OPEN FOREIGN ORDER'!AA865</f>
        <v>0</v>
      </c>
      <c r="E1239" s="112">
        <f>'OPEN FOREIGN ORDER'!AB865</f>
        <v>0</v>
      </c>
      <c r="F1239" s="112">
        <f>'OPEN FOREIGN ORDER'!AC865</f>
        <v>0</v>
      </c>
      <c r="G1239" s="112">
        <f>'OPEN FOREIGN ORDER'!AD865</f>
        <v>0</v>
      </c>
      <c r="H1239" s="112">
        <f>'OPEN FOREIGN ORDER'!AE865</f>
        <v>0</v>
      </c>
      <c r="I1239" s="112">
        <f>'OPEN FOREIGN ORDER'!AF865</f>
        <v>0</v>
      </c>
      <c r="J1239" s="112">
        <f>'OPEN FOREIGN ORDER'!AG865</f>
        <v>0</v>
      </c>
    </row>
    <row r="1240" spans="1:10">
      <c r="A1240">
        <f>'OPEN FOREIGN ORDER'!D866</f>
        <v>0</v>
      </c>
      <c r="B1240">
        <f>'OPEN FOREIGN ORDER'!F866</f>
        <v>0</v>
      </c>
      <c r="C1240">
        <f>'OPEN FOREIGN ORDER'!Z866</f>
        <v>0</v>
      </c>
      <c r="D1240" s="123">
        <f>'OPEN FOREIGN ORDER'!AA866</f>
        <v>0</v>
      </c>
      <c r="E1240" s="112">
        <f>'OPEN FOREIGN ORDER'!AB866</f>
        <v>0</v>
      </c>
      <c r="F1240" s="112">
        <f>'OPEN FOREIGN ORDER'!AC866</f>
        <v>0</v>
      </c>
      <c r="G1240" s="112">
        <f>'OPEN FOREIGN ORDER'!AD866</f>
        <v>0</v>
      </c>
      <c r="H1240" s="112">
        <f>'OPEN FOREIGN ORDER'!AE866</f>
        <v>0</v>
      </c>
      <c r="I1240" s="112">
        <f>'OPEN FOREIGN ORDER'!AF866</f>
        <v>0</v>
      </c>
      <c r="J1240" s="112">
        <f>'OPEN FOREIGN ORDER'!AG866</f>
        <v>0</v>
      </c>
    </row>
    <row r="1241" spans="1:10">
      <c r="A1241">
        <f>'OPEN FOREIGN ORDER'!D867</f>
        <v>0</v>
      </c>
      <c r="B1241">
        <f>'OPEN FOREIGN ORDER'!F867</f>
        <v>0</v>
      </c>
      <c r="C1241">
        <f>'OPEN FOREIGN ORDER'!Z867</f>
        <v>0</v>
      </c>
      <c r="D1241" s="123">
        <f>'OPEN FOREIGN ORDER'!AA867</f>
        <v>0</v>
      </c>
      <c r="E1241" s="112">
        <f>'OPEN FOREIGN ORDER'!AB867</f>
        <v>0</v>
      </c>
      <c r="F1241" s="112">
        <f>'OPEN FOREIGN ORDER'!AC867</f>
        <v>0</v>
      </c>
      <c r="G1241" s="112">
        <f>'OPEN FOREIGN ORDER'!AD867</f>
        <v>0</v>
      </c>
      <c r="H1241" s="112">
        <f>'OPEN FOREIGN ORDER'!AE867</f>
        <v>0</v>
      </c>
      <c r="I1241" s="112">
        <f>'OPEN FOREIGN ORDER'!AF867</f>
        <v>0</v>
      </c>
      <c r="J1241" s="112">
        <f>'OPEN FOREIGN ORDER'!AG867</f>
        <v>0</v>
      </c>
    </row>
    <row r="1242" spans="1:10">
      <c r="A1242">
        <f>'OPEN FOREIGN ORDER'!D868</f>
        <v>0</v>
      </c>
      <c r="B1242">
        <f>'OPEN FOREIGN ORDER'!F868</f>
        <v>0</v>
      </c>
      <c r="C1242">
        <f>'OPEN FOREIGN ORDER'!Z868</f>
        <v>0</v>
      </c>
      <c r="D1242" s="123">
        <f>'OPEN FOREIGN ORDER'!AA868</f>
        <v>0</v>
      </c>
      <c r="E1242" s="112">
        <f>'OPEN FOREIGN ORDER'!AB868</f>
        <v>0</v>
      </c>
      <c r="F1242" s="112">
        <f>'OPEN FOREIGN ORDER'!AC868</f>
        <v>0</v>
      </c>
      <c r="G1242" s="112">
        <f>'OPEN FOREIGN ORDER'!AD868</f>
        <v>0</v>
      </c>
      <c r="H1242" s="112">
        <f>'OPEN FOREIGN ORDER'!AE868</f>
        <v>0</v>
      </c>
      <c r="I1242" s="112">
        <f>'OPEN FOREIGN ORDER'!AF868</f>
        <v>0</v>
      </c>
      <c r="J1242" s="112">
        <f>'OPEN FOREIGN ORDER'!AG868</f>
        <v>0</v>
      </c>
    </row>
    <row r="1243" spans="1:10">
      <c r="A1243">
        <f>'OPEN FOREIGN ORDER'!D869</f>
        <v>0</v>
      </c>
      <c r="B1243">
        <f>'OPEN FOREIGN ORDER'!F869</f>
        <v>0</v>
      </c>
      <c r="C1243">
        <f>'OPEN FOREIGN ORDER'!Z869</f>
        <v>0</v>
      </c>
      <c r="D1243" s="123">
        <f>'OPEN FOREIGN ORDER'!AA869</f>
        <v>0</v>
      </c>
      <c r="E1243" s="112">
        <f>'OPEN FOREIGN ORDER'!AB869</f>
        <v>0</v>
      </c>
      <c r="F1243" s="112">
        <f>'OPEN FOREIGN ORDER'!AC869</f>
        <v>0</v>
      </c>
      <c r="G1243" s="112">
        <f>'OPEN FOREIGN ORDER'!AD869</f>
        <v>0</v>
      </c>
      <c r="H1243" s="112">
        <f>'OPEN FOREIGN ORDER'!AE869</f>
        <v>0</v>
      </c>
      <c r="I1243" s="112">
        <f>'OPEN FOREIGN ORDER'!AF869</f>
        <v>0</v>
      </c>
      <c r="J1243" s="112">
        <f>'OPEN FOREIGN ORDER'!AG869</f>
        <v>0</v>
      </c>
    </row>
    <row r="1244" spans="1:10">
      <c r="A1244">
        <f>'OPEN FOREIGN ORDER'!D870</f>
        <v>0</v>
      </c>
      <c r="B1244">
        <f>'OPEN FOREIGN ORDER'!F870</f>
        <v>0</v>
      </c>
      <c r="C1244">
        <f>'OPEN FOREIGN ORDER'!Z870</f>
        <v>0</v>
      </c>
      <c r="D1244" s="123">
        <f>'OPEN FOREIGN ORDER'!AA870</f>
        <v>0</v>
      </c>
      <c r="E1244" s="112">
        <f>'OPEN FOREIGN ORDER'!AB870</f>
        <v>0</v>
      </c>
      <c r="F1244" s="112">
        <f>'OPEN FOREIGN ORDER'!AC870</f>
        <v>0</v>
      </c>
      <c r="G1244" s="112">
        <f>'OPEN FOREIGN ORDER'!AD870</f>
        <v>0</v>
      </c>
      <c r="H1244" s="112">
        <f>'OPEN FOREIGN ORDER'!AE870</f>
        <v>0</v>
      </c>
      <c r="I1244" s="112">
        <f>'OPEN FOREIGN ORDER'!AF870</f>
        <v>0</v>
      </c>
      <c r="J1244" s="112">
        <f>'OPEN FOREIGN ORDER'!AG870</f>
        <v>0</v>
      </c>
    </row>
    <row r="1245" spans="1:10">
      <c r="A1245">
        <f>'OPEN FOREIGN ORDER'!D871</f>
        <v>0</v>
      </c>
      <c r="B1245">
        <f>'OPEN FOREIGN ORDER'!F871</f>
        <v>0</v>
      </c>
      <c r="C1245">
        <f>'OPEN FOREIGN ORDER'!Z871</f>
        <v>0</v>
      </c>
      <c r="D1245" s="123">
        <f>'OPEN FOREIGN ORDER'!AA871</f>
        <v>0</v>
      </c>
      <c r="E1245" s="112">
        <f>'OPEN FOREIGN ORDER'!AB871</f>
        <v>0</v>
      </c>
      <c r="F1245" s="112">
        <f>'OPEN FOREIGN ORDER'!AC871</f>
        <v>0</v>
      </c>
      <c r="G1245" s="112">
        <f>'OPEN FOREIGN ORDER'!AD871</f>
        <v>0</v>
      </c>
      <c r="H1245" s="112">
        <f>'OPEN FOREIGN ORDER'!AE871</f>
        <v>0</v>
      </c>
      <c r="I1245" s="112">
        <f>'OPEN FOREIGN ORDER'!AF871</f>
        <v>0</v>
      </c>
      <c r="J1245" s="112">
        <f>'OPEN FOREIGN ORDER'!AG871</f>
        <v>0</v>
      </c>
    </row>
    <row r="1246" spans="1:10">
      <c r="A1246">
        <f>'OPEN FOREIGN ORDER'!D872</f>
        <v>0</v>
      </c>
      <c r="B1246">
        <f>'OPEN FOREIGN ORDER'!F872</f>
        <v>0</v>
      </c>
      <c r="C1246">
        <f>'OPEN FOREIGN ORDER'!Z872</f>
        <v>0</v>
      </c>
      <c r="D1246" s="123">
        <f>'OPEN FOREIGN ORDER'!AA872</f>
        <v>0</v>
      </c>
      <c r="E1246" s="112">
        <f>'OPEN FOREIGN ORDER'!AB872</f>
        <v>0</v>
      </c>
      <c r="F1246" s="112">
        <f>'OPEN FOREIGN ORDER'!AC872</f>
        <v>0</v>
      </c>
      <c r="G1246" s="112">
        <f>'OPEN FOREIGN ORDER'!AD872</f>
        <v>0</v>
      </c>
      <c r="H1246" s="112">
        <f>'OPEN FOREIGN ORDER'!AE872</f>
        <v>0</v>
      </c>
      <c r="I1246" s="112">
        <f>'OPEN FOREIGN ORDER'!AF872</f>
        <v>0</v>
      </c>
      <c r="J1246" s="112">
        <f>'OPEN FOREIGN ORDER'!AG872</f>
        <v>0</v>
      </c>
    </row>
    <row r="1247" spans="1:10">
      <c r="A1247">
        <f>'OPEN FOREIGN ORDER'!D873</f>
        <v>0</v>
      </c>
      <c r="B1247">
        <f>'OPEN FOREIGN ORDER'!F873</f>
        <v>0</v>
      </c>
      <c r="C1247">
        <f>'OPEN FOREIGN ORDER'!Z873</f>
        <v>0</v>
      </c>
      <c r="D1247" s="123">
        <f>'OPEN FOREIGN ORDER'!AA873</f>
        <v>0</v>
      </c>
      <c r="E1247" s="112">
        <f>'OPEN FOREIGN ORDER'!AB873</f>
        <v>0</v>
      </c>
      <c r="F1247" s="112">
        <f>'OPEN FOREIGN ORDER'!AC873</f>
        <v>0</v>
      </c>
      <c r="G1247" s="112">
        <f>'OPEN FOREIGN ORDER'!AD873</f>
        <v>0</v>
      </c>
      <c r="H1247" s="112">
        <f>'OPEN FOREIGN ORDER'!AE873</f>
        <v>0</v>
      </c>
      <c r="I1247" s="112">
        <f>'OPEN FOREIGN ORDER'!AF873</f>
        <v>0</v>
      </c>
      <c r="J1247" s="112">
        <f>'OPEN FOREIGN ORDER'!AG873</f>
        <v>0</v>
      </c>
    </row>
    <row r="1248" spans="1:10">
      <c r="A1248">
        <f>'OPEN FOREIGN ORDER'!D874</f>
        <v>0</v>
      </c>
      <c r="B1248">
        <f>'OPEN FOREIGN ORDER'!F874</f>
        <v>0</v>
      </c>
      <c r="C1248">
        <f>'OPEN FOREIGN ORDER'!Z874</f>
        <v>0</v>
      </c>
      <c r="D1248" s="123">
        <f>'OPEN FOREIGN ORDER'!AA874</f>
        <v>0</v>
      </c>
      <c r="E1248" s="112">
        <f>'OPEN FOREIGN ORDER'!AB874</f>
        <v>0</v>
      </c>
      <c r="F1248" s="112">
        <f>'OPEN FOREIGN ORDER'!AC874</f>
        <v>0</v>
      </c>
      <c r="G1248" s="112">
        <f>'OPEN FOREIGN ORDER'!AD874</f>
        <v>0</v>
      </c>
      <c r="H1248" s="112">
        <f>'OPEN FOREIGN ORDER'!AE874</f>
        <v>0</v>
      </c>
      <c r="I1248" s="112">
        <f>'OPEN FOREIGN ORDER'!AF874</f>
        <v>0</v>
      </c>
      <c r="J1248" s="112">
        <f>'OPEN FOREIGN ORDER'!AG874</f>
        <v>0</v>
      </c>
    </row>
    <row r="1249" spans="1:10">
      <c r="A1249">
        <f>'OPEN FOREIGN ORDER'!D875</f>
        <v>0</v>
      </c>
      <c r="B1249">
        <f>'OPEN FOREIGN ORDER'!F875</f>
        <v>0</v>
      </c>
      <c r="C1249">
        <f>'OPEN FOREIGN ORDER'!Z875</f>
        <v>0</v>
      </c>
      <c r="D1249" s="123">
        <f>'OPEN FOREIGN ORDER'!AA875</f>
        <v>0</v>
      </c>
      <c r="E1249" s="112">
        <f>'OPEN FOREIGN ORDER'!AB875</f>
        <v>0</v>
      </c>
      <c r="F1249" s="112">
        <f>'OPEN FOREIGN ORDER'!AC875</f>
        <v>0</v>
      </c>
      <c r="G1249" s="112">
        <f>'OPEN FOREIGN ORDER'!AD875</f>
        <v>0</v>
      </c>
      <c r="H1249" s="112">
        <f>'OPEN FOREIGN ORDER'!AE875</f>
        <v>0</v>
      </c>
      <c r="I1249" s="112">
        <f>'OPEN FOREIGN ORDER'!AF875</f>
        <v>0</v>
      </c>
      <c r="J1249" s="112">
        <f>'OPEN FOREIGN ORDER'!AG875</f>
        <v>0</v>
      </c>
    </row>
    <row r="1250" spans="1:10">
      <c r="A1250">
        <f>'OPEN FOREIGN ORDER'!D876</f>
        <v>0</v>
      </c>
      <c r="B1250">
        <f>'OPEN FOREIGN ORDER'!F876</f>
        <v>0</v>
      </c>
      <c r="C1250">
        <f>'OPEN FOREIGN ORDER'!Z876</f>
        <v>0</v>
      </c>
      <c r="D1250" s="123">
        <f>'OPEN FOREIGN ORDER'!AA876</f>
        <v>0</v>
      </c>
      <c r="E1250" s="112">
        <f>'OPEN FOREIGN ORDER'!AB876</f>
        <v>0</v>
      </c>
      <c r="F1250" s="112">
        <f>'OPEN FOREIGN ORDER'!AC876</f>
        <v>0</v>
      </c>
      <c r="G1250" s="112">
        <f>'OPEN FOREIGN ORDER'!AD876</f>
        <v>0</v>
      </c>
      <c r="H1250" s="112">
        <f>'OPEN FOREIGN ORDER'!AE876</f>
        <v>0</v>
      </c>
      <c r="I1250" s="112">
        <f>'OPEN FOREIGN ORDER'!AF876</f>
        <v>0</v>
      </c>
      <c r="J1250" s="112">
        <f>'OPEN FOREIGN ORDER'!AG876</f>
        <v>0</v>
      </c>
    </row>
    <row r="1251" spans="1:10">
      <c r="A1251">
        <f>'OPEN FOREIGN ORDER'!D877</f>
        <v>0</v>
      </c>
      <c r="B1251">
        <f>'OPEN FOREIGN ORDER'!F877</f>
        <v>0</v>
      </c>
      <c r="C1251">
        <f>'OPEN FOREIGN ORDER'!Z877</f>
        <v>0</v>
      </c>
      <c r="D1251" s="123">
        <f>'OPEN FOREIGN ORDER'!AA877</f>
        <v>0</v>
      </c>
      <c r="E1251" s="112">
        <f>'OPEN FOREIGN ORDER'!AB877</f>
        <v>0</v>
      </c>
      <c r="F1251" s="112">
        <f>'OPEN FOREIGN ORDER'!AC877</f>
        <v>0</v>
      </c>
      <c r="G1251" s="112">
        <f>'OPEN FOREIGN ORDER'!AD877</f>
        <v>0</v>
      </c>
      <c r="H1251" s="112">
        <f>'OPEN FOREIGN ORDER'!AE877</f>
        <v>0</v>
      </c>
      <c r="I1251" s="112">
        <f>'OPEN FOREIGN ORDER'!AF877</f>
        <v>0</v>
      </c>
      <c r="J1251" s="112">
        <f>'OPEN FOREIGN ORDER'!AG877</f>
        <v>0</v>
      </c>
    </row>
    <row r="1252" spans="1:10">
      <c r="A1252">
        <f>'OPEN FOREIGN ORDER'!D878</f>
        <v>0</v>
      </c>
      <c r="B1252">
        <f>'OPEN FOREIGN ORDER'!F878</f>
        <v>0</v>
      </c>
      <c r="C1252">
        <f>'OPEN FOREIGN ORDER'!Z878</f>
        <v>0</v>
      </c>
      <c r="D1252" s="123">
        <f>'OPEN FOREIGN ORDER'!AA878</f>
        <v>0</v>
      </c>
      <c r="E1252" s="112">
        <f>'OPEN FOREIGN ORDER'!AB878</f>
        <v>0</v>
      </c>
      <c r="F1252" s="112">
        <f>'OPEN FOREIGN ORDER'!AC878</f>
        <v>0</v>
      </c>
      <c r="G1252" s="112">
        <f>'OPEN FOREIGN ORDER'!AD878</f>
        <v>0</v>
      </c>
      <c r="H1252" s="112">
        <f>'OPEN FOREIGN ORDER'!AE878</f>
        <v>0</v>
      </c>
      <c r="I1252" s="112">
        <f>'OPEN FOREIGN ORDER'!AF878</f>
        <v>0</v>
      </c>
      <c r="J1252" s="112">
        <f>'OPEN FOREIGN ORDER'!AG878</f>
        <v>0</v>
      </c>
    </row>
    <row r="1253" spans="1:10">
      <c r="A1253">
        <f>'OPEN FOREIGN ORDER'!D879</f>
        <v>0</v>
      </c>
      <c r="B1253">
        <f>'OPEN FOREIGN ORDER'!F879</f>
        <v>0</v>
      </c>
      <c r="C1253">
        <f>'OPEN FOREIGN ORDER'!Z879</f>
        <v>0</v>
      </c>
      <c r="D1253" s="123">
        <f>'OPEN FOREIGN ORDER'!AA879</f>
        <v>0</v>
      </c>
      <c r="E1253" s="112">
        <f>'OPEN FOREIGN ORDER'!AB879</f>
        <v>0</v>
      </c>
      <c r="F1253" s="112">
        <f>'OPEN FOREIGN ORDER'!AC879</f>
        <v>0</v>
      </c>
      <c r="G1253" s="112">
        <f>'OPEN FOREIGN ORDER'!AD879</f>
        <v>0</v>
      </c>
      <c r="H1253" s="112">
        <f>'OPEN FOREIGN ORDER'!AE879</f>
        <v>0</v>
      </c>
      <c r="I1253" s="112">
        <f>'OPEN FOREIGN ORDER'!AF879</f>
        <v>0</v>
      </c>
      <c r="J1253" s="112">
        <f>'OPEN FOREIGN ORDER'!AG879</f>
        <v>0</v>
      </c>
    </row>
    <row r="1254" spans="1:10">
      <c r="A1254">
        <f>'OPEN FOREIGN ORDER'!D880</f>
        <v>0</v>
      </c>
      <c r="B1254">
        <f>'OPEN FOREIGN ORDER'!F880</f>
        <v>0</v>
      </c>
      <c r="C1254">
        <f>'OPEN FOREIGN ORDER'!Z880</f>
        <v>0</v>
      </c>
      <c r="D1254" s="123">
        <f>'OPEN FOREIGN ORDER'!AA880</f>
        <v>0</v>
      </c>
      <c r="E1254" s="112">
        <f>'OPEN FOREIGN ORDER'!AB880</f>
        <v>0</v>
      </c>
      <c r="F1254" s="112">
        <f>'OPEN FOREIGN ORDER'!AC880</f>
        <v>0</v>
      </c>
      <c r="G1254" s="112">
        <f>'OPEN FOREIGN ORDER'!AD880</f>
        <v>0</v>
      </c>
      <c r="H1254" s="112">
        <f>'OPEN FOREIGN ORDER'!AE880</f>
        <v>0</v>
      </c>
      <c r="I1254" s="112">
        <f>'OPEN FOREIGN ORDER'!AF880</f>
        <v>0</v>
      </c>
      <c r="J1254" s="112">
        <f>'OPEN FOREIGN ORDER'!AG880</f>
        <v>0</v>
      </c>
    </row>
    <row r="1255" spans="1:10">
      <c r="A1255">
        <f>'OPEN FOREIGN ORDER'!D881</f>
        <v>0</v>
      </c>
      <c r="B1255">
        <f>'OPEN FOREIGN ORDER'!F881</f>
        <v>0</v>
      </c>
      <c r="C1255">
        <f>'OPEN FOREIGN ORDER'!Z881</f>
        <v>0</v>
      </c>
      <c r="D1255" s="123">
        <f>'OPEN FOREIGN ORDER'!AA881</f>
        <v>0</v>
      </c>
      <c r="E1255" s="112">
        <f>'OPEN FOREIGN ORDER'!AB881</f>
        <v>0</v>
      </c>
      <c r="F1255" s="112">
        <f>'OPEN FOREIGN ORDER'!AC881</f>
        <v>0</v>
      </c>
      <c r="G1255" s="112">
        <f>'OPEN FOREIGN ORDER'!AD881</f>
        <v>0</v>
      </c>
      <c r="H1255" s="112">
        <f>'OPEN FOREIGN ORDER'!AE881</f>
        <v>0</v>
      </c>
      <c r="I1255" s="112">
        <f>'OPEN FOREIGN ORDER'!AF881</f>
        <v>0</v>
      </c>
      <c r="J1255" s="112">
        <f>'OPEN FOREIGN ORDER'!AG881</f>
        <v>0</v>
      </c>
    </row>
    <row r="1256" spans="1:10">
      <c r="A1256">
        <f>'OPEN FOREIGN ORDER'!D882</f>
        <v>0</v>
      </c>
      <c r="B1256">
        <f>'OPEN FOREIGN ORDER'!F882</f>
        <v>0</v>
      </c>
      <c r="C1256">
        <f>'OPEN FOREIGN ORDER'!Z882</f>
        <v>0</v>
      </c>
      <c r="D1256" s="123">
        <f>'OPEN FOREIGN ORDER'!AA882</f>
        <v>0</v>
      </c>
      <c r="E1256" s="112">
        <f>'OPEN FOREIGN ORDER'!AB882</f>
        <v>0</v>
      </c>
      <c r="F1256" s="112">
        <f>'OPEN FOREIGN ORDER'!AC882</f>
        <v>0</v>
      </c>
      <c r="G1256" s="112">
        <f>'OPEN FOREIGN ORDER'!AD882</f>
        <v>0</v>
      </c>
      <c r="H1256" s="112">
        <f>'OPEN FOREIGN ORDER'!AE882</f>
        <v>0</v>
      </c>
      <c r="I1256" s="112">
        <f>'OPEN FOREIGN ORDER'!AF882</f>
        <v>0</v>
      </c>
      <c r="J1256" s="112">
        <f>'OPEN FOREIGN ORDER'!AG882</f>
        <v>0</v>
      </c>
    </row>
    <row r="1257" spans="1:10">
      <c r="A1257">
        <f>'OPEN FOREIGN ORDER'!D883</f>
        <v>0</v>
      </c>
      <c r="B1257">
        <f>'OPEN FOREIGN ORDER'!F883</f>
        <v>0</v>
      </c>
      <c r="C1257">
        <f>'OPEN FOREIGN ORDER'!Z883</f>
        <v>0</v>
      </c>
      <c r="D1257" s="123">
        <f>'OPEN FOREIGN ORDER'!AA883</f>
        <v>0</v>
      </c>
      <c r="E1257" s="112">
        <f>'OPEN FOREIGN ORDER'!AB883</f>
        <v>0</v>
      </c>
      <c r="F1257" s="112">
        <f>'OPEN FOREIGN ORDER'!AC883</f>
        <v>0</v>
      </c>
      <c r="G1257" s="112">
        <f>'OPEN FOREIGN ORDER'!AD883</f>
        <v>0</v>
      </c>
      <c r="H1257" s="112">
        <f>'OPEN FOREIGN ORDER'!AE883</f>
        <v>0</v>
      </c>
      <c r="I1257" s="112">
        <f>'OPEN FOREIGN ORDER'!AF883</f>
        <v>0</v>
      </c>
      <c r="J1257" s="112">
        <f>'OPEN FOREIGN ORDER'!AG883</f>
        <v>0</v>
      </c>
    </row>
    <row r="1258" spans="1:10">
      <c r="A1258">
        <f>'OPEN FOREIGN ORDER'!D884</f>
        <v>0</v>
      </c>
      <c r="B1258">
        <f>'OPEN FOREIGN ORDER'!F884</f>
        <v>0</v>
      </c>
      <c r="C1258">
        <f>'OPEN FOREIGN ORDER'!Z884</f>
        <v>0</v>
      </c>
      <c r="D1258" s="123">
        <f>'OPEN FOREIGN ORDER'!AA884</f>
        <v>0</v>
      </c>
      <c r="E1258" s="112">
        <f>'OPEN FOREIGN ORDER'!AB884</f>
        <v>0</v>
      </c>
      <c r="F1258" s="112">
        <f>'OPEN FOREIGN ORDER'!AC884</f>
        <v>0</v>
      </c>
      <c r="G1258" s="112">
        <f>'OPEN FOREIGN ORDER'!AD884</f>
        <v>0</v>
      </c>
      <c r="H1258" s="112">
        <f>'OPEN FOREIGN ORDER'!AE884</f>
        <v>0</v>
      </c>
      <c r="I1258" s="112">
        <f>'OPEN FOREIGN ORDER'!AF884</f>
        <v>0</v>
      </c>
      <c r="J1258" s="112">
        <f>'OPEN FOREIGN ORDER'!AG884</f>
        <v>0</v>
      </c>
    </row>
    <row r="1259" spans="1:10">
      <c r="A1259">
        <f>'OPEN FOREIGN ORDER'!D885</f>
        <v>0</v>
      </c>
      <c r="B1259">
        <f>'OPEN FOREIGN ORDER'!F885</f>
        <v>0</v>
      </c>
      <c r="C1259">
        <f>'OPEN FOREIGN ORDER'!Z885</f>
        <v>0</v>
      </c>
      <c r="D1259" s="123">
        <f>'OPEN FOREIGN ORDER'!AA885</f>
        <v>0</v>
      </c>
      <c r="E1259" s="112">
        <f>'OPEN FOREIGN ORDER'!AB885</f>
        <v>0</v>
      </c>
      <c r="F1259" s="112">
        <f>'OPEN FOREIGN ORDER'!AC885</f>
        <v>0</v>
      </c>
      <c r="G1259" s="112">
        <f>'OPEN FOREIGN ORDER'!AD885</f>
        <v>0</v>
      </c>
      <c r="H1259" s="112">
        <f>'OPEN FOREIGN ORDER'!AE885</f>
        <v>0</v>
      </c>
      <c r="I1259" s="112">
        <f>'OPEN FOREIGN ORDER'!AF885</f>
        <v>0</v>
      </c>
      <c r="J1259" s="112">
        <f>'OPEN FOREIGN ORDER'!AG885</f>
        <v>0</v>
      </c>
    </row>
    <row r="1260" spans="1:10">
      <c r="A1260">
        <f>'OPEN FOREIGN ORDER'!D886</f>
        <v>0</v>
      </c>
      <c r="B1260">
        <f>'OPEN FOREIGN ORDER'!F886</f>
        <v>0</v>
      </c>
      <c r="C1260">
        <f>'OPEN FOREIGN ORDER'!Z886</f>
        <v>0</v>
      </c>
      <c r="D1260" s="123">
        <f>'OPEN FOREIGN ORDER'!AA886</f>
        <v>0</v>
      </c>
      <c r="E1260" s="112">
        <f>'OPEN FOREIGN ORDER'!AB886</f>
        <v>0</v>
      </c>
      <c r="F1260" s="112">
        <f>'OPEN FOREIGN ORDER'!AC886</f>
        <v>0</v>
      </c>
      <c r="G1260" s="112">
        <f>'OPEN FOREIGN ORDER'!AD886</f>
        <v>0</v>
      </c>
      <c r="H1260" s="112">
        <f>'OPEN FOREIGN ORDER'!AE886</f>
        <v>0</v>
      </c>
      <c r="I1260" s="112">
        <f>'OPEN FOREIGN ORDER'!AF886</f>
        <v>0</v>
      </c>
      <c r="J1260" s="112">
        <f>'OPEN FOREIGN ORDER'!AG886</f>
        <v>0</v>
      </c>
    </row>
    <row r="1261" spans="1:10">
      <c r="A1261">
        <f>'OPEN FOREIGN ORDER'!D887</f>
        <v>0</v>
      </c>
      <c r="B1261">
        <f>'OPEN FOREIGN ORDER'!F887</f>
        <v>0</v>
      </c>
      <c r="C1261">
        <f>'OPEN FOREIGN ORDER'!Z887</f>
        <v>0</v>
      </c>
      <c r="D1261" s="123">
        <f>'OPEN FOREIGN ORDER'!AA887</f>
        <v>0</v>
      </c>
      <c r="E1261" s="112">
        <f>'OPEN FOREIGN ORDER'!AB887</f>
        <v>0</v>
      </c>
      <c r="F1261" s="112">
        <f>'OPEN FOREIGN ORDER'!AC887</f>
        <v>0</v>
      </c>
      <c r="G1261" s="112">
        <f>'OPEN FOREIGN ORDER'!AD887</f>
        <v>0</v>
      </c>
      <c r="H1261" s="112">
        <f>'OPEN FOREIGN ORDER'!AE887</f>
        <v>0</v>
      </c>
      <c r="I1261" s="112">
        <f>'OPEN FOREIGN ORDER'!AF887</f>
        <v>0</v>
      </c>
      <c r="J1261" s="112">
        <f>'OPEN FOREIGN ORDER'!AG887</f>
        <v>0</v>
      </c>
    </row>
    <row r="1262" spans="1:10">
      <c r="A1262">
        <f>'OPEN FOREIGN ORDER'!D888</f>
        <v>0</v>
      </c>
      <c r="B1262">
        <f>'OPEN FOREIGN ORDER'!F888</f>
        <v>0</v>
      </c>
      <c r="C1262">
        <f>'OPEN FOREIGN ORDER'!Z888</f>
        <v>0</v>
      </c>
      <c r="D1262" s="123">
        <f>'OPEN FOREIGN ORDER'!AA888</f>
        <v>0</v>
      </c>
      <c r="E1262" s="112">
        <f>'OPEN FOREIGN ORDER'!AB888</f>
        <v>0</v>
      </c>
      <c r="F1262" s="112">
        <f>'OPEN FOREIGN ORDER'!AC888</f>
        <v>0</v>
      </c>
      <c r="G1262" s="112">
        <f>'OPEN FOREIGN ORDER'!AD888</f>
        <v>0</v>
      </c>
      <c r="H1262" s="112">
        <f>'OPEN FOREIGN ORDER'!AE888</f>
        <v>0</v>
      </c>
      <c r="I1262" s="112">
        <f>'OPEN FOREIGN ORDER'!AF888</f>
        <v>0</v>
      </c>
      <c r="J1262" s="112">
        <f>'OPEN FOREIGN ORDER'!AG888</f>
        <v>0</v>
      </c>
    </row>
    <row r="1263" spans="1:10">
      <c r="A1263">
        <f>'OPEN FOREIGN ORDER'!D889</f>
        <v>0</v>
      </c>
      <c r="B1263">
        <f>'OPEN FOREIGN ORDER'!F889</f>
        <v>0</v>
      </c>
      <c r="C1263">
        <f>'OPEN FOREIGN ORDER'!Z889</f>
        <v>0</v>
      </c>
      <c r="D1263" s="123">
        <f>'OPEN FOREIGN ORDER'!AA889</f>
        <v>0</v>
      </c>
      <c r="E1263" s="112">
        <f>'OPEN FOREIGN ORDER'!AB889</f>
        <v>0</v>
      </c>
      <c r="F1263" s="112">
        <f>'OPEN FOREIGN ORDER'!AC889</f>
        <v>0</v>
      </c>
      <c r="G1263" s="112">
        <f>'OPEN FOREIGN ORDER'!AD889</f>
        <v>0</v>
      </c>
      <c r="H1263" s="112">
        <f>'OPEN FOREIGN ORDER'!AE889</f>
        <v>0</v>
      </c>
      <c r="I1263" s="112">
        <f>'OPEN FOREIGN ORDER'!AF889</f>
        <v>0</v>
      </c>
      <c r="J1263" s="112">
        <f>'OPEN FOREIGN ORDER'!AG889</f>
        <v>0</v>
      </c>
    </row>
    <row r="1264" spans="1:10">
      <c r="A1264">
        <f>'OPEN FOREIGN ORDER'!D890</f>
        <v>0</v>
      </c>
      <c r="B1264">
        <f>'OPEN FOREIGN ORDER'!F890</f>
        <v>0</v>
      </c>
      <c r="C1264">
        <f>'OPEN FOREIGN ORDER'!Z890</f>
        <v>0</v>
      </c>
      <c r="D1264" s="123">
        <f>'OPEN FOREIGN ORDER'!AA890</f>
        <v>0</v>
      </c>
      <c r="E1264" s="112">
        <f>'OPEN FOREIGN ORDER'!AB890</f>
        <v>0</v>
      </c>
      <c r="F1264" s="112">
        <f>'OPEN FOREIGN ORDER'!AC890</f>
        <v>0</v>
      </c>
      <c r="G1264" s="112">
        <f>'OPEN FOREIGN ORDER'!AD890</f>
        <v>0</v>
      </c>
      <c r="H1264" s="112">
        <f>'OPEN FOREIGN ORDER'!AE890</f>
        <v>0</v>
      </c>
      <c r="I1264" s="112">
        <f>'OPEN FOREIGN ORDER'!AF890</f>
        <v>0</v>
      </c>
      <c r="J1264" s="112">
        <f>'OPEN FOREIGN ORDER'!AG890</f>
        <v>0</v>
      </c>
    </row>
    <row r="1265" spans="1:10">
      <c r="A1265">
        <f>'OPEN FOREIGN ORDER'!D891</f>
        <v>0</v>
      </c>
      <c r="B1265">
        <f>'OPEN FOREIGN ORDER'!F891</f>
        <v>0</v>
      </c>
      <c r="C1265">
        <f>'OPEN FOREIGN ORDER'!Z891</f>
        <v>0</v>
      </c>
      <c r="D1265" s="123">
        <f>'OPEN FOREIGN ORDER'!AA891</f>
        <v>0</v>
      </c>
      <c r="E1265" s="112">
        <f>'OPEN FOREIGN ORDER'!AB891</f>
        <v>0</v>
      </c>
      <c r="F1265" s="112">
        <f>'OPEN FOREIGN ORDER'!AC891</f>
        <v>0</v>
      </c>
      <c r="G1265" s="112">
        <f>'OPEN FOREIGN ORDER'!AD891</f>
        <v>0</v>
      </c>
      <c r="H1265" s="112">
        <f>'OPEN FOREIGN ORDER'!AE891</f>
        <v>0</v>
      </c>
      <c r="I1265" s="112">
        <f>'OPEN FOREIGN ORDER'!AF891</f>
        <v>0</v>
      </c>
      <c r="J1265" s="112">
        <f>'OPEN FOREIGN ORDER'!AG891</f>
        <v>0</v>
      </c>
    </row>
    <row r="1266" spans="1:10">
      <c r="A1266">
        <f>'OPEN FOREIGN ORDER'!D892</f>
        <v>0</v>
      </c>
      <c r="B1266">
        <f>'OPEN FOREIGN ORDER'!F892</f>
        <v>0</v>
      </c>
      <c r="C1266">
        <f>'OPEN FOREIGN ORDER'!Z892</f>
        <v>0</v>
      </c>
      <c r="D1266" s="123">
        <f>'OPEN FOREIGN ORDER'!AA892</f>
        <v>0</v>
      </c>
      <c r="E1266" s="112">
        <f>'OPEN FOREIGN ORDER'!AB892</f>
        <v>0</v>
      </c>
      <c r="F1266" s="112">
        <f>'OPEN FOREIGN ORDER'!AC892</f>
        <v>0</v>
      </c>
      <c r="G1266" s="112">
        <f>'OPEN FOREIGN ORDER'!AD892</f>
        <v>0</v>
      </c>
      <c r="H1266" s="112">
        <f>'OPEN FOREIGN ORDER'!AE892</f>
        <v>0</v>
      </c>
      <c r="I1266" s="112">
        <f>'OPEN FOREIGN ORDER'!AF892</f>
        <v>0</v>
      </c>
      <c r="J1266" s="112">
        <f>'OPEN FOREIGN ORDER'!AG892</f>
        <v>0</v>
      </c>
    </row>
    <row r="1267" spans="1:10">
      <c r="A1267">
        <f>'OPEN FOREIGN ORDER'!D893</f>
        <v>0</v>
      </c>
      <c r="B1267">
        <f>'OPEN FOREIGN ORDER'!F893</f>
        <v>0</v>
      </c>
      <c r="C1267">
        <f>'OPEN FOREIGN ORDER'!Z893</f>
        <v>0</v>
      </c>
      <c r="D1267" s="123">
        <f>'OPEN FOREIGN ORDER'!AA893</f>
        <v>0</v>
      </c>
      <c r="E1267" s="112">
        <f>'OPEN FOREIGN ORDER'!AB893</f>
        <v>0</v>
      </c>
      <c r="F1267" s="112">
        <f>'OPEN FOREIGN ORDER'!AC893</f>
        <v>0</v>
      </c>
      <c r="G1267" s="112">
        <f>'OPEN FOREIGN ORDER'!AD893</f>
        <v>0</v>
      </c>
      <c r="H1267" s="112">
        <f>'OPEN FOREIGN ORDER'!AE893</f>
        <v>0</v>
      </c>
      <c r="I1267" s="112">
        <f>'OPEN FOREIGN ORDER'!AF893</f>
        <v>0</v>
      </c>
      <c r="J1267" s="112">
        <f>'OPEN FOREIGN ORDER'!AG893</f>
        <v>0</v>
      </c>
    </row>
    <row r="1268" spans="1:10">
      <c r="A1268">
        <f>'OPEN FOREIGN ORDER'!D894</f>
        <v>0</v>
      </c>
      <c r="B1268">
        <f>'OPEN FOREIGN ORDER'!F894</f>
        <v>0</v>
      </c>
      <c r="C1268">
        <f>'OPEN FOREIGN ORDER'!Z894</f>
        <v>0</v>
      </c>
      <c r="D1268" s="123">
        <f>'OPEN FOREIGN ORDER'!AA894</f>
        <v>0</v>
      </c>
      <c r="E1268" s="112">
        <f>'OPEN FOREIGN ORDER'!AB894</f>
        <v>0</v>
      </c>
      <c r="F1268" s="112">
        <f>'OPEN FOREIGN ORDER'!AC894</f>
        <v>0</v>
      </c>
      <c r="G1268" s="112">
        <f>'OPEN FOREIGN ORDER'!AD894</f>
        <v>0</v>
      </c>
      <c r="H1268" s="112">
        <f>'OPEN FOREIGN ORDER'!AE894</f>
        <v>0</v>
      </c>
      <c r="I1268" s="112">
        <f>'OPEN FOREIGN ORDER'!AF894</f>
        <v>0</v>
      </c>
      <c r="J1268" s="112">
        <f>'OPEN FOREIGN ORDER'!AG894</f>
        <v>0</v>
      </c>
    </row>
    <row r="1269" spans="1:10">
      <c r="A1269">
        <f>'OPEN FOREIGN ORDER'!D895</f>
        <v>0</v>
      </c>
      <c r="B1269">
        <f>'OPEN FOREIGN ORDER'!F895</f>
        <v>0</v>
      </c>
      <c r="C1269">
        <f>'OPEN FOREIGN ORDER'!Z895</f>
        <v>0</v>
      </c>
      <c r="D1269" s="123">
        <f>'OPEN FOREIGN ORDER'!AA895</f>
        <v>0</v>
      </c>
      <c r="E1269" s="112">
        <f>'OPEN FOREIGN ORDER'!AB895</f>
        <v>0</v>
      </c>
      <c r="F1269" s="112">
        <f>'OPEN FOREIGN ORDER'!AC895</f>
        <v>0</v>
      </c>
      <c r="G1269" s="112">
        <f>'OPEN FOREIGN ORDER'!AD895</f>
        <v>0</v>
      </c>
      <c r="H1269" s="112">
        <f>'OPEN FOREIGN ORDER'!AE895</f>
        <v>0</v>
      </c>
      <c r="I1269" s="112">
        <f>'OPEN FOREIGN ORDER'!AF895</f>
        <v>0</v>
      </c>
      <c r="J1269" s="112">
        <f>'OPEN FOREIGN ORDER'!AG895</f>
        <v>0</v>
      </c>
    </row>
    <row r="1270" spans="1:10">
      <c r="A1270">
        <f>'OPEN FOREIGN ORDER'!D896</f>
        <v>0</v>
      </c>
      <c r="B1270">
        <f>'OPEN FOREIGN ORDER'!F896</f>
        <v>0</v>
      </c>
      <c r="C1270">
        <f>'OPEN FOREIGN ORDER'!Z896</f>
        <v>0</v>
      </c>
      <c r="D1270" s="123">
        <f>'OPEN FOREIGN ORDER'!AA896</f>
        <v>0</v>
      </c>
      <c r="E1270" s="112">
        <f>'OPEN FOREIGN ORDER'!AB896</f>
        <v>0</v>
      </c>
      <c r="F1270" s="112">
        <f>'OPEN FOREIGN ORDER'!AC896</f>
        <v>0</v>
      </c>
      <c r="G1270" s="112">
        <f>'OPEN FOREIGN ORDER'!AD896</f>
        <v>0</v>
      </c>
      <c r="H1270" s="112">
        <f>'OPEN FOREIGN ORDER'!AE896</f>
        <v>0</v>
      </c>
      <c r="I1270" s="112">
        <f>'OPEN FOREIGN ORDER'!AF896</f>
        <v>0</v>
      </c>
      <c r="J1270" s="112">
        <f>'OPEN FOREIGN ORDER'!AG896</f>
        <v>0</v>
      </c>
    </row>
    <row r="1271" spans="1:10">
      <c r="A1271">
        <f>'OPEN FOREIGN ORDER'!D897</f>
        <v>0</v>
      </c>
      <c r="B1271">
        <f>'OPEN FOREIGN ORDER'!F897</f>
        <v>0</v>
      </c>
      <c r="C1271">
        <f>'OPEN FOREIGN ORDER'!Z897</f>
        <v>0</v>
      </c>
      <c r="D1271" s="123">
        <f>'OPEN FOREIGN ORDER'!AA897</f>
        <v>0</v>
      </c>
      <c r="E1271" s="112">
        <f>'OPEN FOREIGN ORDER'!AB897</f>
        <v>0</v>
      </c>
      <c r="F1271" s="112">
        <f>'OPEN FOREIGN ORDER'!AC897</f>
        <v>0</v>
      </c>
      <c r="G1271" s="112">
        <f>'OPEN FOREIGN ORDER'!AD897</f>
        <v>0</v>
      </c>
      <c r="H1271" s="112">
        <f>'OPEN FOREIGN ORDER'!AE897</f>
        <v>0</v>
      </c>
      <c r="I1271" s="112">
        <f>'OPEN FOREIGN ORDER'!AF897</f>
        <v>0</v>
      </c>
      <c r="J1271" s="112">
        <f>'OPEN FOREIGN ORDER'!AG897</f>
        <v>0</v>
      </c>
    </row>
    <row r="1272" spans="1:10">
      <c r="A1272">
        <f>'OPEN FOREIGN ORDER'!D898</f>
        <v>0</v>
      </c>
      <c r="B1272">
        <f>'OPEN FOREIGN ORDER'!F898</f>
        <v>0</v>
      </c>
      <c r="C1272">
        <f>'OPEN FOREIGN ORDER'!Z898</f>
        <v>0</v>
      </c>
      <c r="D1272" s="123">
        <f>'OPEN FOREIGN ORDER'!AA898</f>
        <v>0</v>
      </c>
      <c r="E1272" s="112">
        <f>'OPEN FOREIGN ORDER'!AB898</f>
        <v>0</v>
      </c>
      <c r="F1272" s="112">
        <f>'OPEN FOREIGN ORDER'!AC898</f>
        <v>0</v>
      </c>
      <c r="G1272" s="112">
        <f>'OPEN FOREIGN ORDER'!AD898</f>
        <v>0</v>
      </c>
      <c r="H1272" s="112">
        <f>'OPEN FOREIGN ORDER'!AE898</f>
        <v>0</v>
      </c>
      <c r="I1272" s="112">
        <f>'OPEN FOREIGN ORDER'!AF898</f>
        <v>0</v>
      </c>
      <c r="J1272" s="112">
        <f>'OPEN FOREIGN ORDER'!AG898</f>
        <v>0</v>
      </c>
    </row>
    <row r="1273" spans="1:10">
      <c r="A1273">
        <f>'OPEN FOREIGN ORDER'!D899</f>
        <v>0</v>
      </c>
      <c r="B1273">
        <f>'OPEN FOREIGN ORDER'!F899</f>
        <v>0</v>
      </c>
      <c r="C1273">
        <f>'OPEN FOREIGN ORDER'!Z899</f>
        <v>0</v>
      </c>
      <c r="D1273" s="123">
        <f>'OPEN FOREIGN ORDER'!AA899</f>
        <v>0</v>
      </c>
      <c r="E1273" s="112">
        <f>'OPEN FOREIGN ORDER'!AB899</f>
        <v>0</v>
      </c>
      <c r="F1273" s="112">
        <f>'OPEN FOREIGN ORDER'!AC899</f>
        <v>0</v>
      </c>
      <c r="G1273" s="112">
        <f>'OPEN FOREIGN ORDER'!AD899</f>
        <v>0</v>
      </c>
      <c r="H1273" s="112">
        <f>'OPEN FOREIGN ORDER'!AE899</f>
        <v>0</v>
      </c>
      <c r="I1273" s="112">
        <f>'OPEN FOREIGN ORDER'!AF899</f>
        <v>0</v>
      </c>
      <c r="J1273" s="112">
        <f>'OPEN FOREIGN ORDER'!AG899</f>
        <v>0</v>
      </c>
    </row>
    <row r="1274" spans="1:10">
      <c r="A1274">
        <f>'OPEN FOREIGN ORDER'!D900</f>
        <v>0</v>
      </c>
      <c r="B1274">
        <f>'OPEN FOREIGN ORDER'!F900</f>
        <v>0</v>
      </c>
      <c r="C1274">
        <f>'OPEN FOREIGN ORDER'!Z900</f>
        <v>0</v>
      </c>
      <c r="D1274" s="123">
        <f>'OPEN FOREIGN ORDER'!AA900</f>
        <v>0</v>
      </c>
      <c r="E1274" s="112">
        <f>'OPEN FOREIGN ORDER'!AB900</f>
        <v>0</v>
      </c>
      <c r="F1274" s="112">
        <f>'OPEN FOREIGN ORDER'!AC900</f>
        <v>0</v>
      </c>
      <c r="G1274" s="112">
        <f>'OPEN FOREIGN ORDER'!AD900</f>
        <v>0</v>
      </c>
      <c r="H1274" s="112">
        <f>'OPEN FOREIGN ORDER'!AE900</f>
        <v>0</v>
      </c>
      <c r="I1274" s="112">
        <f>'OPEN FOREIGN ORDER'!AF900</f>
        <v>0</v>
      </c>
      <c r="J1274" s="112">
        <f>'OPEN FOREIGN ORDER'!AG900</f>
        <v>0</v>
      </c>
    </row>
    <row r="1275" spans="1:10">
      <c r="A1275">
        <f>'OPEN FOREIGN ORDER'!D901</f>
        <v>0</v>
      </c>
      <c r="B1275">
        <f>'OPEN FOREIGN ORDER'!F901</f>
        <v>0</v>
      </c>
      <c r="C1275">
        <f>'OPEN FOREIGN ORDER'!Z901</f>
        <v>0</v>
      </c>
      <c r="D1275" s="123">
        <f>'OPEN FOREIGN ORDER'!AA901</f>
        <v>0</v>
      </c>
      <c r="E1275" s="112">
        <f>'OPEN FOREIGN ORDER'!AB901</f>
        <v>0</v>
      </c>
      <c r="F1275" s="112">
        <f>'OPEN FOREIGN ORDER'!AC901</f>
        <v>0</v>
      </c>
      <c r="G1275" s="112">
        <f>'OPEN FOREIGN ORDER'!AD901</f>
        <v>0</v>
      </c>
      <c r="H1275" s="112">
        <f>'OPEN FOREIGN ORDER'!AE901</f>
        <v>0</v>
      </c>
      <c r="I1275" s="112">
        <f>'OPEN FOREIGN ORDER'!AF901</f>
        <v>0</v>
      </c>
      <c r="J1275" s="112">
        <f>'OPEN FOREIGN ORDER'!AG901</f>
        <v>0</v>
      </c>
    </row>
    <row r="1276" spans="1:10">
      <c r="A1276">
        <f>'OPEN FOREIGN ORDER'!D902</f>
        <v>0</v>
      </c>
      <c r="B1276">
        <f>'OPEN FOREIGN ORDER'!F902</f>
        <v>0</v>
      </c>
      <c r="C1276">
        <f>'OPEN FOREIGN ORDER'!Z902</f>
        <v>0</v>
      </c>
      <c r="D1276" s="123">
        <f>'OPEN FOREIGN ORDER'!AA902</f>
        <v>0</v>
      </c>
      <c r="E1276" s="112">
        <f>'OPEN FOREIGN ORDER'!AB902</f>
        <v>0</v>
      </c>
      <c r="F1276" s="112">
        <f>'OPEN FOREIGN ORDER'!AC902</f>
        <v>0</v>
      </c>
      <c r="G1276" s="112">
        <f>'OPEN FOREIGN ORDER'!AD902</f>
        <v>0</v>
      </c>
      <c r="H1276" s="112">
        <f>'OPEN FOREIGN ORDER'!AE902</f>
        <v>0</v>
      </c>
      <c r="I1276" s="112">
        <f>'OPEN FOREIGN ORDER'!AF902</f>
        <v>0</v>
      </c>
      <c r="J1276" s="112">
        <f>'OPEN FOREIGN ORDER'!AG902</f>
        <v>0</v>
      </c>
    </row>
    <row r="1277" spans="1:10">
      <c r="A1277">
        <f>'OPEN FOREIGN ORDER'!D903</f>
        <v>0</v>
      </c>
      <c r="B1277">
        <f>'OPEN FOREIGN ORDER'!F903</f>
        <v>0</v>
      </c>
      <c r="C1277">
        <f>'OPEN FOREIGN ORDER'!Z903</f>
        <v>0</v>
      </c>
      <c r="D1277" s="123">
        <f>'OPEN FOREIGN ORDER'!AA903</f>
        <v>0</v>
      </c>
      <c r="E1277" s="112">
        <f>'OPEN FOREIGN ORDER'!AB903</f>
        <v>0</v>
      </c>
      <c r="F1277" s="112">
        <f>'OPEN FOREIGN ORDER'!AC903</f>
        <v>0</v>
      </c>
      <c r="G1277" s="112">
        <f>'OPEN FOREIGN ORDER'!AD903</f>
        <v>0</v>
      </c>
      <c r="H1277" s="112">
        <f>'OPEN FOREIGN ORDER'!AE903</f>
        <v>0</v>
      </c>
      <c r="I1277" s="112">
        <f>'OPEN FOREIGN ORDER'!AF903</f>
        <v>0</v>
      </c>
      <c r="J1277" s="112">
        <f>'OPEN FOREIGN ORDER'!AG903</f>
        <v>0</v>
      </c>
    </row>
    <row r="1278" spans="1:10">
      <c r="A1278">
        <f>'OPEN FOREIGN ORDER'!D904</f>
        <v>0</v>
      </c>
      <c r="B1278">
        <f>'OPEN FOREIGN ORDER'!F904</f>
        <v>0</v>
      </c>
      <c r="C1278">
        <f>'OPEN FOREIGN ORDER'!Z904</f>
        <v>0</v>
      </c>
      <c r="D1278" s="123">
        <f>'OPEN FOREIGN ORDER'!AA904</f>
        <v>0</v>
      </c>
      <c r="E1278" s="112">
        <f>'OPEN FOREIGN ORDER'!AB904</f>
        <v>0</v>
      </c>
      <c r="F1278" s="112">
        <f>'OPEN FOREIGN ORDER'!AC904</f>
        <v>0</v>
      </c>
      <c r="G1278" s="112">
        <f>'OPEN FOREIGN ORDER'!AD904</f>
        <v>0</v>
      </c>
      <c r="H1278" s="112">
        <f>'OPEN FOREIGN ORDER'!AE904</f>
        <v>0</v>
      </c>
      <c r="I1278" s="112">
        <f>'OPEN FOREIGN ORDER'!AF904</f>
        <v>0</v>
      </c>
      <c r="J1278" s="112">
        <f>'OPEN FOREIGN ORDER'!AG904</f>
        <v>0</v>
      </c>
    </row>
    <row r="1279" spans="1:10">
      <c r="A1279">
        <f>'OPEN FOREIGN ORDER'!D905</f>
        <v>0</v>
      </c>
      <c r="B1279">
        <f>'OPEN FOREIGN ORDER'!F905</f>
        <v>0</v>
      </c>
      <c r="C1279">
        <f>'OPEN FOREIGN ORDER'!Z905</f>
        <v>0</v>
      </c>
      <c r="D1279" s="123">
        <f>'OPEN FOREIGN ORDER'!AA905</f>
        <v>0</v>
      </c>
      <c r="E1279" s="112">
        <f>'OPEN FOREIGN ORDER'!AB905</f>
        <v>0</v>
      </c>
      <c r="F1279" s="112">
        <f>'OPEN FOREIGN ORDER'!AC905</f>
        <v>0</v>
      </c>
      <c r="G1279" s="112">
        <f>'OPEN FOREIGN ORDER'!AD905</f>
        <v>0</v>
      </c>
      <c r="H1279" s="112">
        <f>'OPEN FOREIGN ORDER'!AE905</f>
        <v>0</v>
      </c>
      <c r="I1279" s="112">
        <f>'OPEN FOREIGN ORDER'!AF905</f>
        <v>0</v>
      </c>
      <c r="J1279" s="112">
        <f>'OPEN FOREIGN ORDER'!AG905</f>
        <v>0</v>
      </c>
    </row>
    <row r="1280" spans="1:10">
      <c r="A1280">
        <f>'OPEN FOREIGN ORDER'!D906</f>
        <v>0</v>
      </c>
      <c r="B1280">
        <f>'OPEN FOREIGN ORDER'!F906</f>
        <v>0</v>
      </c>
      <c r="C1280">
        <f>'OPEN FOREIGN ORDER'!Z906</f>
        <v>0</v>
      </c>
      <c r="D1280" s="123">
        <f>'OPEN FOREIGN ORDER'!AA906</f>
        <v>0</v>
      </c>
      <c r="E1280" s="112">
        <f>'OPEN FOREIGN ORDER'!AB906</f>
        <v>0</v>
      </c>
      <c r="F1280" s="112">
        <f>'OPEN FOREIGN ORDER'!AC906</f>
        <v>0</v>
      </c>
      <c r="G1280" s="112">
        <f>'OPEN FOREIGN ORDER'!AD906</f>
        <v>0</v>
      </c>
      <c r="H1280" s="112">
        <f>'OPEN FOREIGN ORDER'!AE906</f>
        <v>0</v>
      </c>
      <c r="I1280" s="112">
        <f>'OPEN FOREIGN ORDER'!AF906</f>
        <v>0</v>
      </c>
      <c r="J1280" s="112">
        <f>'OPEN FOREIGN ORDER'!AG906</f>
        <v>0</v>
      </c>
    </row>
    <row r="1281" spans="1:10">
      <c r="A1281">
        <f>'OPEN FOREIGN ORDER'!D907</f>
        <v>0</v>
      </c>
      <c r="B1281">
        <f>'OPEN FOREIGN ORDER'!F907</f>
        <v>0</v>
      </c>
      <c r="C1281">
        <f>'OPEN FOREIGN ORDER'!Z907</f>
        <v>0</v>
      </c>
      <c r="D1281" s="123">
        <f>'OPEN FOREIGN ORDER'!AA907</f>
        <v>0</v>
      </c>
      <c r="E1281" s="112">
        <f>'OPEN FOREIGN ORDER'!AB907</f>
        <v>0</v>
      </c>
      <c r="F1281" s="112">
        <f>'OPEN FOREIGN ORDER'!AC907</f>
        <v>0</v>
      </c>
      <c r="G1281" s="112">
        <f>'OPEN FOREIGN ORDER'!AD907</f>
        <v>0</v>
      </c>
      <c r="H1281" s="112">
        <f>'OPEN FOREIGN ORDER'!AE907</f>
        <v>0</v>
      </c>
      <c r="I1281" s="112">
        <f>'OPEN FOREIGN ORDER'!AF907</f>
        <v>0</v>
      </c>
      <c r="J1281" s="112">
        <f>'OPEN FOREIGN ORDER'!AG907</f>
        <v>0</v>
      </c>
    </row>
    <row r="1282" spans="1:10">
      <c r="A1282">
        <f>'OPEN FOREIGN ORDER'!D908</f>
        <v>0</v>
      </c>
      <c r="B1282">
        <f>'OPEN FOREIGN ORDER'!F908</f>
        <v>0</v>
      </c>
      <c r="C1282">
        <f>'OPEN FOREIGN ORDER'!Z908</f>
        <v>0</v>
      </c>
      <c r="D1282" s="123">
        <f>'OPEN FOREIGN ORDER'!AA908</f>
        <v>0</v>
      </c>
      <c r="E1282" s="112">
        <f>'OPEN FOREIGN ORDER'!AB908</f>
        <v>0</v>
      </c>
      <c r="F1282" s="112">
        <f>'OPEN FOREIGN ORDER'!AC908</f>
        <v>0</v>
      </c>
      <c r="G1282" s="112">
        <f>'OPEN FOREIGN ORDER'!AD908</f>
        <v>0</v>
      </c>
      <c r="H1282" s="112">
        <f>'OPEN FOREIGN ORDER'!AE908</f>
        <v>0</v>
      </c>
      <c r="I1282" s="112">
        <f>'OPEN FOREIGN ORDER'!AF908</f>
        <v>0</v>
      </c>
      <c r="J1282" s="112">
        <f>'OPEN FOREIGN ORDER'!AG908</f>
        <v>0</v>
      </c>
    </row>
    <row r="1283" spans="1:10">
      <c r="A1283">
        <f>'OPEN FOREIGN ORDER'!D909</f>
        <v>0</v>
      </c>
      <c r="B1283">
        <f>'OPEN FOREIGN ORDER'!F909</f>
        <v>0</v>
      </c>
      <c r="C1283">
        <f>'OPEN FOREIGN ORDER'!Z909</f>
        <v>0</v>
      </c>
      <c r="D1283" s="123">
        <f>'OPEN FOREIGN ORDER'!AA909</f>
        <v>0</v>
      </c>
      <c r="E1283" s="112">
        <f>'OPEN FOREIGN ORDER'!AB909</f>
        <v>0</v>
      </c>
      <c r="F1283" s="112">
        <f>'OPEN FOREIGN ORDER'!AC909</f>
        <v>0</v>
      </c>
      <c r="G1283" s="112">
        <f>'OPEN FOREIGN ORDER'!AD909</f>
        <v>0</v>
      </c>
      <c r="H1283" s="112">
        <f>'OPEN FOREIGN ORDER'!AE909</f>
        <v>0</v>
      </c>
      <c r="I1283" s="112">
        <f>'OPEN FOREIGN ORDER'!AF909</f>
        <v>0</v>
      </c>
      <c r="J1283" s="112">
        <f>'OPEN FOREIGN ORDER'!AG909</f>
        <v>0</v>
      </c>
    </row>
    <row r="1284" spans="1:10">
      <c r="A1284">
        <f>'OPEN FOREIGN ORDER'!D910</f>
        <v>0</v>
      </c>
      <c r="B1284">
        <f>'OPEN FOREIGN ORDER'!F910</f>
        <v>0</v>
      </c>
      <c r="C1284">
        <f>'OPEN FOREIGN ORDER'!Z910</f>
        <v>0</v>
      </c>
      <c r="D1284" s="123">
        <f>'OPEN FOREIGN ORDER'!AA910</f>
        <v>0</v>
      </c>
      <c r="E1284" s="112">
        <f>'OPEN FOREIGN ORDER'!AB910</f>
        <v>0</v>
      </c>
      <c r="F1284" s="112">
        <f>'OPEN FOREIGN ORDER'!AC910</f>
        <v>0</v>
      </c>
      <c r="G1284" s="112">
        <f>'OPEN FOREIGN ORDER'!AD910</f>
        <v>0</v>
      </c>
      <c r="H1284" s="112">
        <f>'OPEN FOREIGN ORDER'!AE910</f>
        <v>0</v>
      </c>
      <c r="I1284" s="112">
        <f>'OPEN FOREIGN ORDER'!AF910</f>
        <v>0</v>
      </c>
      <c r="J1284" s="112">
        <f>'OPEN FOREIGN ORDER'!AG910</f>
        <v>0</v>
      </c>
    </row>
    <row r="1285" spans="1:10">
      <c r="A1285">
        <f>'OPEN FOREIGN ORDER'!D911</f>
        <v>0</v>
      </c>
      <c r="B1285">
        <f>'OPEN FOREIGN ORDER'!F911</f>
        <v>0</v>
      </c>
      <c r="C1285">
        <f>'OPEN FOREIGN ORDER'!Z911</f>
        <v>0</v>
      </c>
      <c r="D1285" s="123">
        <f>'OPEN FOREIGN ORDER'!AA911</f>
        <v>0</v>
      </c>
      <c r="E1285" s="112">
        <f>'OPEN FOREIGN ORDER'!AB911</f>
        <v>0</v>
      </c>
      <c r="F1285" s="112">
        <f>'OPEN FOREIGN ORDER'!AC911</f>
        <v>0</v>
      </c>
      <c r="G1285" s="112">
        <f>'OPEN FOREIGN ORDER'!AD911</f>
        <v>0</v>
      </c>
      <c r="H1285" s="112">
        <f>'OPEN FOREIGN ORDER'!AE911</f>
        <v>0</v>
      </c>
      <c r="I1285" s="112">
        <f>'OPEN FOREIGN ORDER'!AF911</f>
        <v>0</v>
      </c>
      <c r="J1285" s="112">
        <f>'OPEN FOREIGN ORDER'!AG911</f>
        <v>0</v>
      </c>
    </row>
    <row r="1286" spans="1:10">
      <c r="A1286">
        <f>'OPEN FOREIGN ORDER'!D912</f>
        <v>0</v>
      </c>
      <c r="B1286">
        <f>'OPEN FOREIGN ORDER'!F912</f>
        <v>0</v>
      </c>
      <c r="C1286">
        <f>'OPEN FOREIGN ORDER'!Z912</f>
        <v>0</v>
      </c>
      <c r="D1286" s="123">
        <f>'OPEN FOREIGN ORDER'!AA912</f>
        <v>0</v>
      </c>
      <c r="E1286" s="112">
        <f>'OPEN FOREIGN ORDER'!AB912</f>
        <v>0</v>
      </c>
      <c r="F1286" s="112">
        <f>'OPEN FOREIGN ORDER'!AC912</f>
        <v>0</v>
      </c>
      <c r="G1286" s="112">
        <f>'OPEN FOREIGN ORDER'!AD912</f>
        <v>0</v>
      </c>
      <c r="H1286" s="112">
        <f>'OPEN FOREIGN ORDER'!AE912</f>
        <v>0</v>
      </c>
      <c r="I1286" s="112">
        <f>'OPEN FOREIGN ORDER'!AF912</f>
        <v>0</v>
      </c>
      <c r="J1286" s="112">
        <f>'OPEN FOREIGN ORDER'!AG912</f>
        <v>0</v>
      </c>
    </row>
    <row r="1287" spans="1:10">
      <c r="A1287">
        <f>'OPEN FOREIGN ORDER'!D913</f>
        <v>0</v>
      </c>
      <c r="B1287">
        <f>'OPEN FOREIGN ORDER'!F913</f>
        <v>0</v>
      </c>
      <c r="C1287">
        <f>'OPEN FOREIGN ORDER'!Z913</f>
        <v>0</v>
      </c>
      <c r="D1287" s="123">
        <f>'OPEN FOREIGN ORDER'!AA913</f>
        <v>0</v>
      </c>
      <c r="E1287" s="112">
        <f>'OPEN FOREIGN ORDER'!AB913</f>
        <v>0</v>
      </c>
      <c r="F1287" s="112">
        <f>'OPEN FOREIGN ORDER'!AC913</f>
        <v>0</v>
      </c>
      <c r="G1287" s="112">
        <f>'OPEN FOREIGN ORDER'!AD913</f>
        <v>0</v>
      </c>
      <c r="H1287" s="112">
        <f>'OPEN FOREIGN ORDER'!AE913</f>
        <v>0</v>
      </c>
      <c r="I1287" s="112">
        <f>'OPEN FOREIGN ORDER'!AF913</f>
        <v>0</v>
      </c>
      <c r="J1287" s="112">
        <f>'OPEN FOREIGN ORDER'!AG913</f>
        <v>0</v>
      </c>
    </row>
    <row r="1288" spans="1:10">
      <c r="A1288">
        <f>'OPEN FOREIGN ORDER'!D914</f>
        <v>0</v>
      </c>
      <c r="B1288">
        <f>'OPEN FOREIGN ORDER'!F914</f>
        <v>0</v>
      </c>
      <c r="C1288">
        <f>'OPEN FOREIGN ORDER'!Z914</f>
        <v>0</v>
      </c>
      <c r="D1288" s="123">
        <f>'OPEN FOREIGN ORDER'!AA914</f>
        <v>0</v>
      </c>
      <c r="E1288" s="112">
        <f>'OPEN FOREIGN ORDER'!AB914</f>
        <v>0</v>
      </c>
      <c r="F1288" s="112">
        <f>'OPEN FOREIGN ORDER'!AC914</f>
        <v>0</v>
      </c>
      <c r="G1288" s="112">
        <f>'OPEN FOREIGN ORDER'!AD914</f>
        <v>0</v>
      </c>
      <c r="H1288" s="112">
        <f>'OPEN FOREIGN ORDER'!AE914</f>
        <v>0</v>
      </c>
      <c r="I1288" s="112">
        <f>'OPEN FOREIGN ORDER'!AF914</f>
        <v>0</v>
      </c>
      <c r="J1288" s="112">
        <f>'OPEN FOREIGN ORDER'!AG914</f>
        <v>0</v>
      </c>
    </row>
    <row r="1289" spans="1:10">
      <c r="A1289">
        <f>'OPEN FOREIGN ORDER'!D915</f>
        <v>0</v>
      </c>
      <c r="B1289">
        <f>'OPEN FOREIGN ORDER'!F915</f>
        <v>0</v>
      </c>
      <c r="C1289">
        <f>'OPEN FOREIGN ORDER'!Z915</f>
        <v>0</v>
      </c>
      <c r="D1289" s="123">
        <f>'OPEN FOREIGN ORDER'!AA915</f>
        <v>0</v>
      </c>
      <c r="E1289" s="112">
        <f>'OPEN FOREIGN ORDER'!AB915</f>
        <v>0</v>
      </c>
      <c r="F1289" s="112">
        <f>'OPEN FOREIGN ORDER'!AC915</f>
        <v>0</v>
      </c>
      <c r="G1289" s="112">
        <f>'OPEN FOREIGN ORDER'!AD915</f>
        <v>0</v>
      </c>
      <c r="H1289" s="112">
        <f>'OPEN FOREIGN ORDER'!AE915</f>
        <v>0</v>
      </c>
      <c r="I1289" s="112">
        <f>'OPEN FOREIGN ORDER'!AF915</f>
        <v>0</v>
      </c>
      <c r="J1289" s="112">
        <f>'OPEN FOREIGN ORDER'!AG915</f>
        <v>0</v>
      </c>
    </row>
    <row r="1290" spans="1:10">
      <c r="A1290">
        <f>'OPEN FOREIGN ORDER'!D916</f>
        <v>0</v>
      </c>
      <c r="B1290">
        <f>'OPEN FOREIGN ORDER'!F916</f>
        <v>0</v>
      </c>
      <c r="C1290">
        <f>'OPEN FOREIGN ORDER'!Z916</f>
        <v>0</v>
      </c>
      <c r="D1290" s="123">
        <f>'OPEN FOREIGN ORDER'!AA916</f>
        <v>0</v>
      </c>
      <c r="E1290" s="112">
        <f>'OPEN FOREIGN ORDER'!AB916</f>
        <v>0</v>
      </c>
      <c r="F1290" s="112">
        <f>'OPEN FOREIGN ORDER'!AC916</f>
        <v>0</v>
      </c>
      <c r="G1290" s="112">
        <f>'OPEN FOREIGN ORDER'!AD916</f>
        <v>0</v>
      </c>
      <c r="H1290" s="112">
        <f>'OPEN FOREIGN ORDER'!AE916</f>
        <v>0</v>
      </c>
      <c r="I1290" s="112">
        <f>'OPEN FOREIGN ORDER'!AF916</f>
        <v>0</v>
      </c>
      <c r="J1290" s="112">
        <f>'OPEN FOREIGN ORDER'!AG916</f>
        <v>0</v>
      </c>
    </row>
    <row r="1291" spans="1:10">
      <c r="A1291">
        <f>'OPEN FOREIGN ORDER'!D917</f>
        <v>0</v>
      </c>
      <c r="B1291">
        <f>'OPEN FOREIGN ORDER'!F917</f>
        <v>0</v>
      </c>
      <c r="C1291">
        <f>'OPEN FOREIGN ORDER'!Z917</f>
        <v>0</v>
      </c>
      <c r="D1291" s="123">
        <f>'OPEN FOREIGN ORDER'!AA917</f>
        <v>0</v>
      </c>
      <c r="E1291" s="112">
        <f>'OPEN FOREIGN ORDER'!AB917</f>
        <v>0</v>
      </c>
      <c r="F1291" s="112">
        <f>'OPEN FOREIGN ORDER'!AC917</f>
        <v>0</v>
      </c>
      <c r="G1291" s="112">
        <f>'OPEN FOREIGN ORDER'!AD917</f>
        <v>0</v>
      </c>
      <c r="H1291" s="112">
        <f>'OPEN FOREIGN ORDER'!AE917</f>
        <v>0</v>
      </c>
      <c r="I1291" s="112">
        <f>'OPEN FOREIGN ORDER'!AF917</f>
        <v>0</v>
      </c>
      <c r="J1291" s="112">
        <f>'OPEN FOREIGN ORDER'!AG917</f>
        <v>0</v>
      </c>
    </row>
    <row r="1292" spans="1:10">
      <c r="A1292">
        <f>'OPEN FOREIGN ORDER'!D918</f>
        <v>0</v>
      </c>
      <c r="B1292">
        <f>'OPEN FOREIGN ORDER'!F918</f>
        <v>0</v>
      </c>
      <c r="C1292">
        <f>'OPEN FOREIGN ORDER'!Z918</f>
        <v>0</v>
      </c>
      <c r="D1292" s="123">
        <f>'OPEN FOREIGN ORDER'!AA918</f>
        <v>0</v>
      </c>
      <c r="E1292" s="112">
        <f>'OPEN FOREIGN ORDER'!AB918</f>
        <v>0</v>
      </c>
      <c r="F1292" s="112">
        <f>'OPEN FOREIGN ORDER'!AC918</f>
        <v>0</v>
      </c>
      <c r="G1292" s="112">
        <f>'OPEN FOREIGN ORDER'!AD918</f>
        <v>0</v>
      </c>
      <c r="H1292" s="112">
        <f>'OPEN FOREIGN ORDER'!AE918</f>
        <v>0</v>
      </c>
      <c r="I1292" s="112">
        <f>'OPEN FOREIGN ORDER'!AF918</f>
        <v>0</v>
      </c>
      <c r="J1292" s="112">
        <f>'OPEN FOREIGN ORDER'!AG918</f>
        <v>0</v>
      </c>
    </row>
    <row r="1293" spans="1:10">
      <c r="A1293">
        <f>'OPEN FOREIGN ORDER'!D919</f>
        <v>0</v>
      </c>
      <c r="B1293">
        <f>'OPEN FOREIGN ORDER'!F919</f>
        <v>0</v>
      </c>
      <c r="C1293">
        <f>'OPEN FOREIGN ORDER'!Z919</f>
        <v>0</v>
      </c>
      <c r="D1293" s="123">
        <f>'OPEN FOREIGN ORDER'!AA919</f>
        <v>0</v>
      </c>
      <c r="E1293" s="112">
        <f>'OPEN FOREIGN ORDER'!AB919</f>
        <v>0</v>
      </c>
      <c r="F1293" s="112">
        <f>'OPEN FOREIGN ORDER'!AC919</f>
        <v>0</v>
      </c>
      <c r="G1293" s="112">
        <f>'OPEN FOREIGN ORDER'!AD919</f>
        <v>0</v>
      </c>
      <c r="H1293" s="112">
        <f>'OPEN FOREIGN ORDER'!AE919</f>
        <v>0</v>
      </c>
      <c r="I1293" s="112">
        <f>'OPEN FOREIGN ORDER'!AF919</f>
        <v>0</v>
      </c>
      <c r="J1293" s="112">
        <f>'OPEN FOREIGN ORDER'!AG919</f>
        <v>0</v>
      </c>
    </row>
    <row r="1294" spans="1:10">
      <c r="A1294">
        <f>'OPEN FOREIGN ORDER'!D920</f>
        <v>0</v>
      </c>
      <c r="B1294">
        <f>'OPEN FOREIGN ORDER'!F920</f>
        <v>0</v>
      </c>
      <c r="C1294">
        <f>'OPEN FOREIGN ORDER'!Z920</f>
        <v>0</v>
      </c>
      <c r="D1294" s="123">
        <f>'OPEN FOREIGN ORDER'!AA920</f>
        <v>0</v>
      </c>
      <c r="E1294" s="112">
        <f>'OPEN FOREIGN ORDER'!AB920</f>
        <v>0</v>
      </c>
      <c r="F1294" s="112">
        <f>'OPEN FOREIGN ORDER'!AC920</f>
        <v>0</v>
      </c>
      <c r="G1294" s="112">
        <f>'OPEN FOREIGN ORDER'!AD920</f>
        <v>0</v>
      </c>
      <c r="H1294" s="112">
        <f>'OPEN FOREIGN ORDER'!AE920</f>
        <v>0</v>
      </c>
      <c r="I1294" s="112">
        <f>'OPEN FOREIGN ORDER'!AF920</f>
        <v>0</v>
      </c>
      <c r="J1294" s="112">
        <f>'OPEN FOREIGN ORDER'!AG920</f>
        <v>0</v>
      </c>
    </row>
    <row r="1295" spans="1:10">
      <c r="A1295">
        <f>'OPEN FOREIGN ORDER'!D921</f>
        <v>0</v>
      </c>
      <c r="B1295">
        <f>'OPEN FOREIGN ORDER'!F921</f>
        <v>0</v>
      </c>
      <c r="C1295">
        <f>'OPEN FOREIGN ORDER'!Z921</f>
        <v>0</v>
      </c>
      <c r="D1295" s="123">
        <f>'OPEN FOREIGN ORDER'!AA921</f>
        <v>0</v>
      </c>
      <c r="E1295" s="112">
        <f>'OPEN FOREIGN ORDER'!AB921</f>
        <v>0</v>
      </c>
      <c r="F1295" s="112">
        <f>'OPEN FOREIGN ORDER'!AC921</f>
        <v>0</v>
      </c>
      <c r="G1295" s="112">
        <f>'OPEN FOREIGN ORDER'!AD921</f>
        <v>0</v>
      </c>
      <c r="H1295" s="112">
        <f>'OPEN FOREIGN ORDER'!AE921</f>
        <v>0</v>
      </c>
      <c r="I1295" s="112">
        <f>'OPEN FOREIGN ORDER'!AF921</f>
        <v>0</v>
      </c>
      <c r="J1295" s="112">
        <f>'OPEN FOREIGN ORDER'!AG921</f>
        <v>0</v>
      </c>
    </row>
    <row r="1296" spans="1:10">
      <c r="A1296">
        <f>'OPEN FOREIGN ORDER'!D922</f>
        <v>0</v>
      </c>
      <c r="B1296">
        <f>'OPEN FOREIGN ORDER'!F922</f>
        <v>0</v>
      </c>
      <c r="C1296">
        <f>'OPEN FOREIGN ORDER'!Z922</f>
        <v>0</v>
      </c>
      <c r="D1296" s="123">
        <f>'OPEN FOREIGN ORDER'!AA922</f>
        <v>0</v>
      </c>
      <c r="E1296" s="112">
        <f>'OPEN FOREIGN ORDER'!AB922</f>
        <v>0</v>
      </c>
      <c r="F1296" s="112">
        <f>'OPEN FOREIGN ORDER'!AC922</f>
        <v>0</v>
      </c>
      <c r="G1296" s="112">
        <f>'OPEN FOREIGN ORDER'!AD922</f>
        <v>0</v>
      </c>
      <c r="H1296" s="112">
        <f>'OPEN FOREIGN ORDER'!AE922</f>
        <v>0</v>
      </c>
      <c r="I1296" s="112">
        <f>'OPEN FOREIGN ORDER'!AF922</f>
        <v>0</v>
      </c>
      <c r="J1296" s="112">
        <f>'OPEN FOREIGN ORDER'!AG922</f>
        <v>0</v>
      </c>
    </row>
    <row r="1297" spans="1:10">
      <c r="A1297">
        <f>'OPEN FOREIGN ORDER'!D923</f>
        <v>0</v>
      </c>
      <c r="B1297">
        <f>'OPEN FOREIGN ORDER'!F923</f>
        <v>0</v>
      </c>
      <c r="C1297">
        <f>'OPEN FOREIGN ORDER'!Z923</f>
        <v>0</v>
      </c>
      <c r="D1297" s="123">
        <f>'OPEN FOREIGN ORDER'!AA923</f>
        <v>0</v>
      </c>
      <c r="E1297" s="112">
        <f>'OPEN FOREIGN ORDER'!AB923</f>
        <v>0</v>
      </c>
      <c r="F1297" s="112">
        <f>'OPEN FOREIGN ORDER'!AC923</f>
        <v>0</v>
      </c>
      <c r="G1297" s="112">
        <f>'OPEN FOREIGN ORDER'!AD923</f>
        <v>0</v>
      </c>
      <c r="H1297" s="112">
        <f>'OPEN FOREIGN ORDER'!AE923</f>
        <v>0</v>
      </c>
      <c r="I1297" s="112">
        <f>'OPEN FOREIGN ORDER'!AF923</f>
        <v>0</v>
      </c>
      <c r="J1297" s="112">
        <f>'OPEN FOREIGN ORDER'!AG923</f>
        <v>0</v>
      </c>
    </row>
    <row r="1298" spans="1:10">
      <c r="A1298">
        <f>'OPEN FOREIGN ORDER'!D924</f>
        <v>0</v>
      </c>
      <c r="B1298">
        <f>'OPEN FOREIGN ORDER'!F924</f>
        <v>0</v>
      </c>
      <c r="C1298">
        <f>'OPEN FOREIGN ORDER'!Z924</f>
        <v>0</v>
      </c>
      <c r="D1298" s="123">
        <f>'OPEN FOREIGN ORDER'!AA924</f>
        <v>0</v>
      </c>
      <c r="E1298" s="112">
        <f>'OPEN FOREIGN ORDER'!AB924</f>
        <v>0</v>
      </c>
      <c r="F1298" s="112">
        <f>'OPEN FOREIGN ORDER'!AC924</f>
        <v>0</v>
      </c>
      <c r="G1298" s="112">
        <f>'OPEN FOREIGN ORDER'!AD924</f>
        <v>0</v>
      </c>
      <c r="H1298" s="112">
        <f>'OPEN FOREIGN ORDER'!AE924</f>
        <v>0</v>
      </c>
      <c r="I1298" s="112">
        <f>'OPEN FOREIGN ORDER'!AF924</f>
        <v>0</v>
      </c>
      <c r="J1298" s="112">
        <f>'OPEN FOREIGN ORDER'!AG924</f>
        <v>0</v>
      </c>
    </row>
    <row r="1299" spans="1:10">
      <c r="A1299">
        <f>'OPEN FOREIGN ORDER'!D925</f>
        <v>0</v>
      </c>
      <c r="B1299">
        <f>'OPEN FOREIGN ORDER'!F925</f>
        <v>0</v>
      </c>
      <c r="C1299">
        <f>'OPEN FOREIGN ORDER'!Z925</f>
        <v>0</v>
      </c>
      <c r="D1299" s="123">
        <f>'OPEN FOREIGN ORDER'!AA925</f>
        <v>0</v>
      </c>
      <c r="E1299" s="112">
        <f>'OPEN FOREIGN ORDER'!AB925</f>
        <v>0</v>
      </c>
      <c r="F1299" s="112">
        <f>'OPEN FOREIGN ORDER'!AC925</f>
        <v>0</v>
      </c>
      <c r="G1299" s="112">
        <f>'OPEN FOREIGN ORDER'!AD925</f>
        <v>0</v>
      </c>
      <c r="H1299" s="112">
        <f>'OPEN FOREIGN ORDER'!AE925</f>
        <v>0</v>
      </c>
      <c r="I1299" s="112">
        <f>'OPEN FOREIGN ORDER'!AF925</f>
        <v>0</v>
      </c>
      <c r="J1299" s="112">
        <f>'OPEN FOREIGN ORDER'!AG925</f>
        <v>0</v>
      </c>
    </row>
    <row r="1300" spans="1:10">
      <c r="A1300">
        <f>'OPEN FOREIGN ORDER'!D926</f>
        <v>0</v>
      </c>
      <c r="B1300">
        <f>'OPEN FOREIGN ORDER'!F926</f>
        <v>0</v>
      </c>
      <c r="C1300">
        <f>'OPEN FOREIGN ORDER'!Z926</f>
        <v>0</v>
      </c>
      <c r="D1300" s="123">
        <f>'OPEN FOREIGN ORDER'!AA926</f>
        <v>0</v>
      </c>
      <c r="E1300" s="112">
        <f>'OPEN FOREIGN ORDER'!AB926</f>
        <v>0</v>
      </c>
      <c r="F1300" s="112">
        <f>'OPEN FOREIGN ORDER'!AC926</f>
        <v>0</v>
      </c>
      <c r="G1300" s="112">
        <f>'OPEN FOREIGN ORDER'!AD926</f>
        <v>0</v>
      </c>
      <c r="H1300" s="112">
        <f>'OPEN FOREIGN ORDER'!AE926</f>
        <v>0</v>
      </c>
      <c r="I1300" s="112">
        <f>'OPEN FOREIGN ORDER'!AF926</f>
        <v>0</v>
      </c>
      <c r="J1300" s="112">
        <f>'OPEN FOREIGN ORDER'!AG926</f>
        <v>0</v>
      </c>
    </row>
    <row r="1301" spans="1:10">
      <c r="A1301">
        <f>'OPEN FOREIGN ORDER'!D927</f>
        <v>0</v>
      </c>
      <c r="B1301">
        <f>'OPEN FOREIGN ORDER'!F927</f>
        <v>0</v>
      </c>
      <c r="C1301">
        <f>'OPEN FOREIGN ORDER'!Z927</f>
        <v>0</v>
      </c>
      <c r="D1301" s="123">
        <f>'OPEN FOREIGN ORDER'!AA927</f>
        <v>0</v>
      </c>
      <c r="E1301" s="112">
        <f>'OPEN FOREIGN ORDER'!AB927</f>
        <v>0</v>
      </c>
      <c r="F1301" s="112">
        <f>'OPEN FOREIGN ORDER'!AC927</f>
        <v>0</v>
      </c>
      <c r="G1301" s="112">
        <f>'OPEN FOREIGN ORDER'!AD927</f>
        <v>0</v>
      </c>
      <c r="H1301" s="112">
        <f>'OPEN FOREIGN ORDER'!AE927</f>
        <v>0</v>
      </c>
      <c r="I1301" s="112">
        <f>'OPEN FOREIGN ORDER'!AF927</f>
        <v>0</v>
      </c>
      <c r="J1301" s="112">
        <f>'OPEN FOREIGN ORDER'!AG927</f>
        <v>0</v>
      </c>
    </row>
    <row r="1302" spans="1:10">
      <c r="A1302">
        <f>'OPEN FOREIGN ORDER'!D928</f>
        <v>0</v>
      </c>
      <c r="B1302">
        <f>'OPEN FOREIGN ORDER'!F928</f>
        <v>0</v>
      </c>
      <c r="C1302">
        <f>'OPEN FOREIGN ORDER'!Z928</f>
        <v>0</v>
      </c>
      <c r="D1302" s="123">
        <f>'OPEN FOREIGN ORDER'!AA928</f>
        <v>0</v>
      </c>
      <c r="E1302" s="112">
        <f>'OPEN FOREIGN ORDER'!AB928</f>
        <v>0</v>
      </c>
      <c r="F1302" s="112">
        <f>'OPEN FOREIGN ORDER'!AC928</f>
        <v>0</v>
      </c>
      <c r="G1302" s="112">
        <f>'OPEN FOREIGN ORDER'!AD928</f>
        <v>0</v>
      </c>
      <c r="H1302" s="112">
        <f>'OPEN FOREIGN ORDER'!AE928</f>
        <v>0</v>
      </c>
      <c r="I1302" s="112">
        <f>'OPEN FOREIGN ORDER'!AF928</f>
        <v>0</v>
      </c>
      <c r="J1302" s="112">
        <f>'OPEN FOREIGN ORDER'!AG928</f>
        <v>0</v>
      </c>
    </row>
    <row r="1303" spans="1:10">
      <c r="A1303">
        <f>'OPEN FOREIGN ORDER'!D929</f>
        <v>0</v>
      </c>
      <c r="B1303">
        <f>'OPEN FOREIGN ORDER'!F929</f>
        <v>0</v>
      </c>
      <c r="C1303">
        <f>'OPEN FOREIGN ORDER'!Z929</f>
        <v>0</v>
      </c>
      <c r="D1303" s="123">
        <f>'OPEN FOREIGN ORDER'!AA929</f>
        <v>0</v>
      </c>
      <c r="E1303" s="112">
        <f>'OPEN FOREIGN ORDER'!AB929</f>
        <v>0</v>
      </c>
      <c r="F1303" s="112">
        <f>'OPEN FOREIGN ORDER'!AC929</f>
        <v>0</v>
      </c>
      <c r="G1303" s="112">
        <f>'OPEN FOREIGN ORDER'!AD929</f>
        <v>0</v>
      </c>
      <c r="H1303" s="112">
        <f>'OPEN FOREIGN ORDER'!AE929</f>
        <v>0</v>
      </c>
      <c r="I1303" s="112">
        <f>'OPEN FOREIGN ORDER'!AF929</f>
        <v>0</v>
      </c>
      <c r="J1303" s="112">
        <f>'OPEN FOREIGN ORDER'!AG929</f>
        <v>0</v>
      </c>
    </row>
    <row r="1304" spans="1:10">
      <c r="A1304">
        <f>'OPEN FOREIGN ORDER'!D930</f>
        <v>0</v>
      </c>
      <c r="B1304">
        <f>'OPEN FOREIGN ORDER'!F930</f>
        <v>0</v>
      </c>
      <c r="C1304">
        <f>'OPEN FOREIGN ORDER'!Z930</f>
        <v>0</v>
      </c>
      <c r="D1304" s="123">
        <f>'OPEN FOREIGN ORDER'!AA930</f>
        <v>0</v>
      </c>
      <c r="E1304" s="112">
        <f>'OPEN FOREIGN ORDER'!AB930</f>
        <v>0</v>
      </c>
      <c r="F1304" s="112">
        <f>'OPEN FOREIGN ORDER'!AC930</f>
        <v>0</v>
      </c>
      <c r="G1304" s="112">
        <f>'OPEN FOREIGN ORDER'!AD930</f>
        <v>0</v>
      </c>
      <c r="H1304" s="112">
        <f>'OPEN FOREIGN ORDER'!AE930</f>
        <v>0</v>
      </c>
      <c r="I1304" s="112">
        <f>'OPEN FOREIGN ORDER'!AF930</f>
        <v>0</v>
      </c>
      <c r="J1304" s="112">
        <f>'OPEN FOREIGN ORDER'!AG930</f>
        <v>0</v>
      </c>
    </row>
    <row r="1305" spans="1:10">
      <c r="A1305">
        <f>'OPEN FOREIGN ORDER'!D931</f>
        <v>0</v>
      </c>
      <c r="B1305">
        <f>'OPEN FOREIGN ORDER'!F931</f>
        <v>0</v>
      </c>
      <c r="C1305">
        <f>'OPEN FOREIGN ORDER'!Z931</f>
        <v>0</v>
      </c>
      <c r="D1305" s="123">
        <f>'OPEN FOREIGN ORDER'!AA931</f>
        <v>0</v>
      </c>
      <c r="E1305" s="112">
        <f>'OPEN FOREIGN ORDER'!AB931</f>
        <v>0</v>
      </c>
      <c r="F1305" s="112">
        <f>'OPEN FOREIGN ORDER'!AC931</f>
        <v>0</v>
      </c>
      <c r="G1305" s="112">
        <f>'OPEN FOREIGN ORDER'!AD931</f>
        <v>0</v>
      </c>
      <c r="H1305" s="112">
        <f>'OPEN FOREIGN ORDER'!AE931</f>
        <v>0</v>
      </c>
      <c r="I1305" s="112">
        <f>'OPEN FOREIGN ORDER'!AF931</f>
        <v>0</v>
      </c>
      <c r="J1305" s="112">
        <f>'OPEN FOREIGN ORDER'!AG931</f>
        <v>0</v>
      </c>
    </row>
    <row r="1306" spans="1:10">
      <c r="A1306">
        <f>'OPEN FOREIGN ORDER'!D932</f>
        <v>0</v>
      </c>
      <c r="B1306">
        <f>'OPEN FOREIGN ORDER'!F932</f>
        <v>0</v>
      </c>
      <c r="C1306">
        <f>'OPEN FOREIGN ORDER'!Z932</f>
        <v>0</v>
      </c>
      <c r="D1306" s="123">
        <f>'OPEN FOREIGN ORDER'!AA932</f>
        <v>0</v>
      </c>
      <c r="E1306" s="112">
        <f>'OPEN FOREIGN ORDER'!AB932</f>
        <v>0</v>
      </c>
      <c r="F1306" s="112">
        <f>'OPEN FOREIGN ORDER'!AC932</f>
        <v>0</v>
      </c>
      <c r="G1306" s="112">
        <f>'OPEN FOREIGN ORDER'!AD932</f>
        <v>0</v>
      </c>
      <c r="H1306" s="112">
        <f>'OPEN FOREIGN ORDER'!AE932</f>
        <v>0</v>
      </c>
      <c r="I1306" s="112">
        <f>'OPEN FOREIGN ORDER'!AF932</f>
        <v>0</v>
      </c>
      <c r="J1306" s="112">
        <f>'OPEN FOREIGN ORDER'!AG932</f>
        <v>0</v>
      </c>
    </row>
    <row r="1307" spans="1:10">
      <c r="A1307">
        <f>'OPEN FOREIGN ORDER'!D933</f>
        <v>0</v>
      </c>
      <c r="B1307">
        <f>'OPEN FOREIGN ORDER'!F933</f>
        <v>0</v>
      </c>
      <c r="C1307">
        <f>'OPEN FOREIGN ORDER'!Z933</f>
        <v>0</v>
      </c>
      <c r="D1307" s="123">
        <f>'OPEN FOREIGN ORDER'!AA933</f>
        <v>0</v>
      </c>
      <c r="E1307" s="112">
        <f>'OPEN FOREIGN ORDER'!AB933</f>
        <v>0</v>
      </c>
      <c r="F1307" s="112">
        <f>'OPEN FOREIGN ORDER'!AC933</f>
        <v>0</v>
      </c>
      <c r="G1307" s="112">
        <f>'OPEN FOREIGN ORDER'!AD933</f>
        <v>0</v>
      </c>
      <c r="H1307" s="112">
        <f>'OPEN FOREIGN ORDER'!AE933</f>
        <v>0</v>
      </c>
      <c r="I1307" s="112">
        <f>'OPEN FOREIGN ORDER'!AF933</f>
        <v>0</v>
      </c>
      <c r="J1307" s="112">
        <f>'OPEN FOREIGN ORDER'!AG933</f>
        <v>0</v>
      </c>
    </row>
    <row r="1308" spans="1:10">
      <c r="A1308">
        <f>'OPEN FOREIGN ORDER'!D934</f>
        <v>0</v>
      </c>
      <c r="B1308">
        <f>'OPEN FOREIGN ORDER'!F934</f>
        <v>0</v>
      </c>
      <c r="C1308">
        <f>'OPEN FOREIGN ORDER'!Z934</f>
        <v>0</v>
      </c>
      <c r="D1308" s="123">
        <f>'OPEN FOREIGN ORDER'!AA934</f>
        <v>0</v>
      </c>
      <c r="E1308" s="112">
        <f>'OPEN FOREIGN ORDER'!AB934</f>
        <v>0</v>
      </c>
      <c r="F1308" s="112">
        <f>'OPEN FOREIGN ORDER'!AC934</f>
        <v>0</v>
      </c>
      <c r="G1308" s="112">
        <f>'OPEN FOREIGN ORDER'!AD934</f>
        <v>0</v>
      </c>
      <c r="H1308" s="112">
        <f>'OPEN FOREIGN ORDER'!AE934</f>
        <v>0</v>
      </c>
      <c r="I1308" s="112">
        <f>'OPEN FOREIGN ORDER'!AF934</f>
        <v>0</v>
      </c>
      <c r="J1308" s="112">
        <f>'OPEN FOREIGN ORDER'!AG934</f>
        <v>0</v>
      </c>
    </row>
    <row r="1309" spans="1:10">
      <c r="A1309">
        <f>'OPEN FOREIGN ORDER'!D935</f>
        <v>0</v>
      </c>
      <c r="B1309">
        <f>'OPEN FOREIGN ORDER'!F935</f>
        <v>0</v>
      </c>
      <c r="C1309">
        <f>'OPEN FOREIGN ORDER'!Z935</f>
        <v>0</v>
      </c>
      <c r="D1309" s="123">
        <f>'OPEN FOREIGN ORDER'!AA935</f>
        <v>0</v>
      </c>
      <c r="E1309" s="112">
        <f>'OPEN FOREIGN ORDER'!AB935</f>
        <v>0</v>
      </c>
      <c r="F1309" s="112">
        <f>'OPEN FOREIGN ORDER'!AC935</f>
        <v>0</v>
      </c>
      <c r="G1309" s="112">
        <f>'OPEN FOREIGN ORDER'!AD935</f>
        <v>0</v>
      </c>
      <c r="H1309" s="112">
        <f>'OPEN FOREIGN ORDER'!AE935</f>
        <v>0</v>
      </c>
      <c r="I1309" s="112">
        <f>'OPEN FOREIGN ORDER'!AF935</f>
        <v>0</v>
      </c>
      <c r="J1309" s="112">
        <f>'OPEN FOREIGN ORDER'!AG935</f>
        <v>0</v>
      </c>
    </row>
    <row r="1310" spans="1:10">
      <c r="A1310">
        <f>'OPEN FOREIGN ORDER'!D936</f>
        <v>0</v>
      </c>
      <c r="B1310">
        <f>'OPEN FOREIGN ORDER'!F936</f>
        <v>0</v>
      </c>
      <c r="C1310">
        <f>'OPEN FOREIGN ORDER'!Z936</f>
        <v>0</v>
      </c>
      <c r="D1310" s="123">
        <f>'OPEN FOREIGN ORDER'!AA936</f>
        <v>0</v>
      </c>
      <c r="E1310" s="112">
        <f>'OPEN FOREIGN ORDER'!AB936</f>
        <v>0</v>
      </c>
      <c r="F1310" s="112">
        <f>'OPEN FOREIGN ORDER'!AC936</f>
        <v>0</v>
      </c>
      <c r="G1310" s="112">
        <f>'OPEN FOREIGN ORDER'!AD936</f>
        <v>0</v>
      </c>
      <c r="H1310" s="112">
        <f>'OPEN FOREIGN ORDER'!AE936</f>
        <v>0</v>
      </c>
      <c r="I1310" s="112">
        <f>'OPEN FOREIGN ORDER'!AF936</f>
        <v>0</v>
      </c>
      <c r="J1310" s="112">
        <f>'OPEN FOREIGN ORDER'!AG936</f>
        <v>0</v>
      </c>
    </row>
    <row r="1311" spans="1:10">
      <c r="A1311">
        <f>'OPEN FOREIGN ORDER'!D937</f>
        <v>0</v>
      </c>
      <c r="B1311">
        <f>'OPEN FOREIGN ORDER'!F937</f>
        <v>0</v>
      </c>
      <c r="C1311">
        <f>'OPEN FOREIGN ORDER'!Z937</f>
        <v>0</v>
      </c>
      <c r="D1311" s="123">
        <f>'OPEN FOREIGN ORDER'!AA937</f>
        <v>0</v>
      </c>
      <c r="E1311" s="112">
        <f>'OPEN FOREIGN ORDER'!AB937</f>
        <v>0</v>
      </c>
      <c r="F1311" s="112">
        <f>'OPEN FOREIGN ORDER'!AC937</f>
        <v>0</v>
      </c>
      <c r="G1311" s="112">
        <f>'OPEN FOREIGN ORDER'!AD937</f>
        <v>0</v>
      </c>
      <c r="H1311" s="112">
        <f>'OPEN FOREIGN ORDER'!AE937</f>
        <v>0</v>
      </c>
      <c r="I1311" s="112">
        <f>'OPEN FOREIGN ORDER'!AF937</f>
        <v>0</v>
      </c>
      <c r="J1311" s="112">
        <f>'OPEN FOREIGN ORDER'!AG937</f>
        <v>0</v>
      </c>
    </row>
    <row r="1312" spans="1:10">
      <c r="A1312">
        <f>'OPEN FOREIGN ORDER'!D938</f>
        <v>0</v>
      </c>
      <c r="B1312">
        <f>'OPEN FOREIGN ORDER'!F938</f>
        <v>0</v>
      </c>
      <c r="C1312">
        <f>'OPEN FOREIGN ORDER'!Z938</f>
        <v>0</v>
      </c>
      <c r="D1312" s="123">
        <f>'OPEN FOREIGN ORDER'!AA938</f>
        <v>0</v>
      </c>
      <c r="E1312" s="112">
        <f>'OPEN FOREIGN ORDER'!AB938</f>
        <v>0</v>
      </c>
      <c r="F1312" s="112">
        <f>'OPEN FOREIGN ORDER'!AC938</f>
        <v>0</v>
      </c>
      <c r="G1312" s="112">
        <f>'OPEN FOREIGN ORDER'!AD938</f>
        <v>0</v>
      </c>
      <c r="H1312" s="112">
        <f>'OPEN FOREIGN ORDER'!AE938</f>
        <v>0</v>
      </c>
      <c r="I1312" s="112">
        <f>'OPEN FOREIGN ORDER'!AF938</f>
        <v>0</v>
      </c>
      <c r="J1312" s="112">
        <f>'OPEN FOREIGN ORDER'!AG938</f>
        <v>0</v>
      </c>
    </row>
    <row r="1313" spans="1:10">
      <c r="A1313">
        <f>'OPEN FOREIGN ORDER'!D939</f>
        <v>0</v>
      </c>
      <c r="B1313">
        <f>'OPEN FOREIGN ORDER'!F939</f>
        <v>0</v>
      </c>
      <c r="C1313">
        <f>'OPEN FOREIGN ORDER'!Z939</f>
        <v>0</v>
      </c>
      <c r="D1313" s="123">
        <f>'OPEN FOREIGN ORDER'!AA939</f>
        <v>0</v>
      </c>
      <c r="E1313" s="112">
        <f>'OPEN FOREIGN ORDER'!AB939</f>
        <v>0</v>
      </c>
      <c r="F1313" s="112">
        <f>'OPEN FOREIGN ORDER'!AC939</f>
        <v>0</v>
      </c>
      <c r="G1313" s="112">
        <f>'OPEN FOREIGN ORDER'!AD939</f>
        <v>0</v>
      </c>
      <c r="H1313" s="112">
        <f>'OPEN FOREIGN ORDER'!AE939</f>
        <v>0</v>
      </c>
      <c r="I1313" s="112">
        <f>'OPEN FOREIGN ORDER'!AF939</f>
        <v>0</v>
      </c>
      <c r="J1313" s="112">
        <f>'OPEN FOREIGN ORDER'!AG939</f>
        <v>0</v>
      </c>
    </row>
    <row r="1314" spans="1:10">
      <c r="A1314">
        <f>'OPEN FOREIGN ORDER'!D940</f>
        <v>0</v>
      </c>
      <c r="B1314">
        <f>'OPEN FOREIGN ORDER'!F940</f>
        <v>0</v>
      </c>
      <c r="C1314">
        <f>'OPEN FOREIGN ORDER'!Z940</f>
        <v>0</v>
      </c>
      <c r="D1314" s="123">
        <f>'OPEN FOREIGN ORDER'!AA940</f>
        <v>0</v>
      </c>
      <c r="E1314" s="112">
        <f>'OPEN FOREIGN ORDER'!AB940</f>
        <v>0</v>
      </c>
      <c r="F1314" s="112">
        <f>'OPEN FOREIGN ORDER'!AC940</f>
        <v>0</v>
      </c>
      <c r="G1314" s="112">
        <f>'OPEN FOREIGN ORDER'!AD940</f>
        <v>0</v>
      </c>
      <c r="H1314" s="112">
        <f>'OPEN FOREIGN ORDER'!AE940</f>
        <v>0</v>
      </c>
      <c r="I1314" s="112">
        <f>'OPEN FOREIGN ORDER'!AF940</f>
        <v>0</v>
      </c>
      <c r="J1314" s="112">
        <f>'OPEN FOREIGN ORDER'!AG940</f>
        <v>0</v>
      </c>
    </row>
    <row r="1315" spans="1:10">
      <c r="A1315">
        <f>'OPEN FOREIGN ORDER'!D941</f>
        <v>0</v>
      </c>
      <c r="B1315">
        <f>'OPEN FOREIGN ORDER'!F941</f>
        <v>0</v>
      </c>
      <c r="C1315">
        <f>'OPEN FOREIGN ORDER'!Z941</f>
        <v>0</v>
      </c>
      <c r="D1315" s="123">
        <f>'OPEN FOREIGN ORDER'!AA941</f>
        <v>0</v>
      </c>
      <c r="E1315" s="112">
        <f>'OPEN FOREIGN ORDER'!AB941</f>
        <v>0</v>
      </c>
      <c r="F1315" s="112">
        <f>'OPEN FOREIGN ORDER'!AC941</f>
        <v>0</v>
      </c>
      <c r="G1315" s="112">
        <f>'OPEN FOREIGN ORDER'!AD941</f>
        <v>0</v>
      </c>
      <c r="H1315" s="112">
        <f>'OPEN FOREIGN ORDER'!AE941</f>
        <v>0</v>
      </c>
      <c r="I1315" s="112">
        <f>'OPEN FOREIGN ORDER'!AF941</f>
        <v>0</v>
      </c>
      <c r="J1315" s="112">
        <f>'OPEN FOREIGN ORDER'!AG941</f>
        <v>0</v>
      </c>
    </row>
    <row r="1316" spans="1:10">
      <c r="A1316">
        <f>'OPEN FOREIGN ORDER'!D942</f>
        <v>0</v>
      </c>
      <c r="B1316">
        <f>'OPEN FOREIGN ORDER'!F942</f>
        <v>0</v>
      </c>
      <c r="C1316">
        <f>'OPEN FOREIGN ORDER'!Z942</f>
        <v>0</v>
      </c>
      <c r="D1316" s="123">
        <f>'OPEN FOREIGN ORDER'!AA942</f>
        <v>0</v>
      </c>
      <c r="E1316" s="112">
        <f>'OPEN FOREIGN ORDER'!AB942</f>
        <v>0</v>
      </c>
      <c r="F1316" s="112">
        <f>'OPEN FOREIGN ORDER'!AC942</f>
        <v>0</v>
      </c>
      <c r="G1316" s="112">
        <f>'OPEN FOREIGN ORDER'!AD942</f>
        <v>0</v>
      </c>
      <c r="H1316" s="112">
        <f>'OPEN FOREIGN ORDER'!AE942</f>
        <v>0</v>
      </c>
      <c r="I1316" s="112">
        <f>'OPEN FOREIGN ORDER'!AF942</f>
        <v>0</v>
      </c>
      <c r="J1316" s="112">
        <f>'OPEN FOREIGN ORDER'!AG942</f>
        <v>0</v>
      </c>
    </row>
    <row r="1317" spans="1:10">
      <c r="A1317">
        <f>'OPEN FOREIGN ORDER'!D943</f>
        <v>0</v>
      </c>
      <c r="B1317">
        <f>'OPEN FOREIGN ORDER'!F943</f>
        <v>0</v>
      </c>
      <c r="C1317">
        <f>'OPEN FOREIGN ORDER'!Z943</f>
        <v>0</v>
      </c>
      <c r="D1317" s="123">
        <f>'OPEN FOREIGN ORDER'!AA943</f>
        <v>0</v>
      </c>
      <c r="E1317" s="112">
        <f>'OPEN FOREIGN ORDER'!AB943</f>
        <v>0</v>
      </c>
      <c r="F1317" s="112">
        <f>'OPEN FOREIGN ORDER'!AC943</f>
        <v>0</v>
      </c>
      <c r="G1317" s="112">
        <f>'OPEN FOREIGN ORDER'!AD943</f>
        <v>0</v>
      </c>
      <c r="H1317" s="112">
        <f>'OPEN FOREIGN ORDER'!AE943</f>
        <v>0</v>
      </c>
      <c r="I1317" s="112">
        <f>'OPEN FOREIGN ORDER'!AF943</f>
        <v>0</v>
      </c>
      <c r="J1317" s="112">
        <f>'OPEN FOREIGN ORDER'!AG943</f>
        <v>0</v>
      </c>
    </row>
    <row r="1318" spans="1:10">
      <c r="A1318">
        <f>'OPEN FOREIGN ORDER'!D944</f>
        <v>0</v>
      </c>
      <c r="B1318">
        <f>'OPEN FOREIGN ORDER'!F944</f>
        <v>0</v>
      </c>
      <c r="C1318">
        <f>'OPEN FOREIGN ORDER'!Z944</f>
        <v>0</v>
      </c>
      <c r="D1318" s="123">
        <f>'OPEN FOREIGN ORDER'!AA944</f>
        <v>0</v>
      </c>
      <c r="E1318" s="112">
        <f>'OPEN FOREIGN ORDER'!AB944</f>
        <v>0</v>
      </c>
      <c r="F1318" s="112">
        <f>'OPEN FOREIGN ORDER'!AC944</f>
        <v>0</v>
      </c>
      <c r="G1318" s="112">
        <f>'OPEN FOREIGN ORDER'!AD944</f>
        <v>0</v>
      </c>
      <c r="H1318" s="112">
        <f>'OPEN FOREIGN ORDER'!AE944</f>
        <v>0</v>
      </c>
      <c r="I1318" s="112">
        <f>'OPEN FOREIGN ORDER'!AF944</f>
        <v>0</v>
      </c>
      <c r="J1318" s="112">
        <f>'OPEN FOREIGN ORDER'!AG944</f>
        <v>0</v>
      </c>
    </row>
    <row r="1319" spans="1:10">
      <c r="A1319">
        <f>'OPEN FOREIGN ORDER'!D945</f>
        <v>0</v>
      </c>
      <c r="B1319">
        <f>'OPEN FOREIGN ORDER'!F945</f>
        <v>0</v>
      </c>
      <c r="C1319">
        <f>'OPEN FOREIGN ORDER'!Z945</f>
        <v>0</v>
      </c>
      <c r="D1319" s="123">
        <f>'OPEN FOREIGN ORDER'!AA945</f>
        <v>0</v>
      </c>
      <c r="E1319" s="112">
        <f>'OPEN FOREIGN ORDER'!AB945</f>
        <v>0</v>
      </c>
      <c r="F1319" s="112">
        <f>'OPEN FOREIGN ORDER'!AC945</f>
        <v>0</v>
      </c>
      <c r="G1319" s="112">
        <f>'OPEN FOREIGN ORDER'!AD945</f>
        <v>0</v>
      </c>
      <c r="H1319" s="112">
        <f>'OPEN FOREIGN ORDER'!AE945</f>
        <v>0</v>
      </c>
      <c r="I1319" s="112">
        <f>'OPEN FOREIGN ORDER'!AF945</f>
        <v>0</v>
      </c>
      <c r="J1319" s="112">
        <f>'OPEN FOREIGN ORDER'!AG945</f>
        <v>0</v>
      </c>
    </row>
    <row r="1320" spans="1:10">
      <c r="A1320">
        <f>'OPEN FOREIGN ORDER'!D946</f>
        <v>0</v>
      </c>
      <c r="B1320">
        <f>'OPEN FOREIGN ORDER'!F946</f>
        <v>0</v>
      </c>
      <c r="C1320">
        <f>'OPEN FOREIGN ORDER'!Z946</f>
        <v>0</v>
      </c>
      <c r="D1320" s="123">
        <f>'OPEN FOREIGN ORDER'!AA946</f>
        <v>0</v>
      </c>
      <c r="E1320" s="112">
        <f>'OPEN FOREIGN ORDER'!AB946</f>
        <v>0</v>
      </c>
      <c r="F1320" s="112">
        <f>'OPEN FOREIGN ORDER'!AC946</f>
        <v>0</v>
      </c>
      <c r="G1320" s="112">
        <f>'OPEN FOREIGN ORDER'!AD946</f>
        <v>0</v>
      </c>
      <c r="H1320" s="112">
        <f>'OPEN FOREIGN ORDER'!AE946</f>
        <v>0</v>
      </c>
      <c r="I1320" s="112">
        <f>'OPEN FOREIGN ORDER'!AF946</f>
        <v>0</v>
      </c>
      <c r="J1320" s="112">
        <f>'OPEN FOREIGN ORDER'!AG946</f>
        <v>0</v>
      </c>
    </row>
    <row r="1321" spans="1:10">
      <c r="A1321">
        <f>'OPEN FOREIGN ORDER'!D947</f>
        <v>0</v>
      </c>
      <c r="B1321">
        <f>'OPEN FOREIGN ORDER'!F947</f>
        <v>0</v>
      </c>
      <c r="C1321">
        <f>'OPEN FOREIGN ORDER'!Z947</f>
        <v>0</v>
      </c>
      <c r="D1321" s="123">
        <f>'OPEN FOREIGN ORDER'!AA947</f>
        <v>0</v>
      </c>
      <c r="E1321" s="112">
        <f>'OPEN FOREIGN ORDER'!AB947</f>
        <v>0</v>
      </c>
      <c r="F1321" s="112">
        <f>'OPEN FOREIGN ORDER'!AC947</f>
        <v>0</v>
      </c>
      <c r="G1321" s="112">
        <f>'OPEN FOREIGN ORDER'!AD947</f>
        <v>0</v>
      </c>
      <c r="H1321" s="112">
        <f>'OPEN FOREIGN ORDER'!AE947</f>
        <v>0</v>
      </c>
      <c r="I1321" s="112">
        <f>'OPEN FOREIGN ORDER'!AF947</f>
        <v>0</v>
      </c>
      <c r="J1321" s="112">
        <f>'OPEN FOREIGN ORDER'!AG947</f>
        <v>0</v>
      </c>
    </row>
    <row r="1322" spans="1:10">
      <c r="A1322">
        <f>'OPEN FOREIGN ORDER'!D948</f>
        <v>0</v>
      </c>
      <c r="B1322">
        <f>'OPEN FOREIGN ORDER'!F948</f>
        <v>0</v>
      </c>
      <c r="C1322">
        <f>'OPEN FOREIGN ORDER'!Z948</f>
        <v>0</v>
      </c>
      <c r="D1322" s="123">
        <f>'OPEN FOREIGN ORDER'!AA948</f>
        <v>0</v>
      </c>
      <c r="E1322" s="112">
        <f>'OPEN FOREIGN ORDER'!AB948</f>
        <v>0</v>
      </c>
      <c r="F1322" s="112">
        <f>'OPEN FOREIGN ORDER'!AC948</f>
        <v>0</v>
      </c>
      <c r="G1322" s="112">
        <f>'OPEN FOREIGN ORDER'!AD948</f>
        <v>0</v>
      </c>
      <c r="H1322" s="112">
        <f>'OPEN FOREIGN ORDER'!AE948</f>
        <v>0</v>
      </c>
      <c r="I1322" s="112">
        <f>'OPEN FOREIGN ORDER'!AF948</f>
        <v>0</v>
      </c>
      <c r="J1322" s="112">
        <f>'OPEN FOREIGN ORDER'!AG948</f>
        <v>0</v>
      </c>
    </row>
    <row r="1323" spans="1:10">
      <c r="A1323">
        <f>'OPEN FOREIGN ORDER'!D949</f>
        <v>0</v>
      </c>
      <c r="B1323">
        <f>'OPEN FOREIGN ORDER'!F949</f>
        <v>0</v>
      </c>
      <c r="C1323">
        <f>'OPEN FOREIGN ORDER'!Z949</f>
        <v>0</v>
      </c>
      <c r="D1323" s="123">
        <f>'OPEN FOREIGN ORDER'!AA949</f>
        <v>0</v>
      </c>
      <c r="E1323" s="112">
        <f>'OPEN FOREIGN ORDER'!AB949</f>
        <v>0</v>
      </c>
      <c r="F1323" s="112">
        <f>'OPEN FOREIGN ORDER'!AC949</f>
        <v>0</v>
      </c>
      <c r="G1323" s="112">
        <f>'OPEN FOREIGN ORDER'!AD949</f>
        <v>0</v>
      </c>
      <c r="H1323" s="112">
        <f>'OPEN FOREIGN ORDER'!AE949</f>
        <v>0</v>
      </c>
      <c r="I1323" s="112">
        <f>'OPEN FOREIGN ORDER'!AF949</f>
        <v>0</v>
      </c>
      <c r="J1323" s="112">
        <f>'OPEN FOREIGN ORDER'!AG949</f>
        <v>0</v>
      </c>
    </row>
    <row r="1324" spans="1:10">
      <c r="A1324">
        <f>'OPEN FOREIGN ORDER'!D950</f>
        <v>0</v>
      </c>
      <c r="B1324">
        <f>'OPEN FOREIGN ORDER'!F950</f>
        <v>0</v>
      </c>
      <c r="C1324">
        <f>'OPEN FOREIGN ORDER'!Z950</f>
        <v>0</v>
      </c>
      <c r="D1324" s="123">
        <f>'OPEN FOREIGN ORDER'!AA950</f>
        <v>0</v>
      </c>
      <c r="E1324" s="112">
        <f>'OPEN FOREIGN ORDER'!AB950</f>
        <v>0</v>
      </c>
      <c r="F1324" s="112">
        <f>'OPEN FOREIGN ORDER'!AC950</f>
        <v>0</v>
      </c>
      <c r="G1324" s="112">
        <f>'OPEN FOREIGN ORDER'!AD950</f>
        <v>0</v>
      </c>
      <c r="H1324" s="112">
        <f>'OPEN FOREIGN ORDER'!AE950</f>
        <v>0</v>
      </c>
      <c r="I1324" s="112">
        <f>'OPEN FOREIGN ORDER'!AF950</f>
        <v>0</v>
      </c>
      <c r="J1324" s="112">
        <f>'OPEN FOREIGN ORDER'!AG950</f>
        <v>0</v>
      </c>
    </row>
    <row r="1325" spans="1:10">
      <c r="A1325">
        <f>'OPEN FOREIGN ORDER'!D951</f>
        <v>0</v>
      </c>
      <c r="B1325">
        <f>'OPEN FOREIGN ORDER'!F951</f>
        <v>0</v>
      </c>
      <c r="C1325">
        <f>'OPEN FOREIGN ORDER'!Z951</f>
        <v>0</v>
      </c>
      <c r="D1325" s="123">
        <f>'OPEN FOREIGN ORDER'!AA951</f>
        <v>0</v>
      </c>
      <c r="E1325" s="112">
        <f>'OPEN FOREIGN ORDER'!AB951</f>
        <v>0</v>
      </c>
      <c r="F1325" s="112">
        <f>'OPEN FOREIGN ORDER'!AC951</f>
        <v>0</v>
      </c>
      <c r="G1325" s="112">
        <f>'OPEN FOREIGN ORDER'!AD951</f>
        <v>0</v>
      </c>
      <c r="H1325" s="112">
        <f>'OPEN FOREIGN ORDER'!AE951</f>
        <v>0</v>
      </c>
      <c r="I1325" s="112">
        <f>'OPEN FOREIGN ORDER'!AF951</f>
        <v>0</v>
      </c>
      <c r="J1325" s="112">
        <f>'OPEN FOREIGN ORDER'!AG951</f>
        <v>0</v>
      </c>
    </row>
    <row r="1326" spans="1:10">
      <c r="A1326">
        <f>'OPEN FOREIGN ORDER'!D952</f>
        <v>0</v>
      </c>
      <c r="B1326">
        <f>'OPEN FOREIGN ORDER'!F952</f>
        <v>0</v>
      </c>
      <c r="C1326">
        <f>'OPEN FOREIGN ORDER'!Z952</f>
        <v>0</v>
      </c>
      <c r="D1326" s="123">
        <f>'OPEN FOREIGN ORDER'!AA952</f>
        <v>0</v>
      </c>
      <c r="E1326" s="112">
        <f>'OPEN FOREIGN ORDER'!AB952</f>
        <v>0</v>
      </c>
      <c r="F1326" s="112">
        <f>'OPEN FOREIGN ORDER'!AC952</f>
        <v>0</v>
      </c>
      <c r="G1326" s="112">
        <f>'OPEN FOREIGN ORDER'!AD952</f>
        <v>0</v>
      </c>
      <c r="H1326" s="112">
        <f>'OPEN FOREIGN ORDER'!AE952</f>
        <v>0</v>
      </c>
      <c r="I1326" s="112">
        <f>'OPEN FOREIGN ORDER'!AF952</f>
        <v>0</v>
      </c>
      <c r="J1326" s="112">
        <f>'OPEN FOREIGN ORDER'!AG952</f>
        <v>0</v>
      </c>
    </row>
    <row r="1327" spans="1:10">
      <c r="A1327">
        <f>'OPEN FOREIGN ORDER'!D953</f>
        <v>0</v>
      </c>
      <c r="B1327">
        <f>'OPEN FOREIGN ORDER'!F953</f>
        <v>0</v>
      </c>
      <c r="C1327">
        <f>'OPEN FOREIGN ORDER'!Z953</f>
        <v>0</v>
      </c>
      <c r="D1327" s="123">
        <f>'OPEN FOREIGN ORDER'!AA953</f>
        <v>0</v>
      </c>
      <c r="E1327" s="112">
        <f>'OPEN FOREIGN ORDER'!AB953</f>
        <v>0</v>
      </c>
      <c r="F1327" s="112">
        <f>'OPEN FOREIGN ORDER'!AC953</f>
        <v>0</v>
      </c>
      <c r="G1327" s="112">
        <f>'OPEN FOREIGN ORDER'!AD953</f>
        <v>0</v>
      </c>
      <c r="H1327" s="112">
        <f>'OPEN FOREIGN ORDER'!AE953</f>
        <v>0</v>
      </c>
      <c r="I1327" s="112">
        <f>'OPEN FOREIGN ORDER'!AF953</f>
        <v>0</v>
      </c>
      <c r="J1327" s="112">
        <f>'OPEN FOREIGN ORDER'!AG953</f>
        <v>0</v>
      </c>
    </row>
    <row r="1328" spans="1:10">
      <c r="A1328">
        <f>'OPEN FOREIGN ORDER'!D954</f>
        <v>0</v>
      </c>
      <c r="B1328">
        <f>'OPEN FOREIGN ORDER'!F954</f>
        <v>0</v>
      </c>
      <c r="C1328">
        <f>'OPEN FOREIGN ORDER'!Z954</f>
        <v>0</v>
      </c>
      <c r="D1328" s="123">
        <f>'OPEN FOREIGN ORDER'!AA954</f>
        <v>0</v>
      </c>
      <c r="E1328" s="112">
        <f>'OPEN FOREIGN ORDER'!AB954</f>
        <v>0</v>
      </c>
      <c r="F1328" s="112">
        <f>'OPEN FOREIGN ORDER'!AC954</f>
        <v>0</v>
      </c>
      <c r="G1328" s="112">
        <f>'OPEN FOREIGN ORDER'!AD954</f>
        <v>0</v>
      </c>
      <c r="H1328" s="112">
        <f>'OPEN FOREIGN ORDER'!AE954</f>
        <v>0</v>
      </c>
      <c r="I1328" s="112">
        <f>'OPEN FOREIGN ORDER'!AF954</f>
        <v>0</v>
      </c>
      <c r="J1328" s="112">
        <f>'OPEN FOREIGN ORDER'!AG954</f>
        <v>0</v>
      </c>
    </row>
    <row r="1329" spans="1:10">
      <c r="A1329">
        <f>'OPEN FOREIGN ORDER'!D955</f>
        <v>0</v>
      </c>
      <c r="B1329">
        <f>'OPEN FOREIGN ORDER'!F955</f>
        <v>0</v>
      </c>
      <c r="C1329">
        <f>'OPEN FOREIGN ORDER'!Z955</f>
        <v>0</v>
      </c>
      <c r="D1329" s="123">
        <f>'OPEN FOREIGN ORDER'!AA955</f>
        <v>0</v>
      </c>
      <c r="E1329" s="112">
        <f>'OPEN FOREIGN ORDER'!AB955</f>
        <v>0</v>
      </c>
      <c r="F1329" s="112">
        <f>'OPEN FOREIGN ORDER'!AC955</f>
        <v>0</v>
      </c>
      <c r="G1329" s="112">
        <f>'OPEN FOREIGN ORDER'!AD955</f>
        <v>0</v>
      </c>
      <c r="H1329" s="112">
        <f>'OPEN FOREIGN ORDER'!AE955</f>
        <v>0</v>
      </c>
      <c r="I1329" s="112">
        <f>'OPEN FOREIGN ORDER'!AF955</f>
        <v>0</v>
      </c>
      <c r="J1329" s="112">
        <f>'OPEN FOREIGN ORDER'!AG955</f>
        <v>0</v>
      </c>
    </row>
    <row r="1330" spans="1:10">
      <c r="A1330">
        <f>'OPEN FOREIGN ORDER'!D956</f>
        <v>0</v>
      </c>
      <c r="B1330">
        <f>'OPEN FOREIGN ORDER'!F956</f>
        <v>0</v>
      </c>
      <c r="C1330">
        <f>'OPEN FOREIGN ORDER'!Z956</f>
        <v>0</v>
      </c>
      <c r="D1330" s="123">
        <f>'OPEN FOREIGN ORDER'!AA956</f>
        <v>0</v>
      </c>
      <c r="E1330" s="112">
        <f>'OPEN FOREIGN ORDER'!AB956</f>
        <v>0</v>
      </c>
      <c r="F1330" s="112">
        <f>'OPEN FOREIGN ORDER'!AC956</f>
        <v>0</v>
      </c>
      <c r="G1330" s="112">
        <f>'OPEN FOREIGN ORDER'!AD956</f>
        <v>0</v>
      </c>
      <c r="H1330" s="112">
        <f>'OPEN FOREIGN ORDER'!AE956</f>
        <v>0</v>
      </c>
      <c r="I1330" s="112">
        <f>'OPEN FOREIGN ORDER'!AF956</f>
        <v>0</v>
      </c>
      <c r="J1330" s="112">
        <f>'OPEN FOREIGN ORDER'!AG956</f>
        <v>0</v>
      </c>
    </row>
    <row r="1331" spans="1:10">
      <c r="A1331">
        <f>'OPEN FOREIGN ORDER'!D957</f>
        <v>0</v>
      </c>
      <c r="B1331">
        <f>'OPEN FOREIGN ORDER'!F957</f>
        <v>0</v>
      </c>
      <c r="C1331">
        <f>'OPEN FOREIGN ORDER'!Z957</f>
        <v>0</v>
      </c>
      <c r="D1331" s="123">
        <f>'OPEN FOREIGN ORDER'!AA957</f>
        <v>0</v>
      </c>
      <c r="E1331" s="112">
        <f>'OPEN FOREIGN ORDER'!AB957</f>
        <v>0</v>
      </c>
      <c r="F1331" s="112">
        <f>'OPEN FOREIGN ORDER'!AC957</f>
        <v>0</v>
      </c>
      <c r="G1331" s="112">
        <f>'OPEN FOREIGN ORDER'!AD957</f>
        <v>0</v>
      </c>
      <c r="H1331" s="112">
        <f>'OPEN FOREIGN ORDER'!AE957</f>
        <v>0</v>
      </c>
      <c r="I1331" s="112">
        <f>'OPEN FOREIGN ORDER'!AF957</f>
        <v>0</v>
      </c>
      <c r="J1331" s="112">
        <f>'OPEN FOREIGN ORDER'!AG957</f>
        <v>0</v>
      </c>
    </row>
    <row r="1332" spans="1:10">
      <c r="A1332">
        <f>'OPEN FOREIGN ORDER'!D958</f>
        <v>0</v>
      </c>
      <c r="B1332">
        <f>'OPEN FOREIGN ORDER'!F958</f>
        <v>0</v>
      </c>
      <c r="C1332">
        <f>'OPEN FOREIGN ORDER'!Z958</f>
        <v>0</v>
      </c>
      <c r="D1332" s="123">
        <f>'OPEN FOREIGN ORDER'!AA958</f>
        <v>0</v>
      </c>
      <c r="E1332" s="112">
        <f>'OPEN FOREIGN ORDER'!AB958</f>
        <v>0</v>
      </c>
      <c r="F1332" s="112">
        <f>'OPEN FOREIGN ORDER'!AC958</f>
        <v>0</v>
      </c>
      <c r="G1332" s="112">
        <f>'OPEN FOREIGN ORDER'!AD958</f>
        <v>0</v>
      </c>
      <c r="H1332" s="112">
        <f>'OPEN FOREIGN ORDER'!AE958</f>
        <v>0</v>
      </c>
      <c r="I1332" s="112">
        <f>'OPEN FOREIGN ORDER'!AF958</f>
        <v>0</v>
      </c>
      <c r="J1332" s="112">
        <f>'OPEN FOREIGN ORDER'!AG958</f>
        <v>0</v>
      </c>
    </row>
    <row r="1333" spans="1:10">
      <c r="A1333">
        <f>'OPEN FOREIGN ORDER'!D959</f>
        <v>0</v>
      </c>
      <c r="B1333">
        <f>'OPEN FOREIGN ORDER'!F959</f>
        <v>0</v>
      </c>
      <c r="C1333">
        <f>'OPEN FOREIGN ORDER'!Z959</f>
        <v>0</v>
      </c>
      <c r="D1333" s="123">
        <f>'OPEN FOREIGN ORDER'!AA959</f>
        <v>0</v>
      </c>
      <c r="E1333" s="112">
        <f>'OPEN FOREIGN ORDER'!AB959</f>
        <v>0</v>
      </c>
      <c r="F1333" s="112">
        <f>'OPEN FOREIGN ORDER'!AC959</f>
        <v>0</v>
      </c>
      <c r="G1333" s="112">
        <f>'OPEN FOREIGN ORDER'!AD959</f>
        <v>0</v>
      </c>
      <c r="H1333" s="112">
        <f>'OPEN FOREIGN ORDER'!AE959</f>
        <v>0</v>
      </c>
      <c r="I1333" s="112">
        <f>'OPEN FOREIGN ORDER'!AF959</f>
        <v>0</v>
      </c>
      <c r="J1333" s="112">
        <f>'OPEN FOREIGN ORDER'!AG959</f>
        <v>0</v>
      </c>
    </row>
    <row r="1334" spans="1:10">
      <c r="A1334">
        <f>'OPEN FOREIGN ORDER'!D960</f>
        <v>0</v>
      </c>
      <c r="B1334">
        <f>'OPEN FOREIGN ORDER'!F960</f>
        <v>0</v>
      </c>
      <c r="C1334">
        <f>'OPEN FOREIGN ORDER'!Z960</f>
        <v>0</v>
      </c>
      <c r="D1334" s="123">
        <f>'OPEN FOREIGN ORDER'!AA960</f>
        <v>0</v>
      </c>
      <c r="E1334" s="112">
        <f>'OPEN FOREIGN ORDER'!AB960</f>
        <v>0</v>
      </c>
      <c r="F1334" s="112">
        <f>'OPEN FOREIGN ORDER'!AC960</f>
        <v>0</v>
      </c>
      <c r="G1334" s="112">
        <f>'OPEN FOREIGN ORDER'!AD960</f>
        <v>0</v>
      </c>
      <c r="H1334" s="112">
        <f>'OPEN FOREIGN ORDER'!AE960</f>
        <v>0</v>
      </c>
      <c r="I1334" s="112">
        <f>'OPEN FOREIGN ORDER'!AF960</f>
        <v>0</v>
      </c>
      <c r="J1334" s="112">
        <f>'OPEN FOREIGN ORDER'!AG960</f>
        <v>0</v>
      </c>
    </row>
    <row r="1335" spans="1:10">
      <c r="A1335">
        <f>'OPEN FOREIGN ORDER'!D961</f>
        <v>0</v>
      </c>
      <c r="B1335">
        <f>'OPEN FOREIGN ORDER'!F961</f>
        <v>0</v>
      </c>
      <c r="C1335">
        <f>'OPEN FOREIGN ORDER'!Z961</f>
        <v>0</v>
      </c>
      <c r="D1335" s="123">
        <f>'OPEN FOREIGN ORDER'!AA961</f>
        <v>0</v>
      </c>
      <c r="E1335" s="112">
        <f>'OPEN FOREIGN ORDER'!AB961</f>
        <v>0</v>
      </c>
      <c r="F1335" s="112">
        <f>'OPEN FOREIGN ORDER'!AC961</f>
        <v>0</v>
      </c>
      <c r="G1335" s="112">
        <f>'OPEN FOREIGN ORDER'!AD961</f>
        <v>0</v>
      </c>
      <c r="H1335" s="112">
        <f>'OPEN FOREIGN ORDER'!AE961</f>
        <v>0</v>
      </c>
      <c r="I1335" s="112">
        <f>'OPEN FOREIGN ORDER'!AF961</f>
        <v>0</v>
      </c>
      <c r="J1335" s="112">
        <f>'OPEN FOREIGN ORDER'!AG961</f>
        <v>0</v>
      </c>
    </row>
    <row r="1336" spans="1:10">
      <c r="A1336">
        <f>'OPEN FOREIGN ORDER'!D962</f>
        <v>0</v>
      </c>
      <c r="B1336">
        <f>'OPEN FOREIGN ORDER'!F962</f>
        <v>0</v>
      </c>
      <c r="C1336">
        <f>'OPEN FOREIGN ORDER'!Z962</f>
        <v>0</v>
      </c>
      <c r="D1336" s="123">
        <f>'OPEN FOREIGN ORDER'!AA962</f>
        <v>0</v>
      </c>
      <c r="E1336" s="112">
        <f>'OPEN FOREIGN ORDER'!AB962</f>
        <v>0</v>
      </c>
      <c r="F1336" s="112">
        <f>'OPEN FOREIGN ORDER'!AC962</f>
        <v>0</v>
      </c>
      <c r="G1336" s="112">
        <f>'OPEN FOREIGN ORDER'!AD962</f>
        <v>0</v>
      </c>
      <c r="H1336" s="112">
        <f>'OPEN FOREIGN ORDER'!AE962</f>
        <v>0</v>
      </c>
      <c r="I1336" s="112">
        <f>'OPEN FOREIGN ORDER'!AF962</f>
        <v>0</v>
      </c>
      <c r="J1336" s="112">
        <f>'OPEN FOREIGN ORDER'!AG962</f>
        <v>0</v>
      </c>
    </row>
    <row r="1337" spans="1:10">
      <c r="A1337">
        <f>'OPEN FOREIGN ORDER'!D963</f>
        <v>0</v>
      </c>
      <c r="B1337">
        <f>'OPEN FOREIGN ORDER'!F963</f>
        <v>0</v>
      </c>
      <c r="C1337">
        <f>'OPEN FOREIGN ORDER'!Z963</f>
        <v>0</v>
      </c>
      <c r="D1337" s="123">
        <f>'OPEN FOREIGN ORDER'!AA963</f>
        <v>0</v>
      </c>
      <c r="E1337" s="112">
        <f>'OPEN FOREIGN ORDER'!AB963</f>
        <v>0</v>
      </c>
      <c r="F1337" s="112">
        <f>'OPEN FOREIGN ORDER'!AC963</f>
        <v>0</v>
      </c>
      <c r="G1337" s="112">
        <f>'OPEN FOREIGN ORDER'!AD963</f>
        <v>0</v>
      </c>
      <c r="H1337" s="112">
        <f>'OPEN FOREIGN ORDER'!AE963</f>
        <v>0</v>
      </c>
      <c r="I1337" s="112">
        <f>'OPEN FOREIGN ORDER'!AF963</f>
        <v>0</v>
      </c>
      <c r="J1337" s="112">
        <f>'OPEN FOREIGN ORDER'!AG963</f>
        <v>0</v>
      </c>
    </row>
    <row r="1338" spans="1:10">
      <c r="A1338">
        <f>'OPEN FOREIGN ORDER'!D964</f>
        <v>0</v>
      </c>
      <c r="B1338">
        <f>'OPEN FOREIGN ORDER'!F964</f>
        <v>0</v>
      </c>
      <c r="C1338">
        <f>'OPEN FOREIGN ORDER'!Z964</f>
        <v>0</v>
      </c>
      <c r="D1338" s="123">
        <f>'OPEN FOREIGN ORDER'!AA964</f>
        <v>0</v>
      </c>
      <c r="E1338" s="112">
        <f>'OPEN FOREIGN ORDER'!AB964</f>
        <v>0</v>
      </c>
      <c r="F1338" s="112">
        <f>'OPEN FOREIGN ORDER'!AC964</f>
        <v>0</v>
      </c>
      <c r="G1338" s="112">
        <f>'OPEN FOREIGN ORDER'!AD964</f>
        <v>0</v>
      </c>
      <c r="H1338" s="112">
        <f>'OPEN FOREIGN ORDER'!AE964</f>
        <v>0</v>
      </c>
      <c r="I1338" s="112">
        <f>'OPEN FOREIGN ORDER'!AF964</f>
        <v>0</v>
      </c>
      <c r="J1338" s="112">
        <f>'OPEN FOREIGN ORDER'!AG964</f>
        <v>0</v>
      </c>
    </row>
    <row r="1339" spans="1:10">
      <c r="A1339">
        <f>'OPEN FOREIGN ORDER'!D965</f>
        <v>0</v>
      </c>
      <c r="B1339">
        <f>'OPEN FOREIGN ORDER'!F965</f>
        <v>0</v>
      </c>
      <c r="C1339">
        <f>'OPEN FOREIGN ORDER'!Z965</f>
        <v>0</v>
      </c>
      <c r="D1339" s="123">
        <f>'OPEN FOREIGN ORDER'!AA965</f>
        <v>0</v>
      </c>
      <c r="E1339" s="112">
        <f>'OPEN FOREIGN ORDER'!AB965</f>
        <v>0</v>
      </c>
      <c r="F1339" s="112">
        <f>'OPEN FOREIGN ORDER'!AC965</f>
        <v>0</v>
      </c>
      <c r="G1339" s="112">
        <f>'OPEN FOREIGN ORDER'!AD965</f>
        <v>0</v>
      </c>
      <c r="H1339" s="112">
        <f>'OPEN FOREIGN ORDER'!AE965</f>
        <v>0</v>
      </c>
      <c r="I1339" s="112">
        <f>'OPEN FOREIGN ORDER'!AF965</f>
        <v>0</v>
      </c>
      <c r="J1339" s="112">
        <f>'OPEN FOREIGN ORDER'!AG965</f>
        <v>0</v>
      </c>
    </row>
    <row r="1340" spans="1:10">
      <c r="A1340">
        <f>'OPEN FOREIGN ORDER'!D966</f>
        <v>0</v>
      </c>
      <c r="B1340">
        <f>'OPEN FOREIGN ORDER'!F966</f>
        <v>0</v>
      </c>
      <c r="C1340">
        <f>'OPEN FOREIGN ORDER'!Z966</f>
        <v>0</v>
      </c>
      <c r="D1340" s="123">
        <f>'OPEN FOREIGN ORDER'!AA966</f>
        <v>0</v>
      </c>
      <c r="E1340" s="112">
        <f>'OPEN FOREIGN ORDER'!AB966</f>
        <v>0</v>
      </c>
      <c r="F1340" s="112">
        <f>'OPEN FOREIGN ORDER'!AC966</f>
        <v>0</v>
      </c>
      <c r="G1340" s="112">
        <f>'OPEN FOREIGN ORDER'!AD966</f>
        <v>0</v>
      </c>
      <c r="H1340" s="112">
        <f>'OPEN FOREIGN ORDER'!AE966</f>
        <v>0</v>
      </c>
      <c r="I1340" s="112">
        <f>'OPEN FOREIGN ORDER'!AF966</f>
        <v>0</v>
      </c>
      <c r="J1340" s="112">
        <f>'OPEN FOREIGN ORDER'!AG966</f>
        <v>0</v>
      </c>
    </row>
    <row r="1341" spans="1:10">
      <c r="A1341">
        <f>'OPEN FOREIGN ORDER'!D967</f>
        <v>0</v>
      </c>
      <c r="B1341">
        <f>'OPEN FOREIGN ORDER'!F967</f>
        <v>0</v>
      </c>
      <c r="C1341">
        <f>'OPEN FOREIGN ORDER'!Z967</f>
        <v>0</v>
      </c>
      <c r="D1341" s="123">
        <f>'OPEN FOREIGN ORDER'!AA967</f>
        <v>0</v>
      </c>
      <c r="E1341" s="112">
        <f>'OPEN FOREIGN ORDER'!AB967</f>
        <v>0</v>
      </c>
      <c r="F1341" s="112">
        <f>'OPEN FOREIGN ORDER'!AC967</f>
        <v>0</v>
      </c>
      <c r="G1341" s="112">
        <f>'OPEN FOREIGN ORDER'!AD967</f>
        <v>0</v>
      </c>
      <c r="H1341" s="112">
        <f>'OPEN FOREIGN ORDER'!AE967</f>
        <v>0</v>
      </c>
      <c r="I1341" s="112">
        <f>'OPEN FOREIGN ORDER'!AF967</f>
        <v>0</v>
      </c>
      <c r="J1341" s="112">
        <f>'OPEN FOREIGN ORDER'!AG967</f>
        <v>0</v>
      </c>
    </row>
    <row r="1342" spans="1:10">
      <c r="A1342">
        <f>'OPEN FOREIGN ORDER'!D968</f>
        <v>0</v>
      </c>
      <c r="B1342">
        <f>'OPEN FOREIGN ORDER'!F968</f>
        <v>0</v>
      </c>
      <c r="C1342">
        <f>'OPEN FOREIGN ORDER'!Z968</f>
        <v>0</v>
      </c>
      <c r="D1342" s="123">
        <f>'OPEN FOREIGN ORDER'!AA968</f>
        <v>0</v>
      </c>
      <c r="E1342" s="112">
        <f>'OPEN FOREIGN ORDER'!AB968</f>
        <v>0</v>
      </c>
      <c r="F1342" s="112">
        <f>'OPEN FOREIGN ORDER'!AC968</f>
        <v>0</v>
      </c>
      <c r="G1342" s="112">
        <f>'OPEN FOREIGN ORDER'!AD968</f>
        <v>0</v>
      </c>
      <c r="H1342" s="112">
        <f>'OPEN FOREIGN ORDER'!AE968</f>
        <v>0</v>
      </c>
      <c r="I1342" s="112">
        <f>'OPEN FOREIGN ORDER'!AF968</f>
        <v>0</v>
      </c>
      <c r="J1342" s="112">
        <f>'OPEN FOREIGN ORDER'!AG968</f>
        <v>0</v>
      </c>
    </row>
    <row r="1343" spans="1:10">
      <c r="A1343">
        <f>'OPEN FOREIGN ORDER'!D969</f>
        <v>0</v>
      </c>
      <c r="B1343">
        <f>'OPEN FOREIGN ORDER'!F969</f>
        <v>0</v>
      </c>
      <c r="C1343">
        <f>'OPEN FOREIGN ORDER'!Z969</f>
        <v>0</v>
      </c>
      <c r="D1343" s="123">
        <f>'OPEN FOREIGN ORDER'!AA969</f>
        <v>0</v>
      </c>
      <c r="E1343" s="112">
        <f>'OPEN FOREIGN ORDER'!AB969</f>
        <v>0</v>
      </c>
      <c r="F1343" s="112">
        <f>'OPEN FOREIGN ORDER'!AC969</f>
        <v>0</v>
      </c>
      <c r="G1343" s="112">
        <f>'OPEN FOREIGN ORDER'!AD969</f>
        <v>0</v>
      </c>
      <c r="H1343" s="112">
        <f>'OPEN FOREIGN ORDER'!AE969</f>
        <v>0</v>
      </c>
      <c r="I1343" s="112">
        <f>'OPEN FOREIGN ORDER'!AF969</f>
        <v>0</v>
      </c>
      <c r="J1343" s="112">
        <f>'OPEN FOREIGN ORDER'!AG969</f>
        <v>0</v>
      </c>
    </row>
    <row r="1344" spans="1:10">
      <c r="A1344">
        <f>'OPEN FOREIGN ORDER'!D970</f>
        <v>0</v>
      </c>
      <c r="B1344">
        <f>'OPEN FOREIGN ORDER'!F970</f>
        <v>0</v>
      </c>
      <c r="C1344">
        <f>'OPEN FOREIGN ORDER'!Z970</f>
        <v>0</v>
      </c>
      <c r="D1344" s="123">
        <f>'OPEN FOREIGN ORDER'!AA970</f>
        <v>0</v>
      </c>
      <c r="E1344" s="112">
        <f>'OPEN FOREIGN ORDER'!AB970</f>
        <v>0</v>
      </c>
      <c r="F1344" s="112">
        <f>'OPEN FOREIGN ORDER'!AC970</f>
        <v>0</v>
      </c>
      <c r="G1344" s="112">
        <f>'OPEN FOREIGN ORDER'!AD970</f>
        <v>0</v>
      </c>
      <c r="H1344" s="112">
        <f>'OPEN FOREIGN ORDER'!AE970</f>
        <v>0</v>
      </c>
      <c r="I1344" s="112">
        <f>'OPEN FOREIGN ORDER'!AF970</f>
        <v>0</v>
      </c>
      <c r="J1344" s="112">
        <f>'OPEN FOREIGN ORDER'!AG970</f>
        <v>0</v>
      </c>
    </row>
    <row r="1345" spans="1:10">
      <c r="A1345">
        <f>'OPEN FOREIGN ORDER'!D971</f>
        <v>0</v>
      </c>
      <c r="B1345">
        <f>'OPEN FOREIGN ORDER'!F971</f>
        <v>0</v>
      </c>
      <c r="C1345">
        <f>'OPEN FOREIGN ORDER'!Z971</f>
        <v>0</v>
      </c>
      <c r="D1345" s="123">
        <f>'OPEN FOREIGN ORDER'!AA971</f>
        <v>0</v>
      </c>
      <c r="E1345" s="112">
        <f>'OPEN FOREIGN ORDER'!AB971</f>
        <v>0</v>
      </c>
      <c r="F1345" s="112">
        <f>'OPEN FOREIGN ORDER'!AC971</f>
        <v>0</v>
      </c>
      <c r="G1345" s="112">
        <f>'OPEN FOREIGN ORDER'!AD971</f>
        <v>0</v>
      </c>
      <c r="H1345" s="112">
        <f>'OPEN FOREIGN ORDER'!AE971</f>
        <v>0</v>
      </c>
      <c r="I1345" s="112">
        <f>'OPEN FOREIGN ORDER'!AF971</f>
        <v>0</v>
      </c>
      <c r="J1345" s="112">
        <f>'OPEN FOREIGN ORDER'!AG971</f>
        <v>0</v>
      </c>
    </row>
    <row r="1346" spans="1:10">
      <c r="A1346">
        <f>'OPEN FOREIGN ORDER'!D972</f>
        <v>0</v>
      </c>
      <c r="B1346">
        <f>'OPEN FOREIGN ORDER'!F972</f>
        <v>0</v>
      </c>
      <c r="C1346">
        <f>'OPEN FOREIGN ORDER'!Z972</f>
        <v>0</v>
      </c>
      <c r="D1346" s="123">
        <f>'OPEN FOREIGN ORDER'!AA972</f>
        <v>0</v>
      </c>
      <c r="E1346" s="112">
        <f>'OPEN FOREIGN ORDER'!AB972</f>
        <v>0</v>
      </c>
      <c r="F1346" s="112">
        <f>'OPEN FOREIGN ORDER'!AC972</f>
        <v>0</v>
      </c>
      <c r="G1346" s="112">
        <f>'OPEN FOREIGN ORDER'!AD972</f>
        <v>0</v>
      </c>
      <c r="H1346" s="112">
        <f>'OPEN FOREIGN ORDER'!AE972</f>
        <v>0</v>
      </c>
      <c r="I1346" s="112">
        <f>'OPEN FOREIGN ORDER'!AF972</f>
        <v>0</v>
      </c>
      <c r="J1346" s="112">
        <f>'OPEN FOREIGN ORDER'!AG972</f>
        <v>0</v>
      </c>
    </row>
    <row r="1347" spans="1:10">
      <c r="A1347">
        <f>'OPEN FOREIGN ORDER'!D973</f>
        <v>0</v>
      </c>
      <c r="B1347">
        <f>'OPEN FOREIGN ORDER'!F973</f>
        <v>0</v>
      </c>
      <c r="C1347">
        <f>'OPEN FOREIGN ORDER'!Z973</f>
        <v>0</v>
      </c>
      <c r="D1347" s="123">
        <f>'OPEN FOREIGN ORDER'!AA973</f>
        <v>0</v>
      </c>
      <c r="E1347" s="112">
        <f>'OPEN FOREIGN ORDER'!AB973</f>
        <v>0</v>
      </c>
      <c r="F1347" s="112">
        <f>'OPEN FOREIGN ORDER'!AC973</f>
        <v>0</v>
      </c>
      <c r="G1347" s="112">
        <f>'OPEN FOREIGN ORDER'!AD973</f>
        <v>0</v>
      </c>
      <c r="H1347" s="112">
        <f>'OPEN FOREIGN ORDER'!AE973</f>
        <v>0</v>
      </c>
      <c r="I1347" s="112">
        <f>'OPEN FOREIGN ORDER'!AF973</f>
        <v>0</v>
      </c>
      <c r="J1347" s="112">
        <f>'OPEN FOREIGN ORDER'!AG973</f>
        <v>0</v>
      </c>
    </row>
    <row r="1348" spans="1:10">
      <c r="A1348">
        <f>'OPEN FOREIGN ORDER'!D974</f>
        <v>0</v>
      </c>
      <c r="B1348">
        <f>'OPEN FOREIGN ORDER'!F974</f>
        <v>0</v>
      </c>
      <c r="C1348">
        <f>'OPEN FOREIGN ORDER'!Z974</f>
        <v>0</v>
      </c>
      <c r="D1348" s="123">
        <f>'OPEN FOREIGN ORDER'!AA974</f>
        <v>0</v>
      </c>
      <c r="E1348" s="112">
        <f>'OPEN FOREIGN ORDER'!AB974</f>
        <v>0</v>
      </c>
      <c r="F1348" s="112">
        <f>'OPEN FOREIGN ORDER'!AC974</f>
        <v>0</v>
      </c>
      <c r="G1348" s="112">
        <f>'OPEN FOREIGN ORDER'!AD974</f>
        <v>0</v>
      </c>
      <c r="H1348" s="112">
        <f>'OPEN FOREIGN ORDER'!AE974</f>
        <v>0</v>
      </c>
      <c r="I1348" s="112">
        <f>'OPEN FOREIGN ORDER'!AF974</f>
        <v>0</v>
      </c>
      <c r="J1348" s="112">
        <f>'OPEN FOREIGN ORDER'!AG974</f>
        <v>0</v>
      </c>
    </row>
    <row r="1349" spans="1:10">
      <c r="A1349">
        <f>'OPEN FOREIGN ORDER'!D975</f>
        <v>0</v>
      </c>
      <c r="B1349">
        <f>'OPEN FOREIGN ORDER'!F975</f>
        <v>0</v>
      </c>
      <c r="C1349">
        <f>'OPEN FOREIGN ORDER'!Z975</f>
        <v>0</v>
      </c>
      <c r="D1349" s="123">
        <f>'OPEN FOREIGN ORDER'!AA975</f>
        <v>0</v>
      </c>
      <c r="E1349" s="112">
        <f>'OPEN FOREIGN ORDER'!AB975</f>
        <v>0</v>
      </c>
      <c r="F1349" s="112">
        <f>'OPEN FOREIGN ORDER'!AC975</f>
        <v>0</v>
      </c>
      <c r="G1349" s="112">
        <f>'OPEN FOREIGN ORDER'!AD975</f>
        <v>0</v>
      </c>
      <c r="H1349" s="112">
        <f>'OPEN FOREIGN ORDER'!AE975</f>
        <v>0</v>
      </c>
      <c r="I1349" s="112">
        <f>'OPEN FOREIGN ORDER'!AF975</f>
        <v>0</v>
      </c>
      <c r="J1349" s="112">
        <f>'OPEN FOREIGN ORDER'!AG975</f>
        <v>0</v>
      </c>
    </row>
    <row r="1350" spans="1:10">
      <c r="A1350">
        <f>'OPEN FOREIGN ORDER'!D976</f>
        <v>0</v>
      </c>
      <c r="B1350">
        <f>'OPEN FOREIGN ORDER'!F976</f>
        <v>0</v>
      </c>
      <c r="C1350">
        <f>'OPEN FOREIGN ORDER'!Z976</f>
        <v>0</v>
      </c>
      <c r="D1350" s="123">
        <f>'OPEN FOREIGN ORDER'!AA976</f>
        <v>0</v>
      </c>
      <c r="E1350" s="112">
        <f>'OPEN FOREIGN ORDER'!AB976</f>
        <v>0</v>
      </c>
      <c r="F1350" s="112">
        <f>'OPEN FOREIGN ORDER'!AC976</f>
        <v>0</v>
      </c>
      <c r="G1350" s="112">
        <f>'OPEN FOREIGN ORDER'!AD976</f>
        <v>0</v>
      </c>
      <c r="H1350" s="112">
        <f>'OPEN FOREIGN ORDER'!AE976</f>
        <v>0</v>
      </c>
      <c r="I1350" s="112">
        <f>'OPEN FOREIGN ORDER'!AF976</f>
        <v>0</v>
      </c>
      <c r="J1350" s="112">
        <f>'OPEN FOREIGN ORDER'!AG976</f>
        <v>0</v>
      </c>
    </row>
    <row r="1351" spans="1:10">
      <c r="A1351">
        <f>'OPEN FOREIGN ORDER'!D977</f>
        <v>0</v>
      </c>
      <c r="B1351">
        <f>'OPEN FOREIGN ORDER'!F977</f>
        <v>0</v>
      </c>
      <c r="C1351">
        <f>'OPEN FOREIGN ORDER'!Z977</f>
        <v>0</v>
      </c>
      <c r="D1351" s="123">
        <f>'OPEN FOREIGN ORDER'!AA977</f>
        <v>0</v>
      </c>
      <c r="E1351" s="112">
        <f>'OPEN FOREIGN ORDER'!AB977</f>
        <v>0</v>
      </c>
      <c r="F1351" s="112">
        <f>'OPEN FOREIGN ORDER'!AC977</f>
        <v>0</v>
      </c>
      <c r="G1351" s="112">
        <f>'OPEN FOREIGN ORDER'!AD977</f>
        <v>0</v>
      </c>
      <c r="H1351" s="112">
        <f>'OPEN FOREIGN ORDER'!AE977</f>
        <v>0</v>
      </c>
      <c r="I1351" s="112">
        <f>'OPEN FOREIGN ORDER'!AF977</f>
        <v>0</v>
      </c>
      <c r="J1351" s="112">
        <f>'OPEN FOREIGN ORDER'!AG977</f>
        <v>0</v>
      </c>
    </row>
    <row r="1352" spans="1:10">
      <c r="A1352">
        <f>'OPEN FOREIGN ORDER'!D978</f>
        <v>0</v>
      </c>
      <c r="B1352">
        <f>'OPEN FOREIGN ORDER'!F978</f>
        <v>0</v>
      </c>
      <c r="C1352">
        <f>'OPEN FOREIGN ORDER'!Z978</f>
        <v>0</v>
      </c>
      <c r="D1352" s="123">
        <f>'OPEN FOREIGN ORDER'!AA978</f>
        <v>0</v>
      </c>
      <c r="E1352" s="112">
        <f>'OPEN FOREIGN ORDER'!AB978</f>
        <v>0</v>
      </c>
      <c r="F1352" s="112">
        <f>'OPEN FOREIGN ORDER'!AC978</f>
        <v>0</v>
      </c>
      <c r="G1352" s="112">
        <f>'OPEN FOREIGN ORDER'!AD978</f>
        <v>0</v>
      </c>
      <c r="H1352" s="112">
        <f>'OPEN FOREIGN ORDER'!AE978</f>
        <v>0</v>
      </c>
      <c r="I1352" s="112">
        <f>'OPEN FOREIGN ORDER'!AF978</f>
        <v>0</v>
      </c>
      <c r="J1352" s="112">
        <f>'OPEN FOREIGN ORDER'!AG978</f>
        <v>0</v>
      </c>
    </row>
    <row r="1353" spans="1:10">
      <c r="A1353">
        <f>'OPEN FOREIGN ORDER'!D979</f>
        <v>0</v>
      </c>
      <c r="B1353">
        <f>'OPEN FOREIGN ORDER'!F979</f>
        <v>0</v>
      </c>
      <c r="C1353">
        <f>'OPEN FOREIGN ORDER'!Z979</f>
        <v>0</v>
      </c>
      <c r="D1353" s="123">
        <f>'OPEN FOREIGN ORDER'!AA979</f>
        <v>0</v>
      </c>
      <c r="E1353" s="112">
        <f>'OPEN FOREIGN ORDER'!AB979</f>
        <v>0</v>
      </c>
      <c r="F1353" s="112">
        <f>'OPEN FOREIGN ORDER'!AC979</f>
        <v>0</v>
      </c>
      <c r="G1353" s="112">
        <f>'OPEN FOREIGN ORDER'!AD979</f>
        <v>0</v>
      </c>
      <c r="H1353" s="112">
        <f>'OPEN FOREIGN ORDER'!AE979</f>
        <v>0</v>
      </c>
      <c r="I1353" s="112">
        <f>'OPEN FOREIGN ORDER'!AF979</f>
        <v>0</v>
      </c>
      <c r="J1353" s="112">
        <f>'OPEN FOREIGN ORDER'!AG979</f>
        <v>0</v>
      </c>
    </row>
    <row r="1354" spans="1:10">
      <c r="A1354">
        <f>'OPEN FOREIGN ORDER'!D980</f>
        <v>0</v>
      </c>
      <c r="B1354">
        <f>'OPEN FOREIGN ORDER'!F980</f>
        <v>0</v>
      </c>
      <c r="C1354">
        <f>'OPEN FOREIGN ORDER'!Z980</f>
        <v>0</v>
      </c>
      <c r="D1354" s="123">
        <f>'OPEN FOREIGN ORDER'!AA980</f>
        <v>0</v>
      </c>
      <c r="E1354" s="112">
        <f>'OPEN FOREIGN ORDER'!AB980</f>
        <v>0</v>
      </c>
      <c r="F1354" s="112">
        <f>'OPEN FOREIGN ORDER'!AC980</f>
        <v>0</v>
      </c>
      <c r="G1354" s="112">
        <f>'OPEN FOREIGN ORDER'!AD980</f>
        <v>0</v>
      </c>
      <c r="H1354" s="112">
        <f>'OPEN FOREIGN ORDER'!AE980</f>
        <v>0</v>
      </c>
      <c r="I1354" s="112">
        <f>'OPEN FOREIGN ORDER'!AF980</f>
        <v>0</v>
      </c>
      <c r="J1354" s="112">
        <f>'OPEN FOREIGN ORDER'!AG980</f>
        <v>0</v>
      </c>
    </row>
    <row r="1355" spans="1:10">
      <c r="A1355">
        <f>'OPEN FOREIGN ORDER'!D981</f>
        <v>0</v>
      </c>
      <c r="B1355">
        <f>'OPEN FOREIGN ORDER'!F981</f>
        <v>0</v>
      </c>
      <c r="C1355">
        <f>'OPEN FOREIGN ORDER'!Z981</f>
        <v>0</v>
      </c>
      <c r="D1355" s="123">
        <f>'OPEN FOREIGN ORDER'!AA981</f>
        <v>0</v>
      </c>
      <c r="E1355" s="112">
        <f>'OPEN FOREIGN ORDER'!AB981</f>
        <v>0</v>
      </c>
      <c r="F1355" s="112">
        <f>'OPEN FOREIGN ORDER'!AC981</f>
        <v>0</v>
      </c>
      <c r="G1355" s="112">
        <f>'OPEN FOREIGN ORDER'!AD981</f>
        <v>0</v>
      </c>
      <c r="H1355" s="112">
        <f>'OPEN FOREIGN ORDER'!AE981</f>
        <v>0</v>
      </c>
      <c r="I1355" s="112">
        <f>'OPEN FOREIGN ORDER'!AF981</f>
        <v>0</v>
      </c>
      <c r="J1355" s="112">
        <f>'OPEN FOREIGN ORDER'!AG981</f>
        <v>0</v>
      </c>
    </row>
    <row r="1356" spans="1:10">
      <c r="A1356">
        <f>'OPEN FOREIGN ORDER'!D982</f>
        <v>0</v>
      </c>
      <c r="B1356">
        <f>'OPEN FOREIGN ORDER'!F982</f>
        <v>0</v>
      </c>
      <c r="C1356">
        <f>'OPEN FOREIGN ORDER'!Z982</f>
        <v>0</v>
      </c>
      <c r="D1356" s="123">
        <f>'OPEN FOREIGN ORDER'!AA982</f>
        <v>0</v>
      </c>
      <c r="E1356" s="112">
        <f>'OPEN FOREIGN ORDER'!AB982</f>
        <v>0</v>
      </c>
      <c r="F1356" s="112">
        <f>'OPEN FOREIGN ORDER'!AC982</f>
        <v>0</v>
      </c>
      <c r="G1356" s="112">
        <f>'OPEN FOREIGN ORDER'!AD982</f>
        <v>0</v>
      </c>
      <c r="H1356" s="112">
        <f>'OPEN FOREIGN ORDER'!AE982</f>
        <v>0</v>
      </c>
      <c r="I1356" s="112">
        <f>'OPEN FOREIGN ORDER'!AF982</f>
        <v>0</v>
      </c>
      <c r="J1356" s="112">
        <f>'OPEN FOREIGN ORDER'!AG982</f>
        <v>0</v>
      </c>
    </row>
    <row r="1357" spans="1:10">
      <c r="A1357">
        <f>'OPEN FOREIGN ORDER'!D983</f>
        <v>0</v>
      </c>
      <c r="B1357">
        <f>'OPEN FOREIGN ORDER'!F983</f>
        <v>0</v>
      </c>
      <c r="C1357">
        <f>'OPEN FOREIGN ORDER'!Z983</f>
        <v>0</v>
      </c>
      <c r="D1357" s="123">
        <f>'OPEN FOREIGN ORDER'!AA983</f>
        <v>0</v>
      </c>
      <c r="E1357" s="112">
        <f>'OPEN FOREIGN ORDER'!AB983</f>
        <v>0</v>
      </c>
      <c r="F1357" s="112">
        <f>'OPEN FOREIGN ORDER'!AC983</f>
        <v>0</v>
      </c>
      <c r="G1357" s="112">
        <f>'OPEN FOREIGN ORDER'!AD983</f>
        <v>0</v>
      </c>
      <c r="H1357" s="112">
        <f>'OPEN FOREIGN ORDER'!AE983</f>
        <v>0</v>
      </c>
      <c r="I1357" s="112">
        <f>'OPEN FOREIGN ORDER'!AF983</f>
        <v>0</v>
      </c>
      <c r="J1357" s="112">
        <f>'OPEN FOREIGN ORDER'!AG983</f>
        <v>0</v>
      </c>
    </row>
    <row r="1358" spans="1:10">
      <c r="A1358">
        <f>'OPEN FOREIGN ORDER'!D984</f>
        <v>0</v>
      </c>
      <c r="B1358">
        <f>'OPEN FOREIGN ORDER'!F984</f>
        <v>0</v>
      </c>
      <c r="C1358">
        <f>'OPEN FOREIGN ORDER'!Z984</f>
        <v>0</v>
      </c>
      <c r="D1358" s="123">
        <f>'OPEN FOREIGN ORDER'!AA984</f>
        <v>0</v>
      </c>
      <c r="E1358" s="112">
        <f>'OPEN FOREIGN ORDER'!AB984</f>
        <v>0</v>
      </c>
      <c r="F1358" s="112">
        <f>'OPEN FOREIGN ORDER'!AC984</f>
        <v>0</v>
      </c>
      <c r="G1358" s="112">
        <f>'OPEN FOREIGN ORDER'!AD984</f>
        <v>0</v>
      </c>
      <c r="H1358" s="112">
        <f>'OPEN FOREIGN ORDER'!AE984</f>
        <v>0</v>
      </c>
      <c r="I1358" s="112">
        <f>'OPEN FOREIGN ORDER'!AF984</f>
        <v>0</v>
      </c>
      <c r="J1358" s="112">
        <f>'OPEN FOREIGN ORDER'!AG984</f>
        <v>0</v>
      </c>
    </row>
    <row r="1359" spans="1:10">
      <c r="A1359">
        <f>'OPEN FOREIGN ORDER'!D985</f>
        <v>0</v>
      </c>
      <c r="B1359">
        <f>'OPEN FOREIGN ORDER'!F985</f>
        <v>0</v>
      </c>
      <c r="C1359">
        <f>'OPEN FOREIGN ORDER'!Z985</f>
        <v>0</v>
      </c>
      <c r="D1359" s="123">
        <f>'OPEN FOREIGN ORDER'!AA985</f>
        <v>0</v>
      </c>
      <c r="E1359" s="112">
        <f>'OPEN FOREIGN ORDER'!AB985</f>
        <v>0</v>
      </c>
      <c r="F1359" s="112">
        <f>'OPEN FOREIGN ORDER'!AC985</f>
        <v>0</v>
      </c>
      <c r="G1359" s="112">
        <f>'OPEN FOREIGN ORDER'!AD985</f>
        <v>0</v>
      </c>
      <c r="H1359" s="112">
        <f>'OPEN FOREIGN ORDER'!AE985</f>
        <v>0</v>
      </c>
      <c r="I1359" s="112">
        <f>'OPEN FOREIGN ORDER'!AF985</f>
        <v>0</v>
      </c>
      <c r="J1359" s="112">
        <f>'OPEN FOREIGN ORDER'!AG985</f>
        <v>0</v>
      </c>
    </row>
    <row r="1360" spans="1:10">
      <c r="A1360">
        <f>'OPEN FOREIGN ORDER'!D986</f>
        <v>0</v>
      </c>
      <c r="B1360">
        <f>'OPEN FOREIGN ORDER'!F986</f>
        <v>0</v>
      </c>
      <c r="C1360">
        <f>'OPEN FOREIGN ORDER'!Z986</f>
        <v>0</v>
      </c>
      <c r="D1360" s="123">
        <f>'OPEN FOREIGN ORDER'!AA986</f>
        <v>0</v>
      </c>
      <c r="E1360" s="112">
        <f>'OPEN FOREIGN ORDER'!AB986</f>
        <v>0</v>
      </c>
      <c r="F1360" s="112">
        <f>'OPEN FOREIGN ORDER'!AC986</f>
        <v>0</v>
      </c>
      <c r="G1360" s="112">
        <f>'OPEN FOREIGN ORDER'!AD986</f>
        <v>0</v>
      </c>
      <c r="H1360" s="112">
        <f>'OPEN FOREIGN ORDER'!AE986</f>
        <v>0</v>
      </c>
      <c r="I1360" s="112">
        <f>'OPEN FOREIGN ORDER'!AF986</f>
        <v>0</v>
      </c>
      <c r="J1360" s="112">
        <f>'OPEN FOREIGN ORDER'!AG986</f>
        <v>0</v>
      </c>
    </row>
    <row r="1361" spans="1:10">
      <c r="A1361">
        <f>'OPEN FOREIGN ORDER'!D987</f>
        <v>0</v>
      </c>
      <c r="B1361">
        <f>'OPEN FOREIGN ORDER'!F987</f>
        <v>0</v>
      </c>
      <c r="C1361">
        <f>'OPEN FOREIGN ORDER'!Z987</f>
        <v>0</v>
      </c>
      <c r="D1361" s="123">
        <f>'OPEN FOREIGN ORDER'!AA987</f>
        <v>0</v>
      </c>
      <c r="E1361" s="112">
        <f>'OPEN FOREIGN ORDER'!AB987</f>
        <v>0</v>
      </c>
      <c r="F1361" s="112">
        <f>'OPEN FOREIGN ORDER'!AC987</f>
        <v>0</v>
      </c>
      <c r="G1361" s="112">
        <f>'OPEN FOREIGN ORDER'!AD987</f>
        <v>0</v>
      </c>
      <c r="H1361" s="112">
        <f>'OPEN FOREIGN ORDER'!AE987</f>
        <v>0</v>
      </c>
      <c r="I1361" s="112">
        <f>'OPEN FOREIGN ORDER'!AF987</f>
        <v>0</v>
      </c>
      <c r="J1361" s="112">
        <f>'OPEN FOREIGN ORDER'!AG987</f>
        <v>0</v>
      </c>
    </row>
    <row r="1362" spans="1:10">
      <c r="A1362">
        <f>'OPEN FOREIGN ORDER'!D988</f>
        <v>0</v>
      </c>
      <c r="B1362">
        <f>'OPEN FOREIGN ORDER'!F988</f>
        <v>0</v>
      </c>
      <c r="C1362">
        <f>'OPEN FOREIGN ORDER'!Z988</f>
        <v>0</v>
      </c>
      <c r="D1362" s="123">
        <f>'OPEN FOREIGN ORDER'!AA988</f>
        <v>0</v>
      </c>
      <c r="E1362" s="112">
        <f>'OPEN FOREIGN ORDER'!AB988</f>
        <v>0</v>
      </c>
      <c r="F1362" s="112">
        <f>'OPEN FOREIGN ORDER'!AC988</f>
        <v>0</v>
      </c>
      <c r="G1362" s="112">
        <f>'OPEN FOREIGN ORDER'!AD988</f>
        <v>0</v>
      </c>
      <c r="H1362" s="112">
        <f>'OPEN FOREIGN ORDER'!AE988</f>
        <v>0</v>
      </c>
      <c r="I1362" s="112">
        <f>'OPEN FOREIGN ORDER'!AF988</f>
        <v>0</v>
      </c>
      <c r="J1362" s="112">
        <f>'OPEN FOREIGN ORDER'!AG988</f>
        <v>0</v>
      </c>
    </row>
    <row r="1363" spans="1:10">
      <c r="A1363">
        <f>'OPEN FOREIGN ORDER'!D989</f>
        <v>0</v>
      </c>
      <c r="B1363">
        <f>'OPEN FOREIGN ORDER'!F989</f>
        <v>0</v>
      </c>
      <c r="C1363">
        <f>'OPEN FOREIGN ORDER'!Z989</f>
        <v>0</v>
      </c>
      <c r="D1363" s="123">
        <f>'OPEN FOREIGN ORDER'!AA989</f>
        <v>0</v>
      </c>
      <c r="E1363" s="112">
        <f>'OPEN FOREIGN ORDER'!AB989</f>
        <v>0</v>
      </c>
      <c r="F1363" s="112">
        <f>'OPEN FOREIGN ORDER'!AC989</f>
        <v>0</v>
      </c>
      <c r="G1363" s="112">
        <f>'OPEN FOREIGN ORDER'!AD989</f>
        <v>0</v>
      </c>
      <c r="H1363" s="112">
        <f>'OPEN FOREIGN ORDER'!AE989</f>
        <v>0</v>
      </c>
      <c r="I1363" s="112">
        <f>'OPEN FOREIGN ORDER'!AF989</f>
        <v>0</v>
      </c>
      <c r="J1363" s="112">
        <f>'OPEN FOREIGN ORDER'!AG989</f>
        <v>0</v>
      </c>
    </row>
    <row r="1364" spans="1:10">
      <c r="A1364">
        <f>'OPEN FOREIGN ORDER'!D990</f>
        <v>0</v>
      </c>
      <c r="B1364">
        <f>'OPEN FOREIGN ORDER'!F990</f>
        <v>0</v>
      </c>
      <c r="C1364">
        <f>'OPEN FOREIGN ORDER'!Z990</f>
        <v>0</v>
      </c>
      <c r="D1364" s="123">
        <f>'OPEN FOREIGN ORDER'!AA990</f>
        <v>0</v>
      </c>
      <c r="E1364" s="112">
        <f>'OPEN FOREIGN ORDER'!AB990</f>
        <v>0</v>
      </c>
      <c r="F1364" s="112">
        <f>'OPEN FOREIGN ORDER'!AC990</f>
        <v>0</v>
      </c>
      <c r="G1364" s="112">
        <f>'OPEN FOREIGN ORDER'!AD990</f>
        <v>0</v>
      </c>
      <c r="H1364" s="112">
        <f>'OPEN FOREIGN ORDER'!AE990</f>
        <v>0</v>
      </c>
      <c r="I1364" s="112">
        <f>'OPEN FOREIGN ORDER'!AF990</f>
        <v>0</v>
      </c>
      <c r="J1364" s="112">
        <f>'OPEN FOREIGN ORDER'!AG990</f>
        <v>0</v>
      </c>
    </row>
    <row r="1365" spans="1:10">
      <c r="A1365">
        <f>'OPEN FOREIGN ORDER'!D991</f>
        <v>0</v>
      </c>
      <c r="B1365">
        <f>'OPEN FOREIGN ORDER'!F991</f>
        <v>0</v>
      </c>
      <c r="C1365">
        <f>'OPEN FOREIGN ORDER'!Z991</f>
        <v>0</v>
      </c>
      <c r="D1365" s="123">
        <f>'OPEN FOREIGN ORDER'!AA991</f>
        <v>0</v>
      </c>
      <c r="E1365" s="112">
        <f>'OPEN FOREIGN ORDER'!AB991</f>
        <v>0</v>
      </c>
      <c r="F1365" s="112">
        <f>'OPEN FOREIGN ORDER'!AC991</f>
        <v>0</v>
      </c>
      <c r="G1365" s="112">
        <f>'OPEN FOREIGN ORDER'!AD991</f>
        <v>0</v>
      </c>
      <c r="H1365" s="112">
        <f>'OPEN FOREIGN ORDER'!AE991</f>
        <v>0</v>
      </c>
      <c r="I1365" s="112">
        <f>'OPEN FOREIGN ORDER'!AF991</f>
        <v>0</v>
      </c>
      <c r="J1365" s="112">
        <f>'OPEN FOREIGN ORDER'!AG991</f>
        <v>0</v>
      </c>
    </row>
    <row r="1366" spans="1:10">
      <c r="A1366">
        <f>'OPEN FOREIGN ORDER'!D992</f>
        <v>0</v>
      </c>
      <c r="B1366">
        <f>'OPEN FOREIGN ORDER'!F992</f>
        <v>0</v>
      </c>
      <c r="C1366">
        <f>'OPEN FOREIGN ORDER'!Z992</f>
        <v>0</v>
      </c>
      <c r="D1366" s="123">
        <f>'OPEN FOREIGN ORDER'!AA992</f>
        <v>0</v>
      </c>
      <c r="E1366" s="112">
        <f>'OPEN FOREIGN ORDER'!AB992</f>
        <v>0</v>
      </c>
      <c r="F1366" s="112">
        <f>'OPEN FOREIGN ORDER'!AC992</f>
        <v>0</v>
      </c>
      <c r="G1366" s="112">
        <f>'OPEN FOREIGN ORDER'!AD992</f>
        <v>0</v>
      </c>
      <c r="H1366" s="112">
        <f>'OPEN FOREIGN ORDER'!AE992</f>
        <v>0</v>
      </c>
      <c r="I1366" s="112">
        <f>'OPEN FOREIGN ORDER'!AF992</f>
        <v>0</v>
      </c>
      <c r="J1366" s="112">
        <f>'OPEN FOREIGN ORDER'!AG992</f>
        <v>0</v>
      </c>
    </row>
    <row r="1367" spans="1:10">
      <c r="A1367">
        <f>'OPEN FOREIGN ORDER'!D993</f>
        <v>0</v>
      </c>
      <c r="B1367">
        <f>'OPEN FOREIGN ORDER'!F993</f>
        <v>0</v>
      </c>
      <c r="C1367">
        <f>'OPEN FOREIGN ORDER'!Z993</f>
        <v>0</v>
      </c>
      <c r="D1367" s="123">
        <f>'OPEN FOREIGN ORDER'!AA993</f>
        <v>0</v>
      </c>
      <c r="E1367" s="112">
        <f>'OPEN FOREIGN ORDER'!AB993</f>
        <v>0</v>
      </c>
      <c r="F1367" s="112">
        <f>'OPEN FOREIGN ORDER'!AC993</f>
        <v>0</v>
      </c>
      <c r="G1367" s="112">
        <f>'OPEN FOREIGN ORDER'!AD993</f>
        <v>0</v>
      </c>
      <c r="H1367" s="112">
        <f>'OPEN FOREIGN ORDER'!AE993</f>
        <v>0</v>
      </c>
      <c r="I1367" s="112">
        <f>'OPEN FOREIGN ORDER'!AF993</f>
        <v>0</v>
      </c>
      <c r="J1367" s="112">
        <f>'OPEN FOREIGN ORDER'!AG993</f>
        <v>0</v>
      </c>
    </row>
    <row r="1368" spans="1:10">
      <c r="A1368">
        <f>'OPEN FOREIGN ORDER'!D994</f>
        <v>0</v>
      </c>
      <c r="B1368">
        <f>'OPEN FOREIGN ORDER'!F994</f>
        <v>0</v>
      </c>
      <c r="C1368">
        <f>'OPEN FOREIGN ORDER'!Z994</f>
        <v>0</v>
      </c>
      <c r="D1368" s="123">
        <f>'OPEN FOREIGN ORDER'!AA994</f>
        <v>0</v>
      </c>
      <c r="E1368" s="112">
        <f>'OPEN FOREIGN ORDER'!AB994</f>
        <v>0</v>
      </c>
      <c r="F1368" s="112">
        <f>'OPEN FOREIGN ORDER'!AC994</f>
        <v>0</v>
      </c>
      <c r="G1368" s="112">
        <f>'OPEN FOREIGN ORDER'!AD994</f>
        <v>0</v>
      </c>
      <c r="H1368" s="112">
        <f>'OPEN FOREIGN ORDER'!AE994</f>
        <v>0</v>
      </c>
      <c r="I1368" s="112">
        <f>'OPEN FOREIGN ORDER'!AF994</f>
        <v>0</v>
      </c>
      <c r="J1368" s="112">
        <f>'OPEN FOREIGN ORDER'!AG994</f>
        <v>0</v>
      </c>
    </row>
    <row r="1369" spans="1:10">
      <c r="A1369">
        <f>'OPEN FOREIGN ORDER'!D995</f>
        <v>0</v>
      </c>
      <c r="B1369">
        <f>'OPEN FOREIGN ORDER'!F995</f>
        <v>0</v>
      </c>
      <c r="C1369">
        <f>'OPEN FOREIGN ORDER'!Z995</f>
        <v>0</v>
      </c>
      <c r="D1369" s="123">
        <f>'OPEN FOREIGN ORDER'!AA995</f>
        <v>0</v>
      </c>
      <c r="E1369" s="112">
        <f>'OPEN FOREIGN ORDER'!AB995</f>
        <v>0</v>
      </c>
      <c r="F1369" s="112">
        <f>'OPEN FOREIGN ORDER'!AC995</f>
        <v>0</v>
      </c>
      <c r="G1369" s="112">
        <f>'OPEN FOREIGN ORDER'!AD995</f>
        <v>0</v>
      </c>
      <c r="H1369" s="112">
        <f>'OPEN FOREIGN ORDER'!AE995</f>
        <v>0</v>
      </c>
      <c r="I1369" s="112">
        <f>'OPEN FOREIGN ORDER'!AF995</f>
        <v>0</v>
      </c>
      <c r="J1369" s="112">
        <f>'OPEN FOREIGN ORDER'!AG995</f>
        <v>0</v>
      </c>
    </row>
    <row r="1370" spans="1:10">
      <c r="A1370">
        <f>'OPEN FOREIGN ORDER'!D996</f>
        <v>0</v>
      </c>
      <c r="B1370">
        <f>'OPEN FOREIGN ORDER'!F996</f>
        <v>0</v>
      </c>
      <c r="C1370">
        <f>'OPEN FOREIGN ORDER'!Z996</f>
        <v>0</v>
      </c>
      <c r="D1370" s="123">
        <f>'OPEN FOREIGN ORDER'!AA996</f>
        <v>0</v>
      </c>
      <c r="E1370" s="112">
        <f>'OPEN FOREIGN ORDER'!AB996</f>
        <v>0</v>
      </c>
      <c r="F1370" s="112">
        <f>'OPEN FOREIGN ORDER'!AC996</f>
        <v>0</v>
      </c>
      <c r="G1370" s="112">
        <f>'OPEN FOREIGN ORDER'!AD996</f>
        <v>0</v>
      </c>
      <c r="H1370" s="112">
        <f>'OPEN FOREIGN ORDER'!AE996</f>
        <v>0</v>
      </c>
      <c r="I1370" s="112">
        <f>'OPEN FOREIGN ORDER'!AF996</f>
        <v>0</v>
      </c>
      <c r="J1370" s="112">
        <f>'OPEN FOREIGN ORDER'!AG996</f>
        <v>0</v>
      </c>
    </row>
    <row r="1371" spans="1:10">
      <c r="A1371">
        <f>'OPEN FOREIGN ORDER'!D997</f>
        <v>0</v>
      </c>
      <c r="B1371">
        <f>'OPEN FOREIGN ORDER'!F997</f>
        <v>0</v>
      </c>
      <c r="C1371">
        <f>'OPEN FOREIGN ORDER'!Z997</f>
        <v>0</v>
      </c>
      <c r="D1371" s="123">
        <f>'OPEN FOREIGN ORDER'!AA997</f>
        <v>0</v>
      </c>
      <c r="E1371" s="112">
        <f>'OPEN FOREIGN ORDER'!AB997</f>
        <v>0</v>
      </c>
      <c r="F1371" s="112">
        <f>'OPEN FOREIGN ORDER'!AC997</f>
        <v>0</v>
      </c>
      <c r="G1371" s="112">
        <f>'OPEN FOREIGN ORDER'!AD997</f>
        <v>0</v>
      </c>
      <c r="H1371" s="112">
        <f>'OPEN FOREIGN ORDER'!AE997</f>
        <v>0</v>
      </c>
      <c r="I1371" s="112">
        <f>'OPEN FOREIGN ORDER'!AF997</f>
        <v>0</v>
      </c>
      <c r="J1371" s="112">
        <f>'OPEN FOREIGN ORDER'!AG997</f>
        <v>0</v>
      </c>
    </row>
    <row r="1372" spans="1:10">
      <c r="A1372">
        <f>'OPEN FOREIGN ORDER'!D998</f>
        <v>0</v>
      </c>
      <c r="B1372">
        <f>'OPEN FOREIGN ORDER'!F998</f>
        <v>0</v>
      </c>
      <c r="C1372">
        <f>'OPEN FOREIGN ORDER'!Z998</f>
        <v>0</v>
      </c>
      <c r="D1372" s="123">
        <f>'OPEN FOREIGN ORDER'!AA998</f>
        <v>0</v>
      </c>
      <c r="E1372" s="112">
        <f>'OPEN FOREIGN ORDER'!AB998</f>
        <v>0</v>
      </c>
      <c r="F1372" s="112">
        <f>'OPEN FOREIGN ORDER'!AC998</f>
        <v>0</v>
      </c>
      <c r="G1372" s="112">
        <f>'OPEN FOREIGN ORDER'!AD998</f>
        <v>0</v>
      </c>
      <c r="H1372" s="112">
        <f>'OPEN FOREIGN ORDER'!AE998</f>
        <v>0</v>
      </c>
      <c r="I1372" s="112">
        <f>'OPEN FOREIGN ORDER'!AF998</f>
        <v>0</v>
      </c>
      <c r="J1372" s="112">
        <f>'OPEN FOREIGN ORDER'!AG998</f>
        <v>0</v>
      </c>
    </row>
    <row r="1373" spans="1:10">
      <c r="A1373">
        <f>'OPEN FOREIGN ORDER'!D999</f>
        <v>0</v>
      </c>
      <c r="B1373">
        <f>'OPEN FOREIGN ORDER'!F999</f>
        <v>0</v>
      </c>
      <c r="C1373">
        <f>'OPEN FOREIGN ORDER'!Z999</f>
        <v>0</v>
      </c>
      <c r="D1373" s="123">
        <f>'OPEN FOREIGN ORDER'!AA999</f>
        <v>0</v>
      </c>
      <c r="E1373" s="112">
        <f>'OPEN FOREIGN ORDER'!AB999</f>
        <v>0</v>
      </c>
      <c r="F1373" s="112">
        <f>'OPEN FOREIGN ORDER'!AC999</f>
        <v>0</v>
      </c>
      <c r="G1373" s="112">
        <f>'OPEN FOREIGN ORDER'!AD999</f>
        <v>0</v>
      </c>
      <c r="H1373" s="112">
        <f>'OPEN FOREIGN ORDER'!AE999</f>
        <v>0</v>
      </c>
      <c r="I1373" s="112">
        <f>'OPEN FOREIGN ORDER'!AF999</f>
        <v>0</v>
      </c>
      <c r="J1373" s="112">
        <f>'OPEN FOREIGN ORDER'!AG999</f>
        <v>0</v>
      </c>
    </row>
    <row r="1374" spans="1:10">
      <c r="A1374">
        <f>'OPEN FOREIGN ORDER'!D1000</f>
        <v>0</v>
      </c>
      <c r="B1374">
        <f>'OPEN FOREIGN ORDER'!F1000</f>
        <v>0</v>
      </c>
      <c r="C1374">
        <f>'OPEN FOREIGN ORDER'!Z1000</f>
        <v>0</v>
      </c>
      <c r="D1374" s="123">
        <f>'OPEN FOREIGN ORDER'!AA1000</f>
        <v>0</v>
      </c>
      <c r="E1374" s="112">
        <f>'OPEN FOREIGN ORDER'!AB1000</f>
        <v>0</v>
      </c>
      <c r="F1374" s="112">
        <f>'OPEN FOREIGN ORDER'!AC1000</f>
        <v>0</v>
      </c>
      <c r="G1374" s="112">
        <f>'OPEN FOREIGN ORDER'!AD1000</f>
        <v>0</v>
      </c>
      <c r="H1374" s="112">
        <f>'OPEN FOREIGN ORDER'!AE1000</f>
        <v>0</v>
      </c>
      <c r="I1374" s="112">
        <f>'OPEN FOREIGN ORDER'!AF1000</f>
        <v>0</v>
      </c>
      <c r="J1374" s="112">
        <f>'OPEN FOREIGN ORDER'!AG1000</f>
        <v>0</v>
      </c>
    </row>
    <row r="1375" spans="1:10">
      <c r="A1375">
        <f>'OPEN FOREIGN ORDER'!D1001</f>
        <v>0</v>
      </c>
      <c r="B1375">
        <f>'OPEN FOREIGN ORDER'!F1001</f>
        <v>0</v>
      </c>
      <c r="C1375">
        <f>'OPEN FOREIGN ORDER'!Z1001</f>
        <v>0</v>
      </c>
      <c r="D1375" s="123">
        <f>'OPEN FOREIGN ORDER'!AA1001</f>
        <v>0</v>
      </c>
      <c r="E1375" s="112">
        <f>'OPEN FOREIGN ORDER'!AB1001</f>
        <v>0</v>
      </c>
      <c r="F1375" s="112">
        <f>'OPEN FOREIGN ORDER'!AC1001</f>
        <v>0</v>
      </c>
      <c r="G1375" s="112">
        <f>'OPEN FOREIGN ORDER'!AD1001</f>
        <v>0</v>
      </c>
      <c r="H1375" s="112">
        <f>'OPEN FOREIGN ORDER'!AE1001</f>
        <v>0</v>
      </c>
      <c r="I1375" s="112">
        <f>'OPEN FOREIGN ORDER'!AF1001</f>
        <v>0</v>
      </c>
      <c r="J1375" s="112">
        <f>'OPEN FOREIGN ORDER'!AG1001</f>
        <v>0</v>
      </c>
    </row>
    <row r="1376" spans="1:10">
      <c r="A1376">
        <f>'OPEN FOREIGN ORDER'!D1002</f>
        <v>0</v>
      </c>
      <c r="B1376">
        <f>'OPEN FOREIGN ORDER'!F1002</f>
        <v>0</v>
      </c>
      <c r="C1376">
        <f>'OPEN FOREIGN ORDER'!Z1002</f>
        <v>0</v>
      </c>
      <c r="D1376" s="123">
        <f>'OPEN FOREIGN ORDER'!AA1002</f>
        <v>0</v>
      </c>
      <c r="E1376" s="112">
        <f>'OPEN FOREIGN ORDER'!AB1002</f>
        <v>0</v>
      </c>
      <c r="F1376" s="112">
        <f>'OPEN FOREIGN ORDER'!AC1002</f>
        <v>0</v>
      </c>
      <c r="G1376" s="112">
        <f>'OPEN FOREIGN ORDER'!AD1002</f>
        <v>0</v>
      </c>
      <c r="H1376" s="112">
        <f>'OPEN FOREIGN ORDER'!AE1002</f>
        <v>0</v>
      </c>
      <c r="I1376" s="112">
        <f>'OPEN FOREIGN ORDER'!AF1002</f>
        <v>0</v>
      </c>
      <c r="J1376" s="112">
        <f>'OPEN FOREIGN ORDER'!AG1002</f>
        <v>0</v>
      </c>
    </row>
    <row r="1377" spans="1:10">
      <c r="A1377">
        <f>'OPEN FOREIGN ORDER'!D1003</f>
        <v>0</v>
      </c>
      <c r="B1377">
        <f>'OPEN FOREIGN ORDER'!F1003</f>
        <v>0</v>
      </c>
      <c r="C1377">
        <f>'OPEN FOREIGN ORDER'!Z1003</f>
        <v>0</v>
      </c>
      <c r="D1377" s="123">
        <f>'OPEN FOREIGN ORDER'!AA1003</f>
        <v>0</v>
      </c>
      <c r="E1377" s="112">
        <f>'OPEN FOREIGN ORDER'!AB1003</f>
        <v>0</v>
      </c>
      <c r="F1377" s="112">
        <f>'OPEN FOREIGN ORDER'!AC1003</f>
        <v>0</v>
      </c>
      <c r="G1377" s="112">
        <f>'OPEN FOREIGN ORDER'!AD1003</f>
        <v>0</v>
      </c>
      <c r="H1377" s="112">
        <f>'OPEN FOREIGN ORDER'!AE1003</f>
        <v>0</v>
      </c>
      <c r="I1377" s="112">
        <f>'OPEN FOREIGN ORDER'!AF1003</f>
        <v>0</v>
      </c>
      <c r="J1377" s="112">
        <f>'OPEN FOREIGN ORDER'!AG1003</f>
        <v>0</v>
      </c>
    </row>
    <row r="1378" spans="1:10">
      <c r="A1378">
        <f>'OPEN FOREIGN ORDER'!D1004</f>
        <v>0</v>
      </c>
      <c r="B1378">
        <f>'OPEN FOREIGN ORDER'!F1004</f>
        <v>0</v>
      </c>
      <c r="C1378">
        <f>'OPEN FOREIGN ORDER'!Z1004</f>
        <v>0</v>
      </c>
      <c r="D1378" s="123">
        <f>'OPEN FOREIGN ORDER'!AA1004</f>
        <v>0</v>
      </c>
      <c r="E1378" s="112">
        <f>'OPEN FOREIGN ORDER'!AB1004</f>
        <v>0</v>
      </c>
      <c r="F1378" s="112">
        <f>'OPEN FOREIGN ORDER'!AC1004</f>
        <v>0</v>
      </c>
      <c r="G1378" s="112">
        <f>'OPEN FOREIGN ORDER'!AD1004</f>
        <v>0</v>
      </c>
      <c r="H1378" s="112">
        <f>'OPEN FOREIGN ORDER'!AE1004</f>
        <v>0</v>
      </c>
      <c r="I1378" s="112">
        <f>'OPEN FOREIGN ORDER'!AF1004</f>
        <v>0</v>
      </c>
      <c r="J1378" s="112">
        <f>'OPEN FOREIGN ORDER'!AG1004</f>
        <v>0</v>
      </c>
    </row>
    <row r="1379" spans="1:10">
      <c r="A1379">
        <f>'OPEN FOREIGN ORDER'!D1005</f>
        <v>0</v>
      </c>
      <c r="B1379">
        <f>'OPEN FOREIGN ORDER'!F1005</f>
        <v>0</v>
      </c>
      <c r="C1379">
        <f>'OPEN FOREIGN ORDER'!Z1005</f>
        <v>0</v>
      </c>
      <c r="D1379" s="123">
        <f>'OPEN FOREIGN ORDER'!AA1005</f>
        <v>0</v>
      </c>
      <c r="E1379" s="112">
        <f>'OPEN FOREIGN ORDER'!AB1005</f>
        <v>0</v>
      </c>
      <c r="F1379" s="112">
        <f>'OPEN FOREIGN ORDER'!AC1005</f>
        <v>0</v>
      </c>
      <c r="G1379" s="112">
        <f>'OPEN FOREIGN ORDER'!AD1005</f>
        <v>0</v>
      </c>
      <c r="H1379" s="112">
        <f>'OPEN FOREIGN ORDER'!AE1005</f>
        <v>0</v>
      </c>
      <c r="I1379" s="112">
        <f>'OPEN FOREIGN ORDER'!AF1005</f>
        <v>0</v>
      </c>
      <c r="J1379" s="112">
        <f>'OPEN FOREIGN ORDER'!AG1005</f>
        <v>0</v>
      </c>
    </row>
    <row r="1380" spans="1:10">
      <c r="A1380">
        <f>'OPEN FOREIGN ORDER'!D1006</f>
        <v>0</v>
      </c>
      <c r="B1380">
        <f>'OPEN FOREIGN ORDER'!F1006</f>
        <v>0</v>
      </c>
      <c r="C1380">
        <f>'OPEN FOREIGN ORDER'!Z1006</f>
        <v>0</v>
      </c>
      <c r="D1380" s="123">
        <f>'OPEN FOREIGN ORDER'!AA1006</f>
        <v>0</v>
      </c>
      <c r="E1380" s="112">
        <f>'OPEN FOREIGN ORDER'!AB1006</f>
        <v>0</v>
      </c>
      <c r="F1380" s="112">
        <f>'OPEN FOREIGN ORDER'!AC1006</f>
        <v>0</v>
      </c>
      <c r="G1380" s="112">
        <f>'OPEN FOREIGN ORDER'!AD1006</f>
        <v>0</v>
      </c>
      <c r="H1380" s="112">
        <f>'OPEN FOREIGN ORDER'!AE1006</f>
        <v>0</v>
      </c>
      <c r="I1380" s="112">
        <f>'OPEN FOREIGN ORDER'!AF1006</f>
        <v>0</v>
      </c>
      <c r="J1380" s="112">
        <f>'OPEN FOREIGN ORDER'!AG1006</f>
        <v>0</v>
      </c>
    </row>
    <row r="1381" spans="1:10">
      <c r="A1381">
        <f>'OPEN FOREIGN ORDER'!D1007</f>
        <v>0</v>
      </c>
      <c r="B1381">
        <f>'OPEN FOREIGN ORDER'!F1007</f>
        <v>0</v>
      </c>
      <c r="C1381">
        <f>'OPEN FOREIGN ORDER'!Z1007</f>
        <v>0</v>
      </c>
      <c r="D1381" s="123">
        <f>'OPEN FOREIGN ORDER'!AA1007</f>
        <v>0</v>
      </c>
      <c r="E1381" s="112">
        <f>'OPEN FOREIGN ORDER'!AB1007</f>
        <v>0</v>
      </c>
      <c r="F1381" s="112">
        <f>'OPEN FOREIGN ORDER'!AC1007</f>
        <v>0</v>
      </c>
      <c r="G1381" s="112">
        <f>'OPEN FOREIGN ORDER'!AD1007</f>
        <v>0</v>
      </c>
      <c r="H1381" s="112">
        <f>'OPEN FOREIGN ORDER'!AE1007</f>
        <v>0</v>
      </c>
      <c r="I1381" s="112">
        <f>'OPEN FOREIGN ORDER'!AF1007</f>
        <v>0</v>
      </c>
      <c r="J1381" s="112">
        <f>'OPEN FOREIGN ORDER'!AG1007</f>
        <v>0</v>
      </c>
    </row>
    <row r="1382" spans="1:10">
      <c r="A1382">
        <f>'OPEN FOREIGN ORDER'!D1008</f>
        <v>0</v>
      </c>
      <c r="B1382">
        <f>'OPEN FOREIGN ORDER'!F1008</f>
        <v>0</v>
      </c>
      <c r="C1382">
        <f>'OPEN FOREIGN ORDER'!Z1008</f>
        <v>0</v>
      </c>
      <c r="D1382" s="123">
        <f>'OPEN FOREIGN ORDER'!AA1008</f>
        <v>0</v>
      </c>
      <c r="E1382" s="112">
        <f>'OPEN FOREIGN ORDER'!AB1008</f>
        <v>0</v>
      </c>
      <c r="F1382" s="112">
        <f>'OPEN FOREIGN ORDER'!AC1008</f>
        <v>0</v>
      </c>
      <c r="G1382" s="112">
        <f>'OPEN FOREIGN ORDER'!AD1008</f>
        <v>0</v>
      </c>
      <c r="H1382" s="112">
        <f>'OPEN FOREIGN ORDER'!AE1008</f>
        <v>0</v>
      </c>
      <c r="I1382" s="112">
        <f>'OPEN FOREIGN ORDER'!AF1008</f>
        <v>0</v>
      </c>
      <c r="J1382" s="112">
        <f>'OPEN FOREIGN ORDER'!AG1008</f>
        <v>0</v>
      </c>
    </row>
    <row r="1383" spans="1:10">
      <c r="A1383">
        <f>'OPEN FOREIGN ORDER'!D1009</f>
        <v>0</v>
      </c>
      <c r="B1383">
        <f>'OPEN FOREIGN ORDER'!F1009</f>
        <v>0</v>
      </c>
      <c r="C1383">
        <f>'OPEN FOREIGN ORDER'!Z1009</f>
        <v>0</v>
      </c>
      <c r="D1383" s="123">
        <f>'OPEN FOREIGN ORDER'!AA1009</f>
        <v>0</v>
      </c>
      <c r="E1383" s="112">
        <f>'OPEN FOREIGN ORDER'!AB1009</f>
        <v>0</v>
      </c>
      <c r="F1383" s="112">
        <f>'OPEN FOREIGN ORDER'!AC1009</f>
        <v>0</v>
      </c>
      <c r="G1383" s="112">
        <f>'OPEN FOREIGN ORDER'!AD1009</f>
        <v>0</v>
      </c>
      <c r="H1383" s="112">
        <f>'OPEN FOREIGN ORDER'!AE1009</f>
        <v>0</v>
      </c>
      <c r="I1383" s="112">
        <f>'OPEN FOREIGN ORDER'!AF1009</f>
        <v>0</v>
      </c>
      <c r="J1383" s="112">
        <f>'OPEN FOREIGN ORDER'!AG1009</f>
        <v>0</v>
      </c>
    </row>
    <row r="1384" spans="1:10">
      <c r="A1384">
        <f>'OPEN FOREIGN ORDER'!D1010</f>
        <v>0</v>
      </c>
      <c r="B1384">
        <f>'OPEN FOREIGN ORDER'!F1010</f>
        <v>0</v>
      </c>
      <c r="C1384">
        <f>'OPEN FOREIGN ORDER'!Z1010</f>
        <v>0</v>
      </c>
      <c r="D1384" s="123">
        <f>'OPEN FOREIGN ORDER'!AA1010</f>
        <v>0</v>
      </c>
      <c r="E1384" s="112">
        <f>'OPEN FOREIGN ORDER'!AB1010</f>
        <v>0</v>
      </c>
      <c r="F1384" s="112">
        <f>'OPEN FOREIGN ORDER'!AC1010</f>
        <v>0</v>
      </c>
      <c r="G1384" s="112">
        <f>'OPEN FOREIGN ORDER'!AD1010</f>
        <v>0</v>
      </c>
      <c r="H1384" s="112">
        <f>'OPEN FOREIGN ORDER'!AE1010</f>
        <v>0</v>
      </c>
      <c r="I1384" s="112">
        <f>'OPEN FOREIGN ORDER'!AF1010</f>
        <v>0</v>
      </c>
      <c r="J1384" s="112">
        <f>'OPEN FOREIGN ORDER'!AG1010</f>
        <v>0</v>
      </c>
    </row>
    <row r="1385" spans="1:10">
      <c r="A1385">
        <f>'OPEN FOREIGN ORDER'!D1011</f>
        <v>0</v>
      </c>
      <c r="B1385">
        <f>'OPEN FOREIGN ORDER'!F1011</f>
        <v>0</v>
      </c>
      <c r="C1385">
        <f>'OPEN FOREIGN ORDER'!Z1011</f>
        <v>0</v>
      </c>
      <c r="D1385" s="123">
        <f>'OPEN FOREIGN ORDER'!AA1011</f>
        <v>0</v>
      </c>
      <c r="E1385" s="112">
        <f>'OPEN FOREIGN ORDER'!AB1011</f>
        <v>0</v>
      </c>
      <c r="F1385" s="112">
        <f>'OPEN FOREIGN ORDER'!AC1011</f>
        <v>0</v>
      </c>
      <c r="G1385" s="112">
        <f>'OPEN FOREIGN ORDER'!AD1011</f>
        <v>0</v>
      </c>
      <c r="H1385" s="112">
        <f>'OPEN FOREIGN ORDER'!AE1011</f>
        <v>0</v>
      </c>
      <c r="I1385" s="112">
        <f>'OPEN FOREIGN ORDER'!AF1011</f>
        <v>0</v>
      </c>
      <c r="J1385" s="112">
        <f>'OPEN FOREIGN ORDER'!AG1011</f>
        <v>0</v>
      </c>
    </row>
    <row r="1386" spans="1:10">
      <c r="A1386">
        <f>'OPEN FOREIGN ORDER'!D1012</f>
        <v>0</v>
      </c>
      <c r="B1386">
        <f>'OPEN FOREIGN ORDER'!F1012</f>
        <v>0</v>
      </c>
      <c r="C1386">
        <f>'OPEN FOREIGN ORDER'!Z1012</f>
        <v>0</v>
      </c>
      <c r="D1386" s="123">
        <f>'OPEN FOREIGN ORDER'!AA1012</f>
        <v>0</v>
      </c>
      <c r="E1386" s="112">
        <f>'OPEN FOREIGN ORDER'!AB1012</f>
        <v>0</v>
      </c>
      <c r="F1386" s="112">
        <f>'OPEN FOREIGN ORDER'!AC1012</f>
        <v>0</v>
      </c>
      <c r="G1386" s="112">
        <f>'OPEN FOREIGN ORDER'!AD1012</f>
        <v>0</v>
      </c>
      <c r="H1386" s="112">
        <f>'OPEN FOREIGN ORDER'!AE1012</f>
        <v>0</v>
      </c>
      <c r="I1386" s="112">
        <f>'OPEN FOREIGN ORDER'!AF1012</f>
        <v>0</v>
      </c>
      <c r="J1386" s="112">
        <f>'OPEN FOREIGN ORDER'!AG1012</f>
        <v>0</v>
      </c>
    </row>
    <row r="1387" spans="1:10">
      <c r="A1387">
        <f>'OPEN FOREIGN ORDER'!D1013</f>
        <v>0</v>
      </c>
      <c r="B1387">
        <f>'OPEN FOREIGN ORDER'!F1013</f>
        <v>0</v>
      </c>
      <c r="C1387">
        <f>'OPEN FOREIGN ORDER'!Z1013</f>
        <v>0</v>
      </c>
      <c r="D1387" s="123">
        <f>'OPEN FOREIGN ORDER'!AA1013</f>
        <v>0</v>
      </c>
      <c r="E1387" s="112">
        <f>'OPEN FOREIGN ORDER'!AB1013</f>
        <v>0</v>
      </c>
      <c r="F1387" s="112">
        <f>'OPEN FOREIGN ORDER'!AC1013</f>
        <v>0</v>
      </c>
      <c r="G1387" s="112">
        <f>'OPEN FOREIGN ORDER'!AD1013</f>
        <v>0</v>
      </c>
      <c r="H1387" s="112">
        <f>'OPEN FOREIGN ORDER'!AE1013</f>
        <v>0</v>
      </c>
      <c r="I1387" s="112">
        <f>'OPEN FOREIGN ORDER'!AF1013</f>
        <v>0</v>
      </c>
      <c r="J1387" s="112">
        <f>'OPEN FOREIGN ORDER'!AG1013</f>
        <v>0</v>
      </c>
    </row>
    <row r="1388" spans="1:10">
      <c r="A1388">
        <f>'OPEN FOREIGN ORDER'!D1014</f>
        <v>0</v>
      </c>
      <c r="B1388">
        <f>'OPEN FOREIGN ORDER'!F1014</f>
        <v>0</v>
      </c>
      <c r="C1388">
        <f>'OPEN FOREIGN ORDER'!Z1014</f>
        <v>0</v>
      </c>
      <c r="D1388" s="123">
        <f>'OPEN FOREIGN ORDER'!AA1014</f>
        <v>0</v>
      </c>
      <c r="E1388" s="112">
        <f>'OPEN FOREIGN ORDER'!AB1014</f>
        <v>0</v>
      </c>
      <c r="F1388" s="112">
        <f>'OPEN FOREIGN ORDER'!AC1014</f>
        <v>0</v>
      </c>
      <c r="G1388" s="112">
        <f>'OPEN FOREIGN ORDER'!AD1014</f>
        <v>0</v>
      </c>
      <c r="H1388" s="112">
        <f>'OPEN FOREIGN ORDER'!AE1014</f>
        <v>0</v>
      </c>
      <c r="I1388" s="112">
        <f>'OPEN FOREIGN ORDER'!AF1014</f>
        <v>0</v>
      </c>
      <c r="J1388" s="112">
        <f>'OPEN FOREIGN ORDER'!AG1014</f>
        <v>0</v>
      </c>
    </row>
    <row r="1389" spans="1:10">
      <c r="A1389">
        <f>'OPEN FOREIGN ORDER'!D1015</f>
        <v>0</v>
      </c>
      <c r="B1389">
        <f>'OPEN FOREIGN ORDER'!F1015</f>
        <v>0</v>
      </c>
      <c r="C1389">
        <f>'OPEN FOREIGN ORDER'!Z1015</f>
        <v>0</v>
      </c>
      <c r="D1389" s="123">
        <f>'OPEN FOREIGN ORDER'!AA1015</f>
        <v>0</v>
      </c>
      <c r="E1389" s="112">
        <f>'OPEN FOREIGN ORDER'!AB1015</f>
        <v>0</v>
      </c>
      <c r="F1389" s="112">
        <f>'OPEN FOREIGN ORDER'!AC1015</f>
        <v>0</v>
      </c>
      <c r="G1389" s="112">
        <f>'OPEN FOREIGN ORDER'!AD1015</f>
        <v>0</v>
      </c>
      <c r="H1389" s="112">
        <f>'OPEN FOREIGN ORDER'!AE1015</f>
        <v>0</v>
      </c>
      <c r="I1389" s="112">
        <f>'OPEN FOREIGN ORDER'!AF1015</f>
        <v>0</v>
      </c>
      <c r="J1389" s="112">
        <f>'OPEN FOREIGN ORDER'!AG1015</f>
        <v>0</v>
      </c>
    </row>
    <row r="1390" spans="1:10">
      <c r="A1390">
        <f>'OPEN FOREIGN ORDER'!D1016</f>
        <v>0</v>
      </c>
      <c r="B1390">
        <f>'OPEN FOREIGN ORDER'!F1016</f>
        <v>0</v>
      </c>
      <c r="C1390">
        <f>'OPEN FOREIGN ORDER'!Z1016</f>
        <v>0</v>
      </c>
      <c r="D1390" s="123">
        <f>'OPEN FOREIGN ORDER'!AA1016</f>
        <v>0</v>
      </c>
      <c r="E1390" s="112">
        <f>'OPEN FOREIGN ORDER'!AB1016</f>
        <v>0</v>
      </c>
      <c r="F1390" s="112">
        <f>'OPEN FOREIGN ORDER'!AC1016</f>
        <v>0</v>
      </c>
      <c r="G1390" s="112">
        <f>'OPEN FOREIGN ORDER'!AD1016</f>
        <v>0</v>
      </c>
      <c r="H1390" s="112">
        <f>'OPEN FOREIGN ORDER'!AE1016</f>
        <v>0</v>
      </c>
      <c r="I1390" s="112">
        <f>'OPEN FOREIGN ORDER'!AF1016</f>
        <v>0</v>
      </c>
      <c r="J1390" s="112">
        <f>'OPEN FOREIGN ORDER'!AG1016</f>
        <v>0</v>
      </c>
    </row>
    <row r="1391" spans="1:10">
      <c r="A1391">
        <f>'OPEN FOREIGN ORDER'!D1017</f>
        <v>0</v>
      </c>
      <c r="B1391">
        <f>'OPEN FOREIGN ORDER'!F1017</f>
        <v>0</v>
      </c>
      <c r="C1391">
        <f>'OPEN FOREIGN ORDER'!Z1017</f>
        <v>0</v>
      </c>
      <c r="D1391" s="123">
        <f>'OPEN FOREIGN ORDER'!AA1017</f>
        <v>0</v>
      </c>
      <c r="E1391" s="112">
        <f>'OPEN FOREIGN ORDER'!AB1017</f>
        <v>0</v>
      </c>
      <c r="F1391" s="112">
        <f>'OPEN FOREIGN ORDER'!AC1017</f>
        <v>0</v>
      </c>
      <c r="G1391" s="112">
        <f>'OPEN FOREIGN ORDER'!AD1017</f>
        <v>0</v>
      </c>
      <c r="H1391" s="112">
        <f>'OPEN FOREIGN ORDER'!AE1017</f>
        <v>0</v>
      </c>
      <c r="I1391" s="112">
        <f>'OPEN FOREIGN ORDER'!AF1017</f>
        <v>0</v>
      </c>
      <c r="J1391" s="112">
        <f>'OPEN FOREIGN ORDER'!AG1017</f>
        <v>0</v>
      </c>
    </row>
    <row r="1392" spans="1:10">
      <c r="A1392">
        <f>'OPEN FOREIGN ORDER'!D1018</f>
        <v>0</v>
      </c>
      <c r="B1392">
        <f>'OPEN FOREIGN ORDER'!F1018</f>
        <v>0</v>
      </c>
      <c r="C1392">
        <f>'OPEN FOREIGN ORDER'!Z1018</f>
        <v>0</v>
      </c>
      <c r="D1392" s="123">
        <f>'OPEN FOREIGN ORDER'!AA1018</f>
        <v>0</v>
      </c>
      <c r="E1392" s="112">
        <f>'OPEN FOREIGN ORDER'!AB1018</f>
        <v>0</v>
      </c>
      <c r="F1392" s="112">
        <f>'OPEN FOREIGN ORDER'!AC1018</f>
        <v>0</v>
      </c>
      <c r="G1392" s="112">
        <f>'OPEN FOREIGN ORDER'!AD1018</f>
        <v>0</v>
      </c>
      <c r="H1392" s="112">
        <f>'OPEN FOREIGN ORDER'!AE1018</f>
        <v>0</v>
      </c>
      <c r="I1392" s="112">
        <f>'OPEN FOREIGN ORDER'!AF1018</f>
        <v>0</v>
      </c>
      <c r="J1392" s="112">
        <f>'OPEN FOREIGN ORDER'!AG1018</f>
        <v>0</v>
      </c>
    </row>
    <row r="1393" spans="1:10">
      <c r="A1393">
        <f>'OPEN FOREIGN ORDER'!D1019</f>
        <v>0</v>
      </c>
      <c r="B1393">
        <f>'OPEN FOREIGN ORDER'!F1019</f>
        <v>0</v>
      </c>
      <c r="C1393">
        <f>'OPEN FOREIGN ORDER'!Z1019</f>
        <v>0</v>
      </c>
      <c r="D1393" s="123">
        <f>'OPEN FOREIGN ORDER'!AA1019</f>
        <v>0</v>
      </c>
      <c r="E1393" s="112">
        <f>'OPEN FOREIGN ORDER'!AB1019</f>
        <v>0</v>
      </c>
      <c r="F1393" s="112">
        <f>'OPEN FOREIGN ORDER'!AC1019</f>
        <v>0</v>
      </c>
      <c r="G1393" s="112">
        <f>'OPEN FOREIGN ORDER'!AD1019</f>
        <v>0</v>
      </c>
      <c r="H1393" s="112">
        <f>'OPEN FOREIGN ORDER'!AE1019</f>
        <v>0</v>
      </c>
      <c r="I1393" s="112">
        <f>'OPEN FOREIGN ORDER'!AF1019</f>
        <v>0</v>
      </c>
      <c r="J1393" s="112">
        <f>'OPEN FOREIGN ORDER'!AG1019</f>
        <v>0</v>
      </c>
    </row>
    <row r="1394" spans="1:10">
      <c r="A1394">
        <f>'OPEN FOREIGN ORDER'!D1020</f>
        <v>0</v>
      </c>
      <c r="B1394">
        <f>'OPEN FOREIGN ORDER'!F1020</f>
        <v>0</v>
      </c>
      <c r="C1394">
        <f>'OPEN FOREIGN ORDER'!Z1020</f>
        <v>0</v>
      </c>
      <c r="D1394" s="123">
        <f>'OPEN FOREIGN ORDER'!AA1020</f>
        <v>0</v>
      </c>
      <c r="E1394" s="112">
        <f>'OPEN FOREIGN ORDER'!AB1020</f>
        <v>0</v>
      </c>
      <c r="F1394" s="112">
        <f>'OPEN FOREIGN ORDER'!AC1020</f>
        <v>0</v>
      </c>
      <c r="G1394" s="112">
        <f>'OPEN FOREIGN ORDER'!AD1020</f>
        <v>0</v>
      </c>
      <c r="H1394" s="112">
        <f>'OPEN FOREIGN ORDER'!AE1020</f>
        <v>0</v>
      </c>
      <c r="I1394" s="112">
        <f>'OPEN FOREIGN ORDER'!AF1020</f>
        <v>0</v>
      </c>
      <c r="J1394" s="112">
        <f>'OPEN FOREIGN ORDER'!AG1020</f>
        <v>0</v>
      </c>
    </row>
    <row r="1395" spans="1:10">
      <c r="A1395">
        <f>'OPEN FOREIGN ORDER'!D1021</f>
        <v>0</v>
      </c>
      <c r="B1395">
        <f>'OPEN FOREIGN ORDER'!F1021</f>
        <v>0</v>
      </c>
      <c r="C1395">
        <f>'OPEN FOREIGN ORDER'!Z1021</f>
        <v>0</v>
      </c>
      <c r="D1395" s="123">
        <f>'OPEN FOREIGN ORDER'!AA1021</f>
        <v>0</v>
      </c>
      <c r="E1395" s="112">
        <f>'OPEN FOREIGN ORDER'!AB1021</f>
        <v>0</v>
      </c>
      <c r="F1395" s="112">
        <f>'OPEN FOREIGN ORDER'!AC1021</f>
        <v>0</v>
      </c>
      <c r="G1395" s="112">
        <f>'OPEN FOREIGN ORDER'!AD1021</f>
        <v>0</v>
      </c>
      <c r="H1395" s="112">
        <f>'OPEN FOREIGN ORDER'!AE1021</f>
        <v>0</v>
      </c>
      <c r="I1395" s="112">
        <f>'OPEN FOREIGN ORDER'!AF1021</f>
        <v>0</v>
      </c>
      <c r="J1395" s="112">
        <f>'OPEN FOREIGN ORDER'!AG1021</f>
        <v>0</v>
      </c>
    </row>
    <row r="1396" spans="1:10">
      <c r="A1396">
        <f>'OPEN FOREIGN ORDER'!D1022</f>
        <v>0</v>
      </c>
      <c r="B1396">
        <f>'OPEN FOREIGN ORDER'!F1022</f>
        <v>0</v>
      </c>
      <c r="C1396">
        <f>'OPEN FOREIGN ORDER'!Z1022</f>
        <v>0</v>
      </c>
      <c r="D1396" s="123">
        <f>'OPEN FOREIGN ORDER'!AA1022</f>
        <v>0</v>
      </c>
      <c r="E1396" s="112">
        <f>'OPEN FOREIGN ORDER'!AB1022</f>
        <v>0</v>
      </c>
      <c r="F1396" s="112">
        <f>'OPEN FOREIGN ORDER'!AC1022</f>
        <v>0</v>
      </c>
      <c r="G1396" s="112">
        <f>'OPEN FOREIGN ORDER'!AD1022</f>
        <v>0</v>
      </c>
      <c r="H1396" s="112">
        <f>'OPEN FOREIGN ORDER'!AE1022</f>
        <v>0</v>
      </c>
      <c r="I1396" s="112">
        <f>'OPEN FOREIGN ORDER'!AF1022</f>
        <v>0</v>
      </c>
      <c r="J1396" s="112">
        <f>'OPEN FOREIGN ORDER'!AG1022</f>
        <v>0</v>
      </c>
    </row>
    <row r="1397" spans="1:10">
      <c r="A1397">
        <f>'OPEN FOREIGN ORDER'!D1023</f>
        <v>0</v>
      </c>
      <c r="B1397">
        <f>'OPEN FOREIGN ORDER'!F1023</f>
        <v>0</v>
      </c>
      <c r="C1397">
        <f>'OPEN FOREIGN ORDER'!Z1023</f>
        <v>0</v>
      </c>
      <c r="D1397" s="123">
        <f>'OPEN FOREIGN ORDER'!AA1023</f>
        <v>0</v>
      </c>
      <c r="E1397" s="112">
        <f>'OPEN FOREIGN ORDER'!AB1023</f>
        <v>0</v>
      </c>
      <c r="F1397" s="112">
        <f>'OPEN FOREIGN ORDER'!AC1023</f>
        <v>0</v>
      </c>
      <c r="G1397" s="112">
        <f>'OPEN FOREIGN ORDER'!AD1023</f>
        <v>0</v>
      </c>
      <c r="H1397" s="112">
        <f>'OPEN FOREIGN ORDER'!AE1023</f>
        <v>0</v>
      </c>
      <c r="I1397" s="112">
        <f>'OPEN FOREIGN ORDER'!AF1023</f>
        <v>0</v>
      </c>
      <c r="J1397" s="112">
        <f>'OPEN FOREIGN ORDER'!AG1023</f>
        <v>0</v>
      </c>
    </row>
    <row r="1398" spans="1:10">
      <c r="A1398">
        <f>'OPEN FOREIGN ORDER'!D1024</f>
        <v>0</v>
      </c>
      <c r="B1398">
        <f>'OPEN FOREIGN ORDER'!F1024</f>
        <v>0</v>
      </c>
      <c r="C1398">
        <f>'OPEN FOREIGN ORDER'!Z1024</f>
        <v>0</v>
      </c>
      <c r="D1398" s="123">
        <f>'OPEN FOREIGN ORDER'!AA1024</f>
        <v>0</v>
      </c>
      <c r="E1398" s="112">
        <f>'OPEN FOREIGN ORDER'!AB1024</f>
        <v>0</v>
      </c>
      <c r="F1398" s="112">
        <f>'OPEN FOREIGN ORDER'!AC1024</f>
        <v>0</v>
      </c>
      <c r="G1398" s="112">
        <f>'OPEN FOREIGN ORDER'!AD1024</f>
        <v>0</v>
      </c>
      <c r="H1398" s="112">
        <f>'OPEN FOREIGN ORDER'!AE1024</f>
        <v>0</v>
      </c>
      <c r="I1398" s="112">
        <f>'OPEN FOREIGN ORDER'!AF1024</f>
        <v>0</v>
      </c>
      <c r="J1398" s="112">
        <f>'OPEN FOREIGN ORDER'!AG1024</f>
        <v>0</v>
      </c>
    </row>
    <row r="1399" spans="1:10">
      <c r="A1399">
        <f>'OPEN FOREIGN ORDER'!D1025</f>
        <v>0</v>
      </c>
      <c r="B1399">
        <f>'OPEN FOREIGN ORDER'!F1025</f>
        <v>0</v>
      </c>
      <c r="C1399">
        <f>'OPEN FOREIGN ORDER'!Z1025</f>
        <v>0</v>
      </c>
      <c r="D1399" s="123">
        <f>'OPEN FOREIGN ORDER'!AA1025</f>
        <v>0</v>
      </c>
      <c r="E1399" s="112">
        <f>'OPEN FOREIGN ORDER'!AB1025</f>
        <v>0</v>
      </c>
      <c r="F1399" s="112">
        <f>'OPEN FOREIGN ORDER'!AC1025</f>
        <v>0</v>
      </c>
      <c r="G1399" s="112">
        <f>'OPEN FOREIGN ORDER'!AD1025</f>
        <v>0</v>
      </c>
      <c r="H1399" s="112">
        <f>'OPEN FOREIGN ORDER'!AE1025</f>
        <v>0</v>
      </c>
      <c r="I1399" s="112">
        <f>'OPEN FOREIGN ORDER'!AF1025</f>
        <v>0</v>
      </c>
      <c r="J1399" s="112">
        <f>'OPEN FOREIGN ORDER'!AG1025</f>
        <v>0</v>
      </c>
    </row>
    <row r="1400" spans="1:10">
      <c r="A1400">
        <f>'OPEN FOREIGN ORDER'!D1026</f>
        <v>0</v>
      </c>
      <c r="B1400">
        <f>'OPEN FOREIGN ORDER'!F1026</f>
        <v>0</v>
      </c>
      <c r="C1400">
        <f>'OPEN FOREIGN ORDER'!Z1026</f>
        <v>0</v>
      </c>
      <c r="D1400" s="123">
        <f>'OPEN FOREIGN ORDER'!AA1026</f>
        <v>0</v>
      </c>
      <c r="E1400" s="112">
        <f>'OPEN FOREIGN ORDER'!AB1026</f>
        <v>0</v>
      </c>
      <c r="F1400" s="112">
        <f>'OPEN FOREIGN ORDER'!AC1026</f>
        <v>0</v>
      </c>
      <c r="G1400" s="112">
        <f>'OPEN FOREIGN ORDER'!AD1026</f>
        <v>0</v>
      </c>
      <c r="H1400" s="112">
        <f>'OPEN FOREIGN ORDER'!AE1026</f>
        <v>0</v>
      </c>
      <c r="I1400" s="112">
        <f>'OPEN FOREIGN ORDER'!AF1026</f>
        <v>0</v>
      </c>
      <c r="J1400" s="112">
        <f>'OPEN FOREIGN ORDER'!AG1026</f>
        <v>0</v>
      </c>
    </row>
    <row r="1401" spans="1:10">
      <c r="A1401">
        <f>'OPEN FOREIGN ORDER'!D1027</f>
        <v>0</v>
      </c>
      <c r="B1401">
        <f>'OPEN FOREIGN ORDER'!F1027</f>
        <v>0</v>
      </c>
      <c r="C1401">
        <f>'OPEN FOREIGN ORDER'!Z1027</f>
        <v>0</v>
      </c>
      <c r="D1401" s="123">
        <f>'OPEN FOREIGN ORDER'!AA1027</f>
        <v>0</v>
      </c>
      <c r="E1401" s="112">
        <f>'OPEN FOREIGN ORDER'!AB1027</f>
        <v>0</v>
      </c>
      <c r="F1401" s="112">
        <f>'OPEN FOREIGN ORDER'!AC1027</f>
        <v>0</v>
      </c>
      <c r="G1401" s="112">
        <f>'OPEN FOREIGN ORDER'!AD1027</f>
        <v>0</v>
      </c>
      <c r="H1401" s="112">
        <f>'OPEN FOREIGN ORDER'!AE1027</f>
        <v>0</v>
      </c>
      <c r="I1401" s="112">
        <f>'OPEN FOREIGN ORDER'!AF1027</f>
        <v>0</v>
      </c>
      <c r="J1401" s="112">
        <f>'OPEN FOREIGN ORDER'!AG1027</f>
        <v>0</v>
      </c>
    </row>
    <row r="1402" spans="1:10">
      <c r="A1402">
        <f>'OPEN FOREIGN ORDER'!D1028</f>
        <v>0</v>
      </c>
      <c r="B1402">
        <f>'OPEN FOREIGN ORDER'!F1028</f>
        <v>0</v>
      </c>
      <c r="C1402">
        <f>'OPEN FOREIGN ORDER'!Z1028</f>
        <v>0</v>
      </c>
      <c r="D1402" s="123">
        <f>'OPEN FOREIGN ORDER'!AA1028</f>
        <v>0</v>
      </c>
      <c r="E1402" s="112">
        <f>'OPEN FOREIGN ORDER'!AB1028</f>
        <v>0</v>
      </c>
      <c r="F1402" s="112">
        <f>'OPEN FOREIGN ORDER'!AC1028</f>
        <v>0</v>
      </c>
      <c r="G1402" s="112">
        <f>'OPEN FOREIGN ORDER'!AD1028</f>
        <v>0</v>
      </c>
      <c r="H1402" s="112">
        <f>'OPEN FOREIGN ORDER'!AE1028</f>
        <v>0</v>
      </c>
      <c r="I1402" s="112">
        <f>'OPEN FOREIGN ORDER'!AF1028</f>
        <v>0</v>
      </c>
      <c r="J1402" s="112">
        <f>'OPEN FOREIGN ORDER'!AG1028</f>
        <v>0</v>
      </c>
    </row>
    <row r="1403" spans="1:10">
      <c r="A1403">
        <f>'OPEN FOREIGN ORDER'!D1029</f>
        <v>0</v>
      </c>
      <c r="B1403">
        <f>'OPEN FOREIGN ORDER'!F1029</f>
        <v>0</v>
      </c>
      <c r="C1403">
        <f>'OPEN FOREIGN ORDER'!Z1029</f>
        <v>0</v>
      </c>
      <c r="D1403" s="123">
        <f>'OPEN FOREIGN ORDER'!AA1029</f>
        <v>0</v>
      </c>
      <c r="E1403" s="112">
        <f>'OPEN FOREIGN ORDER'!AB1029</f>
        <v>0</v>
      </c>
      <c r="F1403" s="112">
        <f>'OPEN FOREIGN ORDER'!AC1029</f>
        <v>0</v>
      </c>
      <c r="G1403" s="112">
        <f>'OPEN FOREIGN ORDER'!AD1029</f>
        <v>0</v>
      </c>
      <c r="H1403" s="112">
        <f>'OPEN FOREIGN ORDER'!AE1029</f>
        <v>0</v>
      </c>
      <c r="I1403" s="112">
        <f>'OPEN FOREIGN ORDER'!AF1029</f>
        <v>0</v>
      </c>
      <c r="J1403" s="112">
        <f>'OPEN FOREIGN ORDER'!AG1029</f>
        <v>0</v>
      </c>
    </row>
    <row r="1404" spans="1:10">
      <c r="A1404">
        <f>'OPEN FOREIGN ORDER'!D1030</f>
        <v>0</v>
      </c>
      <c r="B1404">
        <f>'OPEN FOREIGN ORDER'!F1030</f>
        <v>0</v>
      </c>
      <c r="C1404">
        <f>'OPEN FOREIGN ORDER'!Z1030</f>
        <v>0</v>
      </c>
      <c r="D1404" s="123">
        <f>'OPEN FOREIGN ORDER'!AA1030</f>
        <v>0</v>
      </c>
      <c r="E1404" s="112">
        <f>'OPEN FOREIGN ORDER'!AB1030</f>
        <v>0</v>
      </c>
      <c r="F1404" s="112">
        <f>'OPEN FOREIGN ORDER'!AC1030</f>
        <v>0</v>
      </c>
      <c r="G1404" s="112">
        <f>'OPEN FOREIGN ORDER'!AD1030</f>
        <v>0</v>
      </c>
      <c r="H1404" s="112">
        <f>'OPEN FOREIGN ORDER'!AE1030</f>
        <v>0</v>
      </c>
      <c r="I1404" s="112">
        <f>'OPEN FOREIGN ORDER'!AF1030</f>
        <v>0</v>
      </c>
      <c r="J1404" s="112">
        <f>'OPEN FOREIGN ORDER'!AG1030</f>
        <v>0</v>
      </c>
    </row>
    <row r="1405" spans="1:10">
      <c r="A1405">
        <f>'OPEN FOREIGN ORDER'!D1031</f>
        <v>0</v>
      </c>
      <c r="B1405">
        <f>'OPEN FOREIGN ORDER'!F1031</f>
        <v>0</v>
      </c>
      <c r="C1405">
        <f>'OPEN FOREIGN ORDER'!Z1031</f>
        <v>0</v>
      </c>
      <c r="D1405" s="123">
        <f>'OPEN FOREIGN ORDER'!AA1031</f>
        <v>0</v>
      </c>
      <c r="E1405" s="112">
        <f>'OPEN FOREIGN ORDER'!AB1031</f>
        <v>0</v>
      </c>
      <c r="F1405" s="112">
        <f>'OPEN FOREIGN ORDER'!AC1031</f>
        <v>0</v>
      </c>
      <c r="G1405" s="112">
        <f>'OPEN FOREIGN ORDER'!AD1031</f>
        <v>0</v>
      </c>
      <c r="H1405" s="112">
        <f>'OPEN FOREIGN ORDER'!AE1031</f>
        <v>0</v>
      </c>
      <c r="I1405" s="112">
        <f>'OPEN FOREIGN ORDER'!AF1031</f>
        <v>0</v>
      </c>
      <c r="J1405" s="112">
        <f>'OPEN FOREIGN ORDER'!AG1031</f>
        <v>0</v>
      </c>
    </row>
    <row r="1406" spans="1:10">
      <c r="A1406">
        <f>'OPEN FOREIGN ORDER'!D1032</f>
        <v>0</v>
      </c>
      <c r="B1406">
        <f>'OPEN FOREIGN ORDER'!F1032</f>
        <v>0</v>
      </c>
      <c r="C1406">
        <f>'OPEN FOREIGN ORDER'!Z1032</f>
        <v>0</v>
      </c>
      <c r="D1406" s="123">
        <f>'OPEN FOREIGN ORDER'!AA1032</f>
        <v>0</v>
      </c>
      <c r="E1406" s="112">
        <f>'OPEN FOREIGN ORDER'!AB1032</f>
        <v>0</v>
      </c>
      <c r="F1406" s="112">
        <f>'OPEN FOREIGN ORDER'!AC1032</f>
        <v>0</v>
      </c>
      <c r="G1406" s="112">
        <f>'OPEN FOREIGN ORDER'!AD1032</f>
        <v>0</v>
      </c>
      <c r="H1406" s="112">
        <f>'OPEN FOREIGN ORDER'!AE1032</f>
        <v>0</v>
      </c>
      <c r="I1406" s="112">
        <f>'OPEN FOREIGN ORDER'!AF1032</f>
        <v>0</v>
      </c>
      <c r="J1406" s="112">
        <f>'OPEN FOREIGN ORDER'!AG1032</f>
        <v>0</v>
      </c>
    </row>
    <row r="1407" spans="1:10">
      <c r="A1407">
        <f>'OPEN FOREIGN ORDER'!D1033</f>
        <v>0</v>
      </c>
      <c r="B1407">
        <f>'OPEN FOREIGN ORDER'!F1033</f>
        <v>0</v>
      </c>
      <c r="C1407">
        <f>'OPEN FOREIGN ORDER'!Z1033</f>
        <v>0</v>
      </c>
      <c r="D1407" s="123">
        <f>'OPEN FOREIGN ORDER'!AA1033</f>
        <v>0</v>
      </c>
      <c r="E1407" s="112">
        <f>'OPEN FOREIGN ORDER'!AB1033</f>
        <v>0</v>
      </c>
      <c r="F1407" s="112">
        <f>'OPEN FOREIGN ORDER'!AC1033</f>
        <v>0</v>
      </c>
      <c r="G1407" s="112">
        <f>'OPEN FOREIGN ORDER'!AD1033</f>
        <v>0</v>
      </c>
      <c r="H1407" s="112">
        <f>'OPEN FOREIGN ORDER'!AE1033</f>
        <v>0</v>
      </c>
      <c r="I1407" s="112">
        <f>'OPEN FOREIGN ORDER'!AF1033</f>
        <v>0</v>
      </c>
      <c r="J1407" s="112">
        <f>'OPEN FOREIGN ORDER'!AG1033</f>
        <v>0</v>
      </c>
    </row>
    <row r="1408" spans="1:10">
      <c r="A1408">
        <f>'OPEN FOREIGN ORDER'!D1034</f>
        <v>0</v>
      </c>
      <c r="B1408">
        <f>'OPEN FOREIGN ORDER'!F1034</f>
        <v>0</v>
      </c>
      <c r="C1408">
        <f>'OPEN FOREIGN ORDER'!Z1034</f>
        <v>0</v>
      </c>
      <c r="D1408" s="123">
        <f>'OPEN FOREIGN ORDER'!AA1034</f>
        <v>0</v>
      </c>
      <c r="E1408" s="112">
        <f>'OPEN FOREIGN ORDER'!AB1034</f>
        <v>0</v>
      </c>
      <c r="F1408" s="112">
        <f>'OPEN FOREIGN ORDER'!AC1034</f>
        <v>0</v>
      </c>
      <c r="G1408" s="112">
        <f>'OPEN FOREIGN ORDER'!AD1034</f>
        <v>0</v>
      </c>
      <c r="H1408" s="112">
        <f>'OPEN FOREIGN ORDER'!AE1034</f>
        <v>0</v>
      </c>
      <c r="I1408" s="112">
        <f>'OPEN FOREIGN ORDER'!AF1034</f>
        <v>0</v>
      </c>
      <c r="J1408" s="112">
        <f>'OPEN FOREIGN ORDER'!AG1034</f>
        <v>0</v>
      </c>
    </row>
    <row r="1409" spans="1:10">
      <c r="A1409">
        <f>'OPEN FOREIGN ORDER'!D1035</f>
        <v>0</v>
      </c>
      <c r="B1409">
        <f>'OPEN FOREIGN ORDER'!F1035</f>
        <v>0</v>
      </c>
      <c r="C1409">
        <f>'OPEN FOREIGN ORDER'!Z1035</f>
        <v>0</v>
      </c>
      <c r="D1409" s="123">
        <f>'OPEN FOREIGN ORDER'!AA1035</f>
        <v>0</v>
      </c>
      <c r="E1409" s="112">
        <f>'OPEN FOREIGN ORDER'!AB1035</f>
        <v>0</v>
      </c>
      <c r="F1409" s="112">
        <f>'OPEN FOREIGN ORDER'!AC1035</f>
        <v>0</v>
      </c>
      <c r="G1409" s="112">
        <f>'OPEN FOREIGN ORDER'!AD1035</f>
        <v>0</v>
      </c>
      <c r="H1409" s="112">
        <f>'OPEN FOREIGN ORDER'!AE1035</f>
        <v>0</v>
      </c>
      <c r="I1409" s="112">
        <f>'OPEN FOREIGN ORDER'!AF1035</f>
        <v>0</v>
      </c>
      <c r="J1409" s="112">
        <f>'OPEN FOREIGN ORDER'!AG1035</f>
        <v>0</v>
      </c>
    </row>
    <row r="1410" spans="1:10">
      <c r="A1410">
        <f>'OPEN FOREIGN ORDER'!D1036</f>
        <v>0</v>
      </c>
      <c r="B1410">
        <f>'OPEN FOREIGN ORDER'!F1036</f>
        <v>0</v>
      </c>
      <c r="C1410">
        <f>'OPEN FOREIGN ORDER'!Z1036</f>
        <v>0</v>
      </c>
      <c r="D1410" s="123">
        <f>'OPEN FOREIGN ORDER'!AA1036</f>
        <v>0</v>
      </c>
      <c r="E1410" s="112">
        <f>'OPEN FOREIGN ORDER'!AB1036</f>
        <v>0</v>
      </c>
      <c r="F1410" s="112">
        <f>'OPEN FOREIGN ORDER'!AC1036</f>
        <v>0</v>
      </c>
      <c r="G1410" s="112">
        <f>'OPEN FOREIGN ORDER'!AD1036</f>
        <v>0</v>
      </c>
      <c r="H1410" s="112">
        <f>'OPEN FOREIGN ORDER'!AE1036</f>
        <v>0</v>
      </c>
      <c r="I1410" s="112">
        <f>'OPEN FOREIGN ORDER'!AF1036</f>
        <v>0</v>
      </c>
      <c r="J1410" s="112">
        <f>'OPEN FOREIGN ORDER'!AG1036</f>
        <v>0</v>
      </c>
    </row>
    <row r="1411" spans="1:10">
      <c r="A1411">
        <f>'OPEN FOREIGN ORDER'!D1037</f>
        <v>0</v>
      </c>
      <c r="B1411">
        <f>'OPEN FOREIGN ORDER'!F1037</f>
        <v>0</v>
      </c>
      <c r="C1411">
        <f>'OPEN FOREIGN ORDER'!Z1037</f>
        <v>0</v>
      </c>
      <c r="D1411" s="123">
        <f>'OPEN FOREIGN ORDER'!AA1037</f>
        <v>0</v>
      </c>
      <c r="E1411" s="112">
        <f>'OPEN FOREIGN ORDER'!AB1037</f>
        <v>0</v>
      </c>
      <c r="F1411" s="112">
        <f>'OPEN FOREIGN ORDER'!AC1037</f>
        <v>0</v>
      </c>
      <c r="G1411" s="112">
        <f>'OPEN FOREIGN ORDER'!AD1037</f>
        <v>0</v>
      </c>
      <c r="H1411" s="112">
        <f>'OPEN FOREIGN ORDER'!AE1037</f>
        <v>0</v>
      </c>
      <c r="I1411" s="112">
        <f>'OPEN FOREIGN ORDER'!AF1037</f>
        <v>0</v>
      </c>
      <c r="J1411" s="112">
        <f>'OPEN FOREIGN ORDER'!AG1037</f>
        <v>0</v>
      </c>
    </row>
    <row r="1412" spans="1:10">
      <c r="A1412">
        <f>'OPEN FOREIGN ORDER'!D1038</f>
        <v>0</v>
      </c>
      <c r="B1412">
        <f>'OPEN FOREIGN ORDER'!F1038</f>
        <v>0</v>
      </c>
      <c r="C1412">
        <f>'OPEN FOREIGN ORDER'!Z1038</f>
        <v>0</v>
      </c>
      <c r="D1412" s="123">
        <f>'OPEN FOREIGN ORDER'!AA1038</f>
        <v>0</v>
      </c>
      <c r="E1412" s="112">
        <f>'OPEN FOREIGN ORDER'!AB1038</f>
        <v>0</v>
      </c>
      <c r="F1412" s="112">
        <f>'OPEN FOREIGN ORDER'!AC1038</f>
        <v>0</v>
      </c>
      <c r="G1412" s="112">
        <f>'OPEN FOREIGN ORDER'!AD1038</f>
        <v>0</v>
      </c>
      <c r="H1412" s="112">
        <f>'OPEN FOREIGN ORDER'!AE1038</f>
        <v>0</v>
      </c>
      <c r="I1412" s="112">
        <f>'OPEN FOREIGN ORDER'!AF1038</f>
        <v>0</v>
      </c>
      <c r="J1412" s="112">
        <f>'OPEN FOREIGN ORDER'!AG1038</f>
        <v>0</v>
      </c>
    </row>
    <row r="1413" spans="1:10">
      <c r="A1413">
        <f>'OPEN FOREIGN ORDER'!D1039</f>
        <v>0</v>
      </c>
      <c r="B1413">
        <f>'OPEN FOREIGN ORDER'!F1039</f>
        <v>0</v>
      </c>
      <c r="C1413">
        <f>'OPEN FOREIGN ORDER'!Z1039</f>
        <v>0</v>
      </c>
      <c r="D1413" s="123">
        <f>'OPEN FOREIGN ORDER'!AA1039</f>
        <v>0</v>
      </c>
      <c r="E1413" s="112">
        <f>'OPEN FOREIGN ORDER'!AB1039</f>
        <v>0</v>
      </c>
      <c r="F1413" s="112">
        <f>'OPEN FOREIGN ORDER'!AC1039</f>
        <v>0</v>
      </c>
      <c r="G1413" s="112">
        <f>'OPEN FOREIGN ORDER'!AD1039</f>
        <v>0</v>
      </c>
      <c r="H1413" s="112">
        <f>'OPEN FOREIGN ORDER'!AE1039</f>
        <v>0</v>
      </c>
      <c r="I1413" s="112">
        <f>'OPEN FOREIGN ORDER'!AF1039</f>
        <v>0</v>
      </c>
      <c r="J1413" s="112">
        <f>'OPEN FOREIGN ORDER'!AG1039</f>
        <v>0</v>
      </c>
    </row>
    <row r="1414" spans="1:10">
      <c r="A1414">
        <f>'OPEN FOREIGN ORDER'!D1040</f>
        <v>0</v>
      </c>
      <c r="B1414">
        <f>'OPEN FOREIGN ORDER'!F1040</f>
        <v>0</v>
      </c>
      <c r="C1414">
        <f>'OPEN FOREIGN ORDER'!Z1040</f>
        <v>0</v>
      </c>
      <c r="D1414" s="123">
        <f>'OPEN FOREIGN ORDER'!AA1040</f>
        <v>0</v>
      </c>
      <c r="E1414" s="112">
        <f>'OPEN FOREIGN ORDER'!AB1040</f>
        <v>0</v>
      </c>
      <c r="F1414" s="112">
        <f>'OPEN FOREIGN ORDER'!AC1040</f>
        <v>0</v>
      </c>
      <c r="G1414" s="112">
        <f>'OPEN FOREIGN ORDER'!AD1040</f>
        <v>0</v>
      </c>
      <c r="H1414" s="112">
        <f>'OPEN FOREIGN ORDER'!AE1040</f>
        <v>0</v>
      </c>
      <c r="I1414" s="112">
        <f>'OPEN FOREIGN ORDER'!AF1040</f>
        <v>0</v>
      </c>
      <c r="J1414" s="112">
        <f>'OPEN FOREIGN ORDER'!AG1040</f>
        <v>0</v>
      </c>
    </row>
    <row r="1415" spans="1:10">
      <c r="A1415">
        <f>'OPEN FOREIGN ORDER'!D1041</f>
        <v>0</v>
      </c>
      <c r="B1415">
        <f>'OPEN FOREIGN ORDER'!F1041</f>
        <v>0</v>
      </c>
      <c r="C1415">
        <f>'OPEN FOREIGN ORDER'!Z1041</f>
        <v>0</v>
      </c>
      <c r="D1415" s="123">
        <f>'OPEN FOREIGN ORDER'!AA1041</f>
        <v>0</v>
      </c>
      <c r="E1415" s="112">
        <f>'OPEN FOREIGN ORDER'!AB1041</f>
        <v>0</v>
      </c>
      <c r="F1415" s="112">
        <f>'OPEN FOREIGN ORDER'!AC1041</f>
        <v>0</v>
      </c>
      <c r="G1415" s="112">
        <f>'OPEN FOREIGN ORDER'!AD1041</f>
        <v>0</v>
      </c>
      <c r="H1415" s="112">
        <f>'OPEN FOREIGN ORDER'!AE1041</f>
        <v>0</v>
      </c>
      <c r="I1415" s="112">
        <f>'OPEN FOREIGN ORDER'!AF1041</f>
        <v>0</v>
      </c>
      <c r="J1415" s="112">
        <f>'OPEN FOREIGN ORDER'!AG1041</f>
        <v>0</v>
      </c>
    </row>
    <row r="1416" spans="1:10">
      <c r="A1416">
        <f>'OPEN FOREIGN ORDER'!D1042</f>
        <v>0</v>
      </c>
      <c r="B1416">
        <f>'OPEN FOREIGN ORDER'!F1042</f>
        <v>0</v>
      </c>
      <c r="C1416">
        <f>'OPEN FOREIGN ORDER'!Z1042</f>
        <v>0</v>
      </c>
      <c r="D1416" s="123">
        <f>'OPEN FOREIGN ORDER'!AA1042</f>
        <v>0</v>
      </c>
      <c r="E1416" s="112">
        <f>'OPEN FOREIGN ORDER'!AB1042</f>
        <v>0</v>
      </c>
      <c r="F1416" s="112">
        <f>'OPEN FOREIGN ORDER'!AC1042</f>
        <v>0</v>
      </c>
      <c r="G1416" s="112">
        <f>'OPEN FOREIGN ORDER'!AD1042</f>
        <v>0</v>
      </c>
      <c r="H1416" s="112">
        <f>'OPEN FOREIGN ORDER'!AE1042</f>
        <v>0</v>
      </c>
      <c r="I1416" s="112">
        <f>'OPEN FOREIGN ORDER'!AF1042</f>
        <v>0</v>
      </c>
      <c r="J1416" s="112">
        <f>'OPEN FOREIGN ORDER'!AG1042</f>
        <v>0</v>
      </c>
    </row>
    <row r="1417" spans="1:10">
      <c r="A1417">
        <f>'OPEN FOREIGN ORDER'!D1043</f>
        <v>0</v>
      </c>
      <c r="B1417">
        <f>'OPEN FOREIGN ORDER'!F1043</f>
        <v>0</v>
      </c>
      <c r="C1417">
        <f>'OPEN FOREIGN ORDER'!Z1043</f>
        <v>0</v>
      </c>
      <c r="D1417" s="123">
        <f>'OPEN FOREIGN ORDER'!AA1043</f>
        <v>0</v>
      </c>
      <c r="E1417" s="112">
        <f>'OPEN FOREIGN ORDER'!AB1043</f>
        <v>0</v>
      </c>
      <c r="F1417" s="112">
        <f>'OPEN FOREIGN ORDER'!AC1043</f>
        <v>0</v>
      </c>
      <c r="G1417" s="112">
        <f>'OPEN FOREIGN ORDER'!AD1043</f>
        <v>0</v>
      </c>
      <c r="H1417" s="112">
        <f>'OPEN FOREIGN ORDER'!AE1043</f>
        <v>0</v>
      </c>
      <c r="I1417" s="112">
        <f>'OPEN FOREIGN ORDER'!AF1043</f>
        <v>0</v>
      </c>
      <c r="J1417" s="112">
        <f>'OPEN FOREIGN ORDER'!AG1043</f>
        <v>0</v>
      </c>
    </row>
    <row r="1418" spans="1:10">
      <c r="A1418">
        <f>'OPEN FOREIGN ORDER'!D1044</f>
        <v>0</v>
      </c>
      <c r="B1418">
        <f>'OPEN FOREIGN ORDER'!F1044</f>
        <v>0</v>
      </c>
      <c r="C1418">
        <f>'OPEN FOREIGN ORDER'!Z1044</f>
        <v>0</v>
      </c>
      <c r="D1418" s="123">
        <f>'OPEN FOREIGN ORDER'!AA1044</f>
        <v>0</v>
      </c>
      <c r="E1418" s="112">
        <f>'OPEN FOREIGN ORDER'!AB1044</f>
        <v>0</v>
      </c>
      <c r="F1418" s="112">
        <f>'OPEN FOREIGN ORDER'!AC1044</f>
        <v>0</v>
      </c>
      <c r="G1418" s="112">
        <f>'OPEN FOREIGN ORDER'!AD1044</f>
        <v>0</v>
      </c>
      <c r="H1418" s="112">
        <f>'OPEN FOREIGN ORDER'!AE1044</f>
        <v>0</v>
      </c>
      <c r="I1418" s="112">
        <f>'OPEN FOREIGN ORDER'!AF1044</f>
        <v>0</v>
      </c>
      <c r="J1418" s="112">
        <f>'OPEN FOREIGN ORDER'!AG1044</f>
        <v>0</v>
      </c>
    </row>
    <row r="1419" spans="1:10">
      <c r="A1419">
        <f>'OPEN FOREIGN ORDER'!D1045</f>
        <v>0</v>
      </c>
      <c r="B1419">
        <f>'OPEN FOREIGN ORDER'!F1045</f>
        <v>0</v>
      </c>
      <c r="C1419">
        <f>'OPEN FOREIGN ORDER'!Z1045</f>
        <v>0</v>
      </c>
      <c r="D1419" s="123">
        <f>'OPEN FOREIGN ORDER'!AA1045</f>
        <v>0</v>
      </c>
      <c r="E1419" s="112">
        <f>'OPEN FOREIGN ORDER'!AB1045</f>
        <v>0</v>
      </c>
      <c r="F1419" s="112">
        <f>'OPEN FOREIGN ORDER'!AC1045</f>
        <v>0</v>
      </c>
      <c r="G1419" s="112">
        <f>'OPEN FOREIGN ORDER'!AD1045</f>
        <v>0</v>
      </c>
      <c r="H1419" s="112">
        <f>'OPEN FOREIGN ORDER'!AE1045</f>
        <v>0</v>
      </c>
      <c r="I1419" s="112">
        <f>'OPEN FOREIGN ORDER'!AF1045</f>
        <v>0</v>
      </c>
      <c r="J1419" s="112">
        <f>'OPEN FOREIGN ORDER'!AG1045</f>
        <v>0</v>
      </c>
    </row>
    <row r="1420" spans="1:10">
      <c r="A1420">
        <f>'OPEN FOREIGN ORDER'!D1046</f>
        <v>0</v>
      </c>
      <c r="B1420">
        <f>'OPEN FOREIGN ORDER'!F1046</f>
        <v>0</v>
      </c>
      <c r="C1420">
        <f>'OPEN FOREIGN ORDER'!Z1046</f>
        <v>0</v>
      </c>
      <c r="D1420" s="123">
        <f>'OPEN FOREIGN ORDER'!AA1046</f>
        <v>0</v>
      </c>
      <c r="E1420" s="112">
        <f>'OPEN FOREIGN ORDER'!AB1046</f>
        <v>0</v>
      </c>
      <c r="F1420" s="112">
        <f>'OPEN FOREIGN ORDER'!AC1046</f>
        <v>0</v>
      </c>
      <c r="G1420" s="112">
        <f>'OPEN FOREIGN ORDER'!AD1046</f>
        <v>0</v>
      </c>
      <c r="H1420" s="112">
        <f>'OPEN FOREIGN ORDER'!AE1046</f>
        <v>0</v>
      </c>
      <c r="I1420" s="112">
        <f>'OPEN FOREIGN ORDER'!AF1046</f>
        <v>0</v>
      </c>
      <c r="J1420" s="112">
        <f>'OPEN FOREIGN ORDER'!AG1046</f>
        <v>0</v>
      </c>
    </row>
    <row r="1421" spans="1:10">
      <c r="A1421">
        <f>'OPEN FOREIGN ORDER'!D1047</f>
        <v>0</v>
      </c>
      <c r="B1421">
        <f>'OPEN FOREIGN ORDER'!F1047</f>
        <v>0</v>
      </c>
      <c r="C1421">
        <f>'OPEN FOREIGN ORDER'!Z1047</f>
        <v>0</v>
      </c>
      <c r="D1421" s="123">
        <f>'OPEN FOREIGN ORDER'!AA1047</f>
        <v>0</v>
      </c>
      <c r="E1421" s="112">
        <f>'OPEN FOREIGN ORDER'!AB1047</f>
        <v>0</v>
      </c>
      <c r="F1421" s="112">
        <f>'OPEN FOREIGN ORDER'!AC1047</f>
        <v>0</v>
      </c>
      <c r="G1421" s="112">
        <f>'OPEN FOREIGN ORDER'!AD1047</f>
        <v>0</v>
      </c>
      <c r="H1421" s="112">
        <f>'OPEN FOREIGN ORDER'!AE1047</f>
        <v>0</v>
      </c>
      <c r="I1421" s="112">
        <f>'OPEN FOREIGN ORDER'!AF1047</f>
        <v>0</v>
      </c>
      <c r="J1421" s="112">
        <f>'OPEN FOREIGN ORDER'!AG1047</f>
        <v>0</v>
      </c>
    </row>
    <row r="1422" spans="1:10">
      <c r="A1422">
        <f>'OPEN FOREIGN ORDER'!D1048</f>
        <v>0</v>
      </c>
      <c r="B1422">
        <f>'OPEN FOREIGN ORDER'!F1048</f>
        <v>0</v>
      </c>
      <c r="C1422">
        <f>'OPEN FOREIGN ORDER'!Z1048</f>
        <v>0</v>
      </c>
      <c r="D1422" s="123">
        <f>'OPEN FOREIGN ORDER'!AA1048</f>
        <v>0</v>
      </c>
      <c r="E1422" s="112">
        <f>'OPEN FOREIGN ORDER'!AB1048</f>
        <v>0</v>
      </c>
      <c r="F1422" s="112">
        <f>'OPEN FOREIGN ORDER'!AC1048</f>
        <v>0</v>
      </c>
      <c r="G1422" s="112">
        <f>'OPEN FOREIGN ORDER'!AD1048</f>
        <v>0</v>
      </c>
      <c r="H1422" s="112">
        <f>'OPEN FOREIGN ORDER'!AE1048</f>
        <v>0</v>
      </c>
      <c r="I1422" s="112">
        <f>'OPEN FOREIGN ORDER'!AF1048</f>
        <v>0</v>
      </c>
      <c r="J1422" s="112">
        <f>'OPEN FOREIGN ORDER'!AG1048</f>
        <v>0</v>
      </c>
    </row>
    <row r="1423" spans="1:10">
      <c r="A1423">
        <f>'OPEN FOREIGN ORDER'!D1049</f>
        <v>0</v>
      </c>
      <c r="B1423">
        <f>'OPEN FOREIGN ORDER'!F1049</f>
        <v>0</v>
      </c>
      <c r="C1423">
        <f>'OPEN FOREIGN ORDER'!Z1049</f>
        <v>0</v>
      </c>
      <c r="D1423" s="123">
        <f>'OPEN FOREIGN ORDER'!AA1049</f>
        <v>0</v>
      </c>
      <c r="E1423" s="112">
        <f>'OPEN FOREIGN ORDER'!AB1049</f>
        <v>0</v>
      </c>
      <c r="F1423" s="112">
        <f>'OPEN FOREIGN ORDER'!AC1049</f>
        <v>0</v>
      </c>
      <c r="G1423" s="112">
        <f>'OPEN FOREIGN ORDER'!AD1049</f>
        <v>0</v>
      </c>
      <c r="H1423" s="112">
        <f>'OPEN FOREIGN ORDER'!AE1049</f>
        <v>0</v>
      </c>
      <c r="I1423" s="112">
        <f>'OPEN FOREIGN ORDER'!AF1049</f>
        <v>0</v>
      </c>
      <c r="J1423" s="112">
        <f>'OPEN FOREIGN ORDER'!AG1049</f>
        <v>0</v>
      </c>
    </row>
    <row r="1424" spans="1:10">
      <c r="A1424">
        <f>'OPEN FOREIGN ORDER'!D1050</f>
        <v>0</v>
      </c>
      <c r="B1424">
        <f>'OPEN FOREIGN ORDER'!F1050</f>
        <v>0</v>
      </c>
      <c r="C1424">
        <f>'OPEN FOREIGN ORDER'!Z1050</f>
        <v>0</v>
      </c>
      <c r="D1424" s="123">
        <f>'OPEN FOREIGN ORDER'!AA1050</f>
        <v>0</v>
      </c>
      <c r="E1424" s="112">
        <f>'OPEN FOREIGN ORDER'!AB1050</f>
        <v>0</v>
      </c>
      <c r="F1424" s="112">
        <f>'OPEN FOREIGN ORDER'!AC1050</f>
        <v>0</v>
      </c>
      <c r="G1424" s="112">
        <f>'OPEN FOREIGN ORDER'!AD1050</f>
        <v>0</v>
      </c>
      <c r="H1424" s="112">
        <f>'OPEN FOREIGN ORDER'!AE1050</f>
        <v>0</v>
      </c>
      <c r="I1424" s="112">
        <f>'OPEN FOREIGN ORDER'!AF1050</f>
        <v>0</v>
      </c>
      <c r="J1424" s="112">
        <f>'OPEN FOREIGN ORDER'!AG1050</f>
        <v>0</v>
      </c>
    </row>
    <row r="1425" spans="1:10">
      <c r="A1425">
        <f>'OPEN FOREIGN ORDER'!D1051</f>
        <v>0</v>
      </c>
      <c r="B1425">
        <f>'OPEN FOREIGN ORDER'!F1051</f>
        <v>0</v>
      </c>
      <c r="C1425">
        <f>'OPEN FOREIGN ORDER'!Z1051</f>
        <v>0</v>
      </c>
      <c r="D1425" s="123">
        <f>'OPEN FOREIGN ORDER'!AA1051</f>
        <v>0</v>
      </c>
      <c r="E1425" s="112">
        <f>'OPEN FOREIGN ORDER'!AB1051</f>
        <v>0</v>
      </c>
      <c r="F1425" s="112">
        <f>'OPEN FOREIGN ORDER'!AC1051</f>
        <v>0</v>
      </c>
      <c r="G1425" s="112">
        <f>'OPEN FOREIGN ORDER'!AD1051</f>
        <v>0</v>
      </c>
      <c r="H1425" s="112">
        <f>'OPEN FOREIGN ORDER'!AE1051</f>
        <v>0</v>
      </c>
      <c r="I1425" s="112">
        <f>'OPEN FOREIGN ORDER'!AF1051</f>
        <v>0</v>
      </c>
      <c r="J1425" s="112">
        <f>'OPEN FOREIGN ORDER'!AG1051</f>
        <v>0</v>
      </c>
    </row>
    <row r="1426" spans="1:10">
      <c r="A1426">
        <f>'OPEN FOREIGN ORDER'!D1052</f>
        <v>0</v>
      </c>
      <c r="B1426">
        <f>'OPEN FOREIGN ORDER'!F1052</f>
        <v>0</v>
      </c>
      <c r="C1426">
        <f>'OPEN FOREIGN ORDER'!Z1052</f>
        <v>0</v>
      </c>
      <c r="D1426" s="123">
        <f>'OPEN FOREIGN ORDER'!AA1052</f>
        <v>0</v>
      </c>
      <c r="E1426" s="112">
        <f>'OPEN FOREIGN ORDER'!AB1052</f>
        <v>0</v>
      </c>
      <c r="F1426" s="112">
        <f>'OPEN FOREIGN ORDER'!AC1052</f>
        <v>0</v>
      </c>
      <c r="G1426" s="112">
        <f>'OPEN FOREIGN ORDER'!AD1052</f>
        <v>0</v>
      </c>
      <c r="H1426" s="112">
        <f>'OPEN FOREIGN ORDER'!AE1052</f>
        <v>0</v>
      </c>
      <c r="I1426" s="112">
        <f>'OPEN FOREIGN ORDER'!AF1052</f>
        <v>0</v>
      </c>
      <c r="J1426" s="112">
        <f>'OPEN FOREIGN ORDER'!AG1052</f>
        <v>0</v>
      </c>
    </row>
    <row r="1427" spans="1:10">
      <c r="A1427">
        <f>'OPEN FOREIGN ORDER'!D1053</f>
        <v>0</v>
      </c>
      <c r="B1427">
        <f>'OPEN FOREIGN ORDER'!F1053</f>
        <v>0</v>
      </c>
      <c r="C1427">
        <f>'OPEN FOREIGN ORDER'!Z1053</f>
        <v>0</v>
      </c>
      <c r="D1427" s="123">
        <f>'OPEN FOREIGN ORDER'!AA1053</f>
        <v>0</v>
      </c>
      <c r="E1427" s="112">
        <f>'OPEN FOREIGN ORDER'!AB1053</f>
        <v>0</v>
      </c>
      <c r="F1427" s="112">
        <f>'OPEN FOREIGN ORDER'!AC1053</f>
        <v>0</v>
      </c>
      <c r="G1427" s="112">
        <f>'OPEN FOREIGN ORDER'!AD1053</f>
        <v>0</v>
      </c>
      <c r="H1427" s="112">
        <f>'OPEN FOREIGN ORDER'!AE1053</f>
        <v>0</v>
      </c>
      <c r="I1427" s="112">
        <f>'OPEN FOREIGN ORDER'!AF1053</f>
        <v>0</v>
      </c>
      <c r="J1427" s="112">
        <f>'OPEN FOREIGN ORDER'!AG1053</f>
        <v>0</v>
      </c>
    </row>
    <row r="1428" spans="1:10">
      <c r="A1428">
        <f>'OPEN FOREIGN ORDER'!D1054</f>
        <v>0</v>
      </c>
      <c r="B1428">
        <f>'OPEN FOREIGN ORDER'!F1054</f>
        <v>0</v>
      </c>
      <c r="C1428">
        <f>'OPEN FOREIGN ORDER'!Z1054</f>
        <v>0</v>
      </c>
      <c r="D1428" s="123">
        <f>'OPEN FOREIGN ORDER'!AA1054</f>
        <v>0</v>
      </c>
      <c r="E1428" s="112">
        <f>'OPEN FOREIGN ORDER'!AB1054</f>
        <v>0</v>
      </c>
      <c r="F1428" s="112">
        <f>'OPEN FOREIGN ORDER'!AC1054</f>
        <v>0</v>
      </c>
      <c r="G1428" s="112">
        <f>'OPEN FOREIGN ORDER'!AD1054</f>
        <v>0</v>
      </c>
      <c r="H1428" s="112">
        <f>'OPEN FOREIGN ORDER'!AE1054</f>
        <v>0</v>
      </c>
      <c r="I1428" s="112">
        <f>'OPEN FOREIGN ORDER'!AF1054</f>
        <v>0</v>
      </c>
      <c r="J1428" s="112">
        <f>'OPEN FOREIGN ORDER'!AG1054</f>
        <v>0</v>
      </c>
    </row>
    <row r="1429" spans="1:10">
      <c r="A1429">
        <f>'OPEN FOREIGN ORDER'!D1055</f>
        <v>0</v>
      </c>
      <c r="B1429">
        <f>'OPEN FOREIGN ORDER'!F1055</f>
        <v>0</v>
      </c>
      <c r="C1429">
        <f>'OPEN FOREIGN ORDER'!Z1055</f>
        <v>0</v>
      </c>
      <c r="D1429" s="123">
        <f>'OPEN FOREIGN ORDER'!AA1055</f>
        <v>0</v>
      </c>
      <c r="E1429" s="112">
        <f>'OPEN FOREIGN ORDER'!AB1055</f>
        <v>0</v>
      </c>
      <c r="F1429" s="112">
        <f>'OPEN FOREIGN ORDER'!AC1055</f>
        <v>0</v>
      </c>
      <c r="G1429" s="112">
        <f>'OPEN FOREIGN ORDER'!AD1055</f>
        <v>0</v>
      </c>
      <c r="H1429" s="112">
        <f>'OPEN FOREIGN ORDER'!AE1055</f>
        <v>0</v>
      </c>
      <c r="I1429" s="112">
        <f>'OPEN FOREIGN ORDER'!AF1055</f>
        <v>0</v>
      </c>
      <c r="J1429" s="112">
        <f>'OPEN FOREIGN ORDER'!AG1055</f>
        <v>0</v>
      </c>
    </row>
    <row r="1430" spans="1:10">
      <c r="A1430">
        <f>'OPEN FOREIGN ORDER'!D1056</f>
        <v>0</v>
      </c>
      <c r="B1430">
        <f>'OPEN FOREIGN ORDER'!F1056</f>
        <v>0</v>
      </c>
      <c r="C1430">
        <f>'OPEN FOREIGN ORDER'!Z1056</f>
        <v>0</v>
      </c>
      <c r="D1430" s="123">
        <f>'OPEN FOREIGN ORDER'!AA1056</f>
        <v>0</v>
      </c>
      <c r="E1430" s="112">
        <f>'OPEN FOREIGN ORDER'!AB1056</f>
        <v>0</v>
      </c>
      <c r="F1430" s="112">
        <f>'OPEN FOREIGN ORDER'!AC1056</f>
        <v>0</v>
      </c>
      <c r="G1430" s="112">
        <f>'OPEN FOREIGN ORDER'!AD1056</f>
        <v>0</v>
      </c>
      <c r="H1430" s="112">
        <f>'OPEN FOREIGN ORDER'!AE1056</f>
        <v>0</v>
      </c>
      <c r="I1430" s="112">
        <f>'OPEN FOREIGN ORDER'!AF1056</f>
        <v>0</v>
      </c>
      <c r="J1430" s="112">
        <f>'OPEN FOREIGN ORDER'!AG1056</f>
        <v>0</v>
      </c>
    </row>
    <row r="1431" spans="1:10">
      <c r="A1431">
        <f>'OPEN FOREIGN ORDER'!D1057</f>
        <v>0</v>
      </c>
      <c r="B1431">
        <f>'OPEN FOREIGN ORDER'!F1057</f>
        <v>0</v>
      </c>
      <c r="C1431">
        <f>'OPEN FOREIGN ORDER'!Z1057</f>
        <v>0</v>
      </c>
      <c r="D1431" s="123">
        <f>'OPEN FOREIGN ORDER'!AA1057</f>
        <v>0</v>
      </c>
      <c r="E1431" s="112">
        <f>'OPEN FOREIGN ORDER'!AB1057</f>
        <v>0</v>
      </c>
      <c r="F1431" s="112">
        <f>'OPEN FOREIGN ORDER'!AC1057</f>
        <v>0</v>
      </c>
      <c r="G1431" s="112">
        <f>'OPEN FOREIGN ORDER'!AD1057</f>
        <v>0</v>
      </c>
      <c r="H1431" s="112">
        <f>'OPEN FOREIGN ORDER'!AE1057</f>
        <v>0</v>
      </c>
      <c r="I1431" s="112">
        <f>'OPEN FOREIGN ORDER'!AF1057</f>
        <v>0</v>
      </c>
      <c r="J1431" s="112">
        <f>'OPEN FOREIGN ORDER'!AG1057</f>
        <v>0</v>
      </c>
    </row>
    <row r="1432" spans="1:10">
      <c r="A1432">
        <f>'OPEN FOREIGN ORDER'!D1058</f>
        <v>0</v>
      </c>
      <c r="B1432">
        <f>'OPEN FOREIGN ORDER'!F1058</f>
        <v>0</v>
      </c>
      <c r="C1432">
        <f>'OPEN FOREIGN ORDER'!Z1058</f>
        <v>0</v>
      </c>
      <c r="D1432" s="123">
        <f>'OPEN FOREIGN ORDER'!AA1058</f>
        <v>0</v>
      </c>
      <c r="E1432" s="112">
        <f>'OPEN FOREIGN ORDER'!AB1058</f>
        <v>0</v>
      </c>
      <c r="F1432" s="112">
        <f>'OPEN FOREIGN ORDER'!AC1058</f>
        <v>0</v>
      </c>
      <c r="G1432" s="112">
        <f>'OPEN FOREIGN ORDER'!AD1058</f>
        <v>0</v>
      </c>
      <c r="H1432" s="112">
        <f>'OPEN FOREIGN ORDER'!AE1058</f>
        <v>0</v>
      </c>
      <c r="I1432" s="112">
        <f>'OPEN FOREIGN ORDER'!AF1058</f>
        <v>0</v>
      </c>
      <c r="J1432" s="112">
        <f>'OPEN FOREIGN ORDER'!AG1058</f>
        <v>0</v>
      </c>
    </row>
    <row r="1433" spans="1:10">
      <c r="A1433">
        <f>'OPEN FOREIGN ORDER'!D1059</f>
        <v>0</v>
      </c>
      <c r="B1433">
        <f>'OPEN FOREIGN ORDER'!F1059</f>
        <v>0</v>
      </c>
      <c r="C1433">
        <f>'OPEN FOREIGN ORDER'!Z1059</f>
        <v>0</v>
      </c>
      <c r="D1433" s="123">
        <f>'OPEN FOREIGN ORDER'!AA1059</f>
        <v>0</v>
      </c>
      <c r="E1433" s="112">
        <f>'OPEN FOREIGN ORDER'!AB1059</f>
        <v>0</v>
      </c>
      <c r="F1433" s="112">
        <f>'OPEN FOREIGN ORDER'!AC1059</f>
        <v>0</v>
      </c>
      <c r="G1433" s="112">
        <f>'OPEN FOREIGN ORDER'!AD1059</f>
        <v>0</v>
      </c>
      <c r="H1433" s="112">
        <f>'OPEN FOREIGN ORDER'!AE1059</f>
        <v>0</v>
      </c>
      <c r="I1433" s="112">
        <f>'OPEN FOREIGN ORDER'!AF1059</f>
        <v>0</v>
      </c>
      <c r="J1433" s="112">
        <f>'OPEN FOREIGN ORDER'!AG1059</f>
        <v>0</v>
      </c>
    </row>
    <row r="1434" spans="1:10">
      <c r="A1434">
        <f>'OPEN FOREIGN ORDER'!D1060</f>
        <v>0</v>
      </c>
      <c r="B1434">
        <f>'OPEN FOREIGN ORDER'!F1060</f>
        <v>0</v>
      </c>
      <c r="C1434">
        <f>'OPEN FOREIGN ORDER'!Z1060</f>
        <v>0</v>
      </c>
      <c r="D1434" s="123">
        <f>'OPEN FOREIGN ORDER'!AA1060</f>
        <v>0</v>
      </c>
      <c r="E1434" s="112">
        <f>'OPEN FOREIGN ORDER'!AB1060</f>
        <v>0</v>
      </c>
      <c r="F1434" s="112">
        <f>'OPEN FOREIGN ORDER'!AC1060</f>
        <v>0</v>
      </c>
      <c r="G1434" s="112">
        <f>'OPEN FOREIGN ORDER'!AD1060</f>
        <v>0</v>
      </c>
      <c r="H1434" s="112">
        <f>'OPEN FOREIGN ORDER'!AE1060</f>
        <v>0</v>
      </c>
      <c r="I1434" s="112">
        <f>'OPEN FOREIGN ORDER'!AF1060</f>
        <v>0</v>
      </c>
      <c r="J1434" s="112">
        <f>'OPEN FOREIGN ORDER'!AG1060</f>
        <v>0</v>
      </c>
    </row>
    <row r="1435" spans="1:10">
      <c r="A1435">
        <f>'OPEN FOREIGN ORDER'!D1061</f>
        <v>0</v>
      </c>
      <c r="B1435">
        <f>'OPEN FOREIGN ORDER'!F1061</f>
        <v>0</v>
      </c>
      <c r="C1435">
        <f>'OPEN FOREIGN ORDER'!Z1061</f>
        <v>0</v>
      </c>
      <c r="D1435" s="123">
        <f>'OPEN FOREIGN ORDER'!AA1061</f>
        <v>0</v>
      </c>
      <c r="E1435" s="112">
        <f>'OPEN FOREIGN ORDER'!AB1061</f>
        <v>0</v>
      </c>
      <c r="F1435" s="112">
        <f>'OPEN FOREIGN ORDER'!AC1061</f>
        <v>0</v>
      </c>
      <c r="G1435" s="112">
        <f>'OPEN FOREIGN ORDER'!AD1061</f>
        <v>0</v>
      </c>
      <c r="H1435" s="112">
        <f>'OPEN FOREIGN ORDER'!AE1061</f>
        <v>0</v>
      </c>
      <c r="I1435" s="112">
        <f>'OPEN FOREIGN ORDER'!AF1061</f>
        <v>0</v>
      </c>
      <c r="J1435" s="112">
        <f>'OPEN FOREIGN ORDER'!AG1061</f>
        <v>0</v>
      </c>
    </row>
    <row r="1436" spans="1:10">
      <c r="A1436">
        <f>'OPEN FOREIGN ORDER'!D1062</f>
        <v>0</v>
      </c>
      <c r="B1436">
        <f>'OPEN FOREIGN ORDER'!F1062</f>
        <v>0</v>
      </c>
      <c r="C1436">
        <f>'OPEN FOREIGN ORDER'!Z1062</f>
        <v>0</v>
      </c>
      <c r="D1436" s="123">
        <f>'OPEN FOREIGN ORDER'!AA1062</f>
        <v>0</v>
      </c>
      <c r="E1436" s="112">
        <f>'OPEN FOREIGN ORDER'!AB1062</f>
        <v>0</v>
      </c>
      <c r="F1436" s="112">
        <f>'OPEN FOREIGN ORDER'!AC1062</f>
        <v>0</v>
      </c>
      <c r="G1436" s="112">
        <f>'OPEN FOREIGN ORDER'!AD1062</f>
        <v>0</v>
      </c>
      <c r="H1436" s="112">
        <f>'OPEN FOREIGN ORDER'!AE1062</f>
        <v>0</v>
      </c>
      <c r="I1436" s="112">
        <f>'OPEN FOREIGN ORDER'!AF1062</f>
        <v>0</v>
      </c>
      <c r="J1436" s="112">
        <f>'OPEN FOREIGN ORDER'!AG1062</f>
        <v>0</v>
      </c>
    </row>
    <row r="1437" spans="1:10">
      <c r="A1437">
        <f>'OPEN FOREIGN ORDER'!D1063</f>
        <v>0</v>
      </c>
      <c r="B1437">
        <f>'OPEN FOREIGN ORDER'!F1063</f>
        <v>0</v>
      </c>
      <c r="C1437">
        <f>'OPEN FOREIGN ORDER'!Z1063</f>
        <v>0</v>
      </c>
      <c r="D1437" s="123">
        <f>'OPEN FOREIGN ORDER'!AA1063</f>
        <v>0</v>
      </c>
      <c r="E1437" s="112">
        <f>'OPEN FOREIGN ORDER'!AB1063</f>
        <v>0</v>
      </c>
      <c r="F1437" s="112">
        <f>'OPEN FOREIGN ORDER'!AC1063</f>
        <v>0</v>
      </c>
      <c r="G1437" s="112">
        <f>'OPEN FOREIGN ORDER'!AD1063</f>
        <v>0</v>
      </c>
      <c r="H1437" s="112">
        <f>'OPEN FOREIGN ORDER'!AE1063</f>
        <v>0</v>
      </c>
      <c r="I1437" s="112">
        <f>'OPEN FOREIGN ORDER'!AF1063</f>
        <v>0</v>
      </c>
      <c r="J1437" s="112">
        <f>'OPEN FOREIGN ORDER'!AG1063</f>
        <v>0</v>
      </c>
    </row>
    <row r="1438" spans="1:10">
      <c r="A1438">
        <f>'OPEN FOREIGN ORDER'!D1064</f>
        <v>0</v>
      </c>
      <c r="B1438">
        <f>'OPEN FOREIGN ORDER'!F1064</f>
        <v>0</v>
      </c>
      <c r="C1438">
        <f>'OPEN FOREIGN ORDER'!Z1064</f>
        <v>0</v>
      </c>
      <c r="D1438" s="123">
        <f>'OPEN FOREIGN ORDER'!AA1064</f>
        <v>0</v>
      </c>
      <c r="E1438" s="112">
        <f>'OPEN FOREIGN ORDER'!AB1064</f>
        <v>0</v>
      </c>
      <c r="F1438" s="112">
        <f>'OPEN FOREIGN ORDER'!AC1064</f>
        <v>0</v>
      </c>
      <c r="G1438" s="112">
        <f>'OPEN FOREIGN ORDER'!AD1064</f>
        <v>0</v>
      </c>
      <c r="H1438" s="112">
        <f>'OPEN FOREIGN ORDER'!AE1064</f>
        <v>0</v>
      </c>
      <c r="I1438" s="112">
        <f>'OPEN FOREIGN ORDER'!AF1064</f>
        <v>0</v>
      </c>
      <c r="J1438" s="112">
        <f>'OPEN FOREIGN ORDER'!AG1064</f>
        <v>0</v>
      </c>
    </row>
    <row r="1439" spans="1:10">
      <c r="A1439">
        <f>'OPEN FOREIGN ORDER'!D1065</f>
        <v>0</v>
      </c>
      <c r="B1439">
        <f>'OPEN FOREIGN ORDER'!F1065</f>
        <v>0</v>
      </c>
      <c r="C1439">
        <f>'OPEN FOREIGN ORDER'!Z1065</f>
        <v>0</v>
      </c>
      <c r="D1439" s="123">
        <f>'OPEN FOREIGN ORDER'!AA1065</f>
        <v>0</v>
      </c>
      <c r="E1439" s="112">
        <f>'OPEN FOREIGN ORDER'!AB1065</f>
        <v>0</v>
      </c>
      <c r="F1439" s="112">
        <f>'OPEN FOREIGN ORDER'!AC1065</f>
        <v>0</v>
      </c>
      <c r="G1439" s="112">
        <f>'OPEN FOREIGN ORDER'!AD1065</f>
        <v>0</v>
      </c>
      <c r="H1439" s="112">
        <f>'OPEN FOREIGN ORDER'!AE1065</f>
        <v>0</v>
      </c>
      <c r="I1439" s="112">
        <f>'OPEN FOREIGN ORDER'!AF1065</f>
        <v>0</v>
      </c>
      <c r="J1439" s="112">
        <f>'OPEN FOREIGN ORDER'!AG1065</f>
        <v>0</v>
      </c>
    </row>
    <row r="1440" spans="1:10">
      <c r="A1440">
        <f>'OPEN FOREIGN ORDER'!D1066</f>
        <v>0</v>
      </c>
      <c r="B1440">
        <f>'OPEN FOREIGN ORDER'!F1066</f>
        <v>0</v>
      </c>
      <c r="C1440">
        <f>'OPEN FOREIGN ORDER'!Z1066</f>
        <v>0</v>
      </c>
      <c r="D1440" s="123">
        <f>'OPEN FOREIGN ORDER'!AA1066</f>
        <v>0</v>
      </c>
      <c r="E1440" s="112">
        <f>'OPEN FOREIGN ORDER'!AB1066</f>
        <v>0</v>
      </c>
      <c r="F1440" s="112">
        <f>'OPEN FOREIGN ORDER'!AC1066</f>
        <v>0</v>
      </c>
      <c r="G1440" s="112">
        <f>'OPEN FOREIGN ORDER'!AD1066</f>
        <v>0</v>
      </c>
      <c r="H1440" s="112">
        <f>'OPEN FOREIGN ORDER'!AE1066</f>
        <v>0</v>
      </c>
      <c r="I1440" s="112">
        <f>'OPEN FOREIGN ORDER'!AF1066</f>
        <v>0</v>
      </c>
      <c r="J1440" s="112">
        <f>'OPEN FOREIGN ORDER'!AG1066</f>
        <v>0</v>
      </c>
    </row>
    <row r="1441" spans="1:10">
      <c r="A1441">
        <f>'OPEN FOREIGN ORDER'!D1067</f>
        <v>0</v>
      </c>
      <c r="B1441">
        <f>'OPEN FOREIGN ORDER'!F1067</f>
        <v>0</v>
      </c>
      <c r="C1441">
        <f>'OPEN FOREIGN ORDER'!Z1067</f>
        <v>0</v>
      </c>
      <c r="D1441" s="123">
        <f>'OPEN FOREIGN ORDER'!AA1067</f>
        <v>0</v>
      </c>
      <c r="E1441" s="112">
        <f>'OPEN FOREIGN ORDER'!AB1067</f>
        <v>0</v>
      </c>
      <c r="F1441" s="112">
        <f>'OPEN FOREIGN ORDER'!AC1067</f>
        <v>0</v>
      </c>
      <c r="G1441" s="112">
        <f>'OPEN FOREIGN ORDER'!AD1067</f>
        <v>0</v>
      </c>
      <c r="H1441" s="112">
        <f>'OPEN FOREIGN ORDER'!AE1067</f>
        <v>0</v>
      </c>
      <c r="I1441" s="112">
        <f>'OPEN FOREIGN ORDER'!AF1067</f>
        <v>0</v>
      </c>
      <c r="J1441" s="112">
        <f>'OPEN FOREIGN ORDER'!AG1067</f>
        <v>0</v>
      </c>
    </row>
    <row r="1442" spans="1:10">
      <c r="A1442">
        <f>'OPEN FOREIGN ORDER'!D1068</f>
        <v>0</v>
      </c>
      <c r="B1442">
        <f>'OPEN FOREIGN ORDER'!F1068</f>
        <v>0</v>
      </c>
      <c r="C1442">
        <f>'OPEN FOREIGN ORDER'!Z1068</f>
        <v>0</v>
      </c>
      <c r="D1442" s="123">
        <f>'OPEN FOREIGN ORDER'!AA1068</f>
        <v>0</v>
      </c>
      <c r="E1442" s="112">
        <f>'OPEN FOREIGN ORDER'!AB1068</f>
        <v>0</v>
      </c>
      <c r="F1442" s="112">
        <f>'OPEN FOREIGN ORDER'!AC1068</f>
        <v>0</v>
      </c>
      <c r="G1442" s="112">
        <f>'OPEN FOREIGN ORDER'!AD1068</f>
        <v>0</v>
      </c>
      <c r="H1442" s="112">
        <f>'OPEN FOREIGN ORDER'!AE1068</f>
        <v>0</v>
      </c>
      <c r="I1442" s="112">
        <f>'OPEN FOREIGN ORDER'!AF1068</f>
        <v>0</v>
      </c>
      <c r="J1442" s="112">
        <f>'OPEN FOREIGN ORDER'!AG1068</f>
        <v>0</v>
      </c>
    </row>
    <row r="1443" spans="1:10">
      <c r="A1443">
        <f>'OPEN FOREIGN ORDER'!D1069</f>
        <v>0</v>
      </c>
      <c r="B1443">
        <f>'OPEN FOREIGN ORDER'!F1069</f>
        <v>0</v>
      </c>
      <c r="C1443">
        <f>'OPEN FOREIGN ORDER'!Z1069</f>
        <v>0</v>
      </c>
      <c r="D1443" s="123">
        <f>'OPEN FOREIGN ORDER'!AA1069</f>
        <v>0</v>
      </c>
      <c r="E1443" s="112">
        <f>'OPEN FOREIGN ORDER'!AB1069</f>
        <v>0</v>
      </c>
      <c r="F1443" s="112">
        <f>'OPEN FOREIGN ORDER'!AC1069</f>
        <v>0</v>
      </c>
      <c r="G1443" s="112">
        <f>'OPEN FOREIGN ORDER'!AD1069</f>
        <v>0</v>
      </c>
      <c r="H1443" s="112">
        <f>'OPEN FOREIGN ORDER'!AE1069</f>
        <v>0</v>
      </c>
      <c r="I1443" s="112">
        <f>'OPEN FOREIGN ORDER'!AF1069</f>
        <v>0</v>
      </c>
      <c r="J1443" s="112">
        <f>'OPEN FOREIGN ORDER'!AG1069</f>
        <v>0</v>
      </c>
    </row>
    <row r="1444" spans="1:10">
      <c r="A1444">
        <f>'OPEN FOREIGN ORDER'!D1070</f>
        <v>0</v>
      </c>
      <c r="B1444">
        <f>'OPEN FOREIGN ORDER'!F1070</f>
        <v>0</v>
      </c>
      <c r="C1444">
        <f>'OPEN FOREIGN ORDER'!Z1070</f>
        <v>0</v>
      </c>
      <c r="D1444" s="123">
        <f>'OPEN FOREIGN ORDER'!AA1070</f>
        <v>0</v>
      </c>
      <c r="E1444" s="112">
        <f>'OPEN FOREIGN ORDER'!AB1070</f>
        <v>0</v>
      </c>
      <c r="F1444" s="112">
        <f>'OPEN FOREIGN ORDER'!AC1070</f>
        <v>0</v>
      </c>
      <c r="G1444" s="112">
        <f>'OPEN FOREIGN ORDER'!AD1070</f>
        <v>0</v>
      </c>
      <c r="H1444" s="112">
        <f>'OPEN FOREIGN ORDER'!AE1070</f>
        <v>0</v>
      </c>
      <c r="I1444" s="112">
        <f>'OPEN FOREIGN ORDER'!AF1070</f>
        <v>0</v>
      </c>
      <c r="J1444" s="112">
        <f>'OPEN FOREIGN ORDER'!AG1070</f>
        <v>0</v>
      </c>
    </row>
    <row r="1445" spans="1:10">
      <c r="A1445">
        <f>'OPEN FOREIGN ORDER'!D1071</f>
        <v>0</v>
      </c>
      <c r="B1445">
        <f>'OPEN FOREIGN ORDER'!F1071</f>
        <v>0</v>
      </c>
      <c r="C1445">
        <f>'OPEN FOREIGN ORDER'!Z1071</f>
        <v>0</v>
      </c>
      <c r="D1445" s="123">
        <f>'OPEN FOREIGN ORDER'!AA1071</f>
        <v>0</v>
      </c>
      <c r="E1445" s="112">
        <f>'OPEN FOREIGN ORDER'!AB1071</f>
        <v>0</v>
      </c>
      <c r="F1445" s="112">
        <f>'OPEN FOREIGN ORDER'!AC1071</f>
        <v>0</v>
      </c>
      <c r="G1445" s="112">
        <f>'OPEN FOREIGN ORDER'!AD1071</f>
        <v>0</v>
      </c>
      <c r="H1445" s="112">
        <f>'OPEN FOREIGN ORDER'!AE1071</f>
        <v>0</v>
      </c>
      <c r="I1445" s="112">
        <f>'OPEN FOREIGN ORDER'!AF1071</f>
        <v>0</v>
      </c>
      <c r="J1445" s="112">
        <f>'OPEN FOREIGN ORDER'!AG1071</f>
        <v>0</v>
      </c>
    </row>
    <row r="1446" spans="1:10">
      <c r="A1446">
        <f>'OPEN FOREIGN ORDER'!D1072</f>
        <v>0</v>
      </c>
      <c r="B1446">
        <f>'OPEN FOREIGN ORDER'!F1072</f>
        <v>0</v>
      </c>
      <c r="C1446">
        <f>'OPEN FOREIGN ORDER'!Z1072</f>
        <v>0</v>
      </c>
      <c r="D1446" s="123">
        <f>'OPEN FOREIGN ORDER'!AA1072</f>
        <v>0</v>
      </c>
      <c r="E1446" s="112">
        <f>'OPEN FOREIGN ORDER'!AB1072</f>
        <v>0</v>
      </c>
      <c r="F1446" s="112">
        <f>'OPEN FOREIGN ORDER'!AC1072</f>
        <v>0</v>
      </c>
      <c r="G1446" s="112">
        <f>'OPEN FOREIGN ORDER'!AD1072</f>
        <v>0</v>
      </c>
      <c r="H1446" s="112">
        <f>'OPEN FOREIGN ORDER'!AE1072</f>
        <v>0</v>
      </c>
      <c r="I1446" s="112">
        <f>'OPEN FOREIGN ORDER'!AF1072</f>
        <v>0</v>
      </c>
      <c r="J1446" s="112">
        <f>'OPEN FOREIGN ORDER'!AG1072</f>
        <v>0</v>
      </c>
    </row>
    <row r="1447" spans="1:10">
      <c r="A1447">
        <f>'OPEN FOREIGN ORDER'!D1073</f>
        <v>0</v>
      </c>
      <c r="B1447">
        <f>'OPEN FOREIGN ORDER'!F1073</f>
        <v>0</v>
      </c>
      <c r="C1447">
        <f>'OPEN FOREIGN ORDER'!Z1073</f>
        <v>0</v>
      </c>
      <c r="D1447" s="123">
        <f>'OPEN FOREIGN ORDER'!AA1073</f>
        <v>0</v>
      </c>
      <c r="E1447" s="112">
        <f>'OPEN FOREIGN ORDER'!AB1073</f>
        <v>0</v>
      </c>
      <c r="F1447" s="112">
        <f>'OPEN FOREIGN ORDER'!AC1073</f>
        <v>0</v>
      </c>
      <c r="G1447" s="112">
        <f>'OPEN FOREIGN ORDER'!AD1073</f>
        <v>0</v>
      </c>
      <c r="H1447" s="112">
        <f>'OPEN FOREIGN ORDER'!AE1073</f>
        <v>0</v>
      </c>
      <c r="I1447" s="112">
        <f>'OPEN FOREIGN ORDER'!AF1073</f>
        <v>0</v>
      </c>
      <c r="J1447" s="112">
        <f>'OPEN FOREIGN ORDER'!AG1073</f>
        <v>0</v>
      </c>
    </row>
    <row r="1448" spans="1:10">
      <c r="A1448">
        <f>'OPEN FOREIGN ORDER'!D1074</f>
        <v>0</v>
      </c>
      <c r="B1448">
        <f>'OPEN FOREIGN ORDER'!F1074</f>
        <v>0</v>
      </c>
      <c r="C1448">
        <f>'OPEN FOREIGN ORDER'!Z1074</f>
        <v>0</v>
      </c>
      <c r="D1448" s="123">
        <f>'OPEN FOREIGN ORDER'!AA1074</f>
        <v>0</v>
      </c>
      <c r="E1448" s="112">
        <f>'OPEN FOREIGN ORDER'!AB1074</f>
        <v>0</v>
      </c>
      <c r="F1448" s="112">
        <f>'OPEN FOREIGN ORDER'!AC1074</f>
        <v>0</v>
      </c>
      <c r="G1448" s="112">
        <f>'OPEN FOREIGN ORDER'!AD1074</f>
        <v>0</v>
      </c>
      <c r="H1448" s="112">
        <f>'OPEN FOREIGN ORDER'!AE1074</f>
        <v>0</v>
      </c>
      <c r="I1448" s="112">
        <f>'OPEN FOREIGN ORDER'!AF1074</f>
        <v>0</v>
      </c>
      <c r="J1448" s="112">
        <f>'OPEN FOREIGN ORDER'!AG1074</f>
        <v>0</v>
      </c>
    </row>
    <row r="1449" spans="1:10">
      <c r="A1449">
        <f>'OPEN FOREIGN ORDER'!D1075</f>
        <v>0</v>
      </c>
      <c r="B1449">
        <f>'OPEN FOREIGN ORDER'!F1075</f>
        <v>0</v>
      </c>
      <c r="C1449">
        <f>'OPEN FOREIGN ORDER'!Z1075</f>
        <v>0</v>
      </c>
      <c r="D1449" s="123">
        <f>'OPEN FOREIGN ORDER'!AA1075</f>
        <v>0</v>
      </c>
      <c r="E1449" s="112">
        <f>'OPEN FOREIGN ORDER'!AB1075</f>
        <v>0</v>
      </c>
      <c r="F1449" s="112">
        <f>'OPEN FOREIGN ORDER'!AC1075</f>
        <v>0</v>
      </c>
      <c r="G1449" s="112">
        <f>'OPEN FOREIGN ORDER'!AD1075</f>
        <v>0</v>
      </c>
      <c r="H1449" s="112">
        <f>'OPEN FOREIGN ORDER'!AE1075</f>
        <v>0</v>
      </c>
      <c r="I1449" s="112">
        <f>'OPEN FOREIGN ORDER'!AF1075</f>
        <v>0</v>
      </c>
      <c r="J1449" s="112">
        <f>'OPEN FOREIGN ORDER'!AG1075</f>
        <v>0</v>
      </c>
    </row>
    <row r="1450" spans="1:10">
      <c r="A1450">
        <f>'OPEN FOREIGN ORDER'!D1076</f>
        <v>0</v>
      </c>
      <c r="B1450">
        <f>'OPEN FOREIGN ORDER'!F1076</f>
        <v>0</v>
      </c>
      <c r="C1450">
        <f>'OPEN FOREIGN ORDER'!Z1076</f>
        <v>0</v>
      </c>
      <c r="D1450" s="123">
        <f>'OPEN FOREIGN ORDER'!AA1076</f>
        <v>0</v>
      </c>
      <c r="E1450" s="112">
        <f>'OPEN FOREIGN ORDER'!AB1076</f>
        <v>0</v>
      </c>
      <c r="F1450" s="112">
        <f>'OPEN FOREIGN ORDER'!AC1076</f>
        <v>0</v>
      </c>
      <c r="G1450" s="112">
        <f>'OPEN FOREIGN ORDER'!AD1076</f>
        <v>0</v>
      </c>
      <c r="H1450" s="112">
        <f>'OPEN FOREIGN ORDER'!AE1076</f>
        <v>0</v>
      </c>
      <c r="I1450" s="112">
        <f>'OPEN FOREIGN ORDER'!AF1076</f>
        <v>0</v>
      </c>
      <c r="J1450" s="112">
        <f>'OPEN FOREIGN ORDER'!AG1076</f>
        <v>0</v>
      </c>
    </row>
    <row r="1451" spans="1:10">
      <c r="A1451">
        <f>'OPEN FOREIGN ORDER'!D1077</f>
        <v>0</v>
      </c>
      <c r="B1451">
        <f>'OPEN FOREIGN ORDER'!F1077</f>
        <v>0</v>
      </c>
      <c r="C1451">
        <f>'OPEN FOREIGN ORDER'!Z1077</f>
        <v>0</v>
      </c>
      <c r="D1451" s="123">
        <f>'OPEN FOREIGN ORDER'!AA1077</f>
        <v>0</v>
      </c>
      <c r="E1451" s="112">
        <f>'OPEN FOREIGN ORDER'!AB1077</f>
        <v>0</v>
      </c>
      <c r="F1451" s="112">
        <f>'OPEN FOREIGN ORDER'!AC1077</f>
        <v>0</v>
      </c>
      <c r="G1451" s="112">
        <f>'OPEN FOREIGN ORDER'!AD1077</f>
        <v>0</v>
      </c>
      <c r="H1451" s="112">
        <f>'OPEN FOREIGN ORDER'!AE1077</f>
        <v>0</v>
      </c>
      <c r="I1451" s="112">
        <f>'OPEN FOREIGN ORDER'!AF1077</f>
        <v>0</v>
      </c>
      <c r="J1451" s="112">
        <f>'OPEN FOREIGN ORDER'!AG1077</f>
        <v>0</v>
      </c>
    </row>
    <row r="1452" spans="1:10">
      <c r="A1452">
        <f>'OPEN FOREIGN ORDER'!D1078</f>
        <v>0</v>
      </c>
      <c r="B1452">
        <f>'OPEN FOREIGN ORDER'!F1078</f>
        <v>0</v>
      </c>
      <c r="C1452">
        <f>'OPEN FOREIGN ORDER'!Z1078</f>
        <v>0</v>
      </c>
      <c r="D1452" s="123">
        <f>'OPEN FOREIGN ORDER'!AA1078</f>
        <v>0</v>
      </c>
      <c r="E1452" s="112">
        <f>'OPEN FOREIGN ORDER'!AB1078</f>
        <v>0</v>
      </c>
      <c r="F1452" s="112">
        <f>'OPEN FOREIGN ORDER'!AC1078</f>
        <v>0</v>
      </c>
      <c r="G1452" s="112">
        <f>'OPEN FOREIGN ORDER'!AD1078</f>
        <v>0</v>
      </c>
      <c r="H1452" s="112">
        <f>'OPEN FOREIGN ORDER'!AE1078</f>
        <v>0</v>
      </c>
      <c r="I1452" s="112">
        <f>'OPEN FOREIGN ORDER'!AF1078</f>
        <v>0</v>
      </c>
      <c r="J1452" s="112">
        <f>'OPEN FOREIGN ORDER'!AG1078</f>
        <v>0</v>
      </c>
    </row>
    <row r="1453" spans="1:10">
      <c r="A1453">
        <f>'OPEN FOREIGN ORDER'!D1079</f>
        <v>0</v>
      </c>
      <c r="B1453">
        <f>'OPEN FOREIGN ORDER'!F1079</f>
        <v>0</v>
      </c>
      <c r="C1453">
        <f>'OPEN FOREIGN ORDER'!Z1079</f>
        <v>0</v>
      </c>
      <c r="D1453" s="123">
        <f>'OPEN FOREIGN ORDER'!AA1079</f>
        <v>0</v>
      </c>
      <c r="E1453" s="112">
        <f>'OPEN FOREIGN ORDER'!AB1079</f>
        <v>0</v>
      </c>
      <c r="F1453" s="112">
        <f>'OPEN FOREIGN ORDER'!AC1079</f>
        <v>0</v>
      </c>
      <c r="G1453" s="112">
        <f>'OPEN FOREIGN ORDER'!AD1079</f>
        <v>0</v>
      </c>
      <c r="H1453" s="112">
        <f>'OPEN FOREIGN ORDER'!AE1079</f>
        <v>0</v>
      </c>
      <c r="I1453" s="112">
        <f>'OPEN FOREIGN ORDER'!AF1079</f>
        <v>0</v>
      </c>
      <c r="J1453" s="112">
        <f>'OPEN FOREIGN ORDER'!AG1079</f>
        <v>0</v>
      </c>
    </row>
    <row r="1454" spans="1:10">
      <c r="A1454">
        <f>'OPEN FOREIGN ORDER'!D1080</f>
        <v>0</v>
      </c>
      <c r="B1454">
        <f>'OPEN FOREIGN ORDER'!F1080</f>
        <v>0</v>
      </c>
      <c r="C1454">
        <f>'OPEN FOREIGN ORDER'!Z1080</f>
        <v>0</v>
      </c>
      <c r="D1454" s="123">
        <f>'OPEN FOREIGN ORDER'!AA1080</f>
        <v>0</v>
      </c>
      <c r="E1454" s="112">
        <f>'OPEN FOREIGN ORDER'!AB1080</f>
        <v>0</v>
      </c>
      <c r="F1454" s="112">
        <f>'OPEN FOREIGN ORDER'!AC1080</f>
        <v>0</v>
      </c>
      <c r="G1454" s="112">
        <f>'OPEN FOREIGN ORDER'!AD1080</f>
        <v>0</v>
      </c>
      <c r="H1454" s="112">
        <f>'OPEN FOREIGN ORDER'!AE1080</f>
        <v>0</v>
      </c>
      <c r="I1454" s="112">
        <f>'OPEN FOREIGN ORDER'!AF1080</f>
        <v>0</v>
      </c>
      <c r="J1454" s="112">
        <f>'OPEN FOREIGN ORDER'!AG1080</f>
        <v>0</v>
      </c>
    </row>
    <row r="1455" spans="1:10">
      <c r="A1455">
        <f>'OPEN FOREIGN ORDER'!D1081</f>
        <v>0</v>
      </c>
      <c r="B1455">
        <f>'OPEN FOREIGN ORDER'!F1081</f>
        <v>0</v>
      </c>
      <c r="C1455">
        <f>'OPEN FOREIGN ORDER'!Z1081</f>
        <v>0</v>
      </c>
      <c r="D1455" s="123">
        <f>'OPEN FOREIGN ORDER'!AA1081</f>
        <v>0</v>
      </c>
      <c r="E1455" s="112">
        <f>'OPEN FOREIGN ORDER'!AB1081</f>
        <v>0</v>
      </c>
      <c r="F1455" s="112">
        <f>'OPEN FOREIGN ORDER'!AC1081</f>
        <v>0</v>
      </c>
      <c r="G1455" s="112">
        <f>'OPEN FOREIGN ORDER'!AD1081</f>
        <v>0</v>
      </c>
      <c r="H1455" s="112">
        <f>'OPEN FOREIGN ORDER'!AE1081</f>
        <v>0</v>
      </c>
      <c r="I1455" s="112">
        <f>'OPEN FOREIGN ORDER'!AF1081</f>
        <v>0</v>
      </c>
      <c r="J1455" s="112">
        <f>'OPEN FOREIGN ORDER'!AG1081</f>
        <v>0</v>
      </c>
    </row>
    <row r="1456" spans="1:10">
      <c r="A1456">
        <f>'OPEN FOREIGN ORDER'!D1082</f>
        <v>0</v>
      </c>
      <c r="B1456">
        <f>'OPEN FOREIGN ORDER'!F1082</f>
        <v>0</v>
      </c>
      <c r="C1456">
        <f>'OPEN FOREIGN ORDER'!Z1082</f>
        <v>0</v>
      </c>
      <c r="D1456" s="123">
        <f>'OPEN FOREIGN ORDER'!AA1082</f>
        <v>0</v>
      </c>
      <c r="E1456" s="112">
        <f>'OPEN FOREIGN ORDER'!AB1082</f>
        <v>0</v>
      </c>
      <c r="F1456" s="112">
        <f>'OPEN FOREIGN ORDER'!AC1082</f>
        <v>0</v>
      </c>
      <c r="G1456" s="112">
        <f>'OPEN FOREIGN ORDER'!AD1082</f>
        <v>0</v>
      </c>
      <c r="H1456" s="112">
        <f>'OPEN FOREIGN ORDER'!AE1082</f>
        <v>0</v>
      </c>
      <c r="I1456" s="112">
        <f>'OPEN FOREIGN ORDER'!AF1082</f>
        <v>0</v>
      </c>
      <c r="J1456" s="112">
        <f>'OPEN FOREIGN ORDER'!AG1082</f>
        <v>0</v>
      </c>
    </row>
    <row r="1457" spans="1:10">
      <c r="A1457">
        <f>'OPEN FOREIGN ORDER'!D1083</f>
        <v>0</v>
      </c>
      <c r="B1457">
        <f>'OPEN FOREIGN ORDER'!F1083</f>
        <v>0</v>
      </c>
      <c r="C1457">
        <f>'OPEN FOREIGN ORDER'!Z1083</f>
        <v>0</v>
      </c>
      <c r="D1457" s="123">
        <f>'OPEN FOREIGN ORDER'!AA1083</f>
        <v>0</v>
      </c>
      <c r="E1457" s="112">
        <f>'OPEN FOREIGN ORDER'!AB1083</f>
        <v>0</v>
      </c>
      <c r="F1457" s="112">
        <f>'OPEN FOREIGN ORDER'!AC1083</f>
        <v>0</v>
      </c>
      <c r="G1457" s="112">
        <f>'OPEN FOREIGN ORDER'!AD1083</f>
        <v>0</v>
      </c>
      <c r="H1457" s="112">
        <f>'OPEN FOREIGN ORDER'!AE1083</f>
        <v>0</v>
      </c>
      <c r="I1457" s="112">
        <f>'OPEN FOREIGN ORDER'!AF1083</f>
        <v>0</v>
      </c>
      <c r="J1457" s="112">
        <f>'OPEN FOREIGN ORDER'!AG1083</f>
        <v>0</v>
      </c>
    </row>
    <row r="1458" spans="1:10">
      <c r="A1458">
        <f>'OPEN FOREIGN ORDER'!D1084</f>
        <v>0</v>
      </c>
      <c r="B1458">
        <f>'OPEN FOREIGN ORDER'!F1084</f>
        <v>0</v>
      </c>
      <c r="C1458">
        <f>'OPEN FOREIGN ORDER'!Z1084</f>
        <v>0</v>
      </c>
      <c r="D1458" s="123">
        <f>'OPEN FOREIGN ORDER'!AA1084</f>
        <v>0</v>
      </c>
      <c r="E1458" s="112">
        <f>'OPEN FOREIGN ORDER'!AB1084</f>
        <v>0</v>
      </c>
      <c r="F1458" s="112">
        <f>'OPEN FOREIGN ORDER'!AC1084</f>
        <v>0</v>
      </c>
      <c r="G1458" s="112">
        <f>'OPEN FOREIGN ORDER'!AD1084</f>
        <v>0</v>
      </c>
      <c r="H1458" s="112">
        <f>'OPEN FOREIGN ORDER'!AE1084</f>
        <v>0</v>
      </c>
      <c r="I1458" s="112">
        <f>'OPEN FOREIGN ORDER'!AF1084</f>
        <v>0</v>
      </c>
      <c r="J1458" s="112">
        <f>'OPEN FOREIGN ORDER'!AG1084</f>
        <v>0</v>
      </c>
    </row>
    <row r="1459" spans="1:10">
      <c r="A1459">
        <f>'OPEN FOREIGN ORDER'!D1085</f>
        <v>0</v>
      </c>
      <c r="B1459">
        <f>'OPEN FOREIGN ORDER'!F1085</f>
        <v>0</v>
      </c>
      <c r="C1459">
        <f>'OPEN FOREIGN ORDER'!Z1085</f>
        <v>0</v>
      </c>
      <c r="D1459" s="123">
        <f>'OPEN FOREIGN ORDER'!AA1085</f>
        <v>0</v>
      </c>
      <c r="E1459" s="112">
        <f>'OPEN FOREIGN ORDER'!AB1085</f>
        <v>0</v>
      </c>
      <c r="F1459" s="112">
        <f>'OPEN FOREIGN ORDER'!AC1085</f>
        <v>0</v>
      </c>
      <c r="G1459" s="112">
        <f>'OPEN FOREIGN ORDER'!AD1085</f>
        <v>0</v>
      </c>
      <c r="H1459" s="112">
        <f>'OPEN FOREIGN ORDER'!AE1085</f>
        <v>0</v>
      </c>
      <c r="I1459" s="112">
        <f>'OPEN FOREIGN ORDER'!AF1085</f>
        <v>0</v>
      </c>
      <c r="J1459" s="112">
        <f>'OPEN FOREIGN ORDER'!AG1085</f>
        <v>0</v>
      </c>
    </row>
    <row r="1460" spans="1:10">
      <c r="A1460">
        <f>'OPEN FOREIGN ORDER'!D1086</f>
        <v>0</v>
      </c>
      <c r="B1460">
        <f>'OPEN FOREIGN ORDER'!F1086</f>
        <v>0</v>
      </c>
      <c r="C1460">
        <f>'OPEN FOREIGN ORDER'!Z1086</f>
        <v>0</v>
      </c>
      <c r="D1460" s="123">
        <f>'OPEN FOREIGN ORDER'!AA1086</f>
        <v>0</v>
      </c>
      <c r="E1460" s="112">
        <f>'OPEN FOREIGN ORDER'!AB1086</f>
        <v>0</v>
      </c>
      <c r="F1460" s="112">
        <f>'OPEN FOREIGN ORDER'!AC1086</f>
        <v>0</v>
      </c>
      <c r="G1460" s="112">
        <f>'OPEN FOREIGN ORDER'!AD1086</f>
        <v>0</v>
      </c>
      <c r="H1460" s="112">
        <f>'OPEN FOREIGN ORDER'!AE1086</f>
        <v>0</v>
      </c>
      <c r="I1460" s="112">
        <f>'OPEN FOREIGN ORDER'!AF1086</f>
        <v>0</v>
      </c>
      <c r="J1460" s="112">
        <f>'OPEN FOREIGN ORDER'!AG1086</f>
        <v>0</v>
      </c>
    </row>
    <row r="1461" spans="1:10">
      <c r="A1461">
        <f>'OPEN FOREIGN ORDER'!D1087</f>
        <v>0</v>
      </c>
      <c r="B1461">
        <f>'OPEN FOREIGN ORDER'!F1087</f>
        <v>0</v>
      </c>
      <c r="C1461">
        <f>'OPEN FOREIGN ORDER'!Z1087</f>
        <v>0</v>
      </c>
      <c r="D1461" s="123">
        <f>'OPEN FOREIGN ORDER'!AA1087</f>
        <v>0</v>
      </c>
      <c r="E1461" s="112">
        <f>'OPEN FOREIGN ORDER'!AB1087</f>
        <v>0</v>
      </c>
      <c r="F1461" s="112">
        <f>'OPEN FOREIGN ORDER'!AC1087</f>
        <v>0</v>
      </c>
      <c r="G1461" s="112">
        <f>'OPEN FOREIGN ORDER'!AD1087</f>
        <v>0</v>
      </c>
      <c r="H1461" s="112">
        <f>'OPEN FOREIGN ORDER'!AE1087</f>
        <v>0</v>
      </c>
      <c r="I1461" s="112">
        <f>'OPEN FOREIGN ORDER'!AF1087</f>
        <v>0</v>
      </c>
      <c r="J1461" s="112">
        <f>'OPEN FOREIGN ORDER'!AG1087</f>
        <v>0</v>
      </c>
    </row>
    <row r="1462" spans="1:10">
      <c r="A1462">
        <f>'OPEN FOREIGN ORDER'!D1088</f>
        <v>0</v>
      </c>
      <c r="B1462">
        <f>'OPEN FOREIGN ORDER'!F1088</f>
        <v>0</v>
      </c>
      <c r="C1462">
        <f>'OPEN FOREIGN ORDER'!Z1088</f>
        <v>0</v>
      </c>
      <c r="D1462" s="123">
        <f>'OPEN FOREIGN ORDER'!AA1088</f>
        <v>0</v>
      </c>
      <c r="E1462" s="112">
        <f>'OPEN FOREIGN ORDER'!AB1088</f>
        <v>0</v>
      </c>
      <c r="F1462" s="112">
        <f>'OPEN FOREIGN ORDER'!AC1088</f>
        <v>0</v>
      </c>
      <c r="G1462" s="112">
        <f>'OPEN FOREIGN ORDER'!AD1088</f>
        <v>0</v>
      </c>
      <c r="H1462" s="112">
        <f>'OPEN FOREIGN ORDER'!AE1088</f>
        <v>0</v>
      </c>
      <c r="I1462" s="112">
        <f>'OPEN FOREIGN ORDER'!AF1088</f>
        <v>0</v>
      </c>
      <c r="J1462" s="112">
        <f>'OPEN FOREIGN ORDER'!AG1088</f>
        <v>0</v>
      </c>
    </row>
    <row r="1463" spans="1:10">
      <c r="A1463">
        <f>'OPEN FOREIGN ORDER'!D1089</f>
        <v>0</v>
      </c>
      <c r="B1463">
        <f>'OPEN FOREIGN ORDER'!F1089</f>
        <v>0</v>
      </c>
      <c r="C1463">
        <f>'OPEN FOREIGN ORDER'!Z1089</f>
        <v>0</v>
      </c>
      <c r="D1463" s="123">
        <f>'OPEN FOREIGN ORDER'!AA1089</f>
        <v>0</v>
      </c>
      <c r="E1463" s="112">
        <f>'OPEN FOREIGN ORDER'!AB1089</f>
        <v>0</v>
      </c>
      <c r="F1463" s="112">
        <f>'OPEN FOREIGN ORDER'!AC1089</f>
        <v>0</v>
      </c>
      <c r="G1463" s="112">
        <f>'OPEN FOREIGN ORDER'!AD1089</f>
        <v>0</v>
      </c>
      <c r="H1463" s="112">
        <f>'OPEN FOREIGN ORDER'!AE1089</f>
        <v>0</v>
      </c>
      <c r="I1463" s="112">
        <f>'OPEN FOREIGN ORDER'!AF1089</f>
        <v>0</v>
      </c>
      <c r="J1463" s="112">
        <f>'OPEN FOREIGN ORDER'!AG1089</f>
        <v>0</v>
      </c>
    </row>
    <row r="1464" spans="1:10">
      <c r="A1464">
        <f>'OPEN FOREIGN ORDER'!D1090</f>
        <v>0</v>
      </c>
      <c r="B1464">
        <f>'OPEN FOREIGN ORDER'!F1090</f>
        <v>0</v>
      </c>
      <c r="C1464">
        <f>'OPEN FOREIGN ORDER'!Z1090</f>
        <v>0</v>
      </c>
      <c r="D1464" s="123">
        <f>'OPEN FOREIGN ORDER'!AA1090</f>
        <v>0</v>
      </c>
      <c r="E1464" s="112">
        <f>'OPEN FOREIGN ORDER'!AB1090</f>
        <v>0</v>
      </c>
      <c r="F1464" s="112">
        <f>'OPEN FOREIGN ORDER'!AC1090</f>
        <v>0</v>
      </c>
      <c r="G1464" s="112">
        <f>'OPEN FOREIGN ORDER'!AD1090</f>
        <v>0</v>
      </c>
      <c r="H1464" s="112">
        <f>'OPEN FOREIGN ORDER'!AE1090</f>
        <v>0</v>
      </c>
      <c r="I1464" s="112">
        <f>'OPEN FOREIGN ORDER'!AF1090</f>
        <v>0</v>
      </c>
      <c r="J1464" s="112">
        <f>'OPEN FOREIGN ORDER'!AG1090</f>
        <v>0</v>
      </c>
    </row>
    <row r="1465" spans="1:10">
      <c r="A1465">
        <f>'OPEN FOREIGN ORDER'!D1091</f>
        <v>0</v>
      </c>
      <c r="B1465">
        <f>'OPEN FOREIGN ORDER'!F1091</f>
        <v>0</v>
      </c>
      <c r="C1465">
        <f>'OPEN FOREIGN ORDER'!Z1091</f>
        <v>0</v>
      </c>
      <c r="D1465" s="123">
        <f>'OPEN FOREIGN ORDER'!AA1091</f>
        <v>0</v>
      </c>
      <c r="E1465" s="112">
        <f>'OPEN FOREIGN ORDER'!AB1091</f>
        <v>0</v>
      </c>
      <c r="F1465" s="112">
        <f>'OPEN FOREIGN ORDER'!AC1091</f>
        <v>0</v>
      </c>
      <c r="G1465" s="112">
        <f>'OPEN FOREIGN ORDER'!AD1091</f>
        <v>0</v>
      </c>
      <c r="H1465" s="112">
        <f>'OPEN FOREIGN ORDER'!AE1091</f>
        <v>0</v>
      </c>
      <c r="I1465" s="112">
        <f>'OPEN FOREIGN ORDER'!AF1091</f>
        <v>0</v>
      </c>
      <c r="J1465" s="112">
        <f>'OPEN FOREIGN ORDER'!AG1091</f>
        <v>0</v>
      </c>
    </row>
    <row r="1466" spans="1:10">
      <c r="A1466">
        <f>'OPEN FOREIGN ORDER'!D1092</f>
        <v>0</v>
      </c>
      <c r="B1466">
        <f>'OPEN FOREIGN ORDER'!F1092</f>
        <v>0</v>
      </c>
      <c r="C1466">
        <f>'OPEN FOREIGN ORDER'!Z1092</f>
        <v>0</v>
      </c>
      <c r="D1466" s="123">
        <f>'OPEN FOREIGN ORDER'!AA1092</f>
        <v>0</v>
      </c>
      <c r="E1466" s="112">
        <f>'OPEN FOREIGN ORDER'!AB1092</f>
        <v>0</v>
      </c>
      <c r="F1466" s="112">
        <f>'OPEN FOREIGN ORDER'!AC1092</f>
        <v>0</v>
      </c>
      <c r="G1466" s="112">
        <f>'OPEN FOREIGN ORDER'!AD1092</f>
        <v>0</v>
      </c>
      <c r="H1466" s="112">
        <f>'OPEN FOREIGN ORDER'!AE1092</f>
        <v>0</v>
      </c>
      <c r="I1466" s="112">
        <f>'OPEN FOREIGN ORDER'!AF1092</f>
        <v>0</v>
      </c>
      <c r="J1466" s="112">
        <f>'OPEN FOREIGN ORDER'!AG1092</f>
        <v>0</v>
      </c>
    </row>
    <row r="1467" spans="1:10">
      <c r="A1467">
        <f>'OPEN FOREIGN ORDER'!D1093</f>
        <v>0</v>
      </c>
      <c r="B1467">
        <f>'OPEN FOREIGN ORDER'!F1093</f>
        <v>0</v>
      </c>
      <c r="C1467">
        <f>'OPEN FOREIGN ORDER'!Z1093</f>
        <v>0</v>
      </c>
      <c r="D1467" s="123">
        <f>'OPEN FOREIGN ORDER'!AA1093</f>
        <v>0</v>
      </c>
      <c r="E1467" s="112">
        <f>'OPEN FOREIGN ORDER'!AB1093</f>
        <v>0</v>
      </c>
      <c r="F1467" s="112">
        <f>'OPEN FOREIGN ORDER'!AC1093</f>
        <v>0</v>
      </c>
      <c r="G1467" s="112">
        <f>'OPEN FOREIGN ORDER'!AD1093</f>
        <v>0</v>
      </c>
      <c r="H1467" s="112">
        <f>'OPEN FOREIGN ORDER'!AE1093</f>
        <v>0</v>
      </c>
      <c r="I1467" s="112">
        <f>'OPEN FOREIGN ORDER'!AF1093</f>
        <v>0</v>
      </c>
      <c r="J1467" s="112">
        <f>'OPEN FOREIGN ORDER'!AG1093</f>
        <v>0</v>
      </c>
    </row>
    <row r="1468" spans="1:10">
      <c r="A1468">
        <f>'OPEN FOREIGN ORDER'!D1094</f>
        <v>0</v>
      </c>
      <c r="B1468">
        <f>'OPEN FOREIGN ORDER'!F1094</f>
        <v>0</v>
      </c>
      <c r="C1468">
        <f>'OPEN FOREIGN ORDER'!Z1094</f>
        <v>0</v>
      </c>
      <c r="D1468" s="123">
        <f>'OPEN FOREIGN ORDER'!AA1094</f>
        <v>0</v>
      </c>
      <c r="E1468" s="112">
        <f>'OPEN FOREIGN ORDER'!AB1094</f>
        <v>0</v>
      </c>
      <c r="F1468" s="112">
        <f>'OPEN FOREIGN ORDER'!AC1094</f>
        <v>0</v>
      </c>
      <c r="G1468" s="112">
        <f>'OPEN FOREIGN ORDER'!AD1094</f>
        <v>0</v>
      </c>
      <c r="H1468" s="112">
        <f>'OPEN FOREIGN ORDER'!AE1094</f>
        <v>0</v>
      </c>
      <c r="I1468" s="112">
        <f>'OPEN FOREIGN ORDER'!AF1094</f>
        <v>0</v>
      </c>
      <c r="J1468" s="112">
        <f>'OPEN FOREIGN ORDER'!AG1094</f>
        <v>0</v>
      </c>
    </row>
    <row r="1469" spans="1:10">
      <c r="A1469">
        <f>'OPEN FOREIGN ORDER'!D1095</f>
        <v>0</v>
      </c>
      <c r="B1469">
        <f>'OPEN FOREIGN ORDER'!F1095</f>
        <v>0</v>
      </c>
      <c r="C1469">
        <f>'OPEN FOREIGN ORDER'!Z1095</f>
        <v>0</v>
      </c>
      <c r="D1469" s="123">
        <f>'OPEN FOREIGN ORDER'!AA1095</f>
        <v>0</v>
      </c>
      <c r="E1469" s="112">
        <f>'OPEN FOREIGN ORDER'!AB1095</f>
        <v>0</v>
      </c>
      <c r="F1469" s="112">
        <f>'OPEN FOREIGN ORDER'!AC1095</f>
        <v>0</v>
      </c>
      <c r="G1469" s="112">
        <f>'OPEN FOREIGN ORDER'!AD1095</f>
        <v>0</v>
      </c>
      <c r="H1469" s="112">
        <f>'OPEN FOREIGN ORDER'!AE1095</f>
        <v>0</v>
      </c>
      <c r="I1469" s="112">
        <f>'OPEN FOREIGN ORDER'!AF1095</f>
        <v>0</v>
      </c>
      <c r="J1469" s="112">
        <f>'OPEN FOREIGN ORDER'!AG1095</f>
        <v>0</v>
      </c>
    </row>
    <row r="1470" spans="1:10">
      <c r="A1470">
        <f>'OPEN FOREIGN ORDER'!D1096</f>
        <v>0</v>
      </c>
      <c r="B1470">
        <f>'OPEN FOREIGN ORDER'!F1096</f>
        <v>0</v>
      </c>
      <c r="C1470">
        <f>'OPEN FOREIGN ORDER'!Z1096</f>
        <v>0</v>
      </c>
      <c r="D1470" s="123">
        <f>'OPEN FOREIGN ORDER'!AA1096</f>
        <v>0</v>
      </c>
      <c r="E1470" s="112">
        <f>'OPEN FOREIGN ORDER'!AB1096</f>
        <v>0</v>
      </c>
      <c r="F1470" s="112">
        <f>'OPEN FOREIGN ORDER'!AC1096</f>
        <v>0</v>
      </c>
      <c r="G1470" s="112">
        <f>'OPEN FOREIGN ORDER'!AD1096</f>
        <v>0</v>
      </c>
      <c r="H1470" s="112">
        <f>'OPEN FOREIGN ORDER'!AE1096</f>
        <v>0</v>
      </c>
      <c r="I1470" s="112">
        <f>'OPEN FOREIGN ORDER'!AF1096</f>
        <v>0</v>
      </c>
      <c r="J1470" s="112">
        <f>'OPEN FOREIGN ORDER'!AG1096</f>
        <v>0</v>
      </c>
    </row>
    <row r="1471" spans="1:10">
      <c r="A1471">
        <f>'OPEN FOREIGN ORDER'!D1097</f>
        <v>0</v>
      </c>
      <c r="B1471">
        <f>'OPEN FOREIGN ORDER'!F1097</f>
        <v>0</v>
      </c>
      <c r="C1471">
        <f>'OPEN FOREIGN ORDER'!Z1097</f>
        <v>0</v>
      </c>
      <c r="D1471" s="123">
        <f>'OPEN FOREIGN ORDER'!AA1097</f>
        <v>0</v>
      </c>
      <c r="E1471" s="112">
        <f>'OPEN FOREIGN ORDER'!AB1097</f>
        <v>0</v>
      </c>
      <c r="F1471" s="112">
        <f>'OPEN FOREIGN ORDER'!AC1097</f>
        <v>0</v>
      </c>
      <c r="G1471" s="112">
        <f>'OPEN FOREIGN ORDER'!AD1097</f>
        <v>0</v>
      </c>
      <c r="H1471" s="112">
        <f>'OPEN FOREIGN ORDER'!AE1097</f>
        <v>0</v>
      </c>
      <c r="I1471" s="112">
        <f>'OPEN FOREIGN ORDER'!AF1097</f>
        <v>0</v>
      </c>
      <c r="J1471" s="112">
        <f>'OPEN FOREIGN ORDER'!AG1097</f>
        <v>0</v>
      </c>
    </row>
    <row r="1472" spans="1:10">
      <c r="A1472">
        <f>'OPEN FOREIGN ORDER'!D1098</f>
        <v>0</v>
      </c>
      <c r="B1472">
        <f>'OPEN FOREIGN ORDER'!F1098</f>
        <v>0</v>
      </c>
      <c r="C1472">
        <f>'OPEN FOREIGN ORDER'!Z1098</f>
        <v>0</v>
      </c>
      <c r="D1472" s="123">
        <f>'OPEN FOREIGN ORDER'!AA1098</f>
        <v>0</v>
      </c>
      <c r="E1472" s="112">
        <f>'OPEN FOREIGN ORDER'!AB1098</f>
        <v>0</v>
      </c>
      <c r="F1472" s="112">
        <f>'OPEN FOREIGN ORDER'!AC1098</f>
        <v>0</v>
      </c>
      <c r="G1472" s="112">
        <f>'OPEN FOREIGN ORDER'!AD1098</f>
        <v>0</v>
      </c>
      <c r="H1472" s="112">
        <f>'OPEN FOREIGN ORDER'!AE1098</f>
        <v>0</v>
      </c>
      <c r="I1472" s="112">
        <f>'OPEN FOREIGN ORDER'!AF1098</f>
        <v>0</v>
      </c>
      <c r="J1472" s="112">
        <f>'OPEN FOREIGN ORDER'!AG1098</f>
        <v>0</v>
      </c>
    </row>
    <row r="1473" spans="1:10">
      <c r="A1473">
        <f>'OPEN FOREIGN ORDER'!D1099</f>
        <v>0</v>
      </c>
      <c r="B1473">
        <f>'OPEN FOREIGN ORDER'!F1099</f>
        <v>0</v>
      </c>
      <c r="C1473">
        <f>'OPEN FOREIGN ORDER'!Z1099</f>
        <v>0</v>
      </c>
      <c r="D1473" s="123">
        <f>'OPEN FOREIGN ORDER'!AA1099</f>
        <v>0</v>
      </c>
      <c r="E1473" s="112">
        <f>'OPEN FOREIGN ORDER'!AB1099</f>
        <v>0</v>
      </c>
      <c r="F1473" s="112">
        <f>'OPEN FOREIGN ORDER'!AC1099</f>
        <v>0</v>
      </c>
      <c r="G1473" s="112">
        <f>'OPEN FOREIGN ORDER'!AD1099</f>
        <v>0</v>
      </c>
      <c r="H1473" s="112">
        <f>'OPEN FOREIGN ORDER'!AE1099</f>
        <v>0</v>
      </c>
      <c r="I1473" s="112">
        <f>'OPEN FOREIGN ORDER'!AF1099</f>
        <v>0</v>
      </c>
      <c r="J1473" s="112">
        <f>'OPEN FOREIGN ORDER'!AG1099</f>
        <v>0</v>
      </c>
    </row>
    <row r="1474" spans="1:10">
      <c r="A1474">
        <f>'OPEN FOREIGN ORDER'!D1100</f>
        <v>0</v>
      </c>
      <c r="B1474">
        <f>'OPEN FOREIGN ORDER'!F1100</f>
        <v>0</v>
      </c>
      <c r="C1474">
        <f>'OPEN FOREIGN ORDER'!Z1100</f>
        <v>0</v>
      </c>
      <c r="D1474" s="123">
        <f>'OPEN FOREIGN ORDER'!AA1100</f>
        <v>0</v>
      </c>
      <c r="E1474" s="112">
        <f>'OPEN FOREIGN ORDER'!AB1100</f>
        <v>0</v>
      </c>
      <c r="F1474" s="112">
        <f>'OPEN FOREIGN ORDER'!AC1100</f>
        <v>0</v>
      </c>
      <c r="G1474" s="112">
        <f>'OPEN FOREIGN ORDER'!AD1100</f>
        <v>0</v>
      </c>
      <c r="H1474" s="112">
        <f>'OPEN FOREIGN ORDER'!AE1100</f>
        <v>0</v>
      </c>
      <c r="I1474" s="112">
        <f>'OPEN FOREIGN ORDER'!AF1100</f>
        <v>0</v>
      </c>
      <c r="J1474" s="112">
        <f>'OPEN FOREIGN ORDER'!AG1100</f>
        <v>0</v>
      </c>
    </row>
    <row r="1475" spans="1:10">
      <c r="A1475">
        <f>'OPEN FOREIGN ORDER'!D1101</f>
        <v>0</v>
      </c>
      <c r="B1475">
        <f>'OPEN FOREIGN ORDER'!F1101</f>
        <v>0</v>
      </c>
      <c r="C1475">
        <f>'OPEN FOREIGN ORDER'!Z1101</f>
        <v>0</v>
      </c>
      <c r="D1475" s="123">
        <f>'OPEN FOREIGN ORDER'!AA1101</f>
        <v>0</v>
      </c>
      <c r="E1475" s="112">
        <f>'OPEN FOREIGN ORDER'!AB1101</f>
        <v>0</v>
      </c>
      <c r="F1475" s="112">
        <f>'OPEN FOREIGN ORDER'!AC1101</f>
        <v>0</v>
      </c>
      <c r="G1475" s="112">
        <f>'OPEN FOREIGN ORDER'!AD1101</f>
        <v>0</v>
      </c>
      <c r="H1475" s="112">
        <f>'OPEN FOREIGN ORDER'!AE1101</f>
        <v>0</v>
      </c>
      <c r="I1475" s="112">
        <f>'OPEN FOREIGN ORDER'!AF1101</f>
        <v>0</v>
      </c>
      <c r="J1475" s="112">
        <f>'OPEN FOREIGN ORDER'!AG1101</f>
        <v>0</v>
      </c>
    </row>
    <row r="1476" spans="1:10">
      <c r="A1476">
        <f>'OPEN FOREIGN ORDER'!D1102</f>
        <v>0</v>
      </c>
      <c r="B1476">
        <f>'OPEN FOREIGN ORDER'!F1102</f>
        <v>0</v>
      </c>
      <c r="C1476">
        <f>'OPEN FOREIGN ORDER'!Z1102</f>
        <v>0</v>
      </c>
      <c r="D1476" s="123">
        <f>'OPEN FOREIGN ORDER'!AA1102</f>
        <v>0</v>
      </c>
      <c r="E1476" s="112">
        <f>'OPEN FOREIGN ORDER'!AB1102</f>
        <v>0</v>
      </c>
      <c r="F1476" s="112">
        <f>'OPEN FOREIGN ORDER'!AC1102</f>
        <v>0</v>
      </c>
      <c r="G1476" s="112">
        <f>'OPEN FOREIGN ORDER'!AD1102</f>
        <v>0</v>
      </c>
      <c r="H1476" s="112">
        <f>'OPEN FOREIGN ORDER'!AE1102</f>
        <v>0</v>
      </c>
      <c r="I1476" s="112">
        <f>'OPEN FOREIGN ORDER'!AF1102</f>
        <v>0</v>
      </c>
      <c r="J1476" s="112">
        <f>'OPEN FOREIGN ORDER'!AG1102</f>
        <v>0</v>
      </c>
    </row>
    <row r="1477" spans="1:10">
      <c r="A1477">
        <f>'OPEN FOREIGN ORDER'!D1103</f>
        <v>0</v>
      </c>
      <c r="B1477">
        <f>'OPEN FOREIGN ORDER'!F1103</f>
        <v>0</v>
      </c>
      <c r="C1477">
        <f>'OPEN FOREIGN ORDER'!Z1103</f>
        <v>0</v>
      </c>
      <c r="D1477" s="123">
        <f>'OPEN FOREIGN ORDER'!AA1103</f>
        <v>0</v>
      </c>
      <c r="E1477" s="112">
        <f>'OPEN FOREIGN ORDER'!AB1103</f>
        <v>0</v>
      </c>
      <c r="F1477" s="112">
        <f>'OPEN FOREIGN ORDER'!AC1103</f>
        <v>0</v>
      </c>
      <c r="G1477" s="112">
        <f>'OPEN FOREIGN ORDER'!AD1103</f>
        <v>0</v>
      </c>
      <c r="H1477" s="112">
        <f>'OPEN FOREIGN ORDER'!AE1103</f>
        <v>0</v>
      </c>
      <c r="I1477" s="112">
        <f>'OPEN FOREIGN ORDER'!AF1103</f>
        <v>0</v>
      </c>
      <c r="J1477" s="112">
        <f>'OPEN FOREIGN ORDER'!AG1103</f>
        <v>0</v>
      </c>
    </row>
    <row r="1478" spans="1:10">
      <c r="A1478">
        <f>'OPEN FOREIGN ORDER'!D1104</f>
        <v>0</v>
      </c>
      <c r="B1478">
        <f>'OPEN FOREIGN ORDER'!F1104</f>
        <v>0</v>
      </c>
      <c r="C1478">
        <f>'OPEN FOREIGN ORDER'!Z1104</f>
        <v>0</v>
      </c>
      <c r="D1478" s="123">
        <f>'OPEN FOREIGN ORDER'!AA1104</f>
        <v>0</v>
      </c>
      <c r="E1478" s="112">
        <f>'OPEN FOREIGN ORDER'!AB1104</f>
        <v>0</v>
      </c>
      <c r="F1478" s="112">
        <f>'OPEN FOREIGN ORDER'!AC1104</f>
        <v>0</v>
      </c>
      <c r="G1478" s="112">
        <f>'OPEN FOREIGN ORDER'!AD1104</f>
        <v>0</v>
      </c>
      <c r="H1478" s="112">
        <f>'OPEN FOREIGN ORDER'!AE1104</f>
        <v>0</v>
      </c>
      <c r="I1478" s="112">
        <f>'OPEN FOREIGN ORDER'!AF1104</f>
        <v>0</v>
      </c>
      <c r="J1478" s="112">
        <f>'OPEN FOREIGN ORDER'!AG1104</f>
        <v>0</v>
      </c>
    </row>
    <row r="1479" spans="1:10">
      <c r="A1479">
        <f>'OPEN FOREIGN ORDER'!D1105</f>
        <v>0</v>
      </c>
      <c r="B1479">
        <f>'OPEN FOREIGN ORDER'!F1105</f>
        <v>0</v>
      </c>
      <c r="C1479">
        <f>'OPEN FOREIGN ORDER'!Z1105</f>
        <v>0</v>
      </c>
      <c r="D1479" s="123">
        <f>'OPEN FOREIGN ORDER'!AA1105</f>
        <v>0</v>
      </c>
      <c r="E1479" s="112">
        <f>'OPEN FOREIGN ORDER'!AB1105</f>
        <v>0</v>
      </c>
      <c r="F1479" s="112">
        <f>'OPEN FOREIGN ORDER'!AC1105</f>
        <v>0</v>
      </c>
      <c r="G1479" s="112">
        <f>'OPEN FOREIGN ORDER'!AD1105</f>
        <v>0</v>
      </c>
      <c r="H1479" s="112">
        <f>'OPEN FOREIGN ORDER'!AE1105</f>
        <v>0</v>
      </c>
      <c r="I1479" s="112">
        <f>'OPEN FOREIGN ORDER'!AF1105</f>
        <v>0</v>
      </c>
      <c r="J1479" s="112">
        <f>'OPEN FOREIGN ORDER'!AG1105</f>
        <v>0</v>
      </c>
    </row>
    <row r="1480" spans="1:10">
      <c r="A1480">
        <f>'OPEN FOREIGN ORDER'!D1106</f>
        <v>0</v>
      </c>
      <c r="B1480">
        <f>'OPEN FOREIGN ORDER'!F1106</f>
        <v>0</v>
      </c>
      <c r="C1480">
        <f>'OPEN FOREIGN ORDER'!Z1106</f>
        <v>0</v>
      </c>
      <c r="D1480" s="123">
        <f>'OPEN FOREIGN ORDER'!AA1106</f>
        <v>0</v>
      </c>
      <c r="E1480" s="112">
        <f>'OPEN FOREIGN ORDER'!AB1106</f>
        <v>0</v>
      </c>
      <c r="F1480" s="112">
        <f>'OPEN FOREIGN ORDER'!AC1106</f>
        <v>0</v>
      </c>
      <c r="G1480" s="112">
        <f>'OPEN FOREIGN ORDER'!AD1106</f>
        <v>0</v>
      </c>
      <c r="H1480" s="112">
        <f>'OPEN FOREIGN ORDER'!AE1106</f>
        <v>0</v>
      </c>
      <c r="I1480" s="112">
        <f>'OPEN FOREIGN ORDER'!AF1106</f>
        <v>0</v>
      </c>
      <c r="J1480" s="112">
        <f>'OPEN FOREIGN ORDER'!AG1106</f>
        <v>0</v>
      </c>
    </row>
    <row r="1481" spans="1:10">
      <c r="A1481">
        <f>'OPEN FOREIGN ORDER'!D1107</f>
        <v>0</v>
      </c>
      <c r="B1481">
        <f>'OPEN FOREIGN ORDER'!F1107</f>
        <v>0</v>
      </c>
      <c r="C1481">
        <f>'OPEN FOREIGN ORDER'!Z1107</f>
        <v>0</v>
      </c>
      <c r="D1481" s="123">
        <f>'OPEN FOREIGN ORDER'!AA1107</f>
        <v>0</v>
      </c>
      <c r="E1481" s="112">
        <f>'OPEN FOREIGN ORDER'!AB1107</f>
        <v>0</v>
      </c>
      <c r="F1481" s="112">
        <f>'OPEN FOREIGN ORDER'!AC1107</f>
        <v>0</v>
      </c>
      <c r="G1481" s="112">
        <f>'OPEN FOREIGN ORDER'!AD1107</f>
        <v>0</v>
      </c>
      <c r="H1481" s="112">
        <f>'OPEN FOREIGN ORDER'!AE1107</f>
        <v>0</v>
      </c>
      <c r="I1481" s="112">
        <f>'OPEN FOREIGN ORDER'!AF1107</f>
        <v>0</v>
      </c>
      <c r="J1481" s="112">
        <f>'OPEN FOREIGN ORDER'!AG1107</f>
        <v>0</v>
      </c>
    </row>
    <row r="1482" spans="1:10">
      <c r="A1482">
        <f>'OPEN FOREIGN ORDER'!D1108</f>
        <v>0</v>
      </c>
      <c r="B1482">
        <f>'OPEN FOREIGN ORDER'!F1108</f>
        <v>0</v>
      </c>
      <c r="C1482">
        <f>'OPEN FOREIGN ORDER'!Z1108</f>
        <v>0</v>
      </c>
      <c r="D1482" s="123">
        <f>'OPEN FOREIGN ORDER'!AA1108</f>
        <v>0</v>
      </c>
      <c r="E1482" s="112">
        <f>'OPEN FOREIGN ORDER'!AB1108</f>
        <v>0</v>
      </c>
      <c r="F1482" s="112">
        <f>'OPEN FOREIGN ORDER'!AC1108</f>
        <v>0</v>
      </c>
      <c r="G1482" s="112">
        <f>'OPEN FOREIGN ORDER'!AD1108</f>
        <v>0</v>
      </c>
      <c r="H1482" s="112">
        <f>'OPEN FOREIGN ORDER'!AE1108</f>
        <v>0</v>
      </c>
      <c r="I1482" s="112">
        <f>'OPEN FOREIGN ORDER'!AF1108</f>
        <v>0</v>
      </c>
      <c r="J1482" s="112">
        <f>'OPEN FOREIGN ORDER'!AG1108</f>
        <v>0</v>
      </c>
    </row>
    <row r="1483" spans="1:10">
      <c r="A1483">
        <f>'OPEN FOREIGN ORDER'!D1109</f>
        <v>0</v>
      </c>
      <c r="B1483">
        <f>'OPEN FOREIGN ORDER'!F1109</f>
        <v>0</v>
      </c>
      <c r="C1483">
        <f>'OPEN FOREIGN ORDER'!Z1109</f>
        <v>0</v>
      </c>
      <c r="D1483" s="123">
        <f>'OPEN FOREIGN ORDER'!AA1109</f>
        <v>0</v>
      </c>
      <c r="E1483" s="112">
        <f>'OPEN FOREIGN ORDER'!AB1109</f>
        <v>0</v>
      </c>
      <c r="F1483" s="112">
        <f>'OPEN FOREIGN ORDER'!AC1109</f>
        <v>0</v>
      </c>
      <c r="G1483" s="112">
        <f>'OPEN FOREIGN ORDER'!AD1109</f>
        <v>0</v>
      </c>
      <c r="H1483" s="112">
        <f>'OPEN FOREIGN ORDER'!AE1109</f>
        <v>0</v>
      </c>
      <c r="I1483" s="112">
        <f>'OPEN FOREIGN ORDER'!AF1109</f>
        <v>0</v>
      </c>
      <c r="J1483" s="112">
        <f>'OPEN FOREIGN ORDER'!AG1109</f>
        <v>0</v>
      </c>
    </row>
    <row r="1484" spans="1:10">
      <c r="A1484">
        <f>'OPEN FOREIGN ORDER'!D1110</f>
        <v>0</v>
      </c>
      <c r="B1484">
        <f>'OPEN FOREIGN ORDER'!F1110</f>
        <v>0</v>
      </c>
      <c r="C1484">
        <f>'OPEN FOREIGN ORDER'!Z1110</f>
        <v>0</v>
      </c>
      <c r="D1484" s="123">
        <f>'OPEN FOREIGN ORDER'!AA1110</f>
        <v>0</v>
      </c>
      <c r="E1484" s="112">
        <f>'OPEN FOREIGN ORDER'!AB1110</f>
        <v>0</v>
      </c>
      <c r="F1484" s="112">
        <f>'OPEN FOREIGN ORDER'!AC1110</f>
        <v>0</v>
      </c>
      <c r="G1484" s="112">
        <f>'OPEN FOREIGN ORDER'!AD1110</f>
        <v>0</v>
      </c>
      <c r="H1484" s="112">
        <f>'OPEN FOREIGN ORDER'!AE1110</f>
        <v>0</v>
      </c>
      <c r="I1484" s="112">
        <f>'OPEN FOREIGN ORDER'!AF1110</f>
        <v>0</v>
      </c>
      <c r="J1484" s="112">
        <f>'OPEN FOREIGN ORDER'!AG1110</f>
        <v>0</v>
      </c>
    </row>
    <row r="1485" spans="1:10">
      <c r="A1485">
        <f>'OPEN FOREIGN ORDER'!D1111</f>
        <v>0</v>
      </c>
      <c r="B1485">
        <f>'OPEN FOREIGN ORDER'!F1111</f>
        <v>0</v>
      </c>
      <c r="C1485">
        <f>'OPEN FOREIGN ORDER'!Z1111</f>
        <v>0</v>
      </c>
      <c r="D1485" s="123">
        <f>'OPEN FOREIGN ORDER'!AA1111</f>
        <v>0</v>
      </c>
      <c r="E1485" s="112">
        <f>'OPEN FOREIGN ORDER'!AB1111</f>
        <v>0</v>
      </c>
      <c r="F1485" s="112">
        <f>'OPEN FOREIGN ORDER'!AC1111</f>
        <v>0</v>
      </c>
      <c r="G1485" s="112">
        <f>'OPEN FOREIGN ORDER'!AD1111</f>
        <v>0</v>
      </c>
      <c r="H1485" s="112">
        <f>'OPEN FOREIGN ORDER'!AE1111</f>
        <v>0</v>
      </c>
      <c r="I1485" s="112">
        <f>'OPEN FOREIGN ORDER'!AF1111</f>
        <v>0</v>
      </c>
      <c r="J1485" s="112">
        <f>'OPEN FOREIGN ORDER'!AG1111</f>
        <v>0</v>
      </c>
    </row>
    <row r="1486" spans="1:10">
      <c r="A1486">
        <f>'OPEN FOREIGN ORDER'!D1112</f>
        <v>0</v>
      </c>
      <c r="B1486">
        <f>'OPEN FOREIGN ORDER'!F1112</f>
        <v>0</v>
      </c>
      <c r="C1486">
        <f>'OPEN FOREIGN ORDER'!Z1112</f>
        <v>0</v>
      </c>
      <c r="D1486" s="123">
        <f>'OPEN FOREIGN ORDER'!AA1112</f>
        <v>0</v>
      </c>
      <c r="E1486" s="112">
        <f>'OPEN FOREIGN ORDER'!AB1112</f>
        <v>0</v>
      </c>
      <c r="F1486" s="112">
        <f>'OPEN FOREIGN ORDER'!AC1112</f>
        <v>0</v>
      </c>
      <c r="G1486" s="112">
        <f>'OPEN FOREIGN ORDER'!AD1112</f>
        <v>0</v>
      </c>
      <c r="H1486" s="112">
        <f>'OPEN FOREIGN ORDER'!AE1112</f>
        <v>0</v>
      </c>
      <c r="I1486" s="112">
        <f>'OPEN FOREIGN ORDER'!AF1112</f>
        <v>0</v>
      </c>
      <c r="J1486" s="112">
        <f>'OPEN FOREIGN ORDER'!AG1112</f>
        <v>0</v>
      </c>
    </row>
    <row r="1487" spans="1:10">
      <c r="A1487">
        <f>'OPEN FOREIGN ORDER'!D1113</f>
        <v>0</v>
      </c>
      <c r="B1487">
        <f>'OPEN FOREIGN ORDER'!F1113</f>
        <v>0</v>
      </c>
      <c r="C1487">
        <f>'OPEN FOREIGN ORDER'!Z1113</f>
        <v>0</v>
      </c>
      <c r="D1487" s="123">
        <f>'OPEN FOREIGN ORDER'!AA1113</f>
        <v>0</v>
      </c>
      <c r="E1487" s="112">
        <f>'OPEN FOREIGN ORDER'!AB1113</f>
        <v>0</v>
      </c>
      <c r="F1487" s="112">
        <f>'OPEN FOREIGN ORDER'!AC1113</f>
        <v>0</v>
      </c>
      <c r="G1487" s="112">
        <f>'OPEN FOREIGN ORDER'!AD1113</f>
        <v>0</v>
      </c>
      <c r="H1487" s="112">
        <f>'OPEN FOREIGN ORDER'!AE1113</f>
        <v>0</v>
      </c>
      <c r="I1487" s="112">
        <f>'OPEN FOREIGN ORDER'!AF1113</f>
        <v>0</v>
      </c>
      <c r="J1487" s="112">
        <f>'OPEN FOREIGN ORDER'!AG1113</f>
        <v>0</v>
      </c>
    </row>
    <row r="1488" spans="1:10">
      <c r="A1488">
        <f>'OPEN FOREIGN ORDER'!D1114</f>
        <v>0</v>
      </c>
      <c r="B1488">
        <f>'OPEN FOREIGN ORDER'!F1114</f>
        <v>0</v>
      </c>
      <c r="C1488">
        <f>'OPEN FOREIGN ORDER'!Z1114</f>
        <v>0</v>
      </c>
      <c r="D1488" s="123">
        <f>'OPEN FOREIGN ORDER'!AA1114</f>
        <v>0</v>
      </c>
      <c r="E1488" s="112">
        <f>'OPEN FOREIGN ORDER'!AB1114</f>
        <v>0</v>
      </c>
      <c r="F1488" s="112">
        <f>'OPEN FOREIGN ORDER'!AC1114</f>
        <v>0</v>
      </c>
      <c r="G1488" s="112">
        <f>'OPEN FOREIGN ORDER'!AD1114</f>
        <v>0</v>
      </c>
      <c r="H1488" s="112">
        <f>'OPEN FOREIGN ORDER'!AE1114</f>
        <v>0</v>
      </c>
      <c r="I1488" s="112">
        <f>'OPEN FOREIGN ORDER'!AF1114</f>
        <v>0</v>
      </c>
      <c r="J1488" s="112">
        <f>'OPEN FOREIGN ORDER'!AG1114</f>
        <v>0</v>
      </c>
    </row>
    <row r="1489" spans="1:10">
      <c r="A1489">
        <f>'OPEN FOREIGN ORDER'!D1115</f>
        <v>0</v>
      </c>
      <c r="B1489">
        <f>'OPEN FOREIGN ORDER'!F1115</f>
        <v>0</v>
      </c>
      <c r="C1489">
        <f>'OPEN FOREIGN ORDER'!Z1115</f>
        <v>0</v>
      </c>
      <c r="D1489" s="123">
        <f>'OPEN FOREIGN ORDER'!AA1115</f>
        <v>0</v>
      </c>
      <c r="E1489" s="112">
        <f>'OPEN FOREIGN ORDER'!AB1115</f>
        <v>0</v>
      </c>
      <c r="F1489" s="112">
        <f>'OPEN FOREIGN ORDER'!AC1115</f>
        <v>0</v>
      </c>
      <c r="G1489" s="112">
        <f>'OPEN FOREIGN ORDER'!AD1115</f>
        <v>0</v>
      </c>
      <c r="H1489" s="112">
        <f>'OPEN FOREIGN ORDER'!AE1115</f>
        <v>0</v>
      </c>
      <c r="I1489" s="112">
        <f>'OPEN FOREIGN ORDER'!AF1115</f>
        <v>0</v>
      </c>
      <c r="J1489" s="112">
        <f>'OPEN FOREIGN ORDER'!AG1115</f>
        <v>0</v>
      </c>
    </row>
    <row r="1490" spans="1:10">
      <c r="A1490">
        <f>'OPEN FOREIGN ORDER'!D1116</f>
        <v>0</v>
      </c>
      <c r="B1490">
        <f>'OPEN FOREIGN ORDER'!F1116</f>
        <v>0</v>
      </c>
      <c r="C1490">
        <f>'OPEN FOREIGN ORDER'!Z1116</f>
        <v>0</v>
      </c>
      <c r="D1490" s="123">
        <f>'OPEN FOREIGN ORDER'!AA1116</f>
        <v>0</v>
      </c>
      <c r="E1490" s="112">
        <f>'OPEN FOREIGN ORDER'!AB1116</f>
        <v>0</v>
      </c>
      <c r="F1490" s="112">
        <f>'OPEN FOREIGN ORDER'!AC1116</f>
        <v>0</v>
      </c>
      <c r="G1490" s="112">
        <f>'OPEN FOREIGN ORDER'!AD1116</f>
        <v>0</v>
      </c>
      <c r="H1490" s="112">
        <f>'OPEN FOREIGN ORDER'!AE1116</f>
        <v>0</v>
      </c>
      <c r="I1490" s="112">
        <f>'OPEN FOREIGN ORDER'!AF1116</f>
        <v>0</v>
      </c>
      <c r="J1490" s="112">
        <f>'OPEN FOREIGN ORDER'!AG1116</f>
        <v>0</v>
      </c>
    </row>
    <row r="1491" spans="1:10">
      <c r="A1491">
        <f>'OPEN FOREIGN ORDER'!D1117</f>
        <v>0</v>
      </c>
      <c r="B1491">
        <f>'OPEN FOREIGN ORDER'!F1117</f>
        <v>0</v>
      </c>
      <c r="C1491">
        <f>'OPEN FOREIGN ORDER'!Z1117</f>
        <v>0</v>
      </c>
      <c r="D1491" s="123">
        <f>'OPEN FOREIGN ORDER'!AA1117</f>
        <v>0</v>
      </c>
      <c r="E1491" s="112">
        <f>'OPEN FOREIGN ORDER'!AB1117</f>
        <v>0</v>
      </c>
      <c r="F1491" s="112">
        <f>'OPEN FOREIGN ORDER'!AC1117</f>
        <v>0</v>
      </c>
      <c r="G1491" s="112">
        <f>'OPEN FOREIGN ORDER'!AD1117</f>
        <v>0</v>
      </c>
      <c r="H1491" s="112">
        <f>'OPEN FOREIGN ORDER'!AE1117</f>
        <v>0</v>
      </c>
      <c r="I1491" s="112">
        <f>'OPEN FOREIGN ORDER'!AF1117</f>
        <v>0</v>
      </c>
      <c r="J1491" s="112">
        <f>'OPEN FOREIGN ORDER'!AG1117</f>
        <v>0</v>
      </c>
    </row>
    <row r="1492" spans="1:10">
      <c r="A1492">
        <f>'OPEN FOREIGN ORDER'!D1118</f>
        <v>0</v>
      </c>
      <c r="B1492">
        <f>'OPEN FOREIGN ORDER'!F1118</f>
        <v>0</v>
      </c>
      <c r="C1492">
        <f>'OPEN FOREIGN ORDER'!Z1118</f>
        <v>0</v>
      </c>
      <c r="D1492" s="123">
        <f>'OPEN FOREIGN ORDER'!AA1118</f>
        <v>0</v>
      </c>
      <c r="E1492" s="112">
        <f>'OPEN FOREIGN ORDER'!AB1118</f>
        <v>0</v>
      </c>
      <c r="F1492" s="112">
        <f>'OPEN FOREIGN ORDER'!AC1118</f>
        <v>0</v>
      </c>
      <c r="G1492" s="112">
        <f>'OPEN FOREIGN ORDER'!AD1118</f>
        <v>0</v>
      </c>
      <c r="H1492" s="112">
        <f>'OPEN FOREIGN ORDER'!AE1118</f>
        <v>0</v>
      </c>
      <c r="I1492" s="112">
        <f>'OPEN FOREIGN ORDER'!AF1118</f>
        <v>0</v>
      </c>
      <c r="J1492" s="112">
        <f>'OPEN FOREIGN ORDER'!AG1118</f>
        <v>0</v>
      </c>
    </row>
    <row r="1493" spans="1:10">
      <c r="A1493">
        <f>'OPEN FOREIGN ORDER'!D1119</f>
        <v>0</v>
      </c>
      <c r="B1493">
        <f>'OPEN FOREIGN ORDER'!F1119</f>
        <v>0</v>
      </c>
      <c r="C1493">
        <f>'OPEN FOREIGN ORDER'!Z1119</f>
        <v>0</v>
      </c>
      <c r="D1493" s="123">
        <f>'OPEN FOREIGN ORDER'!AA1119</f>
        <v>0</v>
      </c>
      <c r="E1493" s="112">
        <f>'OPEN FOREIGN ORDER'!AB1119</f>
        <v>0</v>
      </c>
      <c r="F1493" s="112">
        <f>'OPEN FOREIGN ORDER'!AC1119</f>
        <v>0</v>
      </c>
      <c r="G1493" s="112">
        <f>'OPEN FOREIGN ORDER'!AD1119</f>
        <v>0</v>
      </c>
      <c r="H1493" s="112">
        <f>'OPEN FOREIGN ORDER'!AE1119</f>
        <v>0</v>
      </c>
      <c r="I1493" s="112">
        <f>'OPEN FOREIGN ORDER'!AF1119</f>
        <v>0</v>
      </c>
      <c r="J1493" s="112">
        <f>'OPEN FOREIGN ORDER'!AG1119</f>
        <v>0</v>
      </c>
    </row>
    <row r="1494" spans="1:10">
      <c r="A1494">
        <f>'OPEN FOREIGN ORDER'!D1120</f>
        <v>0</v>
      </c>
      <c r="B1494">
        <f>'OPEN FOREIGN ORDER'!F1120</f>
        <v>0</v>
      </c>
      <c r="C1494">
        <f>'OPEN FOREIGN ORDER'!Z1120</f>
        <v>0</v>
      </c>
      <c r="D1494" s="123">
        <f>'OPEN FOREIGN ORDER'!AA1120</f>
        <v>0</v>
      </c>
      <c r="E1494" s="112">
        <f>'OPEN FOREIGN ORDER'!AB1120</f>
        <v>0</v>
      </c>
      <c r="F1494" s="112">
        <f>'OPEN FOREIGN ORDER'!AC1120</f>
        <v>0</v>
      </c>
      <c r="G1494" s="112">
        <f>'OPEN FOREIGN ORDER'!AD1120</f>
        <v>0</v>
      </c>
      <c r="H1494" s="112">
        <f>'OPEN FOREIGN ORDER'!AE1120</f>
        <v>0</v>
      </c>
      <c r="I1494" s="112">
        <f>'OPEN FOREIGN ORDER'!AF1120</f>
        <v>0</v>
      </c>
      <c r="J1494" s="112">
        <f>'OPEN FOREIGN ORDER'!AG1120</f>
        <v>0</v>
      </c>
    </row>
    <row r="1495" spans="1:10">
      <c r="A1495">
        <f>'OPEN FOREIGN ORDER'!D1121</f>
        <v>0</v>
      </c>
      <c r="B1495">
        <f>'OPEN FOREIGN ORDER'!F1121</f>
        <v>0</v>
      </c>
      <c r="C1495">
        <f>'OPEN FOREIGN ORDER'!Z1121</f>
        <v>0</v>
      </c>
      <c r="D1495" s="123">
        <f>'OPEN FOREIGN ORDER'!AA1121</f>
        <v>0</v>
      </c>
      <c r="E1495" s="112">
        <f>'OPEN FOREIGN ORDER'!AB1121</f>
        <v>0</v>
      </c>
      <c r="F1495" s="112">
        <f>'OPEN FOREIGN ORDER'!AC1121</f>
        <v>0</v>
      </c>
      <c r="G1495" s="112">
        <f>'OPEN FOREIGN ORDER'!AD1121</f>
        <v>0</v>
      </c>
      <c r="H1495" s="112">
        <f>'OPEN FOREIGN ORDER'!AE1121</f>
        <v>0</v>
      </c>
      <c r="I1495" s="112">
        <f>'OPEN FOREIGN ORDER'!AF1121</f>
        <v>0</v>
      </c>
      <c r="J1495" s="112">
        <f>'OPEN FOREIGN ORDER'!AG1121</f>
        <v>0</v>
      </c>
    </row>
    <row r="1496" spans="1:10">
      <c r="A1496">
        <f>'OPEN FOREIGN ORDER'!D1122</f>
        <v>0</v>
      </c>
      <c r="B1496">
        <f>'OPEN FOREIGN ORDER'!F1122</f>
        <v>0</v>
      </c>
      <c r="C1496">
        <f>'OPEN FOREIGN ORDER'!Z1122</f>
        <v>0</v>
      </c>
      <c r="D1496" s="123">
        <f>'OPEN FOREIGN ORDER'!AA1122</f>
        <v>0</v>
      </c>
      <c r="E1496" s="112">
        <f>'OPEN FOREIGN ORDER'!AB1122</f>
        <v>0</v>
      </c>
      <c r="F1496" s="112">
        <f>'OPEN FOREIGN ORDER'!AC1122</f>
        <v>0</v>
      </c>
      <c r="G1496" s="112">
        <f>'OPEN FOREIGN ORDER'!AD1122</f>
        <v>0</v>
      </c>
      <c r="H1496" s="112">
        <f>'OPEN FOREIGN ORDER'!AE1122</f>
        <v>0</v>
      </c>
      <c r="I1496" s="112">
        <f>'OPEN FOREIGN ORDER'!AF1122</f>
        <v>0</v>
      </c>
      <c r="J1496" s="112">
        <f>'OPEN FOREIGN ORDER'!AG1122</f>
        <v>0</v>
      </c>
    </row>
    <row r="1497" spans="1:10">
      <c r="A1497">
        <f>'OPEN FOREIGN ORDER'!D1123</f>
        <v>0</v>
      </c>
      <c r="B1497">
        <f>'OPEN FOREIGN ORDER'!F1123</f>
        <v>0</v>
      </c>
      <c r="C1497">
        <f>'OPEN FOREIGN ORDER'!Z1123</f>
        <v>0</v>
      </c>
      <c r="D1497" s="123">
        <f>'OPEN FOREIGN ORDER'!AA1123</f>
        <v>0</v>
      </c>
      <c r="E1497" s="112">
        <f>'OPEN FOREIGN ORDER'!AB1123</f>
        <v>0</v>
      </c>
      <c r="F1497" s="112">
        <f>'OPEN FOREIGN ORDER'!AC1123</f>
        <v>0</v>
      </c>
      <c r="G1497" s="112">
        <f>'OPEN FOREIGN ORDER'!AD1123</f>
        <v>0</v>
      </c>
      <c r="H1497" s="112">
        <f>'OPEN FOREIGN ORDER'!AE1123</f>
        <v>0</v>
      </c>
      <c r="I1497" s="112">
        <f>'OPEN FOREIGN ORDER'!AF1123</f>
        <v>0</v>
      </c>
      <c r="J1497" s="112">
        <f>'OPEN FOREIGN ORDER'!AG1123</f>
        <v>0</v>
      </c>
    </row>
    <row r="1498" spans="1:10">
      <c r="A1498">
        <f>'OPEN FOREIGN ORDER'!D1124</f>
        <v>0</v>
      </c>
      <c r="B1498">
        <f>'OPEN FOREIGN ORDER'!F1124</f>
        <v>0</v>
      </c>
      <c r="C1498">
        <f>'OPEN FOREIGN ORDER'!Z1124</f>
        <v>0</v>
      </c>
      <c r="D1498" s="123">
        <f>'OPEN FOREIGN ORDER'!AA1124</f>
        <v>0</v>
      </c>
      <c r="E1498" s="112">
        <f>'OPEN FOREIGN ORDER'!AB1124</f>
        <v>0</v>
      </c>
      <c r="F1498" s="112">
        <f>'OPEN FOREIGN ORDER'!AC1124</f>
        <v>0</v>
      </c>
      <c r="G1498" s="112">
        <f>'OPEN FOREIGN ORDER'!AD1124</f>
        <v>0</v>
      </c>
      <c r="H1498" s="112">
        <f>'OPEN FOREIGN ORDER'!AE1124</f>
        <v>0</v>
      </c>
      <c r="I1498" s="112">
        <f>'OPEN FOREIGN ORDER'!AF1124</f>
        <v>0</v>
      </c>
      <c r="J1498" s="112">
        <f>'OPEN FOREIGN ORDER'!AG1124</f>
        <v>0</v>
      </c>
    </row>
    <row r="1499" spans="1:10">
      <c r="A1499">
        <f>'OPEN FOREIGN ORDER'!D1125</f>
        <v>0</v>
      </c>
      <c r="B1499">
        <f>'OPEN FOREIGN ORDER'!F1125</f>
        <v>0</v>
      </c>
      <c r="C1499">
        <f>'OPEN FOREIGN ORDER'!Z1125</f>
        <v>0</v>
      </c>
      <c r="D1499" s="123">
        <f>'OPEN FOREIGN ORDER'!AA1125</f>
        <v>0</v>
      </c>
      <c r="E1499" s="112">
        <f>'OPEN FOREIGN ORDER'!AB1125</f>
        <v>0</v>
      </c>
      <c r="F1499" s="112">
        <f>'OPEN FOREIGN ORDER'!AC1125</f>
        <v>0</v>
      </c>
      <c r="G1499" s="112">
        <f>'OPEN FOREIGN ORDER'!AD1125</f>
        <v>0</v>
      </c>
      <c r="H1499" s="112">
        <f>'OPEN FOREIGN ORDER'!AE1125</f>
        <v>0</v>
      </c>
      <c r="I1499" s="112">
        <f>'OPEN FOREIGN ORDER'!AF1125</f>
        <v>0</v>
      </c>
      <c r="J1499" s="112">
        <f>'OPEN FOREIGN ORDER'!AG1125</f>
        <v>0</v>
      </c>
    </row>
    <row r="1500" spans="1:10">
      <c r="A1500">
        <f>'OPEN FOREIGN ORDER'!D1126</f>
        <v>0</v>
      </c>
      <c r="B1500">
        <f>'OPEN FOREIGN ORDER'!F1126</f>
        <v>0</v>
      </c>
      <c r="C1500">
        <f>'OPEN FOREIGN ORDER'!Z1126</f>
        <v>0</v>
      </c>
      <c r="D1500" s="123">
        <f>'OPEN FOREIGN ORDER'!AA1126</f>
        <v>0</v>
      </c>
      <c r="E1500" s="112">
        <f>'OPEN FOREIGN ORDER'!AB1126</f>
        <v>0</v>
      </c>
      <c r="F1500" s="112">
        <f>'OPEN FOREIGN ORDER'!AC1126</f>
        <v>0</v>
      </c>
      <c r="G1500" s="112">
        <f>'OPEN FOREIGN ORDER'!AD1126</f>
        <v>0</v>
      </c>
      <c r="H1500" s="112">
        <f>'OPEN FOREIGN ORDER'!AE1126</f>
        <v>0</v>
      </c>
      <c r="I1500" s="112">
        <f>'OPEN FOREIGN ORDER'!AF1126</f>
        <v>0</v>
      </c>
      <c r="J1500" s="112">
        <f>'OPEN FOREIGN ORDER'!AG1126</f>
        <v>0</v>
      </c>
    </row>
    <row r="1501" spans="1:10">
      <c r="A1501">
        <f>'OPEN FOREIGN ORDER'!D1127</f>
        <v>0</v>
      </c>
      <c r="B1501">
        <f>'OPEN FOREIGN ORDER'!F1127</f>
        <v>0</v>
      </c>
      <c r="C1501">
        <f>'OPEN FOREIGN ORDER'!Z1127</f>
        <v>0</v>
      </c>
      <c r="D1501" s="123">
        <f>'OPEN FOREIGN ORDER'!AA1127</f>
        <v>0</v>
      </c>
      <c r="E1501" s="112">
        <f>'OPEN FOREIGN ORDER'!AB1127</f>
        <v>0</v>
      </c>
      <c r="F1501" s="112">
        <f>'OPEN FOREIGN ORDER'!AC1127</f>
        <v>0</v>
      </c>
      <c r="G1501" s="112">
        <f>'OPEN FOREIGN ORDER'!AD1127</f>
        <v>0</v>
      </c>
      <c r="H1501" s="112">
        <f>'OPEN FOREIGN ORDER'!AE1127</f>
        <v>0</v>
      </c>
      <c r="I1501" s="112">
        <f>'OPEN FOREIGN ORDER'!AF1127</f>
        <v>0</v>
      </c>
      <c r="J1501" s="112">
        <f>'OPEN FOREIGN ORDER'!AG1127</f>
        <v>0</v>
      </c>
    </row>
    <row r="1502" spans="1:10">
      <c r="A1502">
        <f>'OPEN FOREIGN ORDER'!D1128</f>
        <v>0</v>
      </c>
      <c r="B1502">
        <f>'OPEN FOREIGN ORDER'!F1128</f>
        <v>0</v>
      </c>
      <c r="C1502">
        <f>'OPEN FOREIGN ORDER'!Z1128</f>
        <v>0</v>
      </c>
      <c r="D1502" s="123">
        <f>'OPEN FOREIGN ORDER'!AA1128</f>
        <v>0</v>
      </c>
      <c r="E1502" s="112">
        <f>'OPEN FOREIGN ORDER'!AB1128</f>
        <v>0</v>
      </c>
      <c r="F1502" s="112">
        <f>'OPEN FOREIGN ORDER'!AC1128</f>
        <v>0</v>
      </c>
      <c r="G1502" s="112">
        <f>'OPEN FOREIGN ORDER'!AD1128</f>
        <v>0</v>
      </c>
      <c r="H1502" s="112">
        <f>'OPEN FOREIGN ORDER'!AE1128</f>
        <v>0</v>
      </c>
      <c r="I1502" s="112">
        <f>'OPEN FOREIGN ORDER'!AF1128</f>
        <v>0</v>
      </c>
      <c r="J1502" s="112">
        <f>'OPEN FOREIGN ORDER'!AG1128</f>
        <v>0</v>
      </c>
    </row>
    <row r="1503" spans="1:10">
      <c r="A1503">
        <f>'OPEN FOREIGN ORDER'!D1129</f>
        <v>0</v>
      </c>
      <c r="B1503">
        <f>'OPEN FOREIGN ORDER'!F1129</f>
        <v>0</v>
      </c>
      <c r="C1503">
        <f>'OPEN FOREIGN ORDER'!Z1129</f>
        <v>0</v>
      </c>
      <c r="D1503" s="123">
        <f>'OPEN FOREIGN ORDER'!AA1129</f>
        <v>0</v>
      </c>
      <c r="E1503" s="112">
        <f>'OPEN FOREIGN ORDER'!AB1129</f>
        <v>0</v>
      </c>
      <c r="F1503" s="112">
        <f>'OPEN FOREIGN ORDER'!AC1129</f>
        <v>0</v>
      </c>
      <c r="G1503" s="112">
        <f>'OPEN FOREIGN ORDER'!AD1129</f>
        <v>0</v>
      </c>
      <c r="H1503" s="112">
        <f>'OPEN FOREIGN ORDER'!AE1129</f>
        <v>0</v>
      </c>
      <c r="I1503" s="112">
        <f>'OPEN FOREIGN ORDER'!AF1129</f>
        <v>0</v>
      </c>
      <c r="J1503" s="112">
        <f>'OPEN FOREIGN ORDER'!AG1129</f>
        <v>0</v>
      </c>
    </row>
    <row r="1504" spans="1:10">
      <c r="A1504">
        <f>'OPEN FOREIGN ORDER'!D1130</f>
        <v>0</v>
      </c>
      <c r="B1504">
        <f>'OPEN FOREIGN ORDER'!F1130</f>
        <v>0</v>
      </c>
      <c r="C1504">
        <f>'OPEN FOREIGN ORDER'!Z1130</f>
        <v>0</v>
      </c>
      <c r="D1504" s="123">
        <f>'OPEN FOREIGN ORDER'!AA1130</f>
        <v>0</v>
      </c>
      <c r="E1504" s="112">
        <f>'OPEN FOREIGN ORDER'!AB1130</f>
        <v>0</v>
      </c>
      <c r="F1504" s="112">
        <f>'OPEN FOREIGN ORDER'!AC1130</f>
        <v>0</v>
      </c>
      <c r="G1504" s="112">
        <f>'OPEN FOREIGN ORDER'!AD1130</f>
        <v>0</v>
      </c>
      <c r="H1504" s="112">
        <f>'OPEN FOREIGN ORDER'!AE1130</f>
        <v>0</v>
      </c>
      <c r="I1504" s="112">
        <f>'OPEN FOREIGN ORDER'!AF1130</f>
        <v>0</v>
      </c>
      <c r="J1504" s="112">
        <f>'OPEN FOREIGN ORDER'!AG1130</f>
        <v>0</v>
      </c>
    </row>
    <row r="1505" spans="1:10">
      <c r="A1505">
        <f>'OPEN FOREIGN ORDER'!D1131</f>
        <v>0</v>
      </c>
      <c r="B1505">
        <f>'OPEN FOREIGN ORDER'!F1131</f>
        <v>0</v>
      </c>
      <c r="C1505">
        <f>'OPEN FOREIGN ORDER'!Z1131</f>
        <v>0</v>
      </c>
      <c r="D1505" s="123">
        <f>'OPEN FOREIGN ORDER'!AA1131</f>
        <v>0</v>
      </c>
      <c r="E1505" s="112">
        <f>'OPEN FOREIGN ORDER'!AB1131</f>
        <v>0</v>
      </c>
      <c r="F1505" s="112">
        <f>'OPEN FOREIGN ORDER'!AC1131</f>
        <v>0</v>
      </c>
      <c r="G1505" s="112">
        <f>'OPEN FOREIGN ORDER'!AD1131</f>
        <v>0</v>
      </c>
      <c r="H1505" s="112">
        <f>'OPEN FOREIGN ORDER'!AE1131</f>
        <v>0</v>
      </c>
      <c r="I1505" s="112">
        <f>'OPEN FOREIGN ORDER'!AF1131</f>
        <v>0</v>
      </c>
      <c r="J1505" s="112">
        <f>'OPEN FOREIGN ORDER'!AG1131</f>
        <v>0</v>
      </c>
    </row>
    <row r="1506" spans="1:10">
      <c r="A1506">
        <f>'OPEN FOREIGN ORDER'!D1132</f>
        <v>0</v>
      </c>
      <c r="B1506">
        <f>'OPEN FOREIGN ORDER'!F1132</f>
        <v>0</v>
      </c>
      <c r="C1506">
        <f>'OPEN FOREIGN ORDER'!Z1132</f>
        <v>0</v>
      </c>
      <c r="D1506" s="123">
        <f>'OPEN FOREIGN ORDER'!AA1132</f>
        <v>0</v>
      </c>
      <c r="E1506" s="112">
        <f>'OPEN FOREIGN ORDER'!AB1132</f>
        <v>0</v>
      </c>
      <c r="F1506" s="112">
        <f>'OPEN FOREIGN ORDER'!AC1132</f>
        <v>0</v>
      </c>
      <c r="G1506" s="112">
        <f>'OPEN FOREIGN ORDER'!AD1132</f>
        <v>0</v>
      </c>
      <c r="H1506" s="112">
        <f>'OPEN FOREIGN ORDER'!AE1132</f>
        <v>0</v>
      </c>
      <c r="I1506" s="112">
        <f>'OPEN FOREIGN ORDER'!AF1132</f>
        <v>0</v>
      </c>
      <c r="J1506" s="112">
        <f>'OPEN FOREIGN ORDER'!AG1132</f>
        <v>0</v>
      </c>
    </row>
    <row r="1507" spans="1:10">
      <c r="A1507">
        <f>'OPEN FOREIGN ORDER'!D1133</f>
        <v>0</v>
      </c>
      <c r="B1507">
        <f>'OPEN FOREIGN ORDER'!F1133</f>
        <v>0</v>
      </c>
      <c r="C1507">
        <f>'OPEN FOREIGN ORDER'!Z1133</f>
        <v>0</v>
      </c>
      <c r="D1507" s="123">
        <f>'OPEN FOREIGN ORDER'!AA1133</f>
        <v>0</v>
      </c>
      <c r="E1507" s="112">
        <f>'OPEN FOREIGN ORDER'!AB1133</f>
        <v>0</v>
      </c>
      <c r="F1507" s="112">
        <f>'OPEN FOREIGN ORDER'!AC1133</f>
        <v>0</v>
      </c>
      <c r="G1507" s="112">
        <f>'OPEN FOREIGN ORDER'!AD1133</f>
        <v>0</v>
      </c>
      <c r="H1507" s="112">
        <f>'OPEN FOREIGN ORDER'!AE1133</f>
        <v>0</v>
      </c>
      <c r="I1507" s="112">
        <f>'OPEN FOREIGN ORDER'!AF1133</f>
        <v>0</v>
      </c>
      <c r="J1507" s="112">
        <f>'OPEN FOREIGN ORDER'!AG1133</f>
        <v>0</v>
      </c>
    </row>
    <row r="1508" spans="1:10">
      <c r="A1508">
        <f>'OPEN FOREIGN ORDER'!D1134</f>
        <v>0</v>
      </c>
      <c r="B1508">
        <f>'OPEN FOREIGN ORDER'!F1134</f>
        <v>0</v>
      </c>
      <c r="C1508">
        <f>'OPEN FOREIGN ORDER'!Z1134</f>
        <v>0</v>
      </c>
      <c r="D1508" s="123">
        <f>'OPEN FOREIGN ORDER'!AA1134</f>
        <v>0</v>
      </c>
      <c r="E1508" s="112">
        <f>'OPEN FOREIGN ORDER'!AB1134</f>
        <v>0</v>
      </c>
      <c r="F1508" s="112">
        <f>'OPEN FOREIGN ORDER'!AC1134</f>
        <v>0</v>
      </c>
      <c r="G1508" s="112">
        <f>'OPEN FOREIGN ORDER'!AD1134</f>
        <v>0</v>
      </c>
      <c r="H1508" s="112">
        <f>'OPEN FOREIGN ORDER'!AE1134</f>
        <v>0</v>
      </c>
      <c r="I1508" s="112">
        <f>'OPEN FOREIGN ORDER'!AF1134</f>
        <v>0</v>
      </c>
      <c r="J1508" s="112">
        <f>'OPEN FOREIGN ORDER'!AG1134</f>
        <v>0</v>
      </c>
    </row>
    <row r="1509" spans="1:10">
      <c r="A1509">
        <f>'OPEN FOREIGN ORDER'!D1135</f>
        <v>0</v>
      </c>
      <c r="B1509">
        <f>'OPEN FOREIGN ORDER'!F1135</f>
        <v>0</v>
      </c>
      <c r="C1509">
        <f>'OPEN FOREIGN ORDER'!Z1135</f>
        <v>0</v>
      </c>
      <c r="D1509" s="123">
        <f>'OPEN FOREIGN ORDER'!AA1135</f>
        <v>0</v>
      </c>
      <c r="E1509" s="112">
        <f>'OPEN FOREIGN ORDER'!AB1135</f>
        <v>0</v>
      </c>
      <c r="F1509" s="112">
        <f>'OPEN FOREIGN ORDER'!AC1135</f>
        <v>0</v>
      </c>
      <c r="G1509" s="112">
        <f>'OPEN FOREIGN ORDER'!AD1135</f>
        <v>0</v>
      </c>
      <c r="H1509" s="112">
        <f>'OPEN FOREIGN ORDER'!AE1135</f>
        <v>0</v>
      </c>
      <c r="I1509" s="112">
        <f>'OPEN FOREIGN ORDER'!AF1135</f>
        <v>0</v>
      </c>
      <c r="J1509" s="112">
        <f>'OPEN FOREIGN ORDER'!AG1135</f>
        <v>0</v>
      </c>
    </row>
    <row r="1510" spans="1:10">
      <c r="A1510">
        <f>'OPEN FOREIGN ORDER'!D1136</f>
        <v>0</v>
      </c>
      <c r="B1510">
        <f>'OPEN FOREIGN ORDER'!F1136</f>
        <v>0</v>
      </c>
      <c r="C1510">
        <f>'OPEN FOREIGN ORDER'!Z1136</f>
        <v>0</v>
      </c>
      <c r="D1510" s="123">
        <f>'OPEN FOREIGN ORDER'!AA1136</f>
        <v>0</v>
      </c>
      <c r="E1510" s="112">
        <f>'OPEN FOREIGN ORDER'!AB1136</f>
        <v>0</v>
      </c>
      <c r="F1510" s="112">
        <f>'OPEN FOREIGN ORDER'!AC1136</f>
        <v>0</v>
      </c>
      <c r="G1510" s="112">
        <f>'OPEN FOREIGN ORDER'!AD1136</f>
        <v>0</v>
      </c>
      <c r="H1510" s="112">
        <f>'OPEN FOREIGN ORDER'!AE1136</f>
        <v>0</v>
      </c>
      <c r="I1510" s="112">
        <f>'OPEN FOREIGN ORDER'!AF1136</f>
        <v>0</v>
      </c>
      <c r="J1510" s="112">
        <f>'OPEN FOREIGN ORDER'!AG1136</f>
        <v>0</v>
      </c>
    </row>
    <row r="1511" spans="1:10">
      <c r="A1511">
        <f>'OPEN FOREIGN ORDER'!D1137</f>
        <v>0</v>
      </c>
      <c r="B1511">
        <f>'OPEN FOREIGN ORDER'!F1137</f>
        <v>0</v>
      </c>
      <c r="C1511">
        <f>'OPEN FOREIGN ORDER'!Z1137</f>
        <v>0</v>
      </c>
      <c r="D1511" s="123">
        <f>'OPEN FOREIGN ORDER'!AA1137</f>
        <v>0</v>
      </c>
      <c r="E1511" s="112">
        <f>'OPEN FOREIGN ORDER'!AB1137</f>
        <v>0</v>
      </c>
      <c r="F1511" s="112">
        <f>'OPEN FOREIGN ORDER'!AC1137</f>
        <v>0</v>
      </c>
      <c r="G1511" s="112">
        <f>'OPEN FOREIGN ORDER'!AD1137</f>
        <v>0</v>
      </c>
      <c r="H1511" s="112">
        <f>'OPEN FOREIGN ORDER'!AE1137</f>
        <v>0</v>
      </c>
      <c r="I1511" s="112">
        <f>'OPEN FOREIGN ORDER'!AF1137</f>
        <v>0</v>
      </c>
      <c r="J1511" s="112">
        <f>'OPEN FOREIGN ORDER'!AG1137</f>
        <v>0</v>
      </c>
    </row>
    <row r="1512" spans="1:10">
      <c r="A1512">
        <f>'OPEN FOREIGN ORDER'!D1138</f>
        <v>0</v>
      </c>
      <c r="B1512">
        <f>'OPEN FOREIGN ORDER'!F1138</f>
        <v>0</v>
      </c>
      <c r="C1512">
        <f>'OPEN FOREIGN ORDER'!Z1138</f>
        <v>0</v>
      </c>
      <c r="D1512" s="123">
        <f>'OPEN FOREIGN ORDER'!AA1138</f>
        <v>0</v>
      </c>
      <c r="E1512" s="112">
        <f>'OPEN FOREIGN ORDER'!AB1138</f>
        <v>0</v>
      </c>
      <c r="F1512" s="112">
        <f>'OPEN FOREIGN ORDER'!AC1138</f>
        <v>0</v>
      </c>
      <c r="G1512" s="112">
        <f>'OPEN FOREIGN ORDER'!AD1138</f>
        <v>0</v>
      </c>
      <c r="H1512" s="112">
        <f>'OPEN FOREIGN ORDER'!AE1138</f>
        <v>0</v>
      </c>
      <c r="I1512" s="112">
        <f>'OPEN FOREIGN ORDER'!AF1138</f>
        <v>0</v>
      </c>
      <c r="J1512" s="112">
        <f>'OPEN FOREIGN ORDER'!AG1138</f>
        <v>0</v>
      </c>
    </row>
    <row r="1513" spans="1:10">
      <c r="A1513">
        <f>'OPEN FOREIGN ORDER'!D1139</f>
        <v>0</v>
      </c>
      <c r="B1513">
        <f>'OPEN FOREIGN ORDER'!F1139</f>
        <v>0</v>
      </c>
      <c r="C1513">
        <f>'OPEN FOREIGN ORDER'!Z1139</f>
        <v>0</v>
      </c>
      <c r="D1513" s="123">
        <f>'OPEN FOREIGN ORDER'!AA1139</f>
        <v>0</v>
      </c>
      <c r="E1513" s="112">
        <f>'OPEN FOREIGN ORDER'!AB1139</f>
        <v>0</v>
      </c>
      <c r="F1513" s="112">
        <f>'OPEN FOREIGN ORDER'!AC1139</f>
        <v>0</v>
      </c>
      <c r="G1513" s="112">
        <f>'OPEN FOREIGN ORDER'!AD1139</f>
        <v>0</v>
      </c>
      <c r="H1513" s="112">
        <f>'OPEN FOREIGN ORDER'!AE1139</f>
        <v>0</v>
      </c>
      <c r="I1513" s="112">
        <f>'OPEN FOREIGN ORDER'!AF1139</f>
        <v>0</v>
      </c>
      <c r="J1513" s="112">
        <f>'OPEN FOREIGN ORDER'!AG1139</f>
        <v>0</v>
      </c>
    </row>
    <row r="1514" spans="1:10">
      <c r="A1514">
        <f>'OPEN FOREIGN ORDER'!D1140</f>
        <v>0</v>
      </c>
      <c r="B1514">
        <f>'OPEN FOREIGN ORDER'!F1140</f>
        <v>0</v>
      </c>
      <c r="C1514">
        <f>'OPEN FOREIGN ORDER'!Z1140</f>
        <v>0</v>
      </c>
      <c r="D1514" s="123">
        <f>'OPEN FOREIGN ORDER'!AA1140</f>
        <v>0</v>
      </c>
      <c r="E1514" s="112">
        <f>'OPEN FOREIGN ORDER'!AB1140</f>
        <v>0</v>
      </c>
      <c r="F1514" s="112">
        <f>'OPEN FOREIGN ORDER'!AC1140</f>
        <v>0</v>
      </c>
      <c r="G1514" s="112">
        <f>'OPEN FOREIGN ORDER'!AD1140</f>
        <v>0</v>
      </c>
      <c r="H1514" s="112">
        <f>'OPEN FOREIGN ORDER'!AE1140</f>
        <v>0</v>
      </c>
      <c r="I1514" s="112">
        <f>'OPEN FOREIGN ORDER'!AF1140</f>
        <v>0</v>
      </c>
      <c r="J1514" s="112">
        <f>'OPEN FOREIGN ORDER'!AG1140</f>
        <v>0</v>
      </c>
    </row>
    <row r="1515" spans="1:10">
      <c r="A1515">
        <f>'OPEN FOREIGN ORDER'!D1141</f>
        <v>0</v>
      </c>
      <c r="B1515">
        <f>'OPEN FOREIGN ORDER'!F1141</f>
        <v>0</v>
      </c>
      <c r="C1515">
        <f>'OPEN FOREIGN ORDER'!Z1141</f>
        <v>0</v>
      </c>
      <c r="D1515" s="123">
        <f>'OPEN FOREIGN ORDER'!AA1141</f>
        <v>0</v>
      </c>
      <c r="E1515" s="112">
        <f>'OPEN FOREIGN ORDER'!AB1141</f>
        <v>0</v>
      </c>
      <c r="F1515" s="112">
        <f>'OPEN FOREIGN ORDER'!AC1141</f>
        <v>0</v>
      </c>
      <c r="G1515" s="112">
        <f>'OPEN FOREIGN ORDER'!AD1141</f>
        <v>0</v>
      </c>
      <c r="H1515" s="112">
        <f>'OPEN FOREIGN ORDER'!AE1141</f>
        <v>0</v>
      </c>
      <c r="I1515" s="112">
        <f>'OPEN FOREIGN ORDER'!AF1141</f>
        <v>0</v>
      </c>
      <c r="J1515" s="112">
        <f>'OPEN FOREIGN ORDER'!AG1141</f>
        <v>0</v>
      </c>
    </row>
    <row r="1516" spans="1:10">
      <c r="A1516">
        <f>'OPEN FOREIGN ORDER'!D1142</f>
        <v>0</v>
      </c>
      <c r="B1516">
        <f>'OPEN FOREIGN ORDER'!F1142</f>
        <v>0</v>
      </c>
      <c r="C1516">
        <f>'OPEN FOREIGN ORDER'!Z1142</f>
        <v>0</v>
      </c>
      <c r="D1516" s="123">
        <f>'OPEN FOREIGN ORDER'!AA1142</f>
        <v>0</v>
      </c>
      <c r="E1516" s="112">
        <f>'OPEN FOREIGN ORDER'!AB1142</f>
        <v>0</v>
      </c>
      <c r="F1516" s="112">
        <f>'OPEN FOREIGN ORDER'!AC1142</f>
        <v>0</v>
      </c>
      <c r="G1516" s="112">
        <f>'OPEN FOREIGN ORDER'!AD1142</f>
        <v>0</v>
      </c>
      <c r="H1516" s="112">
        <f>'OPEN FOREIGN ORDER'!AE1142</f>
        <v>0</v>
      </c>
      <c r="I1516" s="112">
        <f>'OPEN FOREIGN ORDER'!AF1142</f>
        <v>0</v>
      </c>
      <c r="J1516" s="112">
        <f>'OPEN FOREIGN ORDER'!AG1142</f>
        <v>0</v>
      </c>
    </row>
    <row r="1517" spans="1:10">
      <c r="A1517">
        <f>'OPEN FOREIGN ORDER'!D1143</f>
        <v>0</v>
      </c>
      <c r="B1517">
        <f>'OPEN FOREIGN ORDER'!F1143</f>
        <v>0</v>
      </c>
      <c r="C1517">
        <f>'OPEN FOREIGN ORDER'!Z1143</f>
        <v>0</v>
      </c>
      <c r="D1517" s="123">
        <f>'OPEN FOREIGN ORDER'!AA1143</f>
        <v>0</v>
      </c>
      <c r="E1517" s="112">
        <f>'OPEN FOREIGN ORDER'!AB1143</f>
        <v>0</v>
      </c>
      <c r="F1517" s="112">
        <f>'OPEN FOREIGN ORDER'!AC1143</f>
        <v>0</v>
      </c>
      <c r="G1517" s="112">
        <f>'OPEN FOREIGN ORDER'!AD1143</f>
        <v>0</v>
      </c>
      <c r="H1517" s="112">
        <f>'OPEN FOREIGN ORDER'!AE1143</f>
        <v>0</v>
      </c>
      <c r="I1517" s="112">
        <f>'OPEN FOREIGN ORDER'!AF1143</f>
        <v>0</v>
      </c>
      <c r="J1517" s="112">
        <f>'OPEN FOREIGN ORDER'!AG1143</f>
        <v>0</v>
      </c>
    </row>
    <row r="1518" spans="1:10">
      <c r="A1518">
        <f>'OPEN FOREIGN ORDER'!D1144</f>
        <v>0</v>
      </c>
      <c r="B1518">
        <f>'OPEN FOREIGN ORDER'!F1144</f>
        <v>0</v>
      </c>
      <c r="C1518">
        <f>'OPEN FOREIGN ORDER'!Z1144</f>
        <v>0</v>
      </c>
      <c r="D1518" s="123">
        <f>'OPEN FOREIGN ORDER'!AA1144</f>
        <v>0</v>
      </c>
      <c r="E1518" s="112">
        <f>'OPEN FOREIGN ORDER'!AB1144</f>
        <v>0</v>
      </c>
      <c r="F1518" s="112">
        <f>'OPEN FOREIGN ORDER'!AC1144</f>
        <v>0</v>
      </c>
      <c r="G1518" s="112">
        <f>'OPEN FOREIGN ORDER'!AD1144</f>
        <v>0</v>
      </c>
      <c r="H1518" s="112">
        <f>'OPEN FOREIGN ORDER'!AE1144</f>
        <v>0</v>
      </c>
      <c r="I1518" s="112">
        <f>'OPEN FOREIGN ORDER'!AF1144</f>
        <v>0</v>
      </c>
      <c r="J1518" s="112">
        <f>'OPEN FOREIGN ORDER'!AG1144</f>
        <v>0</v>
      </c>
    </row>
    <row r="1519" spans="1:10">
      <c r="A1519">
        <f>'OPEN FOREIGN ORDER'!D1145</f>
        <v>0</v>
      </c>
      <c r="B1519">
        <f>'OPEN FOREIGN ORDER'!F1145</f>
        <v>0</v>
      </c>
      <c r="C1519">
        <f>'OPEN FOREIGN ORDER'!Z1145</f>
        <v>0</v>
      </c>
      <c r="D1519" s="123">
        <f>'OPEN FOREIGN ORDER'!AA1145</f>
        <v>0</v>
      </c>
      <c r="E1519" s="112">
        <f>'OPEN FOREIGN ORDER'!AB1145</f>
        <v>0</v>
      </c>
      <c r="F1519" s="112">
        <f>'OPEN FOREIGN ORDER'!AC1145</f>
        <v>0</v>
      </c>
      <c r="G1519" s="112">
        <f>'OPEN FOREIGN ORDER'!AD1145</f>
        <v>0</v>
      </c>
      <c r="H1519" s="112">
        <f>'OPEN FOREIGN ORDER'!AE1145</f>
        <v>0</v>
      </c>
      <c r="I1519" s="112">
        <f>'OPEN FOREIGN ORDER'!AF1145</f>
        <v>0</v>
      </c>
      <c r="J1519" s="112">
        <f>'OPEN FOREIGN ORDER'!AG1145</f>
        <v>0</v>
      </c>
    </row>
    <row r="1520" spans="1:10">
      <c r="A1520">
        <f>'OPEN FOREIGN ORDER'!D1146</f>
        <v>0</v>
      </c>
      <c r="B1520">
        <f>'OPEN FOREIGN ORDER'!F1146</f>
        <v>0</v>
      </c>
      <c r="C1520">
        <f>'OPEN FOREIGN ORDER'!Z1146</f>
        <v>0</v>
      </c>
      <c r="D1520" s="123">
        <f>'OPEN FOREIGN ORDER'!AA1146</f>
        <v>0</v>
      </c>
      <c r="E1520" s="112">
        <f>'OPEN FOREIGN ORDER'!AB1146</f>
        <v>0</v>
      </c>
      <c r="F1520" s="112">
        <f>'OPEN FOREIGN ORDER'!AC1146</f>
        <v>0</v>
      </c>
      <c r="G1520" s="112">
        <f>'OPEN FOREIGN ORDER'!AD1146</f>
        <v>0</v>
      </c>
      <c r="H1520" s="112">
        <f>'OPEN FOREIGN ORDER'!AE1146</f>
        <v>0</v>
      </c>
      <c r="I1520" s="112">
        <f>'OPEN FOREIGN ORDER'!AF1146</f>
        <v>0</v>
      </c>
      <c r="J1520" s="112">
        <f>'OPEN FOREIGN ORDER'!AG1146</f>
        <v>0</v>
      </c>
    </row>
    <row r="1521" spans="1:10">
      <c r="A1521">
        <f>'OPEN FOREIGN ORDER'!D1147</f>
        <v>0</v>
      </c>
      <c r="B1521">
        <f>'OPEN FOREIGN ORDER'!F1147</f>
        <v>0</v>
      </c>
      <c r="C1521">
        <f>'OPEN FOREIGN ORDER'!Z1147</f>
        <v>0</v>
      </c>
      <c r="D1521" s="123">
        <f>'OPEN FOREIGN ORDER'!AA1147</f>
        <v>0</v>
      </c>
      <c r="E1521" s="112">
        <f>'OPEN FOREIGN ORDER'!AB1147</f>
        <v>0</v>
      </c>
      <c r="F1521" s="112">
        <f>'OPEN FOREIGN ORDER'!AC1147</f>
        <v>0</v>
      </c>
      <c r="G1521" s="112">
        <f>'OPEN FOREIGN ORDER'!AD1147</f>
        <v>0</v>
      </c>
      <c r="H1521" s="112">
        <f>'OPEN FOREIGN ORDER'!AE1147</f>
        <v>0</v>
      </c>
      <c r="I1521" s="112">
        <f>'OPEN FOREIGN ORDER'!AF1147</f>
        <v>0</v>
      </c>
      <c r="J1521" s="112">
        <f>'OPEN FOREIGN ORDER'!AG1147</f>
        <v>0</v>
      </c>
    </row>
    <row r="1522" spans="1:10">
      <c r="A1522">
        <f>'OPEN FOREIGN ORDER'!D1148</f>
        <v>0</v>
      </c>
      <c r="B1522">
        <f>'OPEN FOREIGN ORDER'!F1148</f>
        <v>0</v>
      </c>
      <c r="C1522">
        <f>'OPEN FOREIGN ORDER'!Z1148</f>
        <v>0</v>
      </c>
      <c r="D1522" s="123">
        <f>'OPEN FOREIGN ORDER'!AA1148</f>
        <v>0</v>
      </c>
      <c r="E1522" s="112">
        <f>'OPEN FOREIGN ORDER'!AB1148</f>
        <v>0</v>
      </c>
      <c r="F1522" s="112">
        <f>'OPEN FOREIGN ORDER'!AC1148</f>
        <v>0</v>
      </c>
      <c r="G1522" s="112">
        <f>'OPEN FOREIGN ORDER'!AD1148</f>
        <v>0</v>
      </c>
      <c r="H1522" s="112">
        <f>'OPEN FOREIGN ORDER'!AE1148</f>
        <v>0</v>
      </c>
      <c r="I1522" s="112">
        <f>'OPEN FOREIGN ORDER'!AF1148</f>
        <v>0</v>
      </c>
      <c r="J1522" s="112">
        <f>'OPEN FOREIGN ORDER'!AG1148</f>
        <v>0</v>
      </c>
    </row>
    <row r="1523" spans="1:10">
      <c r="A1523">
        <f>'OPEN FOREIGN ORDER'!D1149</f>
        <v>0</v>
      </c>
      <c r="B1523">
        <f>'OPEN FOREIGN ORDER'!F1149</f>
        <v>0</v>
      </c>
      <c r="C1523">
        <f>'OPEN FOREIGN ORDER'!Z1149</f>
        <v>0</v>
      </c>
      <c r="D1523" s="123">
        <f>'OPEN FOREIGN ORDER'!AA1149</f>
        <v>0</v>
      </c>
      <c r="E1523" s="112">
        <f>'OPEN FOREIGN ORDER'!AB1149</f>
        <v>0</v>
      </c>
      <c r="F1523" s="112">
        <f>'OPEN FOREIGN ORDER'!AC1149</f>
        <v>0</v>
      </c>
      <c r="G1523" s="112">
        <f>'OPEN FOREIGN ORDER'!AD1149</f>
        <v>0</v>
      </c>
      <c r="H1523" s="112">
        <f>'OPEN FOREIGN ORDER'!AE1149</f>
        <v>0</v>
      </c>
      <c r="I1523" s="112">
        <f>'OPEN FOREIGN ORDER'!AF1149</f>
        <v>0</v>
      </c>
      <c r="J1523" s="112">
        <f>'OPEN FOREIGN ORDER'!AG1149</f>
        <v>0</v>
      </c>
    </row>
    <row r="1524" spans="1:10">
      <c r="A1524">
        <f>'OPEN FOREIGN ORDER'!D1150</f>
        <v>0</v>
      </c>
      <c r="B1524">
        <f>'OPEN FOREIGN ORDER'!F1150</f>
        <v>0</v>
      </c>
      <c r="C1524">
        <f>'OPEN FOREIGN ORDER'!Z1150</f>
        <v>0</v>
      </c>
      <c r="D1524" s="123">
        <f>'OPEN FOREIGN ORDER'!AA1150</f>
        <v>0</v>
      </c>
      <c r="E1524" s="112">
        <f>'OPEN FOREIGN ORDER'!AB1150</f>
        <v>0</v>
      </c>
      <c r="F1524" s="112">
        <f>'OPEN FOREIGN ORDER'!AC1150</f>
        <v>0</v>
      </c>
      <c r="G1524" s="112">
        <f>'OPEN FOREIGN ORDER'!AD1150</f>
        <v>0</v>
      </c>
      <c r="H1524" s="112">
        <f>'OPEN FOREIGN ORDER'!AE1150</f>
        <v>0</v>
      </c>
      <c r="I1524" s="112">
        <f>'OPEN FOREIGN ORDER'!AF1150</f>
        <v>0</v>
      </c>
      <c r="J1524" s="112">
        <f>'OPEN FOREIGN ORDER'!AG1150</f>
        <v>0</v>
      </c>
    </row>
    <row r="1525" spans="1:10">
      <c r="A1525">
        <f>'OPEN FOREIGN ORDER'!D1151</f>
        <v>0</v>
      </c>
      <c r="B1525">
        <f>'OPEN FOREIGN ORDER'!F1151</f>
        <v>0</v>
      </c>
      <c r="C1525">
        <f>'OPEN FOREIGN ORDER'!Z1151</f>
        <v>0</v>
      </c>
      <c r="D1525" s="123">
        <f>'OPEN FOREIGN ORDER'!AA1151</f>
        <v>0</v>
      </c>
      <c r="E1525" s="112">
        <f>'OPEN FOREIGN ORDER'!AB1151</f>
        <v>0</v>
      </c>
      <c r="F1525" s="112">
        <f>'OPEN FOREIGN ORDER'!AC1151</f>
        <v>0</v>
      </c>
      <c r="G1525" s="112">
        <f>'OPEN FOREIGN ORDER'!AD1151</f>
        <v>0</v>
      </c>
      <c r="H1525" s="112">
        <f>'OPEN FOREIGN ORDER'!AE1151</f>
        <v>0</v>
      </c>
      <c r="I1525" s="112">
        <f>'OPEN FOREIGN ORDER'!AF1151</f>
        <v>0</v>
      </c>
      <c r="J1525" s="112">
        <f>'OPEN FOREIGN ORDER'!AG1151</f>
        <v>0</v>
      </c>
    </row>
    <row r="1526" spans="1:10">
      <c r="A1526">
        <f>'OPEN FOREIGN ORDER'!D1152</f>
        <v>0</v>
      </c>
      <c r="B1526">
        <f>'OPEN FOREIGN ORDER'!F1152</f>
        <v>0</v>
      </c>
      <c r="C1526">
        <f>'OPEN FOREIGN ORDER'!Z1152</f>
        <v>0</v>
      </c>
      <c r="D1526" s="123">
        <f>'OPEN FOREIGN ORDER'!AA1152</f>
        <v>0</v>
      </c>
      <c r="E1526" s="112">
        <f>'OPEN FOREIGN ORDER'!AB1152</f>
        <v>0</v>
      </c>
      <c r="F1526" s="112">
        <f>'OPEN FOREIGN ORDER'!AC1152</f>
        <v>0</v>
      </c>
      <c r="G1526" s="112">
        <f>'OPEN FOREIGN ORDER'!AD1152</f>
        <v>0</v>
      </c>
      <c r="H1526" s="112">
        <f>'OPEN FOREIGN ORDER'!AE1152</f>
        <v>0</v>
      </c>
      <c r="I1526" s="112">
        <f>'OPEN FOREIGN ORDER'!AF1152</f>
        <v>0</v>
      </c>
      <c r="J1526" s="112">
        <f>'OPEN FOREIGN ORDER'!AG1152</f>
        <v>0</v>
      </c>
    </row>
    <row r="1527" spans="1:10">
      <c r="A1527">
        <f>'OPEN FOREIGN ORDER'!D1153</f>
        <v>0</v>
      </c>
      <c r="B1527">
        <f>'OPEN FOREIGN ORDER'!F1153</f>
        <v>0</v>
      </c>
      <c r="C1527">
        <f>'OPEN FOREIGN ORDER'!Z1153</f>
        <v>0</v>
      </c>
      <c r="D1527" s="123">
        <f>'OPEN FOREIGN ORDER'!AA1153</f>
        <v>0</v>
      </c>
      <c r="E1527" s="112">
        <f>'OPEN FOREIGN ORDER'!AB1153</f>
        <v>0</v>
      </c>
      <c r="F1527" s="112">
        <f>'OPEN FOREIGN ORDER'!AC1153</f>
        <v>0</v>
      </c>
      <c r="G1527" s="112">
        <f>'OPEN FOREIGN ORDER'!AD1153</f>
        <v>0</v>
      </c>
      <c r="H1527" s="112">
        <f>'OPEN FOREIGN ORDER'!AE1153</f>
        <v>0</v>
      </c>
      <c r="I1527" s="112">
        <f>'OPEN FOREIGN ORDER'!AF1153</f>
        <v>0</v>
      </c>
      <c r="J1527" s="112">
        <f>'OPEN FOREIGN ORDER'!AG1153</f>
        <v>0</v>
      </c>
    </row>
    <row r="1528" spans="1:10">
      <c r="A1528">
        <f>'OPEN FOREIGN ORDER'!D1154</f>
        <v>0</v>
      </c>
      <c r="B1528">
        <f>'OPEN FOREIGN ORDER'!F1154</f>
        <v>0</v>
      </c>
      <c r="C1528">
        <f>'OPEN FOREIGN ORDER'!Z1154</f>
        <v>0</v>
      </c>
      <c r="D1528" s="123">
        <f>'OPEN FOREIGN ORDER'!AA1154</f>
        <v>0</v>
      </c>
      <c r="E1528" s="112">
        <f>'OPEN FOREIGN ORDER'!AB1154</f>
        <v>0</v>
      </c>
      <c r="F1528" s="112">
        <f>'OPEN FOREIGN ORDER'!AC1154</f>
        <v>0</v>
      </c>
      <c r="G1528" s="112">
        <f>'OPEN FOREIGN ORDER'!AD1154</f>
        <v>0</v>
      </c>
      <c r="H1528" s="112">
        <f>'OPEN FOREIGN ORDER'!AE1154</f>
        <v>0</v>
      </c>
      <c r="I1528" s="112">
        <f>'OPEN FOREIGN ORDER'!AF1154</f>
        <v>0</v>
      </c>
      <c r="J1528" s="112">
        <f>'OPEN FOREIGN ORDER'!AG1154</f>
        <v>0</v>
      </c>
    </row>
    <row r="1529" spans="1:10">
      <c r="A1529">
        <f>'OPEN FOREIGN ORDER'!D1155</f>
        <v>0</v>
      </c>
      <c r="B1529">
        <f>'OPEN FOREIGN ORDER'!F1155</f>
        <v>0</v>
      </c>
      <c r="C1529">
        <f>'OPEN FOREIGN ORDER'!Z1155</f>
        <v>0</v>
      </c>
      <c r="D1529" s="123">
        <f>'OPEN FOREIGN ORDER'!AA1155</f>
        <v>0</v>
      </c>
      <c r="E1529" s="112">
        <f>'OPEN FOREIGN ORDER'!AB1155</f>
        <v>0</v>
      </c>
      <c r="F1529" s="112">
        <f>'OPEN FOREIGN ORDER'!AC1155</f>
        <v>0</v>
      </c>
      <c r="G1529" s="112">
        <f>'OPEN FOREIGN ORDER'!AD1155</f>
        <v>0</v>
      </c>
      <c r="H1529" s="112">
        <f>'OPEN FOREIGN ORDER'!AE1155</f>
        <v>0</v>
      </c>
      <c r="I1529" s="112">
        <f>'OPEN FOREIGN ORDER'!AF1155</f>
        <v>0</v>
      </c>
      <c r="J1529" s="112">
        <f>'OPEN FOREIGN ORDER'!AG1155</f>
        <v>0</v>
      </c>
    </row>
    <row r="1530" spans="1:10">
      <c r="A1530">
        <f>'OPEN FOREIGN ORDER'!D1156</f>
        <v>0</v>
      </c>
      <c r="B1530">
        <f>'OPEN FOREIGN ORDER'!F1156</f>
        <v>0</v>
      </c>
      <c r="C1530">
        <f>'OPEN FOREIGN ORDER'!Z1156</f>
        <v>0</v>
      </c>
      <c r="D1530" s="123">
        <f>'OPEN FOREIGN ORDER'!AA1156</f>
        <v>0</v>
      </c>
      <c r="E1530" s="112">
        <f>'OPEN FOREIGN ORDER'!AB1156</f>
        <v>0</v>
      </c>
      <c r="F1530" s="112">
        <f>'OPEN FOREIGN ORDER'!AC1156</f>
        <v>0</v>
      </c>
      <c r="G1530" s="112">
        <f>'OPEN FOREIGN ORDER'!AD1156</f>
        <v>0</v>
      </c>
      <c r="H1530" s="112">
        <f>'OPEN FOREIGN ORDER'!AE1156</f>
        <v>0</v>
      </c>
      <c r="I1530" s="112">
        <f>'OPEN FOREIGN ORDER'!AF1156</f>
        <v>0</v>
      </c>
      <c r="J1530" s="112">
        <f>'OPEN FOREIGN ORDER'!AG1156</f>
        <v>0</v>
      </c>
    </row>
    <row r="1531" spans="1:10">
      <c r="A1531">
        <f>'OPEN FOREIGN ORDER'!D1157</f>
        <v>0</v>
      </c>
      <c r="B1531">
        <f>'OPEN FOREIGN ORDER'!F1157</f>
        <v>0</v>
      </c>
      <c r="C1531">
        <f>'OPEN FOREIGN ORDER'!Z1157</f>
        <v>0</v>
      </c>
      <c r="D1531" s="123">
        <f>'OPEN FOREIGN ORDER'!AA1157</f>
        <v>0</v>
      </c>
      <c r="E1531" s="112">
        <f>'OPEN FOREIGN ORDER'!AB1157</f>
        <v>0</v>
      </c>
      <c r="F1531" s="112">
        <f>'OPEN FOREIGN ORDER'!AC1157</f>
        <v>0</v>
      </c>
      <c r="G1531" s="112">
        <f>'OPEN FOREIGN ORDER'!AD1157</f>
        <v>0</v>
      </c>
      <c r="H1531" s="112">
        <f>'OPEN FOREIGN ORDER'!AE1157</f>
        <v>0</v>
      </c>
      <c r="I1531" s="112">
        <f>'OPEN FOREIGN ORDER'!AF1157</f>
        <v>0</v>
      </c>
      <c r="J1531" s="112">
        <f>'OPEN FOREIGN ORDER'!AG1157</f>
        <v>0</v>
      </c>
    </row>
    <row r="1532" spans="1:10">
      <c r="A1532">
        <f>'OPEN FOREIGN ORDER'!D1158</f>
        <v>0</v>
      </c>
      <c r="B1532">
        <f>'OPEN FOREIGN ORDER'!F1158</f>
        <v>0</v>
      </c>
      <c r="C1532">
        <f>'OPEN FOREIGN ORDER'!Z1158</f>
        <v>0</v>
      </c>
      <c r="D1532" s="123">
        <f>'OPEN FOREIGN ORDER'!AA1158</f>
        <v>0</v>
      </c>
      <c r="E1532" s="112">
        <f>'OPEN FOREIGN ORDER'!AB1158</f>
        <v>0</v>
      </c>
      <c r="F1532" s="112">
        <f>'OPEN FOREIGN ORDER'!AC1158</f>
        <v>0</v>
      </c>
      <c r="G1532" s="112">
        <f>'OPEN FOREIGN ORDER'!AD1158</f>
        <v>0</v>
      </c>
      <c r="H1532" s="112">
        <f>'OPEN FOREIGN ORDER'!AE1158</f>
        <v>0</v>
      </c>
      <c r="I1532" s="112">
        <f>'OPEN FOREIGN ORDER'!AF1158</f>
        <v>0</v>
      </c>
      <c r="J1532" s="112">
        <f>'OPEN FOREIGN ORDER'!AG1158</f>
        <v>0</v>
      </c>
    </row>
    <row r="1533" spans="1:10">
      <c r="A1533">
        <f>'OPEN FOREIGN ORDER'!D1159</f>
        <v>0</v>
      </c>
      <c r="B1533">
        <f>'OPEN FOREIGN ORDER'!F1159</f>
        <v>0</v>
      </c>
      <c r="C1533">
        <f>'OPEN FOREIGN ORDER'!Z1159</f>
        <v>0</v>
      </c>
      <c r="D1533" s="123">
        <f>'OPEN FOREIGN ORDER'!AA1159</f>
        <v>0</v>
      </c>
      <c r="E1533" s="112">
        <f>'OPEN FOREIGN ORDER'!AB1159</f>
        <v>0</v>
      </c>
      <c r="F1533" s="112">
        <f>'OPEN FOREIGN ORDER'!AC1159</f>
        <v>0</v>
      </c>
      <c r="G1533" s="112">
        <f>'OPEN FOREIGN ORDER'!AD1159</f>
        <v>0</v>
      </c>
      <c r="H1533" s="112">
        <f>'OPEN FOREIGN ORDER'!AE1159</f>
        <v>0</v>
      </c>
      <c r="I1533" s="112">
        <f>'OPEN FOREIGN ORDER'!AF1159</f>
        <v>0</v>
      </c>
      <c r="J1533" s="112">
        <f>'OPEN FOREIGN ORDER'!AG1159</f>
        <v>0</v>
      </c>
    </row>
    <row r="1534" spans="1:10">
      <c r="A1534">
        <f>'OPEN FOREIGN ORDER'!D1160</f>
        <v>0</v>
      </c>
      <c r="B1534">
        <f>'OPEN FOREIGN ORDER'!F1160</f>
        <v>0</v>
      </c>
      <c r="C1534">
        <f>'OPEN FOREIGN ORDER'!Z1160</f>
        <v>0</v>
      </c>
      <c r="D1534" s="123">
        <f>'OPEN FOREIGN ORDER'!AA1160</f>
        <v>0</v>
      </c>
      <c r="E1534" s="112">
        <f>'OPEN FOREIGN ORDER'!AB1160</f>
        <v>0</v>
      </c>
      <c r="F1534" s="112">
        <f>'OPEN FOREIGN ORDER'!AC1160</f>
        <v>0</v>
      </c>
      <c r="G1534" s="112">
        <f>'OPEN FOREIGN ORDER'!AD1160</f>
        <v>0</v>
      </c>
      <c r="H1534" s="112">
        <f>'OPEN FOREIGN ORDER'!AE1160</f>
        <v>0</v>
      </c>
      <c r="I1534" s="112">
        <f>'OPEN FOREIGN ORDER'!AF1160</f>
        <v>0</v>
      </c>
      <c r="J1534" s="112">
        <f>'OPEN FOREIGN ORDER'!AG1160</f>
        <v>0</v>
      </c>
    </row>
    <row r="1535" spans="1:10">
      <c r="A1535">
        <f>'OPEN FOREIGN ORDER'!D1161</f>
        <v>0</v>
      </c>
      <c r="B1535">
        <f>'OPEN FOREIGN ORDER'!F1161</f>
        <v>0</v>
      </c>
      <c r="C1535">
        <f>'OPEN FOREIGN ORDER'!Z1161</f>
        <v>0</v>
      </c>
      <c r="D1535" s="123">
        <f>'OPEN FOREIGN ORDER'!AA1161</f>
        <v>0</v>
      </c>
      <c r="E1535" s="112">
        <f>'OPEN FOREIGN ORDER'!AB1161</f>
        <v>0</v>
      </c>
      <c r="F1535" s="112">
        <f>'OPEN FOREIGN ORDER'!AC1161</f>
        <v>0</v>
      </c>
      <c r="G1535" s="112">
        <f>'OPEN FOREIGN ORDER'!AD1161</f>
        <v>0</v>
      </c>
      <c r="H1535" s="112">
        <f>'OPEN FOREIGN ORDER'!AE1161</f>
        <v>0</v>
      </c>
      <c r="I1535" s="112">
        <f>'OPEN FOREIGN ORDER'!AF1161</f>
        <v>0</v>
      </c>
      <c r="J1535" s="112">
        <f>'OPEN FOREIGN ORDER'!AG1161</f>
        <v>0</v>
      </c>
    </row>
    <row r="1536" spans="1:10">
      <c r="A1536">
        <f>'OPEN FOREIGN ORDER'!D1162</f>
        <v>0</v>
      </c>
      <c r="B1536">
        <f>'OPEN FOREIGN ORDER'!F1162</f>
        <v>0</v>
      </c>
      <c r="C1536">
        <f>'OPEN FOREIGN ORDER'!Z1162</f>
        <v>0</v>
      </c>
      <c r="D1536" s="123">
        <f>'OPEN FOREIGN ORDER'!AA1162</f>
        <v>0</v>
      </c>
      <c r="E1536" s="112">
        <f>'OPEN FOREIGN ORDER'!AB1162</f>
        <v>0</v>
      </c>
      <c r="F1536" s="112">
        <f>'OPEN FOREIGN ORDER'!AC1162</f>
        <v>0</v>
      </c>
      <c r="G1536" s="112">
        <f>'OPEN FOREIGN ORDER'!AD1162</f>
        <v>0</v>
      </c>
      <c r="H1536" s="112">
        <f>'OPEN FOREIGN ORDER'!AE1162</f>
        <v>0</v>
      </c>
      <c r="I1536" s="112">
        <f>'OPEN FOREIGN ORDER'!AF1162</f>
        <v>0</v>
      </c>
      <c r="J1536" s="112">
        <f>'OPEN FOREIGN ORDER'!AG1162</f>
        <v>0</v>
      </c>
    </row>
    <row r="1537" spans="1:10">
      <c r="A1537">
        <f>'OPEN FOREIGN ORDER'!D1163</f>
        <v>0</v>
      </c>
      <c r="B1537">
        <f>'OPEN FOREIGN ORDER'!F1163</f>
        <v>0</v>
      </c>
      <c r="C1537">
        <f>'OPEN FOREIGN ORDER'!Z1163</f>
        <v>0</v>
      </c>
      <c r="D1537" s="123">
        <f>'OPEN FOREIGN ORDER'!AA1163</f>
        <v>0</v>
      </c>
      <c r="E1537" s="112">
        <f>'OPEN FOREIGN ORDER'!AB1163</f>
        <v>0</v>
      </c>
      <c r="F1537" s="112">
        <f>'OPEN FOREIGN ORDER'!AC1163</f>
        <v>0</v>
      </c>
      <c r="G1537" s="112">
        <f>'OPEN FOREIGN ORDER'!AD1163</f>
        <v>0</v>
      </c>
      <c r="H1537" s="112">
        <f>'OPEN FOREIGN ORDER'!AE1163</f>
        <v>0</v>
      </c>
      <c r="I1537" s="112">
        <f>'OPEN FOREIGN ORDER'!AF1163</f>
        <v>0</v>
      </c>
      <c r="J1537" s="112">
        <f>'OPEN FOREIGN ORDER'!AG1163</f>
        <v>0</v>
      </c>
    </row>
    <row r="1538" spans="1:10">
      <c r="A1538">
        <f>'OPEN FOREIGN ORDER'!D1164</f>
        <v>0</v>
      </c>
      <c r="B1538">
        <f>'OPEN FOREIGN ORDER'!F1164</f>
        <v>0</v>
      </c>
      <c r="C1538">
        <f>'OPEN FOREIGN ORDER'!Z1164</f>
        <v>0</v>
      </c>
      <c r="D1538" s="123">
        <f>'OPEN FOREIGN ORDER'!AA1164</f>
        <v>0</v>
      </c>
      <c r="E1538" s="112">
        <f>'OPEN FOREIGN ORDER'!AB1164</f>
        <v>0</v>
      </c>
      <c r="F1538" s="112">
        <f>'OPEN FOREIGN ORDER'!AC1164</f>
        <v>0</v>
      </c>
      <c r="G1538" s="112">
        <f>'OPEN FOREIGN ORDER'!AD1164</f>
        <v>0</v>
      </c>
      <c r="H1538" s="112">
        <f>'OPEN FOREIGN ORDER'!AE1164</f>
        <v>0</v>
      </c>
      <c r="I1538" s="112">
        <f>'OPEN FOREIGN ORDER'!AF1164</f>
        <v>0</v>
      </c>
      <c r="J1538" s="112">
        <f>'OPEN FOREIGN ORDER'!AG1164</f>
        <v>0</v>
      </c>
    </row>
    <row r="1539" spans="1:10">
      <c r="A1539">
        <f>'OPEN FOREIGN ORDER'!D1165</f>
        <v>0</v>
      </c>
      <c r="B1539">
        <f>'OPEN FOREIGN ORDER'!F1165</f>
        <v>0</v>
      </c>
      <c r="C1539">
        <f>'OPEN FOREIGN ORDER'!Z1165</f>
        <v>0</v>
      </c>
      <c r="D1539" s="123">
        <f>'OPEN FOREIGN ORDER'!AA1165</f>
        <v>0</v>
      </c>
      <c r="E1539" s="112">
        <f>'OPEN FOREIGN ORDER'!AB1165</f>
        <v>0</v>
      </c>
      <c r="F1539" s="112">
        <f>'OPEN FOREIGN ORDER'!AC1165</f>
        <v>0</v>
      </c>
      <c r="G1539" s="112">
        <f>'OPEN FOREIGN ORDER'!AD1165</f>
        <v>0</v>
      </c>
      <c r="H1539" s="112">
        <f>'OPEN FOREIGN ORDER'!AE1165</f>
        <v>0</v>
      </c>
      <c r="I1539" s="112">
        <f>'OPEN FOREIGN ORDER'!AF1165</f>
        <v>0</v>
      </c>
      <c r="J1539" s="112">
        <f>'OPEN FOREIGN ORDER'!AG1165</f>
        <v>0</v>
      </c>
    </row>
    <row r="1540" spans="1:10">
      <c r="A1540">
        <f>'OPEN FOREIGN ORDER'!D1166</f>
        <v>0</v>
      </c>
      <c r="B1540">
        <f>'OPEN FOREIGN ORDER'!F1166</f>
        <v>0</v>
      </c>
      <c r="C1540">
        <f>'OPEN FOREIGN ORDER'!Z1166</f>
        <v>0</v>
      </c>
      <c r="D1540" s="123">
        <f>'OPEN FOREIGN ORDER'!AA1166</f>
        <v>0</v>
      </c>
      <c r="E1540" s="112">
        <f>'OPEN FOREIGN ORDER'!AB1166</f>
        <v>0</v>
      </c>
      <c r="F1540" s="112">
        <f>'OPEN FOREIGN ORDER'!AC1166</f>
        <v>0</v>
      </c>
      <c r="G1540" s="112">
        <f>'OPEN FOREIGN ORDER'!AD1166</f>
        <v>0</v>
      </c>
      <c r="H1540" s="112">
        <f>'OPEN FOREIGN ORDER'!AE1166</f>
        <v>0</v>
      </c>
      <c r="I1540" s="112">
        <f>'OPEN FOREIGN ORDER'!AF1166</f>
        <v>0</v>
      </c>
      <c r="J1540" s="112">
        <f>'OPEN FOREIGN ORDER'!AG1166</f>
        <v>0</v>
      </c>
    </row>
    <row r="1541" spans="1:10">
      <c r="A1541">
        <f>'OPEN FOREIGN ORDER'!D1167</f>
        <v>0</v>
      </c>
      <c r="B1541">
        <f>'OPEN FOREIGN ORDER'!F1167</f>
        <v>0</v>
      </c>
      <c r="C1541">
        <f>'OPEN FOREIGN ORDER'!Z1167</f>
        <v>0</v>
      </c>
      <c r="D1541" s="123">
        <f>'OPEN FOREIGN ORDER'!AA1167</f>
        <v>0</v>
      </c>
      <c r="E1541" s="112">
        <f>'OPEN FOREIGN ORDER'!AB1167</f>
        <v>0</v>
      </c>
      <c r="F1541" s="112">
        <f>'OPEN FOREIGN ORDER'!AC1167</f>
        <v>0</v>
      </c>
      <c r="G1541" s="112">
        <f>'OPEN FOREIGN ORDER'!AD1167</f>
        <v>0</v>
      </c>
      <c r="H1541" s="112">
        <f>'OPEN FOREIGN ORDER'!AE1167</f>
        <v>0</v>
      </c>
      <c r="I1541" s="112">
        <f>'OPEN FOREIGN ORDER'!AF1167</f>
        <v>0</v>
      </c>
      <c r="J1541" s="112">
        <f>'OPEN FOREIGN ORDER'!AG1167</f>
        <v>0</v>
      </c>
    </row>
    <row r="1542" spans="1:10">
      <c r="A1542">
        <f>'OPEN FOREIGN ORDER'!D1168</f>
        <v>0</v>
      </c>
      <c r="B1542">
        <f>'OPEN FOREIGN ORDER'!F1168</f>
        <v>0</v>
      </c>
      <c r="C1542">
        <f>'OPEN FOREIGN ORDER'!Z1168</f>
        <v>0</v>
      </c>
      <c r="D1542" s="123">
        <f>'OPEN FOREIGN ORDER'!AA1168</f>
        <v>0</v>
      </c>
      <c r="E1542" s="112">
        <f>'OPEN FOREIGN ORDER'!AB1168</f>
        <v>0</v>
      </c>
      <c r="F1542" s="112">
        <f>'OPEN FOREIGN ORDER'!AC1168</f>
        <v>0</v>
      </c>
      <c r="G1542" s="112">
        <f>'OPEN FOREIGN ORDER'!AD1168</f>
        <v>0</v>
      </c>
      <c r="H1542" s="112">
        <f>'OPEN FOREIGN ORDER'!AE1168</f>
        <v>0</v>
      </c>
      <c r="I1542" s="112">
        <f>'OPEN FOREIGN ORDER'!AF1168</f>
        <v>0</v>
      </c>
      <c r="J1542" s="112">
        <f>'OPEN FOREIGN ORDER'!AG1168</f>
        <v>0</v>
      </c>
    </row>
    <row r="1543" spans="1:10">
      <c r="A1543">
        <f>'OPEN FOREIGN ORDER'!D1169</f>
        <v>0</v>
      </c>
      <c r="B1543">
        <f>'OPEN FOREIGN ORDER'!F1169</f>
        <v>0</v>
      </c>
      <c r="C1543">
        <f>'OPEN FOREIGN ORDER'!Z1169</f>
        <v>0</v>
      </c>
      <c r="D1543" s="123">
        <f>'OPEN FOREIGN ORDER'!AA1169</f>
        <v>0</v>
      </c>
      <c r="E1543" s="112">
        <f>'OPEN FOREIGN ORDER'!AB1169</f>
        <v>0</v>
      </c>
      <c r="F1543" s="112">
        <f>'OPEN FOREIGN ORDER'!AC1169</f>
        <v>0</v>
      </c>
      <c r="G1543" s="112">
        <f>'OPEN FOREIGN ORDER'!AD1169</f>
        <v>0</v>
      </c>
      <c r="H1543" s="112">
        <f>'OPEN FOREIGN ORDER'!AE1169</f>
        <v>0</v>
      </c>
      <c r="I1543" s="112">
        <f>'OPEN FOREIGN ORDER'!AF1169</f>
        <v>0</v>
      </c>
      <c r="J1543" s="112">
        <f>'OPEN FOREIGN ORDER'!AG1169</f>
        <v>0</v>
      </c>
    </row>
    <row r="1544" spans="1:10">
      <c r="A1544">
        <f>'OPEN FOREIGN ORDER'!D1170</f>
        <v>0</v>
      </c>
      <c r="B1544">
        <f>'OPEN FOREIGN ORDER'!F1170</f>
        <v>0</v>
      </c>
      <c r="C1544">
        <f>'OPEN FOREIGN ORDER'!Z1170</f>
        <v>0</v>
      </c>
      <c r="D1544" s="123">
        <f>'OPEN FOREIGN ORDER'!AA1170</f>
        <v>0</v>
      </c>
      <c r="E1544" s="112">
        <f>'OPEN FOREIGN ORDER'!AB1170</f>
        <v>0</v>
      </c>
      <c r="F1544" s="112">
        <f>'OPEN FOREIGN ORDER'!AC1170</f>
        <v>0</v>
      </c>
      <c r="G1544" s="112">
        <f>'OPEN FOREIGN ORDER'!AD1170</f>
        <v>0</v>
      </c>
      <c r="H1544" s="112">
        <f>'OPEN FOREIGN ORDER'!AE1170</f>
        <v>0</v>
      </c>
      <c r="I1544" s="112">
        <f>'OPEN FOREIGN ORDER'!AF1170</f>
        <v>0</v>
      </c>
      <c r="J1544" s="112">
        <f>'OPEN FOREIGN ORDER'!AG1170</f>
        <v>0</v>
      </c>
    </row>
    <row r="1545" spans="1:10">
      <c r="A1545">
        <f>'OPEN FOREIGN ORDER'!D1171</f>
        <v>0</v>
      </c>
      <c r="B1545">
        <f>'OPEN FOREIGN ORDER'!F1171</f>
        <v>0</v>
      </c>
      <c r="C1545">
        <f>'OPEN FOREIGN ORDER'!Z1171</f>
        <v>0</v>
      </c>
      <c r="D1545" s="123">
        <f>'OPEN FOREIGN ORDER'!AA1171</f>
        <v>0</v>
      </c>
      <c r="E1545" s="112">
        <f>'OPEN FOREIGN ORDER'!AB1171</f>
        <v>0</v>
      </c>
      <c r="F1545" s="112">
        <f>'OPEN FOREIGN ORDER'!AC1171</f>
        <v>0</v>
      </c>
      <c r="G1545" s="112">
        <f>'OPEN FOREIGN ORDER'!AD1171</f>
        <v>0</v>
      </c>
      <c r="H1545" s="112">
        <f>'OPEN FOREIGN ORDER'!AE1171</f>
        <v>0</v>
      </c>
      <c r="I1545" s="112">
        <f>'OPEN FOREIGN ORDER'!AF1171</f>
        <v>0</v>
      </c>
      <c r="J1545" s="112">
        <f>'OPEN FOREIGN ORDER'!AG1171</f>
        <v>0</v>
      </c>
    </row>
    <row r="1546" spans="1:10">
      <c r="A1546">
        <f>'OPEN FOREIGN ORDER'!D1172</f>
        <v>0</v>
      </c>
      <c r="B1546">
        <f>'OPEN FOREIGN ORDER'!F1172</f>
        <v>0</v>
      </c>
      <c r="C1546">
        <f>'OPEN FOREIGN ORDER'!Z1172</f>
        <v>0</v>
      </c>
      <c r="D1546" s="123">
        <f>'OPEN FOREIGN ORDER'!AA1172</f>
        <v>0</v>
      </c>
      <c r="E1546" s="112">
        <f>'OPEN FOREIGN ORDER'!AB1172</f>
        <v>0</v>
      </c>
      <c r="F1546" s="112">
        <f>'OPEN FOREIGN ORDER'!AC1172</f>
        <v>0</v>
      </c>
      <c r="G1546" s="112">
        <f>'OPEN FOREIGN ORDER'!AD1172</f>
        <v>0</v>
      </c>
      <c r="H1546" s="112">
        <f>'OPEN FOREIGN ORDER'!AE1172</f>
        <v>0</v>
      </c>
      <c r="I1546" s="112">
        <f>'OPEN FOREIGN ORDER'!AF1172</f>
        <v>0</v>
      </c>
      <c r="J1546" s="112">
        <f>'OPEN FOREIGN ORDER'!AG1172</f>
        <v>0</v>
      </c>
    </row>
    <row r="1547" spans="1:10">
      <c r="A1547">
        <f>'OPEN FOREIGN ORDER'!D1173</f>
        <v>0</v>
      </c>
      <c r="B1547">
        <f>'OPEN FOREIGN ORDER'!F1173</f>
        <v>0</v>
      </c>
      <c r="C1547">
        <f>'OPEN FOREIGN ORDER'!Z1173</f>
        <v>0</v>
      </c>
      <c r="D1547" s="123">
        <f>'OPEN FOREIGN ORDER'!AA1173</f>
        <v>0</v>
      </c>
      <c r="E1547" s="112">
        <f>'OPEN FOREIGN ORDER'!AB1173</f>
        <v>0</v>
      </c>
      <c r="F1547" s="112">
        <f>'OPEN FOREIGN ORDER'!AC1173</f>
        <v>0</v>
      </c>
      <c r="G1547" s="112">
        <f>'OPEN FOREIGN ORDER'!AD1173</f>
        <v>0</v>
      </c>
      <c r="H1547" s="112">
        <f>'OPEN FOREIGN ORDER'!AE1173</f>
        <v>0</v>
      </c>
      <c r="I1547" s="112">
        <f>'OPEN FOREIGN ORDER'!AF1173</f>
        <v>0</v>
      </c>
      <c r="J1547" s="112">
        <f>'OPEN FOREIGN ORDER'!AG1173</f>
        <v>0</v>
      </c>
    </row>
    <row r="1548" spans="1:10">
      <c r="A1548">
        <f>'OPEN FOREIGN ORDER'!D1174</f>
        <v>0</v>
      </c>
      <c r="B1548">
        <f>'OPEN FOREIGN ORDER'!F1174</f>
        <v>0</v>
      </c>
      <c r="C1548">
        <f>'OPEN FOREIGN ORDER'!Z1174</f>
        <v>0</v>
      </c>
      <c r="D1548" s="123">
        <f>'OPEN FOREIGN ORDER'!AA1174</f>
        <v>0</v>
      </c>
      <c r="E1548" s="112">
        <f>'OPEN FOREIGN ORDER'!AB1174</f>
        <v>0</v>
      </c>
      <c r="F1548" s="112">
        <f>'OPEN FOREIGN ORDER'!AC1174</f>
        <v>0</v>
      </c>
      <c r="G1548" s="112">
        <f>'OPEN FOREIGN ORDER'!AD1174</f>
        <v>0</v>
      </c>
      <c r="H1548" s="112">
        <f>'OPEN FOREIGN ORDER'!AE1174</f>
        <v>0</v>
      </c>
      <c r="I1548" s="112">
        <f>'OPEN FOREIGN ORDER'!AF1174</f>
        <v>0</v>
      </c>
      <c r="J1548" s="112">
        <f>'OPEN FOREIGN ORDER'!AG1174</f>
        <v>0</v>
      </c>
    </row>
    <row r="1549" spans="1:10">
      <c r="A1549">
        <f>'OPEN FOREIGN ORDER'!D1175</f>
        <v>0</v>
      </c>
      <c r="B1549">
        <f>'OPEN FOREIGN ORDER'!F1175</f>
        <v>0</v>
      </c>
      <c r="C1549">
        <f>'OPEN FOREIGN ORDER'!Z1175</f>
        <v>0</v>
      </c>
      <c r="D1549" s="123">
        <f>'OPEN FOREIGN ORDER'!AA1175</f>
        <v>0</v>
      </c>
      <c r="E1549" s="112">
        <f>'OPEN FOREIGN ORDER'!AB1175</f>
        <v>0</v>
      </c>
      <c r="F1549" s="112">
        <f>'OPEN FOREIGN ORDER'!AC1175</f>
        <v>0</v>
      </c>
      <c r="G1549" s="112">
        <f>'OPEN FOREIGN ORDER'!AD1175</f>
        <v>0</v>
      </c>
      <c r="H1549" s="112">
        <f>'OPEN FOREIGN ORDER'!AE1175</f>
        <v>0</v>
      </c>
      <c r="I1549" s="112">
        <f>'OPEN FOREIGN ORDER'!AF1175</f>
        <v>0</v>
      </c>
      <c r="J1549" s="112">
        <f>'OPEN FOREIGN ORDER'!AG1175</f>
        <v>0</v>
      </c>
    </row>
    <row r="1550" spans="1:10">
      <c r="A1550">
        <f>'OPEN FOREIGN ORDER'!D1176</f>
        <v>0</v>
      </c>
      <c r="B1550">
        <f>'OPEN FOREIGN ORDER'!F1176</f>
        <v>0</v>
      </c>
      <c r="C1550">
        <f>'OPEN FOREIGN ORDER'!Z1176</f>
        <v>0</v>
      </c>
      <c r="D1550" s="123">
        <f>'OPEN FOREIGN ORDER'!AA1176</f>
        <v>0</v>
      </c>
      <c r="E1550" s="112">
        <f>'OPEN FOREIGN ORDER'!AB1176</f>
        <v>0</v>
      </c>
      <c r="F1550" s="112">
        <f>'OPEN FOREIGN ORDER'!AC1176</f>
        <v>0</v>
      </c>
      <c r="G1550" s="112">
        <f>'OPEN FOREIGN ORDER'!AD1176</f>
        <v>0</v>
      </c>
      <c r="H1550" s="112">
        <f>'OPEN FOREIGN ORDER'!AE1176</f>
        <v>0</v>
      </c>
      <c r="I1550" s="112">
        <f>'OPEN FOREIGN ORDER'!AF1176</f>
        <v>0</v>
      </c>
      <c r="J1550" s="112">
        <f>'OPEN FOREIGN ORDER'!AG1176</f>
        <v>0</v>
      </c>
    </row>
    <row r="1551" spans="1:10">
      <c r="A1551">
        <f>'OPEN FOREIGN ORDER'!D1177</f>
        <v>0</v>
      </c>
      <c r="B1551">
        <f>'OPEN FOREIGN ORDER'!F1177</f>
        <v>0</v>
      </c>
      <c r="C1551">
        <f>'OPEN FOREIGN ORDER'!Z1177</f>
        <v>0</v>
      </c>
      <c r="D1551" s="123">
        <f>'OPEN FOREIGN ORDER'!AA1177</f>
        <v>0</v>
      </c>
      <c r="E1551" s="112">
        <f>'OPEN FOREIGN ORDER'!AB1177</f>
        <v>0</v>
      </c>
      <c r="F1551" s="112">
        <f>'OPEN FOREIGN ORDER'!AC1177</f>
        <v>0</v>
      </c>
      <c r="G1551" s="112">
        <f>'OPEN FOREIGN ORDER'!AD1177</f>
        <v>0</v>
      </c>
      <c r="H1551" s="112">
        <f>'OPEN FOREIGN ORDER'!AE1177</f>
        <v>0</v>
      </c>
      <c r="I1551" s="112">
        <f>'OPEN FOREIGN ORDER'!AF1177</f>
        <v>0</v>
      </c>
      <c r="J1551" s="112">
        <f>'OPEN FOREIGN ORDER'!AG1177</f>
        <v>0</v>
      </c>
    </row>
    <row r="1552" spans="1:10">
      <c r="A1552">
        <f>'OPEN FOREIGN ORDER'!D1178</f>
        <v>0</v>
      </c>
      <c r="B1552">
        <f>'OPEN FOREIGN ORDER'!F1178</f>
        <v>0</v>
      </c>
      <c r="C1552">
        <f>'OPEN FOREIGN ORDER'!Z1178</f>
        <v>0</v>
      </c>
      <c r="D1552" s="123">
        <f>'OPEN FOREIGN ORDER'!AA1178</f>
        <v>0</v>
      </c>
      <c r="E1552" s="112">
        <f>'OPEN FOREIGN ORDER'!AB1178</f>
        <v>0</v>
      </c>
      <c r="F1552" s="112">
        <f>'OPEN FOREIGN ORDER'!AC1178</f>
        <v>0</v>
      </c>
      <c r="G1552" s="112">
        <f>'OPEN FOREIGN ORDER'!AD1178</f>
        <v>0</v>
      </c>
      <c r="H1552" s="112">
        <f>'OPEN FOREIGN ORDER'!AE1178</f>
        <v>0</v>
      </c>
      <c r="I1552" s="112">
        <f>'OPEN FOREIGN ORDER'!AF1178</f>
        <v>0</v>
      </c>
      <c r="J1552" s="112">
        <f>'OPEN FOREIGN ORDER'!AG1178</f>
        <v>0</v>
      </c>
    </row>
    <row r="1553" spans="1:10">
      <c r="A1553">
        <f>'OPEN FOREIGN ORDER'!D1179</f>
        <v>0</v>
      </c>
      <c r="B1553">
        <f>'OPEN FOREIGN ORDER'!F1179</f>
        <v>0</v>
      </c>
      <c r="C1553">
        <f>'OPEN FOREIGN ORDER'!Z1179</f>
        <v>0</v>
      </c>
      <c r="D1553" s="123">
        <f>'OPEN FOREIGN ORDER'!AA1179</f>
        <v>0</v>
      </c>
      <c r="E1553" s="112">
        <f>'OPEN FOREIGN ORDER'!AB1179</f>
        <v>0</v>
      </c>
      <c r="F1553" s="112">
        <f>'OPEN FOREIGN ORDER'!AC1179</f>
        <v>0</v>
      </c>
      <c r="G1553" s="112">
        <f>'OPEN FOREIGN ORDER'!AD1179</f>
        <v>0</v>
      </c>
      <c r="H1553" s="112">
        <f>'OPEN FOREIGN ORDER'!AE1179</f>
        <v>0</v>
      </c>
      <c r="I1553" s="112">
        <f>'OPEN FOREIGN ORDER'!AF1179</f>
        <v>0</v>
      </c>
      <c r="J1553" s="112">
        <f>'OPEN FOREIGN ORDER'!AG1179</f>
        <v>0</v>
      </c>
    </row>
    <row r="1554" spans="1:10">
      <c r="A1554">
        <f>'OPEN FOREIGN ORDER'!D1180</f>
        <v>0</v>
      </c>
      <c r="B1554">
        <f>'OPEN FOREIGN ORDER'!F1180</f>
        <v>0</v>
      </c>
      <c r="C1554">
        <f>'OPEN FOREIGN ORDER'!Z1180</f>
        <v>0</v>
      </c>
      <c r="D1554" s="123">
        <f>'OPEN FOREIGN ORDER'!AA1180</f>
        <v>0</v>
      </c>
      <c r="E1554" s="112">
        <f>'OPEN FOREIGN ORDER'!AB1180</f>
        <v>0</v>
      </c>
      <c r="F1554" s="112">
        <f>'OPEN FOREIGN ORDER'!AC1180</f>
        <v>0</v>
      </c>
      <c r="G1554" s="112">
        <f>'OPEN FOREIGN ORDER'!AD1180</f>
        <v>0</v>
      </c>
      <c r="H1554" s="112">
        <f>'OPEN FOREIGN ORDER'!AE1180</f>
        <v>0</v>
      </c>
      <c r="I1554" s="112">
        <f>'OPEN FOREIGN ORDER'!AF1180</f>
        <v>0</v>
      </c>
      <c r="J1554" s="112">
        <f>'OPEN FOREIGN ORDER'!AG1180</f>
        <v>0</v>
      </c>
    </row>
    <row r="1555" spans="1:10">
      <c r="A1555">
        <f>'OPEN FOREIGN ORDER'!D1181</f>
        <v>0</v>
      </c>
      <c r="B1555">
        <f>'OPEN FOREIGN ORDER'!F1181</f>
        <v>0</v>
      </c>
      <c r="C1555">
        <f>'OPEN FOREIGN ORDER'!Z1181</f>
        <v>0</v>
      </c>
      <c r="D1555" s="123">
        <f>'OPEN FOREIGN ORDER'!AA1181</f>
        <v>0</v>
      </c>
      <c r="E1555" s="112">
        <f>'OPEN FOREIGN ORDER'!AB1181</f>
        <v>0</v>
      </c>
      <c r="F1555" s="112">
        <f>'OPEN FOREIGN ORDER'!AC1181</f>
        <v>0</v>
      </c>
      <c r="G1555" s="112">
        <f>'OPEN FOREIGN ORDER'!AD1181</f>
        <v>0</v>
      </c>
      <c r="H1555" s="112">
        <f>'OPEN FOREIGN ORDER'!AE1181</f>
        <v>0</v>
      </c>
      <c r="I1555" s="112">
        <f>'OPEN FOREIGN ORDER'!AF1181</f>
        <v>0</v>
      </c>
      <c r="J1555" s="112">
        <f>'OPEN FOREIGN ORDER'!AG1181</f>
        <v>0</v>
      </c>
    </row>
    <row r="1556" spans="1:10">
      <c r="A1556">
        <f>'OPEN FOREIGN ORDER'!D1182</f>
        <v>0</v>
      </c>
      <c r="B1556">
        <f>'OPEN FOREIGN ORDER'!F1182</f>
        <v>0</v>
      </c>
      <c r="C1556">
        <f>'OPEN FOREIGN ORDER'!Z1182</f>
        <v>0</v>
      </c>
      <c r="D1556" s="123">
        <f>'OPEN FOREIGN ORDER'!AA1182</f>
        <v>0</v>
      </c>
      <c r="E1556" s="112">
        <f>'OPEN FOREIGN ORDER'!AB1182</f>
        <v>0</v>
      </c>
      <c r="F1556" s="112">
        <f>'OPEN FOREIGN ORDER'!AC1182</f>
        <v>0</v>
      </c>
      <c r="G1556" s="112">
        <f>'OPEN FOREIGN ORDER'!AD1182</f>
        <v>0</v>
      </c>
      <c r="H1556" s="112">
        <f>'OPEN FOREIGN ORDER'!AE1182</f>
        <v>0</v>
      </c>
      <c r="I1556" s="112">
        <f>'OPEN FOREIGN ORDER'!AF1182</f>
        <v>0</v>
      </c>
      <c r="J1556" s="112">
        <f>'OPEN FOREIGN ORDER'!AG1182</f>
        <v>0</v>
      </c>
    </row>
    <row r="1557" spans="1:10">
      <c r="A1557">
        <f>'OPEN FOREIGN ORDER'!D1183</f>
        <v>0</v>
      </c>
      <c r="B1557">
        <f>'OPEN FOREIGN ORDER'!F1183</f>
        <v>0</v>
      </c>
      <c r="C1557">
        <f>'OPEN FOREIGN ORDER'!Z1183</f>
        <v>0</v>
      </c>
      <c r="D1557" s="123">
        <f>'OPEN FOREIGN ORDER'!AA1183</f>
        <v>0</v>
      </c>
      <c r="E1557" s="112">
        <f>'OPEN FOREIGN ORDER'!AB1183</f>
        <v>0</v>
      </c>
      <c r="F1557" s="112">
        <f>'OPEN FOREIGN ORDER'!AC1183</f>
        <v>0</v>
      </c>
      <c r="G1557" s="112">
        <f>'OPEN FOREIGN ORDER'!AD1183</f>
        <v>0</v>
      </c>
      <c r="H1557" s="112">
        <f>'OPEN FOREIGN ORDER'!AE1183</f>
        <v>0</v>
      </c>
      <c r="I1557" s="112">
        <f>'OPEN FOREIGN ORDER'!AF1183</f>
        <v>0</v>
      </c>
      <c r="J1557" s="112">
        <f>'OPEN FOREIGN ORDER'!AG1183</f>
        <v>0</v>
      </c>
    </row>
    <row r="1558" spans="1:10">
      <c r="A1558">
        <f>'OPEN FOREIGN ORDER'!D1184</f>
        <v>0</v>
      </c>
      <c r="B1558">
        <f>'OPEN FOREIGN ORDER'!F1184</f>
        <v>0</v>
      </c>
      <c r="C1558">
        <f>'OPEN FOREIGN ORDER'!Z1184</f>
        <v>0</v>
      </c>
      <c r="D1558" s="123">
        <f>'OPEN FOREIGN ORDER'!AA1184</f>
        <v>0</v>
      </c>
      <c r="E1558" s="112">
        <f>'OPEN FOREIGN ORDER'!AB1184</f>
        <v>0</v>
      </c>
      <c r="F1558" s="112">
        <f>'OPEN FOREIGN ORDER'!AC1184</f>
        <v>0</v>
      </c>
      <c r="G1558" s="112">
        <f>'OPEN FOREIGN ORDER'!AD1184</f>
        <v>0</v>
      </c>
      <c r="H1558" s="112">
        <f>'OPEN FOREIGN ORDER'!AE1184</f>
        <v>0</v>
      </c>
      <c r="I1558" s="112">
        <f>'OPEN FOREIGN ORDER'!AF1184</f>
        <v>0</v>
      </c>
      <c r="J1558" s="112">
        <f>'OPEN FOREIGN ORDER'!AG1184</f>
        <v>0</v>
      </c>
    </row>
    <row r="1559" spans="1:10">
      <c r="A1559">
        <f>'OPEN FOREIGN ORDER'!D1185</f>
        <v>0</v>
      </c>
      <c r="B1559">
        <f>'OPEN FOREIGN ORDER'!F1185</f>
        <v>0</v>
      </c>
      <c r="C1559">
        <f>'OPEN FOREIGN ORDER'!Z1185</f>
        <v>0</v>
      </c>
      <c r="D1559" s="123">
        <f>'OPEN FOREIGN ORDER'!AA1185</f>
        <v>0</v>
      </c>
      <c r="E1559" s="112">
        <f>'OPEN FOREIGN ORDER'!AB1185</f>
        <v>0</v>
      </c>
      <c r="F1559" s="112">
        <f>'OPEN FOREIGN ORDER'!AC1185</f>
        <v>0</v>
      </c>
      <c r="G1559" s="112">
        <f>'OPEN FOREIGN ORDER'!AD1185</f>
        <v>0</v>
      </c>
      <c r="H1559" s="112">
        <f>'OPEN FOREIGN ORDER'!AE1185</f>
        <v>0</v>
      </c>
      <c r="I1559" s="112">
        <f>'OPEN FOREIGN ORDER'!AF1185</f>
        <v>0</v>
      </c>
      <c r="J1559" s="112">
        <f>'OPEN FOREIGN ORDER'!AG1185</f>
        <v>0</v>
      </c>
    </row>
    <row r="1560" spans="1:10">
      <c r="A1560">
        <f>'OPEN FOREIGN ORDER'!D1186</f>
        <v>0</v>
      </c>
      <c r="B1560">
        <f>'OPEN FOREIGN ORDER'!F1186</f>
        <v>0</v>
      </c>
      <c r="C1560">
        <f>'OPEN FOREIGN ORDER'!Z1186</f>
        <v>0</v>
      </c>
      <c r="D1560" s="123">
        <f>'OPEN FOREIGN ORDER'!AA1186</f>
        <v>0</v>
      </c>
      <c r="E1560" s="112">
        <f>'OPEN FOREIGN ORDER'!AB1186</f>
        <v>0</v>
      </c>
      <c r="F1560" s="112">
        <f>'OPEN FOREIGN ORDER'!AC1186</f>
        <v>0</v>
      </c>
      <c r="G1560" s="112">
        <f>'OPEN FOREIGN ORDER'!AD1186</f>
        <v>0</v>
      </c>
      <c r="H1560" s="112">
        <f>'OPEN FOREIGN ORDER'!AE1186</f>
        <v>0</v>
      </c>
      <c r="I1560" s="112">
        <f>'OPEN FOREIGN ORDER'!AF1186</f>
        <v>0</v>
      </c>
      <c r="J1560" s="112">
        <f>'OPEN FOREIGN ORDER'!AG1186</f>
        <v>0</v>
      </c>
    </row>
    <row r="1561" spans="1:10">
      <c r="A1561">
        <f>'OPEN FOREIGN ORDER'!D1187</f>
        <v>0</v>
      </c>
      <c r="B1561">
        <f>'OPEN FOREIGN ORDER'!F1187</f>
        <v>0</v>
      </c>
      <c r="C1561">
        <f>'OPEN FOREIGN ORDER'!Z1187</f>
        <v>0</v>
      </c>
      <c r="D1561" s="123">
        <f>'OPEN FOREIGN ORDER'!AA1187</f>
        <v>0</v>
      </c>
      <c r="E1561" s="112">
        <f>'OPEN FOREIGN ORDER'!AB1187</f>
        <v>0</v>
      </c>
      <c r="F1561" s="112">
        <f>'OPEN FOREIGN ORDER'!AC1187</f>
        <v>0</v>
      </c>
      <c r="G1561" s="112">
        <f>'OPEN FOREIGN ORDER'!AD1187</f>
        <v>0</v>
      </c>
      <c r="H1561" s="112">
        <f>'OPEN FOREIGN ORDER'!AE1187</f>
        <v>0</v>
      </c>
      <c r="I1561" s="112">
        <f>'OPEN FOREIGN ORDER'!AF1187</f>
        <v>0</v>
      </c>
      <c r="J1561" s="112">
        <f>'OPEN FOREIGN ORDER'!AG1187</f>
        <v>0</v>
      </c>
    </row>
    <row r="1562" spans="1:10">
      <c r="A1562">
        <f>'OPEN FOREIGN ORDER'!D1188</f>
        <v>0</v>
      </c>
      <c r="B1562">
        <f>'OPEN FOREIGN ORDER'!F1188</f>
        <v>0</v>
      </c>
      <c r="C1562">
        <f>'OPEN FOREIGN ORDER'!Z1188</f>
        <v>0</v>
      </c>
      <c r="D1562" s="123">
        <f>'OPEN FOREIGN ORDER'!AA1188</f>
        <v>0</v>
      </c>
      <c r="E1562" s="112">
        <f>'OPEN FOREIGN ORDER'!AB1188</f>
        <v>0</v>
      </c>
      <c r="F1562" s="112">
        <f>'OPEN FOREIGN ORDER'!AC1188</f>
        <v>0</v>
      </c>
      <c r="G1562" s="112">
        <f>'OPEN FOREIGN ORDER'!AD1188</f>
        <v>0</v>
      </c>
      <c r="H1562" s="112">
        <f>'OPEN FOREIGN ORDER'!AE1188</f>
        <v>0</v>
      </c>
      <c r="I1562" s="112">
        <f>'OPEN FOREIGN ORDER'!AF1188</f>
        <v>0</v>
      </c>
      <c r="J1562" s="112">
        <f>'OPEN FOREIGN ORDER'!AG1188</f>
        <v>0</v>
      </c>
    </row>
    <row r="1563" spans="1:10">
      <c r="A1563">
        <f>'OPEN FOREIGN ORDER'!D1189</f>
        <v>0</v>
      </c>
      <c r="B1563">
        <f>'OPEN FOREIGN ORDER'!F1189</f>
        <v>0</v>
      </c>
      <c r="C1563">
        <f>'OPEN FOREIGN ORDER'!Z1189</f>
        <v>0</v>
      </c>
      <c r="D1563" s="123">
        <f>'OPEN FOREIGN ORDER'!AA1189</f>
        <v>0</v>
      </c>
      <c r="E1563" s="112">
        <f>'OPEN FOREIGN ORDER'!AB1189</f>
        <v>0</v>
      </c>
      <c r="F1563" s="112">
        <f>'OPEN FOREIGN ORDER'!AC1189</f>
        <v>0</v>
      </c>
      <c r="G1563" s="112">
        <f>'OPEN FOREIGN ORDER'!AD1189</f>
        <v>0</v>
      </c>
      <c r="H1563" s="112">
        <f>'OPEN FOREIGN ORDER'!AE1189</f>
        <v>0</v>
      </c>
      <c r="I1563" s="112">
        <f>'OPEN FOREIGN ORDER'!AF1189</f>
        <v>0</v>
      </c>
      <c r="J1563" s="112">
        <f>'OPEN FOREIGN ORDER'!AG1189</f>
        <v>0</v>
      </c>
    </row>
    <row r="1564" spans="1:10">
      <c r="A1564">
        <f>'OPEN FOREIGN ORDER'!D1190</f>
        <v>0</v>
      </c>
      <c r="B1564">
        <f>'OPEN FOREIGN ORDER'!F1190</f>
        <v>0</v>
      </c>
      <c r="C1564">
        <f>'OPEN FOREIGN ORDER'!Z1190</f>
        <v>0</v>
      </c>
      <c r="D1564" s="123">
        <f>'OPEN FOREIGN ORDER'!AA1190</f>
        <v>0</v>
      </c>
      <c r="E1564" s="112">
        <f>'OPEN FOREIGN ORDER'!AB1190</f>
        <v>0</v>
      </c>
      <c r="F1564" s="112">
        <f>'OPEN FOREIGN ORDER'!AC1190</f>
        <v>0</v>
      </c>
      <c r="G1564" s="112">
        <f>'OPEN FOREIGN ORDER'!AD1190</f>
        <v>0</v>
      </c>
      <c r="H1564" s="112">
        <f>'OPEN FOREIGN ORDER'!AE1190</f>
        <v>0</v>
      </c>
      <c r="I1564" s="112">
        <f>'OPEN FOREIGN ORDER'!AF1190</f>
        <v>0</v>
      </c>
      <c r="J1564" s="112">
        <f>'OPEN FOREIGN ORDER'!AG1190</f>
        <v>0</v>
      </c>
    </row>
    <row r="1565" spans="1:10">
      <c r="A1565">
        <f>'OPEN FOREIGN ORDER'!D1191</f>
        <v>0</v>
      </c>
      <c r="B1565">
        <f>'OPEN FOREIGN ORDER'!F1191</f>
        <v>0</v>
      </c>
      <c r="C1565">
        <f>'OPEN FOREIGN ORDER'!Z1191</f>
        <v>0</v>
      </c>
      <c r="D1565" s="123">
        <f>'OPEN FOREIGN ORDER'!AA1191</f>
        <v>0</v>
      </c>
      <c r="E1565" s="112">
        <f>'OPEN FOREIGN ORDER'!AB1191</f>
        <v>0</v>
      </c>
      <c r="F1565" s="112">
        <f>'OPEN FOREIGN ORDER'!AC1191</f>
        <v>0</v>
      </c>
      <c r="G1565" s="112">
        <f>'OPEN FOREIGN ORDER'!AD1191</f>
        <v>0</v>
      </c>
      <c r="H1565" s="112">
        <f>'OPEN FOREIGN ORDER'!AE1191</f>
        <v>0</v>
      </c>
      <c r="I1565" s="112">
        <f>'OPEN FOREIGN ORDER'!AF1191</f>
        <v>0</v>
      </c>
      <c r="J1565" s="112">
        <f>'OPEN FOREIGN ORDER'!AG1191</f>
        <v>0</v>
      </c>
    </row>
    <row r="1566" spans="1:10">
      <c r="A1566">
        <f>'OPEN FOREIGN ORDER'!D1192</f>
        <v>0</v>
      </c>
      <c r="B1566">
        <f>'OPEN FOREIGN ORDER'!F1192</f>
        <v>0</v>
      </c>
      <c r="C1566">
        <f>'OPEN FOREIGN ORDER'!Z1192</f>
        <v>0</v>
      </c>
      <c r="D1566" s="123">
        <f>'OPEN FOREIGN ORDER'!AA1192</f>
        <v>0</v>
      </c>
      <c r="E1566" s="112">
        <f>'OPEN FOREIGN ORDER'!AB1192</f>
        <v>0</v>
      </c>
      <c r="F1566" s="112">
        <f>'OPEN FOREIGN ORDER'!AC1192</f>
        <v>0</v>
      </c>
      <c r="G1566" s="112">
        <f>'OPEN FOREIGN ORDER'!AD1192</f>
        <v>0</v>
      </c>
      <c r="H1566" s="112">
        <f>'OPEN FOREIGN ORDER'!AE1192</f>
        <v>0</v>
      </c>
      <c r="I1566" s="112">
        <f>'OPEN FOREIGN ORDER'!AF1192</f>
        <v>0</v>
      </c>
      <c r="J1566" s="112">
        <f>'OPEN FOREIGN ORDER'!AG1192</f>
        <v>0</v>
      </c>
    </row>
    <row r="1567" spans="1:10">
      <c r="A1567">
        <f>'OPEN FOREIGN ORDER'!D1193</f>
        <v>0</v>
      </c>
      <c r="B1567">
        <f>'OPEN FOREIGN ORDER'!F1193</f>
        <v>0</v>
      </c>
      <c r="C1567">
        <f>'OPEN FOREIGN ORDER'!Z1193</f>
        <v>0</v>
      </c>
      <c r="D1567" s="123">
        <f>'OPEN FOREIGN ORDER'!AA1193</f>
        <v>0</v>
      </c>
      <c r="E1567" s="112">
        <f>'OPEN FOREIGN ORDER'!AB1193</f>
        <v>0</v>
      </c>
      <c r="F1567" s="112">
        <f>'OPEN FOREIGN ORDER'!AC1193</f>
        <v>0</v>
      </c>
      <c r="G1567" s="112">
        <f>'OPEN FOREIGN ORDER'!AD1193</f>
        <v>0</v>
      </c>
      <c r="H1567" s="112">
        <f>'OPEN FOREIGN ORDER'!AE1193</f>
        <v>0</v>
      </c>
      <c r="I1567" s="112">
        <f>'OPEN FOREIGN ORDER'!AF1193</f>
        <v>0</v>
      </c>
      <c r="J1567" s="112">
        <f>'OPEN FOREIGN ORDER'!AG1193</f>
        <v>0</v>
      </c>
    </row>
    <row r="1568" spans="1:10">
      <c r="A1568">
        <f>'OPEN FOREIGN ORDER'!D1194</f>
        <v>0</v>
      </c>
      <c r="B1568">
        <f>'OPEN FOREIGN ORDER'!F1194</f>
        <v>0</v>
      </c>
      <c r="C1568">
        <f>'OPEN FOREIGN ORDER'!Z1194</f>
        <v>0</v>
      </c>
      <c r="D1568" s="123">
        <f>'OPEN FOREIGN ORDER'!AA1194</f>
        <v>0</v>
      </c>
      <c r="E1568" s="112">
        <f>'OPEN FOREIGN ORDER'!AB1194</f>
        <v>0</v>
      </c>
      <c r="F1568" s="112">
        <f>'OPEN FOREIGN ORDER'!AC1194</f>
        <v>0</v>
      </c>
      <c r="G1568" s="112">
        <f>'OPEN FOREIGN ORDER'!AD1194</f>
        <v>0</v>
      </c>
      <c r="H1568" s="112">
        <f>'OPEN FOREIGN ORDER'!AE1194</f>
        <v>0</v>
      </c>
      <c r="I1568" s="112">
        <f>'OPEN FOREIGN ORDER'!AF1194</f>
        <v>0</v>
      </c>
      <c r="J1568" s="112">
        <f>'OPEN FOREIGN ORDER'!AG1194</f>
        <v>0</v>
      </c>
    </row>
    <row r="1569" spans="1:10">
      <c r="A1569">
        <f>'OPEN FOREIGN ORDER'!D1195</f>
        <v>0</v>
      </c>
      <c r="B1569">
        <f>'OPEN FOREIGN ORDER'!F1195</f>
        <v>0</v>
      </c>
      <c r="C1569">
        <f>'OPEN FOREIGN ORDER'!Z1195</f>
        <v>0</v>
      </c>
      <c r="D1569" s="123">
        <f>'OPEN FOREIGN ORDER'!AA1195</f>
        <v>0</v>
      </c>
      <c r="E1569" s="112">
        <f>'OPEN FOREIGN ORDER'!AB1195</f>
        <v>0</v>
      </c>
      <c r="F1569" s="112">
        <f>'OPEN FOREIGN ORDER'!AC1195</f>
        <v>0</v>
      </c>
      <c r="G1569" s="112">
        <f>'OPEN FOREIGN ORDER'!AD1195</f>
        <v>0</v>
      </c>
      <c r="H1569" s="112">
        <f>'OPEN FOREIGN ORDER'!AE1195</f>
        <v>0</v>
      </c>
      <c r="I1569" s="112">
        <f>'OPEN FOREIGN ORDER'!AF1195</f>
        <v>0</v>
      </c>
      <c r="J1569" s="112">
        <f>'OPEN FOREIGN ORDER'!AG1195</f>
        <v>0</v>
      </c>
    </row>
    <row r="1570" spans="1:10">
      <c r="A1570">
        <f>'OPEN FOREIGN ORDER'!D1196</f>
        <v>0</v>
      </c>
      <c r="B1570">
        <f>'OPEN FOREIGN ORDER'!F1196</f>
        <v>0</v>
      </c>
      <c r="C1570">
        <f>'OPEN FOREIGN ORDER'!Z1196</f>
        <v>0</v>
      </c>
      <c r="D1570" s="123">
        <f>'OPEN FOREIGN ORDER'!AA1196</f>
        <v>0</v>
      </c>
      <c r="E1570" s="112">
        <f>'OPEN FOREIGN ORDER'!AB1196</f>
        <v>0</v>
      </c>
      <c r="F1570" s="112">
        <f>'OPEN FOREIGN ORDER'!AC1196</f>
        <v>0</v>
      </c>
      <c r="G1570" s="112">
        <f>'OPEN FOREIGN ORDER'!AD1196</f>
        <v>0</v>
      </c>
      <c r="H1570" s="112">
        <f>'OPEN FOREIGN ORDER'!AE1196</f>
        <v>0</v>
      </c>
      <c r="I1570" s="112">
        <f>'OPEN FOREIGN ORDER'!AF1196</f>
        <v>0</v>
      </c>
      <c r="J1570" s="112">
        <f>'OPEN FOREIGN ORDER'!AG1196</f>
        <v>0</v>
      </c>
    </row>
    <row r="1571" spans="1:10">
      <c r="A1571">
        <f>'OPEN FOREIGN ORDER'!D1197</f>
        <v>0</v>
      </c>
      <c r="B1571">
        <f>'OPEN FOREIGN ORDER'!F1197</f>
        <v>0</v>
      </c>
      <c r="C1571">
        <f>'OPEN FOREIGN ORDER'!Z1197</f>
        <v>0</v>
      </c>
      <c r="D1571" s="123">
        <f>'OPEN FOREIGN ORDER'!AA1197</f>
        <v>0</v>
      </c>
      <c r="E1571" s="112">
        <f>'OPEN FOREIGN ORDER'!AB1197</f>
        <v>0</v>
      </c>
      <c r="F1571" s="112">
        <f>'OPEN FOREIGN ORDER'!AC1197</f>
        <v>0</v>
      </c>
      <c r="G1571" s="112">
        <f>'OPEN FOREIGN ORDER'!AD1197</f>
        <v>0</v>
      </c>
      <c r="H1571" s="112">
        <f>'OPEN FOREIGN ORDER'!AE1197</f>
        <v>0</v>
      </c>
      <c r="I1571" s="112">
        <f>'OPEN FOREIGN ORDER'!AF1197</f>
        <v>0</v>
      </c>
      <c r="J1571" s="112">
        <f>'OPEN FOREIGN ORDER'!AG1197</f>
        <v>0</v>
      </c>
    </row>
    <row r="1572" spans="1:10">
      <c r="A1572">
        <f>'OPEN FOREIGN ORDER'!D1198</f>
        <v>0</v>
      </c>
      <c r="B1572">
        <f>'OPEN FOREIGN ORDER'!F1198</f>
        <v>0</v>
      </c>
      <c r="C1572">
        <f>'OPEN FOREIGN ORDER'!Z1198</f>
        <v>0</v>
      </c>
      <c r="D1572" s="123">
        <f>'OPEN FOREIGN ORDER'!AA1198</f>
        <v>0</v>
      </c>
      <c r="E1572" s="112">
        <f>'OPEN FOREIGN ORDER'!AB1198</f>
        <v>0</v>
      </c>
      <c r="F1572" s="112">
        <f>'OPEN FOREIGN ORDER'!AC1198</f>
        <v>0</v>
      </c>
      <c r="G1572" s="112">
        <f>'OPEN FOREIGN ORDER'!AD1198</f>
        <v>0</v>
      </c>
      <c r="H1572" s="112">
        <f>'OPEN FOREIGN ORDER'!AE1198</f>
        <v>0</v>
      </c>
      <c r="I1572" s="112">
        <f>'OPEN FOREIGN ORDER'!AF1198</f>
        <v>0</v>
      </c>
      <c r="J1572" s="112">
        <f>'OPEN FOREIGN ORDER'!AG1198</f>
        <v>0</v>
      </c>
    </row>
    <row r="1573" spans="1:10">
      <c r="A1573">
        <f>'OPEN FOREIGN ORDER'!D1199</f>
        <v>0</v>
      </c>
      <c r="B1573">
        <f>'OPEN FOREIGN ORDER'!F1199</f>
        <v>0</v>
      </c>
      <c r="C1573">
        <f>'OPEN FOREIGN ORDER'!Z1199</f>
        <v>0</v>
      </c>
      <c r="D1573" s="123">
        <f>'OPEN FOREIGN ORDER'!AA1199</f>
        <v>0</v>
      </c>
      <c r="E1573" s="112">
        <f>'OPEN FOREIGN ORDER'!AB1199</f>
        <v>0</v>
      </c>
      <c r="F1573" s="112">
        <f>'OPEN FOREIGN ORDER'!AC1199</f>
        <v>0</v>
      </c>
      <c r="G1573" s="112">
        <f>'OPEN FOREIGN ORDER'!AD1199</f>
        <v>0</v>
      </c>
      <c r="H1573" s="112">
        <f>'OPEN FOREIGN ORDER'!AE1199</f>
        <v>0</v>
      </c>
      <c r="I1573" s="112">
        <f>'OPEN FOREIGN ORDER'!AF1199</f>
        <v>0</v>
      </c>
      <c r="J1573" s="112">
        <f>'OPEN FOREIGN ORDER'!AG1199</f>
        <v>0</v>
      </c>
    </row>
    <row r="1574" spans="1:10">
      <c r="A1574">
        <f>'OPEN FOREIGN ORDER'!D1200</f>
        <v>0</v>
      </c>
      <c r="B1574">
        <f>'OPEN FOREIGN ORDER'!F1200</f>
        <v>0</v>
      </c>
      <c r="C1574">
        <f>'OPEN FOREIGN ORDER'!Z1200</f>
        <v>0</v>
      </c>
      <c r="D1574" s="123">
        <f>'OPEN FOREIGN ORDER'!AA1200</f>
        <v>0</v>
      </c>
      <c r="E1574" s="112">
        <f>'OPEN FOREIGN ORDER'!AB1200</f>
        <v>0</v>
      </c>
      <c r="F1574" s="112">
        <f>'OPEN FOREIGN ORDER'!AC1200</f>
        <v>0</v>
      </c>
      <c r="G1574" s="112">
        <f>'OPEN FOREIGN ORDER'!AD1200</f>
        <v>0</v>
      </c>
      <c r="H1574" s="112">
        <f>'OPEN FOREIGN ORDER'!AE1200</f>
        <v>0</v>
      </c>
      <c r="I1574" s="112">
        <f>'OPEN FOREIGN ORDER'!AF1200</f>
        <v>0</v>
      </c>
      <c r="J1574" s="112">
        <f>'OPEN FOREIGN ORDER'!AG1200</f>
        <v>0</v>
      </c>
    </row>
    <row r="1575" spans="1:10">
      <c r="A1575">
        <f>'OPEN FOREIGN ORDER'!D1201</f>
        <v>0</v>
      </c>
      <c r="B1575">
        <f>'OPEN FOREIGN ORDER'!F1201</f>
        <v>0</v>
      </c>
      <c r="C1575">
        <f>'OPEN FOREIGN ORDER'!Z1201</f>
        <v>0</v>
      </c>
      <c r="D1575" s="123">
        <f>'OPEN FOREIGN ORDER'!AA1201</f>
        <v>0</v>
      </c>
      <c r="E1575" s="112">
        <f>'OPEN FOREIGN ORDER'!AB1201</f>
        <v>0</v>
      </c>
      <c r="F1575" s="112">
        <f>'OPEN FOREIGN ORDER'!AC1201</f>
        <v>0</v>
      </c>
      <c r="G1575" s="112">
        <f>'OPEN FOREIGN ORDER'!AD1201</f>
        <v>0</v>
      </c>
      <c r="H1575" s="112">
        <f>'OPEN FOREIGN ORDER'!AE1201</f>
        <v>0</v>
      </c>
      <c r="I1575" s="112">
        <f>'OPEN FOREIGN ORDER'!AF1201</f>
        <v>0</v>
      </c>
      <c r="J1575" s="112">
        <f>'OPEN FOREIGN ORDER'!AG1201</f>
        <v>0</v>
      </c>
    </row>
    <row r="1576" spans="1:10">
      <c r="A1576">
        <f>'OPEN FOREIGN ORDER'!D1202</f>
        <v>0</v>
      </c>
      <c r="B1576">
        <f>'OPEN FOREIGN ORDER'!F1202</f>
        <v>0</v>
      </c>
      <c r="C1576">
        <f>'OPEN FOREIGN ORDER'!Z1202</f>
        <v>0</v>
      </c>
      <c r="D1576" s="123">
        <f>'OPEN FOREIGN ORDER'!AA1202</f>
        <v>0</v>
      </c>
      <c r="E1576" s="112">
        <f>'OPEN FOREIGN ORDER'!AB1202</f>
        <v>0</v>
      </c>
      <c r="F1576" s="112">
        <f>'OPEN FOREIGN ORDER'!AC1202</f>
        <v>0</v>
      </c>
      <c r="G1576" s="112">
        <f>'OPEN FOREIGN ORDER'!AD1202</f>
        <v>0</v>
      </c>
      <c r="H1576" s="112">
        <f>'OPEN FOREIGN ORDER'!AE1202</f>
        <v>0</v>
      </c>
      <c r="I1576" s="112">
        <f>'OPEN FOREIGN ORDER'!AF1202</f>
        <v>0</v>
      </c>
      <c r="J1576" s="112">
        <f>'OPEN FOREIGN ORDER'!AG1202</f>
        <v>0</v>
      </c>
    </row>
    <row r="1577" spans="1:10">
      <c r="A1577">
        <f>'OPEN FOREIGN ORDER'!D1203</f>
        <v>0</v>
      </c>
      <c r="B1577">
        <f>'OPEN FOREIGN ORDER'!F1203</f>
        <v>0</v>
      </c>
      <c r="C1577">
        <f>'OPEN FOREIGN ORDER'!Z1203</f>
        <v>0</v>
      </c>
      <c r="D1577" s="123">
        <f>'OPEN FOREIGN ORDER'!AA1203</f>
        <v>0</v>
      </c>
      <c r="E1577" s="112">
        <f>'OPEN FOREIGN ORDER'!AB1203</f>
        <v>0</v>
      </c>
      <c r="F1577" s="112">
        <f>'OPEN FOREIGN ORDER'!AC1203</f>
        <v>0</v>
      </c>
      <c r="G1577" s="112">
        <f>'OPEN FOREIGN ORDER'!AD1203</f>
        <v>0</v>
      </c>
      <c r="H1577" s="112">
        <f>'OPEN FOREIGN ORDER'!AE1203</f>
        <v>0</v>
      </c>
      <c r="I1577" s="112">
        <f>'OPEN FOREIGN ORDER'!AF1203</f>
        <v>0</v>
      </c>
      <c r="J1577" s="112">
        <f>'OPEN FOREIGN ORDER'!AG1203</f>
        <v>0</v>
      </c>
    </row>
    <row r="1578" spans="1:10">
      <c r="A1578">
        <f>'OPEN FOREIGN ORDER'!D1204</f>
        <v>0</v>
      </c>
      <c r="B1578">
        <f>'OPEN FOREIGN ORDER'!F1204</f>
        <v>0</v>
      </c>
      <c r="C1578">
        <f>'OPEN FOREIGN ORDER'!Z1204</f>
        <v>0</v>
      </c>
      <c r="D1578" s="123">
        <f>'OPEN FOREIGN ORDER'!AA1204</f>
        <v>0</v>
      </c>
      <c r="E1578" s="112">
        <f>'OPEN FOREIGN ORDER'!AB1204</f>
        <v>0</v>
      </c>
      <c r="F1578" s="112">
        <f>'OPEN FOREIGN ORDER'!AC1204</f>
        <v>0</v>
      </c>
      <c r="G1578" s="112">
        <f>'OPEN FOREIGN ORDER'!AD1204</f>
        <v>0</v>
      </c>
      <c r="H1578" s="112">
        <f>'OPEN FOREIGN ORDER'!AE1204</f>
        <v>0</v>
      </c>
      <c r="I1578" s="112">
        <f>'OPEN FOREIGN ORDER'!AF1204</f>
        <v>0</v>
      </c>
      <c r="J1578" s="112">
        <f>'OPEN FOREIGN ORDER'!AG1204</f>
        <v>0</v>
      </c>
    </row>
    <row r="1579" spans="1:10">
      <c r="A1579">
        <f>'OPEN FOREIGN ORDER'!D1205</f>
        <v>0</v>
      </c>
      <c r="B1579">
        <f>'OPEN FOREIGN ORDER'!F1205</f>
        <v>0</v>
      </c>
      <c r="C1579">
        <f>'OPEN FOREIGN ORDER'!Z1205</f>
        <v>0</v>
      </c>
      <c r="D1579" s="123">
        <f>'OPEN FOREIGN ORDER'!AA1205</f>
        <v>0</v>
      </c>
      <c r="E1579" s="112">
        <f>'OPEN FOREIGN ORDER'!AB1205</f>
        <v>0</v>
      </c>
      <c r="F1579" s="112">
        <f>'OPEN FOREIGN ORDER'!AC1205</f>
        <v>0</v>
      </c>
      <c r="G1579" s="112">
        <f>'OPEN FOREIGN ORDER'!AD1205</f>
        <v>0</v>
      </c>
      <c r="H1579" s="112">
        <f>'OPEN FOREIGN ORDER'!AE1205</f>
        <v>0</v>
      </c>
      <c r="I1579" s="112">
        <f>'OPEN FOREIGN ORDER'!AF1205</f>
        <v>0</v>
      </c>
      <c r="J1579" s="112">
        <f>'OPEN FOREIGN ORDER'!AG1205</f>
        <v>0</v>
      </c>
    </row>
    <row r="1580" spans="1:10">
      <c r="A1580">
        <f>'OPEN FOREIGN ORDER'!D1206</f>
        <v>0</v>
      </c>
      <c r="B1580">
        <f>'OPEN FOREIGN ORDER'!F1206</f>
        <v>0</v>
      </c>
      <c r="C1580">
        <f>'OPEN FOREIGN ORDER'!Z1206</f>
        <v>0</v>
      </c>
      <c r="D1580" s="123">
        <f>'OPEN FOREIGN ORDER'!AA1206</f>
        <v>0</v>
      </c>
      <c r="E1580" s="112">
        <f>'OPEN FOREIGN ORDER'!AB1206</f>
        <v>0</v>
      </c>
      <c r="F1580" s="112">
        <f>'OPEN FOREIGN ORDER'!AC1206</f>
        <v>0</v>
      </c>
      <c r="G1580" s="112">
        <f>'OPEN FOREIGN ORDER'!AD1206</f>
        <v>0</v>
      </c>
      <c r="H1580" s="112">
        <f>'OPEN FOREIGN ORDER'!AE1206</f>
        <v>0</v>
      </c>
      <c r="I1580" s="112">
        <f>'OPEN FOREIGN ORDER'!AF1206</f>
        <v>0</v>
      </c>
      <c r="J1580" s="112">
        <f>'OPEN FOREIGN ORDER'!AG1206</f>
        <v>0</v>
      </c>
    </row>
    <row r="1581" spans="1:10">
      <c r="A1581">
        <f>'OPEN FOREIGN ORDER'!D1207</f>
        <v>0</v>
      </c>
      <c r="B1581">
        <f>'OPEN FOREIGN ORDER'!F1207</f>
        <v>0</v>
      </c>
      <c r="C1581">
        <f>'OPEN FOREIGN ORDER'!Z1207</f>
        <v>0</v>
      </c>
      <c r="D1581" s="123">
        <f>'OPEN FOREIGN ORDER'!AA1207</f>
        <v>0</v>
      </c>
      <c r="E1581" s="112">
        <f>'OPEN FOREIGN ORDER'!AB1207</f>
        <v>0</v>
      </c>
      <c r="F1581" s="112">
        <f>'OPEN FOREIGN ORDER'!AC1207</f>
        <v>0</v>
      </c>
      <c r="G1581" s="112">
        <f>'OPEN FOREIGN ORDER'!AD1207</f>
        <v>0</v>
      </c>
      <c r="H1581" s="112">
        <f>'OPEN FOREIGN ORDER'!AE1207</f>
        <v>0</v>
      </c>
      <c r="I1581" s="112">
        <f>'OPEN FOREIGN ORDER'!AF1207</f>
        <v>0</v>
      </c>
      <c r="J1581" s="112">
        <f>'OPEN FOREIGN ORDER'!AG1207</f>
        <v>0</v>
      </c>
    </row>
    <row r="1582" spans="1:10">
      <c r="A1582">
        <f>'OPEN FOREIGN ORDER'!D1208</f>
        <v>0</v>
      </c>
      <c r="B1582">
        <f>'OPEN FOREIGN ORDER'!F1208</f>
        <v>0</v>
      </c>
      <c r="C1582">
        <f>'OPEN FOREIGN ORDER'!Z1208</f>
        <v>0</v>
      </c>
      <c r="D1582" s="123">
        <f>'OPEN FOREIGN ORDER'!AA1208</f>
        <v>0</v>
      </c>
      <c r="E1582" s="112">
        <f>'OPEN FOREIGN ORDER'!AB1208</f>
        <v>0</v>
      </c>
      <c r="F1582" s="112">
        <f>'OPEN FOREIGN ORDER'!AC1208</f>
        <v>0</v>
      </c>
      <c r="G1582" s="112">
        <f>'OPEN FOREIGN ORDER'!AD1208</f>
        <v>0</v>
      </c>
      <c r="H1582" s="112">
        <f>'OPEN FOREIGN ORDER'!AE1208</f>
        <v>0</v>
      </c>
      <c r="I1582" s="112">
        <f>'OPEN FOREIGN ORDER'!AF1208</f>
        <v>0</v>
      </c>
      <c r="J1582" s="112">
        <f>'OPEN FOREIGN ORDER'!AG1208</f>
        <v>0</v>
      </c>
    </row>
    <row r="1583" spans="1:10">
      <c r="A1583">
        <f>'OPEN FOREIGN ORDER'!D1209</f>
        <v>0</v>
      </c>
      <c r="B1583">
        <f>'OPEN FOREIGN ORDER'!F1209</f>
        <v>0</v>
      </c>
      <c r="C1583">
        <f>'OPEN FOREIGN ORDER'!Z1209</f>
        <v>0</v>
      </c>
      <c r="D1583" s="123">
        <f>'OPEN FOREIGN ORDER'!AA1209</f>
        <v>0</v>
      </c>
      <c r="E1583" s="112">
        <f>'OPEN FOREIGN ORDER'!AB1209</f>
        <v>0</v>
      </c>
      <c r="F1583" s="112">
        <f>'OPEN FOREIGN ORDER'!AC1209</f>
        <v>0</v>
      </c>
      <c r="G1583" s="112">
        <f>'OPEN FOREIGN ORDER'!AD1209</f>
        <v>0</v>
      </c>
      <c r="H1583" s="112">
        <f>'OPEN FOREIGN ORDER'!AE1209</f>
        <v>0</v>
      </c>
      <c r="I1583" s="112">
        <f>'OPEN FOREIGN ORDER'!AF1209</f>
        <v>0</v>
      </c>
      <c r="J1583" s="112">
        <f>'OPEN FOREIGN ORDER'!AG1209</f>
        <v>0</v>
      </c>
    </row>
    <row r="1584" spans="1:10">
      <c r="A1584">
        <f>'OPEN FOREIGN ORDER'!D1210</f>
        <v>0</v>
      </c>
      <c r="B1584">
        <f>'OPEN FOREIGN ORDER'!F1210</f>
        <v>0</v>
      </c>
      <c r="C1584">
        <f>'OPEN FOREIGN ORDER'!Z1210</f>
        <v>0</v>
      </c>
      <c r="D1584" s="123">
        <f>'OPEN FOREIGN ORDER'!AA1210</f>
        <v>0</v>
      </c>
      <c r="E1584" s="112">
        <f>'OPEN FOREIGN ORDER'!AB1210</f>
        <v>0</v>
      </c>
      <c r="F1584" s="112">
        <f>'OPEN FOREIGN ORDER'!AC1210</f>
        <v>0</v>
      </c>
      <c r="G1584" s="112">
        <f>'OPEN FOREIGN ORDER'!AD1210</f>
        <v>0</v>
      </c>
      <c r="H1584" s="112">
        <f>'OPEN FOREIGN ORDER'!AE1210</f>
        <v>0</v>
      </c>
      <c r="I1584" s="112">
        <f>'OPEN FOREIGN ORDER'!AF1210</f>
        <v>0</v>
      </c>
      <c r="J1584" s="112">
        <f>'OPEN FOREIGN ORDER'!AG1210</f>
        <v>0</v>
      </c>
    </row>
    <row r="1585" spans="1:10">
      <c r="A1585">
        <f>'OPEN FOREIGN ORDER'!D1211</f>
        <v>0</v>
      </c>
      <c r="B1585">
        <f>'OPEN FOREIGN ORDER'!F1211</f>
        <v>0</v>
      </c>
      <c r="C1585">
        <f>'OPEN FOREIGN ORDER'!Z1211</f>
        <v>0</v>
      </c>
      <c r="D1585" s="123">
        <f>'OPEN FOREIGN ORDER'!AA1211</f>
        <v>0</v>
      </c>
      <c r="E1585" s="112">
        <f>'OPEN FOREIGN ORDER'!AB1211</f>
        <v>0</v>
      </c>
      <c r="F1585" s="112">
        <f>'OPEN FOREIGN ORDER'!AC1211</f>
        <v>0</v>
      </c>
      <c r="G1585" s="112">
        <f>'OPEN FOREIGN ORDER'!AD1211</f>
        <v>0</v>
      </c>
      <c r="H1585" s="112">
        <f>'OPEN FOREIGN ORDER'!AE1211</f>
        <v>0</v>
      </c>
      <c r="I1585" s="112">
        <f>'OPEN FOREIGN ORDER'!AF1211</f>
        <v>0</v>
      </c>
      <c r="J1585" s="112">
        <f>'OPEN FOREIGN ORDER'!AG1211</f>
        <v>0</v>
      </c>
    </row>
    <row r="1586" spans="1:10">
      <c r="A1586">
        <f>'OPEN FOREIGN ORDER'!D1212</f>
        <v>0</v>
      </c>
      <c r="B1586">
        <f>'OPEN FOREIGN ORDER'!F1212</f>
        <v>0</v>
      </c>
      <c r="C1586">
        <f>'OPEN FOREIGN ORDER'!Z1212</f>
        <v>0</v>
      </c>
      <c r="D1586" s="123">
        <f>'OPEN FOREIGN ORDER'!AA1212</f>
        <v>0</v>
      </c>
      <c r="E1586" s="112">
        <f>'OPEN FOREIGN ORDER'!AB1212</f>
        <v>0</v>
      </c>
      <c r="F1586" s="112">
        <f>'OPEN FOREIGN ORDER'!AC1212</f>
        <v>0</v>
      </c>
      <c r="G1586" s="112">
        <f>'OPEN FOREIGN ORDER'!AD1212</f>
        <v>0</v>
      </c>
      <c r="H1586" s="112">
        <f>'OPEN FOREIGN ORDER'!AE1212</f>
        <v>0</v>
      </c>
      <c r="I1586" s="112">
        <f>'OPEN FOREIGN ORDER'!AF1212</f>
        <v>0</v>
      </c>
      <c r="J1586" s="112">
        <f>'OPEN FOREIGN ORDER'!AG1212</f>
        <v>0</v>
      </c>
    </row>
    <row r="1587" spans="1:10">
      <c r="A1587">
        <f>'OPEN FOREIGN ORDER'!D1213</f>
        <v>0</v>
      </c>
      <c r="B1587">
        <f>'OPEN FOREIGN ORDER'!F1213</f>
        <v>0</v>
      </c>
      <c r="C1587">
        <f>'OPEN FOREIGN ORDER'!Z1213</f>
        <v>0</v>
      </c>
      <c r="D1587" s="123">
        <f>'OPEN FOREIGN ORDER'!AA1213</f>
        <v>0</v>
      </c>
      <c r="E1587" s="112">
        <f>'OPEN FOREIGN ORDER'!AB1213</f>
        <v>0</v>
      </c>
      <c r="F1587" s="112">
        <f>'OPEN FOREIGN ORDER'!AC1213</f>
        <v>0</v>
      </c>
      <c r="G1587" s="112">
        <f>'OPEN FOREIGN ORDER'!AD1213</f>
        <v>0</v>
      </c>
      <c r="H1587" s="112">
        <f>'OPEN FOREIGN ORDER'!AE1213</f>
        <v>0</v>
      </c>
      <c r="I1587" s="112">
        <f>'OPEN FOREIGN ORDER'!AF1213</f>
        <v>0</v>
      </c>
      <c r="J1587" s="112">
        <f>'OPEN FOREIGN ORDER'!AG1213</f>
        <v>0</v>
      </c>
    </row>
    <row r="1588" spans="1:10">
      <c r="A1588">
        <f>'OPEN FOREIGN ORDER'!D1214</f>
        <v>0</v>
      </c>
      <c r="B1588">
        <f>'OPEN FOREIGN ORDER'!F1214</f>
        <v>0</v>
      </c>
      <c r="C1588">
        <f>'OPEN FOREIGN ORDER'!Z1214</f>
        <v>0</v>
      </c>
      <c r="D1588" s="123">
        <f>'OPEN FOREIGN ORDER'!AA1214</f>
        <v>0</v>
      </c>
      <c r="E1588" s="112">
        <f>'OPEN FOREIGN ORDER'!AB1214</f>
        <v>0</v>
      </c>
      <c r="F1588" s="112">
        <f>'OPEN FOREIGN ORDER'!AC1214</f>
        <v>0</v>
      </c>
      <c r="G1588" s="112">
        <f>'OPEN FOREIGN ORDER'!AD1214</f>
        <v>0</v>
      </c>
      <c r="H1588" s="112">
        <f>'OPEN FOREIGN ORDER'!AE1214</f>
        <v>0</v>
      </c>
      <c r="I1588" s="112">
        <f>'OPEN FOREIGN ORDER'!AF1214</f>
        <v>0</v>
      </c>
      <c r="J1588" s="112">
        <f>'OPEN FOREIGN ORDER'!AG1214</f>
        <v>0</v>
      </c>
    </row>
    <row r="1589" spans="1:10">
      <c r="A1589">
        <f>'OPEN FOREIGN ORDER'!D1215</f>
        <v>0</v>
      </c>
      <c r="B1589">
        <f>'OPEN FOREIGN ORDER'!F1215</f>
        <v>0</v>
      </c>
      <c r="C1589">
        <f>'OPEN FOREIGN ORDER'!Z1215</f>
        <v>0</v>
      </c>
      <c r="D1589" s="123">
        <f>'OPEN FOREIGN ORDER'!AA1215</f>
        <v>0</v>
      </c>
      <c r="E1589" s="112">
        <f>'OPEN FOREIGN ORDER'!AB1215</f>
        <v>0</v>
      </c>
      <c r="F1589" s="112">
        <f>'OPEN FOREIGN ORDER'!AC1215</f>
        <v>0</v>
      </c>
      <c r="G1589" s="112">
        <f>'OPEN FOREIGN ORDER'!AD1215</f>
        <v>0</v>
      </c>
      <c r="H1589" s="112">
        <f>'OPEN FOREIGN ORDER'!AE1215</f>
        <v>0</v>
      </c>
      <c r="I1589" s="112">
        <f>'OPEN FOREIGN ORDER'!AF1215</f>
        <v>0</v>
      </c>
      <c r="J1589" s="112">
        <f>'OPEN FOREIGN ORDER'!AG1215</f>
        <v>0</v>
      </c>
    </row>
    <row r="1590" spans="1:10">
      <c r="A1590">
        <f>'OPEN FOREIGN ORDER'!D1216</f>
        <v>0</v>
      </c>
      <c r="B1590">
        <f>'OPEN FOREIGN ORDER'!F1216</f>
        <v>0</v>
      </c>
      <c r="C1590">
        <f>'OPEN FOREIGN ORDER'!Z1216</f>
        <v>0</v>
      </c>
      <c r="D1590" s="123">
        <f>'OPEN FOREIGN ORDER'!AA1216</f>
        <v>0</v>
      </c>
      <c r="E1590" s="112">
        <f>'OPEN FOREIGN ORDER'!AB1216</f>
        <v>0</v>
      </c>
      <c r="F1590" s="112">
        <f>'OPEN FOREIGN ORDER'!AC1216</f>
        <v>0</v>
      </c>
      <c r="G1590" s="112">
        <f>'OPEN FOREIGN ORDER'!AD1216</f>
        <v>0</v>
      </c>
      <c r="H1590" s="112">
        <f>'OPEN FOREIGN ORDER'!AE1216</f>
        <v>0</v>
      </c>
      <c r="I1590" s="112">
        <f>'OPEN FOREIGN ORDER'!AF1216</f>
        <v>0</v>
      </c>
      <c r="J1590" s="112">
        <f>'OPEN FOREIGN ORDER'!AG1216</f>
        <v>0</v>
      </c>
    </row>
    <row r="1591" spans="1:10">
      <c r="A1591">
        <f>'OPEN FOREIGN ORDER'!D1217</f>
        <v>0</v>
      </c>
      <c r="B1591">
        <f>'OPEN FOREIGN ORDER'!F1217</f>
        <v>0</v>
      </c>
      <c r="C1591">
        <f>'OPEN FOREIGN ORDER'!Z1217</f>
        <v>0</v>
      </c>
      <c r="D1591" s="123">
        <f>'OPEN FOREIGN ORDER'!AA1217</f>
        <v>0</v>
      </c>
      <c r="E1591" s="112">
        <f>'OPEN FOREIGN ORDER'!AB1217</f>
        <v>0</v>
      </c>
      <c r="F1591" s="112">
        <f>'OPEN FOREIGN ORDER'!AC1217</f>
        <v>0</v>
      </c>
      <c r="G1591" s="112">
        <f>'OPEN FOREIGN ORDER'!AD1217</f>
        <v>0</v>
      </c>
      <c r="H1591" s="112">
        <f>'OPEN FOREIGN ORDER'!AE1217</f>
        <v>0</v>
      </c>
      <c r="I1591" s="112">
        <f>'OPEN FOREIGN ORDER'!AF1217</f>
        <v>0</v>
      </c>
      <c r="J1591" s="112">
        <f>'OPEN FOREIGN ORDER'!AG1217</f>
        <v>0</v>
      </c>
    </row>
    <row r="1592" spans="1:10">
      <c r="A1592">
        <f>'OPEN FOREIGN ORDER'!D1218</f>
        <v>0</v>
      </c>
      <c r="B1592">
        <f>'OPEN FOREIGN ORDER'!F1218</f>
        <v>0</v>
      </c>
      <c r="C1592">
        <f>'OPEN FOREIGN ORDER'!Z1218</f>
        <v>0</v>
      </c>
      <c r="D1592" s="123">
        <f>'OPEN FOREIGN ORDER'!AA1218</f>
        <v>0</v>
      </c>
      <c r="E1592" s="112">
        <f>'OPEN FOREIGN ORDER'!AB1218</f>
        <v>0</v>
      </c>
      <c r="F1592" s="112">
        <f>'OPEN FOREIGN ORDER'!AC1218</f>
        <v>0</v>
      </c>
      <c r="G1592" s="112">
        <f>'OPEN FOREIGN ORDER'!AD1218</f>
        <v>0</v>
      </c>
      <c r="H1592" s="112">
        <f>'OPEN FOREIGN ORDER'!AE1218</f>
        <v>0</v>
      </c>
      <c r="I1592" s="112">
        <f>'OPEN FOREIGN ORDER'!AF1218</f>
        <v>0</v>
      </c>
      <c r="J1592" s="112">
        <f>'OPEN FOREIGN ORDER'!AG1218</f>
        <v>0</v>
      </c>
    </row>
    <row r="1593" spans="1:10">
      <c r="A1593">
        <f>'OPEN FOREIGN ORDER'!D1219</f>
        <v>0</v>
      </c>
      <c r="B1593">
        <f>'OPEN FOREIGN ORDER'!F1219</f>
        <v>0</v>
      </c>
      <c r="C1593">
        <f>'OPEN FOREIGN ORDER'!Z1219</f>
        <v>0</v>
      </c>
      <c r="D1593" s="123">
        <f>'OPEN FOREIGN ORDER'!AA1219</f>
        <v>0</v>
      </c>
      <c r="E1593" s="112">
        <f>'OPEN FOREIGN ORDER'!AB1219</f>
        <v>0</v>
      </c>
      <c r="F1593" s="112">
        <f>'OPEN FOREIGN ORDER'!AC1219</f>
        <v>0</v>
      </c>
      <c r="G1593" s="112">
        <f>'OPEN FOREIGN ORDER'!AD1219</f>
        <v>0</v>
      </c>
      <c r="H1593" s="112">
        <f>'OPEN FOREIGN ORDER'!AE1219</f>
        <v>0</v>
      </c>
      <c r="I1593" s="112">
        <f>'OPEN FOREIGN ORDER'!AF1219</f>
        <v>0</v>
      </c>
      <c r="J1593" s="112">
        <f>'OPEN FOREIGN ORDER'!AG1219</f>
        <v>0</v>
      </c>
    </row>
    <row r="1594" spans="1:10">
      <c r="A1594">
        <f>'OPEN FOREIGN ORDER'!D1220</f>
        <v>0</v>
      </c>
      <c r="B1594">
        <f>'OPEN FOREIGN ORDER'!F1220</f>
        <v>0</v>
      </c>
      <c r="C1594">
        <f>'OPEN FOREIGN ORDER'!Z1220</f>
        <v>0</v>
      </c>
      <c r="D1594" s="123">
        <f>'OPEN FOREIGN ORDER'!AA1220</f>
        <v>0</v>
      </c>
      <c r="E1594" s="112">
        <f>'OPEN FOREIGN ORDER'!AB1220</f>
        <v>0</v>
      </c>
      <c r="F1594" s="112">
        <f>'OPEN FOREIGN ORDER'!AC1220</f>
        <v>0</v>
      </c>
      <c r="G1594" s="112">
        <f>'OPEN FOREIGN ORDER'!AD1220</f>
        <v>0</v>
      </c>
      <c r="H1594" s="112">
        <f>'OPEN FOREIGN ORDER'!AE1220</f>
        <v>0</v>
      </c>
      <c r="I1594" s="112">
        <f>'OPEN FOREIGN ORDER'!AF1220</f>
        <v>0</v>
      </c>
      <c r="J1594" s="112">
        <f>'OPEN FOREIGN ORDER'!AG1220</f>
        <v>0</v>
      </c>
    </row>
    <row r="1595" spans="1:10">
      <c r="A1595">
        <f>'OPEN FOREIGN ORDER'!D1221</f>
        <v>0</v>
      </c>
      <c r="B1595">
        <f>'OPEN FOREIGN ORDER'!F1221</f>
        <v>0</v>
      </c>
      <c r="C1595">
        <f>'OPEN FOREIGN ORDER'!Z1221</f>
        <v>0</v>
      </c>
      <c r="D1595" s="123">
        <f>'OPEN FOREIGN ORDER'!AA1221</f>
        <v>0</v>
      </c>
      <c r="E1595" s="112">
        <f>'OPEN FOREIGN ORDER'!AB1221</f>
        <v>0</v>
      </c>
      <c r="F1595" s="112">
        <f>'OPEN FOREIGN ORDER'!AC1221</f>
        <v>0</v>
      </c>
      <c r="G1595" s="112">
        <f>'OPEN FOREIGN ORDER'!AD1221</f>
        <v>0</v>
      </c>
      <c r="H1595" s="112">
        <f>'OPEN FOREIGN ORDER'!AE1221</f>
        <v>0</v>
      </c>
      <c r="I1595" s="112">
        <f>'OPEN FOREIGN ORDER'!AF1221</f>
        <v>0</v>
      </c>
      <c r="J1595" s="112">
        <f>'OPEN FOREIGN ORDER'!AG1221</f>
        <v>0</v>
      </c>
    </row>
    <row r="1596" spans="1:10">
      <c r="A1596">
        <f>'OPEN FOREIGN ORDER'!D1222</f>
        <v>0</v>
      </c>
      <c r="B1596">
        <f>'OPEN FOREIGN ORDER'!F1222</f>
        <v>0</v>
      </c>
      <c r="C1596">
        <f>'OPEN FOREIGN ORDER'!Z1222</f>
        <v>0</v>
      </c>
      <c r="D1596" s="123">
        <f>'OPEN FOREIGN ORDER'!AA1222</f>
        <v>0</v>
      </c>
      <c r="E1596" s="112">
        <f>'OPEN FOREIGN ORDER'!AB1222</f>
        <v>0</v>
      </c>
      <c r="F1596" s="112">
        <f>'OPEN FOREIGN ORDER'!AC1222</f>
        <v>0</v>
      </c>
      <c r="G1596" s="112">
        <f>'OPEN FOREIGN ORDER'!AD1222</f>
        <v>0</v>
      </c>
      <c r="H1596" s="112">
        <f>'OPEN FOREIGN ORDER'!AE1222</f>
        <v>0</v>
      </c>
      <c r="I1596" s="112">
        <f>'OPEN FOREIGN ORDER'!AF1222</f>
        <v>0</v>
      </c>
      <c r="J1596" s="112">
        <f>'OPEN FOREIGN ORDER'!AG1222</f>
        <v>0</v>
      </c>
    </row>
    <row r="1597" spans="1:10">
      <c r="A1597">
        <f>'OPEN FOREIGN ORDER'!D1223</f>
        <v>0</v>
      </c>
      <c r="B1597">
        <f>'OPEN FOREIGN ORDER'!F1223</f>
        <v>0</v>
      </c>
      <c r="C1597">
        <f>'OPEN FOREIGN ORDER'!Z1223</f>
        <v>0</v>
      </c>
      <c r="D1597" s="123">
        <f>'OPEN FOREIGN ORDER'!AA1223</f>
        <v>0</v>
      </c>
      <c r="E1597" s="112">
        <f>'OPEN FOREIGN ORDER'!AB1223</f>
        <v>0</v>
      </c>
      <c r="F1597" s="112">
        <f>'OPEN FOREIGN ORDER'!AC1223</f>
        <v>0</v>
      </c>
      <c r="G1597" s="112">
        <f>'OPEN FOREIGN ORDER'!AD1223</f>
        <v>0</v>
      </c>
      <c r="H1597" s="112">
        <f>'OPEN FOREIGN ORDER'!AE1223</f>
        <v>0</v>
      </c>
      <c r="I1597" s="112">
        <f>'OPEN FOREIGN ORDER'!AF1223</f>
        <v>0</v>
      </c>
      <c r="J1597" s="112">
        <f>'OPEN FOREIGN ORDER'!AG1223</f>
        <v>0</v>
      </c>
    </row>
    <row r="1598" spans="1:10">
      <c r="A1598">
        <f>'OPEN FOREIGN ORDER'!D1224</f>
        <v>0</v>
      </c>
      <c r="B1598">
        <f>'OPEN FOREIGN ORDER'!F1224</f>
        <v>0</v>
      </c>
      <c r="C1598">
        <f>'OPEN FOREIGN ORDER'!Z1224</f>
        <v>0</v>
      </c>
      <c r="D1598" s="123">
        <f>'OPEN FOREIGN ORDER'!AA1224</f>
        <v>0</v>
      </c>
      <c r="E1598" s="112">
        <f>'OPEN FOREIGN ORDER'!AB1224</f>
        <v>0</v>
      </c>
      <c r="F1598" s="112">
        <f>'OPEN FOREIGN ORDER'!AC1224</f>
        <v>0</v>
      </c>
      <c r="G1598" s="112">
        <f>'OPEN FOREIGN ORDER'!AD1224</f>
        <v>0</v>
      </c>
      <c r="H1598" s="112">
        <f>'OPEN FOREIGN ORDER'!AE1224</f>
        <v>0</v>
      </c>
      <c r="I1598" s="112">
        <f>'OPEN FOREIGN ORDER'!AF1224</f>
        <v>0</v>
      </c>
      <c r="J1598" s="112">
        <f>'OPEN FOREIGN ORDER'!AG1224</f>
        <v>0</v>
      </c>
    </row>
    <row r="1599" spans="1:10">
      <c r="A1599">
        <f>'OPEN FOREIGN ORDER'!D1225</f>
        <v>0</v>
      </c>
      <c r="B1599">
        <f>'OPEN FOREIGN ORDER'!F1225</f>
        <v>0</v>
      </c>
      <c r="C1599">
        <f>'OPEN FOREIGN ORDER'!Z1225</f>
        <v>0</v>
      </c>
      <c r="D1599" s="123">
        <f>'OPEN FOREIGN ORDER'!AA1225</f>
        <v>0</v>
      </c>
      <c r="E1599" s="112">
        <f>'OPEN FOREIGN ORDER'!AB1225</f>
        <v>0</v>
      </c>
      <c r="F1599" s="112">
        <f>'OPEN FOREIGN ORDER'!AC1225</f>
        <v>0</v>
      </c>
      <c r="G1599" s="112">
        <f>'OPEN FOREIGN ORDER'!AD1225</f>
        <v>0</v>
      </c>
      <c r="H1599" s="112">
        <f>'OPEN FOREIGN ORDER'!AE1225</f>
        <v>0</v>
      </c>
      <c r="I1599" s="112">
        <f>'OPEN FOREIGN ORDER'!AF1225</f>
        <v>0</v>
      </c>
      <c r="J1599" s="112">
        <f>'OPEN FOREIGN ORDER'!AG1225</f>
        <v>0</v>
      </c>
    </row>
    <row r="1600" spans="1:10">
      <c r="A1600">
        <f>'OPEN FOREIGN ORDER'!D1226</f>
        <v>0</v>
      </c>
      <c r="B1600">
        <f>'OPEN FOREIGN ORDER'!F1226</f>
        <v>0</v>
      </c>
      <c r="C1600">
        <f>'OPEN FOREIGN ORDER'!Z1226</f>
        <v>0</v>
      </c>
      <c r="D1600" s="123">
        <f>'OPEN FOREIGN ORDER'!AA1226</f>
        <v>0</v>
      </c>
      <c r="E1600" s="112">
        <f>'OPEN FOREIGN ORDER'!AB1226</f>
        <v>0</v>
      </c>
      <c r="F1600" s="112">
        <f>'OPEN FOREIGN ORDER'!AC1226</f>
        <v>0</v>
      </c>
      <c r="G1600" s="112">
        <f>'OPEN FOREIGN ORDER'!AD1226</f>
        <v>0</v>
      </c>
      <c r="H1600" s="112">
        <f>'OPEN FOREIGN ORDER'!AE1226</f>
        <v>0</v>
      </c>
      <c r="I1600" s="112">
        <f>'OPEN FOREIGN ORDER'!AF1226</f>
        <v>0</v>
      </c>
      <c r="J1600" s="112">
        <f>'OPEN FOREIGN ORDER'!AG1226</f>
        <v>0</v>
      </c>
    </row>
    <row r="1601" spans="1:10">
      <c r="A1601">
        <f>'OPEN FOREIGN ORDER'!D1227</f>
        <v>0</v>
      </c>
      <c r="B1601">
        <f>'OPEN FOREIGN ORDER'!F1227</f>
        <v>0</v>
      </c>
      <c r="C1601">
        <f>'OPEN FOREIGN ORDER'!Z1227</f>
        <v>0</v>
      </c>
      <c r="D1601" s="123">
        <f>'OPEN FOREIGN ORDER'!AA1227</f>
        <v>0</v>
      </c>
      <c r="E1601" s="112">
        <f>'OPEN FOREIGN ORDER'!AB1227</f>
        <v>0</v>
      </c>
      <c r="F1601" s="112">
        <f>'OPEN FOREIGN ORDER'!AC1227</f>
        <v>0</v>
      </c>
      <c r="G1601" s="112">
        <f>'OPEN FOREIGN ORDER'!AD1227</f>
        <v>0</v>
      </c>
      <c r="H1601" s="112">
        <f>'OPEN FOREIGN ORDER'!AE1227</f>
        <v>0</v>
      </c>
      <c r="I1601" s="112">
        <f>'OPEN FOREIGN ORDER'!AF1227</f>
        <v>0</v>
      </c>
      <c r="J1601" s="112">
        <f>'OPEN FOREIGN ORDER'!AG1227</f>
        <v>0</v>
      </c>
    </row>
    <row r="1602" spans="1:10">
      <c r="A1602">
        <f>'OPEN FOREIGN ORDER'!D1228</f>
        <v>0</v>
      </c>
      <c r="B1602">
        <f>'OPEN FOREIGN ORDER'!F1228</f>
        <v>0</v>
      </c>
      <c r="C1602">
        <f>'OPEN FOREIGN ORDER'!Z1228</f>
        <v>0</v>
      </c>
      <c r="D1602" s="123">
        <f>'OPEN FOREIGN ORDER'!AA1228</f>
        <v>0</v>
      </c>
      <c r="E1602" s="112">
        <f>'OPEN FOREIGN ORDER'!AB1228</f>
        <v>0</v>
      </c>
      <c r="F1602" s="112">
        <f>'OPEN FOREIGN ORDER'!AC1228</f>
        <v>0</v>
      </c>
      <c r="G1602" s="112">
        <f>'OPEN FOREIGN ORDER'!AD1228</f>
        <v>0</v>
      </c>
      <c r="H1602" s="112">
        <f>'OPEN FOREIGN ORDER'!AE1228</f>
        <v>0</v>
      </c>
      <c r="I1602" s="112">
        <f>'OPEN FOREIGN ORDER'!AF1228</f>
        <v>0</v>
      </c>
      <c r="J1602" s="112">
        <f>'OPEN FOREIGN ORDER'!AG1228</f>
        <v>0</v>
      </c>
    </row>
    <row r="1603" spans="1:10">
      <c r="A1603">
        <f>'OPEN FOREIGN ORDER'!D1229</f>
        <v>0</v>
      </c>
      <c r="B1603">
        <f>'OPEN FOREIGN ORDER'!F1229</f>
        <v>0</v>
      </c>
      <c r="C1603">
        <f>'OPEN FOREIGN ORDER'!Z1229</f>
        <v>0</v>
      </c>
      <c r="D1603" s="123">
        <f>'OPEN FOREIGN ORDER'!AA1229</f>
        <v>0</v>
      </c>
      <c r="E1603" s="112">
        <f>'OPEN FOREIGN ORDER'!AB1229</f>
        <v>0</v>
      </c>
      <c r="F1603" s="112">
        <f>'OPEN FOREIGN ORDER'!AC1229</f>
        <v>0</v>
      </c>
      <c r="G1603" s="112">
        <f>'OPEN FOREIGN ORDER'!AD1229</f>
        <v>0</v>
      </c>
      <c r="H1603" s="112">
        <f>'OPEN FOREIGN ORDER'!AE1229</f>
        <v>0</v>
      </c>
      <c r="I1603" s="112">
        <f>'OPEN FOREIGN ORDER'!AF1229</f>
        <v>0</v>
      </c>
      <c r="J1603" s="112">
        <f>'OPEN FOREIGN ORDER'!AG1229</f>
        <v>0</v>
      </c>
    </row>
    <row r="1604" spans="1:10">
      <c r="A1604">
        <f>'OPEN FOREIGN ORDER'!D1230</f>
        <v>0</v>
      </c>
      <c r="B1604">
        <f>'OPEN FOREIGN ORDER'!F1230</f>
        <v>0</v>
      </c>
      <c r="C1604">
        <f>'OPEN FOREIGN ORDER'!Z1230</f>
        <v>0</v>
      </c>
      <c r="D1604" s="123">
        <f>'OPEN FOREIGN ORDER'!AA1230</f>
        <v>0</v>
      </c>
      <c r="E1604" s="112">
        <f>'OPEN FOREIGN ORDER'!AB1230</f>
        <v>0</v>
      </c>
      <c r="F1604" s="112">
        <f>'OPEN FOREIGN ORDER'!AC1230</f>
        <v>0</v>
      </c>
      <c r="G1604" s="112">
        <f>'OPEN FOREIGN ORDER'!AD1230</f>
        <v>0</v>
      </c>
      <c r="H1604" s="112">
        <f>'OPEN FOREIGN ORDER'!AE1230</f>
        <v>0</v>
      </c>
      <c r="I1604" s="112">
        <f>'OPEN FOREIGN ORDER'!AF1230</f>
        <v>0</v>
      </c>
      <c r="J1604" s="112">
        <f>'OPEN FOREIGN ORDER'!AG1230</f>
        <v>0</v>
      </c>
    </row>
    <row r="1605" spans="1:10">
      <c r="A1605">
        <f>'OPEN FOREIGN ORDER'!D1231</f>
        <v>0</v>
      </c>
      <c r="B1605">
        <f>'OPEN FOREIGN ORDER'!F1231</f>
        <v>0</v>
      </c>
      <c r="C1605">
        <f>'OPEN FOREIGN ORDER'!Z1231</f>
        <v>0</v>
      </c>
      <c r="D1605" s="123">
        <f>'OPEN FOREIGN ORDER'!AA1231</f>
        <v>0</v>
      </c>
      <c r="E1605" s="112">
        <f>'OPEN FOREIGN ORDER'!AB1231</f>
        <v>0</v>
      </c>
      <c r="F1605" s="112">
        <f>'OPEN FOREIGN ORDER'!AC1231</f>
        <v>0</v>
      </c>
      <c r="G1605" s="112">
        <f>'OPEN FOREIGN ORDER'!AD1231</f>
        <v>0</v>
      </c>
      <c r="H1605" s="112">
        <f>'OPEN FOREIGN ORDER'!AE1231</f>
        <v>0</v>
      </c>
      <c r="I1605" s="112">
        <f>'OPEN FOREIGN ORDER'!AF1231</f>
        <v>0</v>
      </c>
      <c r="J1605" s="112">
        <f>'OPEN FOREIGN ORDER'!AG1231</f>
        <v>0</v>
      </c>
    </row>
    <row r="1606" spans="1:10">
      <c r="A1606">
        <f>'OPEN FOREIGN ORDER'!D1232</f>
        <v>0</v>
      </c>
      <c r="B1606">
        <f>'OPEN FOREIGN ORDER'!F1232</f>
        <v>0</v>
      </c>
      <c r="C1606">
        <f>'OPEN FOREIGN ORDER'!Z1232</f>
        <v>0</v>
      </c>
      <c r="D1606" s="123">
        <f>'OPEN FOREIGN ORDER'!AA1232</f>
        <v>0</v>
      </c>
      <c r="E1606" s="112">
        <f>'OPEN FOREIGN ORDER'!AB1232</f>
        <v>0</v>
      </c>
      <c r="F1606" s="112">
        <f>'OPEN FOREIGN ORDER'!AC1232</f>
        <v>0</v>
      </c>
      <c r="G1606" s="112">
        <f>'OPEN FOREIGN ORDER'!AD1232</f>
        <v>0</v>
      </c>
      <c r="H1606" s="112">
        <f>'OPEN FOREIGN ORDER'!AE1232</f>
        <v>0</v>
      </c>
      <c r="I1606" s="112">
        <f>'OPEN FOREIGN ORDER'!AF1232</f>
        <v>0</v>
      </c>
      <c r="J1606" s="112">
        <f>'OPEN FOREIGN ORDER'!AG1232</f>
        <v>0</v>
      </c>
    </row>
    <row r="1607" spans="1:10">
      <c r="A1607">
        <f>'OPEN FOREIGN ORDER'!D1233</f>
        <v>0</v>
      </c>
      <c r="B1607">
        <f>'OPEN FOREIGN ORDER'!F1233</f>
        <v>0</v>
      </c>
      <c r="C1607">
        <f>'OPEN FOREIGN ORDER'!Z1233</f>
        <v>0</v>
      </c>
      <c r="D1607" s="123">
        <f>'OPEN FOREIGN ORDER'!AA1233</f>
        <v>0</v>
      </c>
      <c r="E1607" s="112">
        <f>'OPEN FOREIGN ORDER'!AB1233</f>
        <v>0</v>
      </c>
      <c r="F1607" s="112">
        <f>'OPEN FOREIGN ORDER'!AC1233</f>
        <v>0</v>
      </c>
      <c r="G1607" s="112">
        <f>'OPEN FOREIGN ORDER'!AD1233</f>
        <v>0</v>
      </c>
      <c r="H1607" s="112">
        <f>'OPEN FOREIGN ORDER'!AE1233</f>
        <v>0</v>
      </c>
      <c r="I1607" s="112">
        <f>'OPEN FOREIGN ORDER'!AF1233</f>
        <v>0</v>
      </c>
      <c r="J1607" s="112">
        <f>'OPEN FOREIGN ORDER'!AG1233</f>
        <v>0</v>
      </c>
    </row>
    <row r="1608" spans="1:10">
      <c r="A1608">
        <f>'OPEN FOREIGN ORDER'!D1234</f>
        <v>0</v>
      </c>
      <c r="B1608">
        <f>'OPEN FOREIGN ORDER'!F1234</f>
        <v>0</v>
      </c>
      <c r="C1608">
        <f>'OPEN FOREIGN ORDER'!Z1234</f>
        <v>0</v>
      </c>
      <c r="D1608" s="123">
        <f>'OPEN FOREIGN ORDER'!AA1234</f>
        <v>0</v>
      </c>
      <c r="E1608" s="112">
        <f>'OPEN FOREIGN ORDER'!AB1234</f>
        <v>0</v>
      </c>
      <c r="F1608" s="112">
        <f>'OPEN FOREIGN ORDER'!AC1234</f>
        <v>0</v>
      </c>
      <c r="G1608" s="112">
        <f>'OPEN FOREIGN ORDER'!AD1234</f>
        <v>0</v>
      </c>
      <c r="H1608" s="112">
        <f>'OPEN FOREIGN ORDER'!AE1234</f>
        <v>0</v>
      </c>
      <c r="I1608" s="112">
        <f>'OPEN FOREIGN ORDER'!AF1234</f>
        <v>0</v>
      </c>
      <c r="J1608" s="112">
        <f>'OPEN FOREIGN ORDER'!AG1234</f>
        <v>0</v>
      </c>
    </row>
    <row r="1609" spans="1:10">
      <c r="A1609">
        <f>'OPEN FOREIGN ORDER'!D1235</f>
        <v>0</v>
      </c>
      <c r="B1609">
        <f>'OPEN FOREIGN ORDER'!F1235</f>
        <v>0</v>
      </c>
      <c r="C1609">
        <f>'OPEN FOREIGN ORDER'!Z1235</f>
        <v>0</v>
      </c>
      <c r="D1609" s="123">
        <f>'OPEN FOREIGN ORDER'!AA1235</f>
        <v>0</v>
      </c>
      <c r="E1609" s="112">
        <f>'OPEN FOREIGN ORDER'!AB1235</f>
        <v>0</v>
      </c>
      <c r="F1609" s="112">
        <f>'OPEN FOREIGN ORDER'!AC1235</f>
        <v>0</v>
      </c>
      <c r="G1609" s="112">
        <f>'OPEN FOREIGN ORDER'!AD1235</f>
        <v>0</v>
      </c>
      <c r="H1609" s="112">
        <f>'OPEN FOREIGN ORDER'!AE1235</f>
        <v>0</v>
      </c>
      <c r="I1609" s="112">
        <f>'OPEN FOREIGN ORDER'!AF1235</f>
        <v>0</v>
      </c>
      <c r="J1609" s="112">
        <f>'OPEN FOREIGN ORDER'!AG1235</f>
        <v>0</v>
      </c>
    </row>
    <row r="1610" spans="1:10">
      <c r="A1610">
        <f>'OPEN FOREIGN ORDER'!D1236</f>
        <v>0</v>
      </c>
      <c r="B1610">
        <f>'OPEN FOREIGN ORDER'!F1236</f>
        <v>0</v>
      </c>
      <c r="C1610">
        <f>'OPEN FOREIGN ORDER'!Z1236</f>
        <v>0</v>
      </c>
      <c r="D1610" s="123">
        <f>'OPEN FOREIGN ORDER'!AA1236</f>
        <v>0</v>
      </c>
      <c r="E1610" s="112">
        <f>'OPEN FOREIGN ORDER'!AB1236</f>
        <v>0</v>
      </c>
      <c r="F1610" s="112">
        <f>'OPEN FOREIGN ORDER'!AC1236</f>
        <v>0</v>
      </c>
      <c r="G1610" s="112">
        <f>'OPEN FOREIGN ORDER'!AD1236</f>
        <v>0</v>
      </c>
      <c r="H1610" s="112">
        <f>'OPEN FOREIGN ORDER'!AE1236</f>
        <v>0</v>
      </c>
      <c r="I1610" s="112">
        <f>'OPEN FOREIGN ORDER'!AF1236</f>
        <v>0</v>
      </c>
      <c r="J1610" s="112">
        <f>'OPEN FOREIGN ORDER'!AG1236</f>
        <v>0</v>
      </c>
    </row>
    <row r="1611" spans="1:10">
      <c r="A1611">
        <f>'OPEN FOREIGN ORDER'!D1237</f>
        <v>0</v>
      </c>
      <c r="B1611">
        <f>'OPEN FOREIGN ORDER'!F1237</f>
        <v>0</v>
      </c>
      <c r="C1611">
        <f>'OPEN FOREIGN ORDER'!Z1237</f>
        <v>0</v>
      </c>
      <c r="D1611" s="123">
        <f>'OPEN FOREIGN ORDER'!AA1237</f>
        <v>0</v>
      </c>
      <c r="E1611" s="112">
        <f>'OPEN FOREIGN ORDER'!AB1237</f>
        <v>0</v>
      </c>
      <c r="F1611" s="112">
        <f>'OPEN FOREIGN ORDER'!AC1237</f>
        <v>0</v>
      </c>
      <c r="G1611" s="112">
        <f>'OPEN FOREIGN ORDER'!AD1237</f>
        <v>0</v>
      </c>
      <c r="H1611" s="112">
        <f>'OPEN FOREIGN ORDER'!AE1237</f>
        <v>0</v>
      </c>
      <c r="I1611" s="112">
        <f>'OPEN FOREIGN ORDER'!AF1237</f>
        <v>0</v>
      </c>
      <c r="J1611" s="112">
        <f>'OPEN FOREIGN ORDER'!AG1237</f>
        <v>0</v>
      </c>
    </row>
    <row r="1612" spans="1:10">
      <c r="A1612">
        <f>'OPEN FOREIGN ORDER'!D1238</f>
        <v>0</v>
      </c>
      <c r="B1612">
        <f>'OPEN FOREIGN ORDER'!F1238</f>
        <v>0</v>
      </c>
      <c r="C1612">
        <f>'OPEN FOREIGN ORDER'!Z1238</f>
        <v>0</v>
      </c>
      <c r="D1612" s="123">
        <f>'OPEN FOREIGN ORDER'!AA1238</f>
        <v>0</v>
      </c>
      <c r="E1612" s="112">
        <f>'OPEN FOREIGN ORDER'!AB1238</f>
        <v>0</v>
      </c>
      <c r="F1612" s="112">
        <f>'OPEN FOREIGN ORDER'!AC1238</f>
        <v>0</v>
      </c>
      <c r="G1612" s="112">
        <f>'OPEN FOREIGN ORDER'!AD1238</f>
        <v>0</v>
      </c>
      <c r="H1612" s="112">
        <f>'OPEN FOREIGN ORDER'!AE1238</f>
        <v>0</v>
      </c>
      <c r="I1612" s="112">
        <f>'OPEN FOREIGN ORDER'!AF1238</f>
        <v>0</v>
      </c>
      <c r="J1612" s="112">
        <f>'OPEN FOREIGN ORDER'!AG1238</f>
        <v>0</v>
      </c>
    </row>
    <row r="1613" spans="1:10">
      <c r="A1613">
        <f>'OPEN FOREIGN ORDER'!D1239</f>
        <v>0</v>
      </c>
      <c r="B1613">
        <f>'OPEN FOREIGN ORDER'!F1239</f>
        <v>0</v>
      </c>
      <c r="C1613">
        <f>'OPEN FOREIGN ORDER'!Z1239</f>
        <v>0</v>
      </c>
      <c r="D1613" s="123">
        <f>'OPEN FOREIGN ORDER'!AA1239</f>
        <v>0</v>
      </c>
      <c r="E1613" s="112">
        <f>'OPEN FOREIGN ORDER'!AB1239</f>
        <v>0</v>
      </c>
      <c r="F1613" s="112">
        <f>'OPEN FOREIGN ORDER'!AC1239</f>
        <v>0</v>
      </c>
      <c r="G1613" s="112">
        <f>'OPEN FOREIGN ORDER'!AD1239</f>
        <v>0</v>
      </c>
      <c r="H1613" s="112">
        <f>'OPEN FOREIGN ORDER'!AE1239</f>
        <v>0</v>
      </c>
      <c r="I1613" s="112">
        <f>'OPEN FOREIGN ORDER'!AF1239</f>
        <v>0</v>
      </c>
      <c r="J1613" s="112">
        <f>'OPEN FOREIGN ORDER'!AG1239</f>
        <v>0</v>
      </c>
    </row>
    <row r="1614" spans="1:10">
      <c r="A1614">
        <f>'OPEN FOREIGN ORDER'!D1240</f>
        <v>0</v>
      </c>
      <c r="B1614">
        <f>'OPEN FOREIGN ORDER'!F1240</f>
        <v>0</v>
      </c>
      <c r="C1614">
        <f>'OPEN FOREIGN ORDER'!Z1240</f>
        <v>0</v>
      </c>
      <c r="D1614" s="123">
        <f>'OPEN FOREIGN ORDER'!AA1240</f>
        <v>0</v>
      </c>
      <c r="E1614" s="112">
        <f>'OPEN FOREIGN ORDER'!AB1240</f>
        <v>0</v>
      </c>
      <c r="F1614" s="112">
        <f>'OPEN FOREIGN ORDER'!AC1240</f>
        <v>0</v>
      </c>
      <c r="G1614" s="112">
        <f>'OPEN FOREIGN ORDER'!AD1240</f>
        <v>0</v>
      </c>
      <c r="H1614" s="112">
        <f>'OPEN FOREIGN ORDER'!AE1240</f>
        <v>0</v>
      </c>
      <c r="I1614" s="112">
        <f>'OPEN FOREIGN ORDER'!AF1240</f>
        <v>0</v>
      </c>
      <c r="J1614" s="112">
        <f>'OPEN FOREIGN ORDER'!AG1240</f>
        <v>0</v>
      </c>
    </row>
    <row r="1615" spans="1:10">
      <c r="A1615">
        <f>'OPEN FOREIGN ORDER'!D1241</f>
        <v>0</v>
      </c>
      <c r="B1615">
        <f>'OPEN FOREIGN ORDER'!F1241</f>
        <v>0</v>
      </c>
      <c r="C1615">
        <f>'OPEN FOREIGN ORDER'!Z1241</f>
        <v>0</v>
      </c>
      <c r="D1615" s="123">
        <f>'OPEN FOREIGN ORDER'!AA1241</f>
        <v>0</v>
      </c>
      <c r="E1615" s="112">
        <f>'OPEN FOREIGN ORDER'!AB1241</f>
        <v>0</v>
      </c>
      <c r="F1615" s="112">
        <f>'OPEN FOREIGN ORDER'!AC1241</f>
        <v>0</v>
      </c>
      <c r="G1615" s="112">
        <f>'OPEN FOREIGN ORDER'!AD1241</f>
        <v>0</v>
      </c>
      <c r="H1615" s="112">
        <f>'OPEN FOREIGN ORDER'!AE1241</f>
        <v>0</v>
      </c>
      <c r="I1615" s="112">
        <f>'OPEN FOREIGN ORDER'!AF1241</f>
        <v>0</v>
      </c>
      <c r="J1615" s="112">
        <f>'OPEN FOREIGN ORDER'!AG1241</f>
        <v>0</v>
      </c>
    </row>
    <row r="1616" spans="1:10">
      <c r="A1616">
        <f>'OPEN FOREIGN ORDER'!D1242</f>
        <v>0</v>
      </c>
      <c r="B1616">
        <f>'OPEN FOREIGN ORDER'!F1242</f>
        <v>0</v>
      </c>
      <c r="C1616">
        <f>'OPEN FOREIGN ORDER'!Z1242</f>
        <v>0</v>
      </c>
      <c r="D1616" s="123">
        <f>'OPEN FOREIGN ORDER'!AA1242</f>
        <v>0</v>
      </c>
      <c r="E1616" s="112">
        <f>'OPEN FOREIGN ORDER'!AB1242</f>
        <v>0</v>
      </c>
      <c r="F1616" s="112">
        <f>'OPEN FOREIGN ORDER'!AC1242</f>
        <v>0</v>
      </c>
      <c r="G1616" s="112">
        <f>'OPEN FOREIGN ORDER'!AD1242</f>
        <v>0</v>
      </c>
      <c r="H1616" s="112">
        <f>'OPEN FOREIGN ORDER'!AE1242</f>
        <v>0</v>
      </c>
      <c r="I1616" s="112">
        <f>'OPEN FOREIGN ORDER'!AF1242</f>
        <v>0</v>
      </c>
      <c r="J1616" s="112">
        <f>'OPEN FOREIGN ORDER'!AG1242</f>
        <v>0</v>
      </c>
    </row>
    <row r="1617" spans="1:10">
      <c r="A1617">
        <f>'OPEN FOREIGN ORDER'!D1243</f>
        <v>0</v>
      </c>
      <c r="B1617">
        <f>'OPEN FOREIGN ORDER'!F1243</f>
        <v>0</v>
      </c>
      <c r="C1617">
        <f>'OPEN FOREIGN ORDER'!Z1243</f>
        <v>0</v>
      </c>
      <c r="D1617" s="123">
        <f>'OPEN FOREIGN ORDER'!AA1243</f>
        <v>0</v>
      </c>
      <c r="E1617" s="112">
        <f>'OPEN FOREIGN ORDER'!AB1243</f>
        <v>0</v>
      </c>
      <c r="F1617" s="112">
        <f>'OPEN FOREIGN ORDER'!AC1243</f>
        <v>0</v>
      </c>
      <c r="G1617" s="112">
        <f>'OPEN FOREIGN ORDER'!AD1243</f>
        <v>0</v>
      </c>
      <c r="H1617" s="112">
        <f>'OPEN FOREIGN ORDER'!AE1243</f>
        <v>0</v>
      </c>
      <c r="I1617" s="112">
        <f>'OPEN FOREIGN ORDER'!AF1243</f>
        <v>0</v>
      </c>
      <c r="J1617" s="112">
        <f>'OPEN FOREIGN ORDER'!AG1243</f>
        <v>0</v>
      </c>
    </row>
    <row r="1618" spans="1:10">
      <c r="A1618">
        <f>'OPEN FOREIGN ORDER'!D1244</f>
        <v>0</v>
      </c>
      <c r="B1618">
        <f>'OPEN FOREIGN ORDER'!F1244</f>
        <v>0</v>
      </c>
      <c r="C1618">
        <f>'OPEN FOREIGN ORDER'!Z1244</f>
        <v>0</v>
      </c>
      <c r="D1618" s="123">
        <f>'OPEN FOREIGN ORDER'!AA1244</f>
        <v>0</v>
      </c>
      <c r="E1618" s="112">
        <f>'OPEN FOREIGN ORDER'!AB1244</f>
        <v>0</v>
      </c>
      <c r="F1618" s="112">
        <f>'OPEN FOREIGN ORDER'!AC1244</f>
        <v>0</v>
      </c>
      <c r="G1618" s="112">
        <f>'OPEN FOREIGN ORDER'!AD1244</f>
        <v>0</v>
      </c>
      <c r="H1618" s="112">
        <f>'OPEN FOREIGN ORDER'!AE1244</f>
        <v>0</v>
      </c>
      <c r="I1618" s="112">
        <f>'OPEN FOREIGN ORDER'!AF1244</f>
        <v>0</v>
      </c>
      <c r="J1618" s="112">
        <f>'OPEN FOREIGN ORDER'!AG1244</f>
        <v>0</v>
      </c>
    </row>
    <row r="1619" spans="1:10">
      <c r="A1619">
        <f>'OPEN FOREIGN ORDER'!D1245</f>
        <v>0</v>
      </c>
      <c r="B1619">
        <f>'OPEN FOREIGN ORDER'!F1245</f>
        <v>0</v>
      </c>
      <c r="C1619">
        <f>'OPEN FOREIGN ORDER'!Z1245</f>
        <v>0</v>
      </c>
      <c r="D1619" s="123">
        <f>'OPEN FOREIGN ORDER'!AA1245</f>
        <v>0</v>
      </c>
      <c r="E1619" s="112">
        <f>'OPEN FOREIGN ORDER'!AB1245</f>
        <v>0</v>
      </c>
      <c r="F1619" s="112">
        <f>'OPEN FOREIGN ORDER'!AC1245</f>
        <v>0</v>
      </c>
      <c r="G1619" s="112">
        <f>'OPEN FOREIGN ORDER'!AD1245</f>
        <v>0</v>
      </c>
      <c r="H1619" s="112">
        <f>'OPEN FOREIGN ORDER'!AE1245</f>
        <v>0</v>
      </c>
      <c r="I1619" s="112">
        <f>'OPEN FOREIGN ORDER'!AF1245</f>
        <v>0</v>
      </c>
      <c r="J1619" s="112">
        <f>'OPEN FOREIGN ORDER'!AG1245</f>
        <v>0</v>
      </c>
    </row>
    <row r="1620" spans="1:10">
      <c r="A1620">
        <f>'OPEN FOREIGN ORDER'!D1246</f>
        <v>0</v>
      </c>
      <c r="B1620">
        <f>'OPEN FOREIGN ORDER'!F1246</f>
        <v>0</v>
      </c>
      <c r="C1620">
        <f>'OPEN FOREIGN ORDER'!Z1246</f>
        <v>0</v>
      </c>
      <c r="D1620" s="123">
        <f>'OPEN FOREIGN ORDER'!AA1246</f>
        <v>0</v>
      </c>
      <c r="E1620" s="112">
        <f>'OPEN FOREIGN ORDER'!AB1246</f>
        <v>0</v>
      </c>
      <c r="F1620" s="112">
        <f>'OPEN FOREIGN ORDER'!AC1246</f>
        <v>0</v>
      </c>
      <c r="G1620" s="112">
        <f>'OPEN FOREIGN ORDER'!AD1246</f>
        <v>0</v>
      </c>
      <c r="H1620" s="112">
        <f>'OPEN FOREIGN ORDER'!AE1246</f>
        <v>0</v>
      </c>
      <c r="I1620" s="112">
        <f>'OPEN FOREIGN ORDER'!AF1246</f>
        <v>0</v>
      </c>
      <c r="J1620" s="112">
        <f>'OPEN FOREIGN ORDER'!AG1246</f>
        <v>0</v>
      </c>
    </row>
    <row r="1621" spans="1:10">
      <c r="A1621">
        <f>'OPEN FOREIGN ORDER'!D1247</f>
        <v>0</v>
      </c>
      <c r="B1621">
        <f>'OPEN FOREIGN ORDER'!F1247</f>
        <v>0</v>
      </c>
      <c r="C1621">
        <f>'OPEN FOREIGN ORDER'!Z1247</f>
        <v>0</v>
      </c>
      <c r="D1621" s="123">
        <f>'OPEN FOREIGN ORDER'!AA1247</f>
        <v>0</v>
      </c>
      <c r="E1621" s="112">
        <f>'OPEN FOREIGN ORDER'!AB1247</f>
        <v>0</v>
      </c>
      <c r="F1621" s="112">
        <f>'OPEN FOREIGN ORDER'!AC1247</f>
        <v>0</v>
      </c>
      <c r="G1621" s="112">
        <f>'OPEN FOREIGN ORDER'!AD1247</f>
        <v>0</v>
      </c>
      <c r="H1621" s="112">
        <f>'OPEN FOREIGN ORDER'!AE1247</f>
        <v>0</v>
      </c>
      <c r="I1621" s="112">
        <f>'OPEN FOREIGN ORDER'!AF1247</f>
        <v>0</v>
      </c>
      <c r="J1621" s="112">
        <f>'OPEN FOREIGN ORDER'!AG1247</f>
        <v>0</v>
      </c>
    </row>
    <row r="1622" spans="1:10">
      <c r="A1622">
        <f>'OPEN FOREIGN ORDER'!D1248</f>
        <v>0</v>
      </c>
      <c r="B1622">
        <f>'OPEN FOREIGN ORDER'!F1248</f>
        <v>0</v>
      </c>
      <c r="C1622">
        <f>'OPEN FOREIGN ORDER'!Z1248</f>
        <v>0</v>
      </c>
      <c r="D1622" s="123">
        <f>'OPEN FOREIGN ORDER'!AA1248</f>
        <v>0</v>
      </c>
      <c r="E1622" s="112">
        <f>'OPEN FOREIGN ORDER'!AB1248</f>
        <v>0</v>
      </c>
      <c r="F1622" s="112">
        <f>'OPEN FOREIGN ORDER'!AC1248</f>
        <v>0</v>
      </c>
      <c r="G1622" s="112">
        <f>'OPEN FOREIGN ORDER'!AD1248</f>
        <v>0</v>
      </c>
      <c r="H1622" s="112">
        <f>'OPEN FOREIGN ORDER'!AE1248</f>
        <v>0</v>
      </c>
      <c r="I1622" s="112">
        <f>'OPEN FOREIGN ORDER'!AF1248</f>
        <v>0</v>
      </c>
      <c r="J1622" s="112">
        <f>'OPEN FOREIGN ORDER'!AG1248</f>
        <v>0</v>
      </c>
    </row>
    <row r="1623" spans="1:10">
      <c r="A1623">
        <f>'OPEN FOREIGN ORDER'!D1249</f>
        <v>0</v>
      </c>
      <c r="B1623">
        <f>'OPEN FOREIGN ORDER'!F1249</f>
        <v>0</v>
      </c>
      <c r="C1623">
        <f>'OPEN FOREIGN ORDER'!Z1249</f>
        <v>0</v>
      </c>
      <c r="D1623" s="123">
        <f>'OPEN FOREIGN ORDER'!AA1249</f>
        <v>0</v>
      </c>
      <c r="E1623" s="112">
        <f>'OPEN FOREIGN ORDER'!AB1249</f>
        <v>0</v>
      </c>
      <c r="F1623" s="112">
        <f>'OPEN FOREIGN ORDER'!AC1249</f>
        <v>0</v>
      </c>
      <c r="G1623" s="112">
        <f>'OPEN FOREIGN ORDER'!AD1249</f>
        <v>0</v>
      </c>
      <c r="H1623" s="112">
        <f>'OPEN FOREIGN ORDER'!AE1249</f>
        <v>0</v>
      </c>
      <c r="I1623" s="112">
        <f>'OPEN FOREIGN ORDER'!AF1249</f>
        <v>0</v>
      </c>
      <c r="J1623" s="112">
        <f>'OPEN FOREIGN ORDER'!AG1249</f>
        <v>0</v>
      </c>
    </row>
    <row r="1624" spans="1:10">
      <c r="A1624">
        <f>'OPEN FOREIGN ORDER'!D1250</f>
        <v>0</v>
      </c>
      <c r="B1624">
        <f>'OPEN FOREIGN ORDER'!F1250</f>
        <v>0</v>
      </c>
      <c r="C1624">
        <f>'OPEN FOREIGN ORDER'!Z1250</f>
        <v>0</v>
      </c>
      <c r="D1624" s="123">
        <f>'OPEN FOREIGN ORDER'!AA1250</f>
        <v>0</v>
      </c>
      <c r="E1624" s="112">
        <f>'OPEN FOREIGN ORDER'!AB1250</f>
        <v>0</v>
      </c>
      <c r="F1624" s="112">
        <f>'OPEN FOREIGN ORDER'!AC1250</f>
        <v>0</v>
      </c>
      <c r="G1624" s="112">
        <f>'OPEN FOREIGN ORDER'!AD1250</f>
        <v>0</v>
      </c>
      <c r="H1624" s="112">
        <f>'OPEN FOREIGN ORDER'!AE1250</f>
        <v>0</v>
      </c>
      <c r="I1624" s="112">
        <f>'OPEN FOREIGN ORDER'!AF1250</f>
        <v>0</v>
      </c>
      <c r="J1624" s="112">
        <f>'OPEN FOREIGN ORDER'!AG1250</f>
        <v>0</v>
      </c>
    </row>
    <row r="1625" spans="1:10">
      <c r="A1625">
        <f>'OPEN FOREIGN ORDER'!D1251</f>
        <v>0</v>
      </c>
      <c r="B1625">
        <f>'OPEN FOREIGN ORDER'!F1251</f>
        <v>0</v>
      </c>
      <c r="C1625">
        <f>'OPEN FOREIGN ORDER'!Z1251</f>
        <v>0</v>
      </c>
      <c r="D1625" s="123">
        <f>'OPEN FOREIGN ORDER'!AA1251</f>
        <v>0</v>
      </c>
      <c r="E1625" s="112">
        <f>'OPEN FOREIGN ORDER'!AB1251</f>
        <v>0</v>
      </c>
      <c r="F1625" s="112">
        <f>'OPEN FOREIGN ORDER'!AC1251</f>
        <v>0</v>
      </c>
      <c r="G1625" s="112">
        <f>'OPEN FOREIGN ORDER'!AD1251</f>
        <v>0</v>
      </c>
      <c r="H1625" s="112">
        <f>'OPEN FOREIGN ORDER'!AE1251</f>
        <v>0</v>
      </c>
      <c r="I1625" s="112">
        <f>'OPEN FOREIGN ORDER'!AF1251</f>
        <v>0</v>
      </c>
      <c r="J1625" s="112">
        <f>'OPEN FOREIGN ORDER'!AG1251</f>
        <v>0</v>
      </c>
    </row>
    <row r="1626" spans="1:10">
      <c r="A1626">
        <f>'OPEN FOREIGN ORDER'!D1252</f>
        <v>0</v>
      </c>
      <c r="B1626">
        <f>'OPEN FOREIGN ORDER'!F1252</f>
        <v>0</v>
      </c>
      <c r="C1626">
        <f>'OPEN FOREIGN ORDER'!Z1252</f>
        <v>0</v>
      </c>
      <c r="D1626" s="123">
        <f>'OPEN FOREIGN ORDER'!AA1252</f>
        <v>0</v>
      </c>
      <c r="E1626" s="112">
        <f>'OPEN FOREIGN ORDER'!AB1252</f>
        <v>0</v>
      </c>
      <c r="F1626" s="112">
        <f>'OPEN FOREIGN ORDER'!AC1252</f>
        <v>0</v>
      </c>
      <c r="G1626" s="112">
        <f>'OPEN FOREIGN ORDER'!AD1252</f>
        <v>0</v>
      </c>
      <c r="H1626" s="112">
        <f>'OPEN FOREIGN ORDER'!AE1252</f>
        <v>0</v>
      </c>
      <c r="I1626" s="112">
        <f>'OPEN FOREIGN ORDER'!AF1252</f>
        <v>0</v>
      </c>
      <c r="J1626" s="112">
        <f>'OPEN FOREIGN ORDER'!AG1252</f>
        <v>0</v>
      </c>
    </row>
    <row r="1627" spans="1:10">
      <c r="A1627">
        <f>'OPEN FOREIGN ORDER'!D1253</f>
        <v>0</v>
      </c>
      <c r="B1627">
        <f>'OPEN FOREIGN ORDER'!F1253</f>
        <v>0</v>
      </c>
      <c r="C1627">
        <f>'OPEN FOREIGN ORDER'!Z1253</f>
        <v>0</v>
      </c>
      <c r="D1627" s="123">
        <f>'OPEN FOREIGN ORDER'!AA1253</f>
        <v>0</v>
      </c>
      <c r="E1627" s="112">
        <f>'OPEN FOREIGN ORDER'!AB1253</f>
        <v>0</v>
      </c>
      <c r="F1627" s="112">
        <f>'OPEN FOREIGN ORDER'!AC1253</f>
        <v>0</v>
      </c>
      <c r="G1627" s="112">
        <f>'OPEN FOREIGN ORDER'!AD1253</f>
        <v>0</v>
      </c>
      <c r="H1627" s="112">
        <f>'OPEN FOREIGN ORDER'!AE1253</f>
        <v>0</v>
      </c>
      <c r="I1627" s="112">
        <f>'OPEN FOREIGN ORDER'!AF1253</f>
        <v>0</v>
      </c>
      <c r="J1627" s="112">
        <f>'OPEN FOREIGN ORDER'!AG1253</f>
        <v>0</v>
      </c>
    </row>
    <row r="1628" spans="1:10">
      <c r="A1628">
        <f>'OPEN FOREIGN ORDER'!D1254</f>
        <v>0</v>
      </c>
      <c r="B1628">
        <f>'OPEN FOREIGN ORDER'!F1254</f>
        <v>0</v>
      </c>
      <c r="C1628">
        <f>'OPEN FOREIGN ORDER'!Z1254</f>
        <v>0</v>
      </c>
      <c r="D1628" s="123">
        <f>'OPEN FOREIGN ORDER'!AA1254</f>
        <v>0</v>
      </c>
      <c r="E1628" s="112">
        <f>'OPEN FOREIGN ORDER'!AB1254</f>
        <v>0</v>
      </c>
      <c r="F1628" s="112">
        <f>'OPEN FOREIGN ORDER'!AC1254</f>
        <v>0</v>
      </c>
      <c r="G1628" s="112">
        <f>'OPEN FOREIGN ORDER'!AD1254</f>
        <v>0</v>
      </c>
      <c r="H1628" s="112">
        <f>'OPEN FOREIGN ORDER'!AE1254</f>
        <v>0</v>
      </c>
      <c r="I1628" s="112">
        <f>'OPEN FOREIGN ORDER'!AF1254</f>
        <v>0</v>
      </c>
      <c r="J1628" s="112">
        <f>'OPEN FOREIGN ORDER'!AG1254</f>
        <v>0</v>
      </c>
    </row>
    <row r="1629" spans="1:10">
      <c r="A1629">
        <f>'OPEN FOREIGN ORDER'!D1255</f>
        <v>0</v>
      </c>
      <c r="B1629">
        <f>'OPEN FOREIGN ORDER'!F1255</f>
        <v>0</v>
      </c>
      <c r="C1629">
        <f>'OPEN FOREIGN ORDER'!Z1255</f>
        <v>0</v>
      </c>
      <c r="D1629" s="123">
        <f>'OPEN FOREIGN ORDER'!AA1255</f>
        <v>0</v>
      </c>
      <c r="E1629" s="112">
        <f>'OPEN FOREIGN ORDER'!AB1255</f>
        <v>0</v>
      </c>
      <c r="F1629" s="112">
        <f>'OPEN FOREIGN ORDER'!AC1255</f>
        <v>0</v>
      </c>
      <c r="G1629" s="112">
        <f>'OPEN FOREIGN ORDER'!AD1255</f>
        <v>0</v>
      </c>
      <c r="H1629" s="112">
        <f>'OPEN FOREIGN ORDER'!AE1255</f>
        <v>0</v>
      </c>
      <c r="I1629" s="112">
        <f>'OPEN FOREIGN ORDER'!AF1255</f>
        <v>0</v>
      </c>
      <c r="J1629" s="112">
        <f>'OPEN FOREIGN ORDER'!AG1255</f>
        <v>0</v>
      </c>
    </row>
    <row r="1630" spans="1:10">
      <c r="A1630">
        <f>'OPEN FOREIGN ORDER'!D1256</f>
        <v>0</v>
      </c>
      <c r="B1630">
        <f>'OPEN FOREIGN ORDER'!F1256</f>
        <v>0</v>
      </c>
      <c r="C1630">
        <f>'OPEN FOREIGN ORDER'!Z1256</f>
        <v>0</v>
      </c>
      <c r="D1630" s="123">
        <f>'OPEN FOREIGN ORDER'!AA1256</f>
        <v>0</v>
      </c>
      <c r="E1630" s="112">
        <f>'OPEN FOREIGN ORDER'!AB1256</f>
        <v>0</v>
      </c>
      <c r="F1630" s="112">
        <f>'OPEN FOREIGN ORDER'!AC1256</f>
        <v>0</v>
      </c>
      <c r="G1630" s="112">
        <f>'OPEN FOREIGN ORDER'!AD1256</f>
        <v>0</v>
      </c>
      <c r="H1630" s="112">
        <f>'OPEN FOREIGN ORDER'!AE1256</f>
        <v>0</v>
      </c>
      <c r="I1630" s="112">
        <f>'OPEN FOREIGN ORDER'!AF1256</f>
        <v>0</v>
      </c>
      <c r="J1630" s="112">
        <f>'OPEN FOREIGN ORDER'!AG1256</f>
        <v>0</v>
      </c>
    </row>
    <row r="1631" spans="1:10">
      <c r="A1631">
        <f>'OPEN FOREIGN ORDER'!D1257</f>
        <v>0</v>
      </c>
      <c r="B1631">
        <f>'OPEN FOREIGN ORDER'!F1257</f>
        <v>0</v>
      </c>
      <c r="C1631">
        <f>'OPEN FOREIGN ORDER'!Z1257</f>
        <v>0</v>
      </c>
      <c r="D1631" s="123">
        <f>'OPEN FOREIGN ORDER'!AA1257</f>
        <v>0</v>
      </c>
      <c r="E1631" s="112">
        <f>'OPEN FOREIGN ORDER'!AB1257</f>
        <v>0</v>
      </c>
      <c r="F1631" s="112">
        <f>'OPEN FOREIGN ORDER'!AC1257</f>
        <v>0</v>
      </c>
      <c r="G1631" s="112">
        <f>'OPEN FOREIGN ORDER'!AD1257</f>
        <v>0</v>
      </c>
      <c r="H1631" s="112">
        <f>'OPEN FOREIGN ORDER'!AE1257</f>
        <v>0</v>
      </c>
      <c r="I1631" s="112">
        <f>'OPEN FOREIGN ORDER'!AF1257</f>
        <v>0</v>
      </c>
      <c r="J1631" s="112">
        <f>'OPEN FOREIGN ORDER'!AG1257</f>
        <v>0</v>
      </c>
    </row>
    <row r="1632" spans="1:10">
      <c r="A1632">
        <f>'OPEN FOREIGN ORDER'!D1258</f>
        <v>0</v>
      </c>
      <c r="B1632">
        <f>'OPEN FOREIGN ORDER'!F1258</f>
        <v>0</v>
      </c>
      <c r="C1632">
        <f>'OPEN FOREIGN ORDER'!Z1258</f>
        <v>0</v>
      </c>
      <c r="D1632" s="123">
        <f>'OPEN FOREIGN ORDER'!AA1258</f>
        <v>0</v>
      </c>
      <c r="E1632" s="112">
        <f>'OPEN FOREIGN ORDER'!AB1258</f>
        <v>0</v>
      </c>
      <c r="F1632" s="112">
        <f>'OPEN FOREIGN ORDER'!AC1258</f>
        <v>0</v>
      </c>
      <c r="G1632" s="112">
        <f>'OPEN FOREIGN ORDER'!AD1258</f>
        <v>0</v>
      </c>
      <c r="H1632" s="112">
        <f>'OPEN FOREIGN ORDER'!AE1258</f>
        <v>0</v>
      </c>
      <c r="I1632" s="112">
        <f>'OPEN FOREIGN ORDER'!AF1258</f>
        <v>0</v>
      </c>
      <c r="J1632" s="112">
        <f>'OPEN FOREIGN ORDER'!AG1258</f>
        <v>0</v>
      </c>
    </row>
    <row r="1633" spans="1:10">
      <c r="A1633">
        <f>'OPEN FOREIGN ORDER'!D1259</f>
        <v>0</v>
      </c>
      <c r="B1633">
        <f>'OPEN FOREIGN ORDER'!F1259</f>
        <v>0</v>
      </c>
      <c r="C1633">
        <f>'OPEN FOREIGN ORDER'!Z1259</f>
        <v>0</v>
      </c>
      <c r="D1633" s="123">
        <f>'OPEN FOREIGN ORDER'!AA1259</f>
        <v>0</v>
      </c>
      <c r="E1633" s="112">
        <f>'OPEN FOREIGN ORDER'!AB1259</f>
        <v>0</v>
      </c>
      <c r="F1633" s="112">
        <f>'OPEN FOREIGN ORDER'!AC1259</f>
        <v>0</v>
      </c>
      <c r="G1633" s="112">
        <f>'OPEN FOREIGN ORDER'!AD1259</f>
        <v>0</v>
      </c>
      <c r="H1633" s="112">
        <f>'OPEN FOREIGN ORDER'!AE1259</f>
        <v>0</v>
      </c>
      <c r="I1633" s="112">
        <f>'OPEN FOREIGN ORDER'!AF1259</f>
        <v>0</v>
      </c>
      <c r="J1633" s="112">
        <f>'OPEN FOREIGN ORDER'!AG1259</f>
        <v>0</v>
      </c>
    </row>
    <row r="1634" spans="1:10">
      <c r="A1634">
        <f>'OPEN FOREIGN ORDER'!D1260</f>
        <v>0</v>
      </c>
      <c r="B1634">
        <f>'OPEN FOREIGN ORDER'!F1260</f>
        <v>0</v>
      </c>
      <c r="C1634">
        <f>'OPEN FOREIGN ORDER'!Z1260</f>
        <v>0</v>
      </c>
      <c r="D1634" s="123">
        <f>'OPEN FOREIGN ORDER'!AA1260</f>
        <v>0</v>
      </c>
      <c r="E1634" s="112">
        <f>'OPEN FOREIGN ORDER'!AB1260</f>
        <v>0</v>
      </c>
      <c r="F1634" s="112">
        <f>'OPEN FOREIGN ORDER'!AC1260</f>
        <v>0</v>
      </c>
      <c r="G1634" s="112">
        <f>'OPEN FOREIGN ORDER'!AD1260</f>
        <v>0</v>
      </c>
      <c r="H1634" s="112">
        <f>'OPEN FOREIGN ORDER'!AE1260</f>
        <v>0</v>
      </c>
      <c r="I1634" s="112">
        <f>'OPEN FOREIGN ORDER'!AF1260</f>
        <v>0</v>
      </c>
      <c r="J1634" s="112">
        <f>'OPEN FOREIGN ORDER'!AG1260</f>
        <v>0</v>
      </c>
    </row>
    <row r="1635" spans="1:10">
      <c r="A1635">
        <f>'OPEN FOREIGN ORDER'!D1261</f>
        <v>0</v>
      </c>
      <c r="B1635">
        <f>'OPEN FOREIGN ORDER'!F1261</f>
        <v>0</v>
      </c>
      <c r="C1635">
        <f>'OPEN FOREIGN ORDER'!Z1261</f>
        <v>0</v>
      </c>
      <c r="D1635" s="123">
        <f>'OPEN FOREIGN ORDER'!AA1261</f>
        <v>0</v>
      </c>
      <c r="E1635" s="112">
        <f>'OPEN FOREIGN ORDER'!AB1261</f>
        <v>0</v>
      </c>
      <c r="F1635" s="112">
        <f>'OPEN FOREIGN ORDER'!AC1261</f>
        <v>0</v>
      </c>
      <c r="G1635" s="112">
        <f>'OPEN FOREIGN ORDER'!AD1261</f>
        <v>0</v>
      </c>
      <c r="H1635" s="112">
        <f>'OPEN FOREIGN ORDER'!AE1261</f>
        <v>0</v>
      </c>
      <c r="I1635" s="112">
        <f>'OPEN FOREIGN ORDER'!AF1261</f>
        <v>0</v>
      </c>
      <c r="J1635" s="112">
        <f>'OPEN FOREIGN ORDER'!AG1261</f>
        <v>0</v>
      </c>
    </row>
    <row r="1636" spans="1:10">
      <c r="A1636">
        <f>'OPEN FOREIGN ORDER'!D1262</f>
        <v>0</v>
      </c>
      <c r="B1636">
        <f>'OPEN FOREIGN ORDER'!F1262</f>
        <v>0</v>
      </c>
      <c r="C1636">
        <f>'OPEN FOREIGN ORDER'!Z1262</f>
        <v>0</v>
      </c>
      <c r="D1636" s="123">
        <f>'OPEN FOREIGN ORDER'!AA1262</f>
        <v>0</v>
      </c>
      <c r="E1636" s="112">
        <f>'OPEN FOREIGN ORDER'!AB1262</f>
        <v>0</v>
      </c>
      <c r="F1636" s="112">
        <f>'OPEN FOREIGN ORDER'!AC1262</f>
        <v>0</v>
      </c>
      <c r="G1636" s="112">
        <f>'OPEN FOREIGN ORDER'!AD1262</f>
        <v>0</v>
      </c>
      <c r="H1636" s="112">
        <f>'OPEN FOREIGN ORDER'!AE1262</f>
        <v>0</v>
      </c>
      <c r="I1636" s="112">
        <f>'OPEN FOREIGN ORDER'!AF1262</f>
        <v>0</v>
      </c>
      <c r="J1636" s="112">
        <f>'OPEN FOREIGN ORDER'!AG1262</f>
        <v>0</v>
      </c>
    </row>
    <row r="1637" spans="1:10">
      <c r="A1637">
        <f>'OPEN FOREIGN ORDER'!D1263</f>
        <v>0</v>
      </c>
      <c r="B1637">
        <f>'OPEN FOREIGN ORDER'!F1263</f>
        <v>0</v>
      </c>
      <c r="C1637">
        <f>'OPEN FOREIGN ORDER'!Z1263</f>
        <v>0</v>
      </c>
      <c r="D1637" s="123">
        <f>'OPEN FOREIGN ORDER'!AA1263</f>
        <v>0</v>
      </c>
      <c r="E1637" s="112">
        <f>'OPEN FOREIGN ORDER'!AB1263</f>
        <v>0</v>
      </c>
      <c r="F1637" s="112">
        <f>'OPEN FOREIGN ORDER'!AC1263</f>
        <v>0</v>
      </c>
      <c r="G1637" s="112">
        <f>'OPEN FOREIGN ORDER'!AD1263</f>
        <v>0</v>
      </c>
      <c r="H1637" s="112">
        <f>'OPEN FOREIGN ORDER'!AE1263</f>
        <v>0</v>
      </c>
      <c r="I1637" s="112">
        <f>'OPEN FOREIGN ORDER'!AF1263</f>
        <v>0</v>
      </c>
      <c r="J1637" s="112">
        <f>'OPEN FOREIGN ORDER'!AG1263</f>
        <v>0</v>
      </c>
    </row>
    <row r="1638" spans="1:10">
      <c r="A1638">
        <f>'OPEN FOREIGN ORDER'!D1264</f>
        <v>0</v>
      </c>
      <c r="B1638">
        <f>'OPEN FOREIGN ORDER'!F1264</f>
        <v>0</v>
      </c>
      <c r="C1638">
        <f>'OPEN FOREIGN ORDER'!Z1264</f>
        <v>0</v>
      </c>
      <c r="D1638" s="123">
        <f>'OPEN FOREIGN ORDER'!AA1264</f>
        <v>0</v>
      </c>
      <c r="E1638" s="112">
        <f>'OPEN FOREIGN ORDER'!AB1264</f>
        <v>0</v>
      </c>
      <c r="F1638" s="112">
        <f>'OPEN FOREIGN ORDER'!AC1264</f>
        <v>0</v>
      </c>
      <c r="G1638" s="112">
        <f>'OPEN FOREIGN ORDER'!AD1264</f>
        <v>0</v>
      </c>
      <c r="H1638" s="112">
        <f>'OPEN FOREIGN ORDER'!AE1264</f>
        <v>0</v>
      </c>
      <c r="I1638" s="112">
        <f>'OPEN FOREIGN ORDER'!AF1264</f>
        <v>0</v>
      </c>
      <c r="J1638" s="112">
        <f>'OPEN FOREIGN ORDER'!AG1264</f>
        <v>0</v>
      </c>
    </row>
    <row r="1639" spans="1:10">
      <c r="A1639">
        <f>'OPEN FOREIGN ORDER'!D1265</f>
        <v>0</v>
      </c>
      <c r="B1639">
        <f>'OPEN FOREIGN ORDER'!F1265</f>
        <v>0</v>
      </c>
      <c r="C1639">
        <f>'OPEN FOREIGN ORDER'!Z1265</f>
        <v>0</v>
      </c>
      <c r="D1639" s="123">
        <f>'OPEN FOREIGN ORDER'!AA1265</f>
        <v>0</v>
      </c>
      <c r="E1639" s="112">
        <f>'OPEN FOREIGN ORDER'!AB1265</f>
        <v>0</v>
      </c>
      <c r="F1639" s="112">
        <f>'OPEN FOREIGN ORDER'!AC1265</f>
        <v>0</v>
      </c>
      <c r="G1639" s="112">
        <f>'OPEN FOREIGN ORDER'!AD1265</f>
        <v>0</v>
      </c>
      <c r="H1639" s="112">
        <f>'OPEN FOREIGN ORDER'!AE1265</f>
        <v>0</v>
      </c>
      <c r="I1639" s="112">
        <f>'OPEN FOREIGN ORDER'!AF1265</f>
        <v>0</v>
      </c>
      <c r="J1639" s="112">
        <f>'OPEN FOREIGN ORDER'!AG1265</f>
        <v>0</v>
      </c>
    </row>
    <row r="1640" spans="1:10">
      <c r="A1640">
        <f>'OPEN FOREIGN ORDER'!D1266</f>
        <v>0</v>
      </c>
      <c r="B1640">
        <f>'OPEN FOREIGN ORDER'!F1266</f>
        <v>0</v>
      </c>
      <c r="C1640">
        <f>'OPEN FOREIGN ORDER'!Z1266</f>
        <v>0</v>
      </c>
      <c r="D1640" s="123">
        <f>'OPEN FOREIGN ORDER'!AA1266</f>
        <v>0</v>
      </c>
      <c r="E1640" s="112">
        <f>'OPEN FOREIGN ORDER'!AB1266</f>
        <v>0</v>
      </c>
      <c r="F1640" s="112">
        <f>'OPEN FOREIGN ORDER'!AC1266</f>
        <v>0</v>
      </c>
      <c r="G1640" s="112">
        <f>'OPEN FOREIGN ORDER'!AD1266</f>
        <v>0</v>
      </c>
      <c r="H1640" s="112">
        <f>'OPEN FOREIGN ORDER'!AE1266</f>
        <v>0</v>
      </c>
      <c r="I1640" s="112">
        <f>'OPEN FOREIGN ORDER'!AF1266</f>
        <v>0</v>
      </c>
      <c r="J1640" s="112">
        <f>'OPEN FOREIGN ORDER'!AG1266</f>
        <v>0</v>
      </c>
    </row>
    <row r="1641" spans="1:10">
      <c r="A1641">
        <f>'OPEN FOREIGN ORDER'!D1267</f>
        <v>0</v>
      </c>
      <c r="B1641">
        <f>'OPEN FOREIGN ORDER'!F1267</f>
        <v>0</v>
      </c>
      <c r="C1641">
        <f>'OPEN FOREIGN ORDER'!Z1267</f>
        <v>0</v>
      </c>
      <c r="D1641" s="123">
        <f>'OPEN FOREIGN ORDER'!AA1267</f>
        <v>0</v>
      </c>
      <c r="E1641" s="112">
        <f>'OPEN FOREIGN ORDER'!AB1267</f>
        <v>0</v>
      </c>
      <c r="F1641" s="112">
        <f>'OPEN FOREIGN ORDER'!AC1267</f>
        <v>0</v>
      </c>
      <c r="G1641" s="112">
        <f>'OPEN FOREIGN ORDER'!AD1267</f>
        <v>0</v>
      </c>
      <c r="H1641" s="112">
        <f>'OPEN FOREIGN ORDER'!AE1267</f>
        <v>0</v>
      </c>
      <c r="I1641" s="112">
        <f>'OPEN FOREIGN ORDER'!AF1267</f>
        <v>0</v>
      </c>
      <c r="J1641" s="112">
        <f>'OPEN FOREIGN ORDER'!AG1267</f>
        <v>0</v>
      </c>
    </row>
    <row r="1642" spans="1:10">
      <c r="A1642">
        <f>'OPEN FOREIGN ORDER'!D1268</f>
        <v>0</v>
      </c>
      <c r="B1642">
        <f>'OPEN FOREIGN ORDER'!F1268</f>
        <v>0</v>
      </c>
      <c r="C1642">
        <f>'OPEN FOREIGN ORDER'!Z1268</f>
        <v>0</v>
      </c>
      <c r="D1642" s="123">
        <f>'OPEN FOREIGN ORDER'!AA1268</f>
        <v>0</v>
      </c>
      <c r="E1642" s="112">
        <f>'OPEN FOREIGN ORDER'!AB1268</f>
        <v>0</v>
      </c>
      <c r="F1642" s="112">
        <f>'OPEN FOREIGN ORDER'!AC1268</f>
        <v>0</v>
      </c>
      <c r="G1642" s="112">
        <f>'OPEN FOREIGN ORDER'!AD1268</f>
        <v>0</v>
      </c>
      <c r="H1642" s="112">
        <f>'OPEN FOREIGN ORDER'!AE1268</f>
        <v>0</v>
      </c>
      <c r="I1642" s="112">
        <f>'OPEN FOREIGN ORDER'!AF1268</f>
        <v>0</v>
      </c>
      <c r="J1642" s="112">
        <f>'OPEN FOREIGN ORDER'!AG1268</f>
        <v>0</v>
      </c>
    </row>
    <row r="1643" spans="1:10">
      <c r="A1643">
        <f>'OPEN FOREIGN ORDER'!D1269</f>
        <v>0</v>
      </c>
      <c r="B1643">
        <f>'OPEN FOREIGN ORDER'!F1269</f>
        <v>0</v>
      </c>
      <c r="C1643">
        <f>'OPEN FOREIGN ORDER'!Z1269</f>
        <v>0</v>
      </c>
      <c r="D1643" s="123">
        <f>'OPEN FOREIGN ORDER'!AA1269</f>
        <v>0</v>
      </c>
      <c r="E1643" s="112">
        <f>'OPEN FOREIGN ORDER'!AB1269</f>
        <v>0</v>
      </c>
      <c r="F1643" s="112">
        <f>'OPEN FOREIGN ORDER'!AC1269</f>
        <v>0</v>
      </c>
      <c r="G1643" s="112">
        <f>'OPEN FOREIGN ORDER'!AD1269</f>
        <v>0</v>
      </c>
      <c r="H1643" s="112">
        <f>'OPEN FOREIGN ORDER'!AE1269</f>
        <v>0</v>
      </c>
      <c r="I1643" s="112">
        <f>'OPEN FOREIGN ORDER'!AF1269</f>
        <v>0</v>
      </c>
      <c r="J1643" s="112">
        <f>'OPEN FOREIGN ORDER'!AG1269</f>
        <v>0</v>
      </c>
    </row>
    <row r="1644" spans="1:10">
      <c r="A1644">
        <f>'OPEN FOREIGN ORDER'!D1270</f>
        <v>0</v>
      </c>
      <c r="B1644">
        <f>'OPEN FOREIGN ORDER'!F1270</f>
        <v>0</v>
      </c>
      <c r="C1644">
        <f>'OPEN FOREIGN ORDER'!Z1270</f>
        <v>0</v>
      </c>
      <c r="D1644" s="123">
        <f>'OPEN FOREIGN ORDER'!AA1270</f>
        <v>0</v>
      </c>
      <c r="E1644" s="112">
        <f>'OPEN FOREIGN ORDER'!AB1270</f>
        <v>0</v>
      </c>
      <c r="F1644" s="112">
        <f>'OPEN FOREIGN ORDER'!AC1270</f>
        <v>0</v>
      </c>
      <c r="G1644" s="112">
        <f>'OPEN FOREIGN ORDER'!AD1270</f>
        <v>0</v>
      </c>
      <c r="H1644" s="112">
        <f>'OPEN FOREIGN ORDER'!AE1270</f>
        <v>0</v>
      </c>
      <c r="I1644" s="112">
        <f>'OPEN FOREIGN ORDER'!AF1270</f>
        <v>0</v>
      </c>
      <c r="J1644" s="112">
        <f>'OPEN FOREIGN ORDER'!AG1270</f>
        <v>0</v>
      </c>
    </row>
    <row r="1645" spans="1:10">
      <c r="A1645">
        <f>'OPEN FOREIGN ORDER'!D1271</f>
        <v>0</v>
      </c>
      <c r="B1645">
        <f>'OPEN FOREIGN ORDER'!F1271</f>
        <v>0</v>
      </c>
      <c r="C1645">
        <f>'OPEN FOREIGN ORDER'!Z1271</f>
        <v>0</v>
      </c>
      <c r="D1645" s="123">
        <f>'OPEN FOREIGN ORDER'!AA1271</f>
        <v>0</v>
      </c>
      <c r="E1645" s="112">
        <f>'OPEN FOREIGN ORDER'!AB1271</f>
        <v>0</v>
      </c>
      <c r="F1645" s="112">
        <f>'OPEN FOREIGN ORDER'!AC1271</f>
        <v>0</v>
      </c>
      <c r="G1645" s="112">
        <f>'OPEN FOREIGN ORDER'!AD1271</f>
        <v>0</v>
      </c>
      <c r="H1645" s="112">
        <f>'OPEN FOREIGN ORDER'!AE1271</f>
        <v>0</v>
      </c>
      <c r="I1645" s="112">
        <f>'OPEN FOREIGN ORDER'!AF1271</f>
        <v>0</v>
      </c>
      <c r="J1645" s="112">
        <f>'OPEN FOREIGN ORDER'!AG1271</f>
        <v>0</v>
      </c>
    </row>
    <row r="1646" spans="1:10">
      <c r="A1646">
        <f>'OPEN FOREIGN ORDER'!D1272</f>
        <v>0</v>
      </c>
      <c r="B1646">
        <f>'OPEN FOREIGN ORDER'!F1272</f>
        <v>0</v>
      </c>
      <c r="C1646">
        <f>'OPEN FOREIGN ORDER'!Z1272</f>
        <v>0</v>
      </c>
      <c r="D1646" s="123">
        <f>'OPEN FOREIGN ORDER'!AA1272</f>
        <v>0</v>
      </c>
      <c r="E1646" s="112">
        <f>'OPEN FOREIGN ORDER'!AB1272</f>
        <v>0</v>
      </c>
      <c r="F1646" s="112">
        <f>'OPEN FOREIGN ORDER'!AC1272</f>
        <v>0</v>
      </c>
      <c r="G1646" s="112">
        <f>'OPEN FOREIGN ORDER'!AD1272</f>
        <v>0</v>
      </c>
      <c r="H1646" s="112">
        <f>'OPEN FOREIGN ORDER'!AE1272</f>
        <v>0</v>
      </c>
      <c r="I1646" s="112">
        <f>'OPEN FOREIGN ORDER'!AF1272</f>
        <v>0</v>
      </c>
      <c r="J1646" s="112">
        <f>'OPEN FOREIGN ORDER'!AG1272</f>
        <v>0</v>
      </c>
    </row>
    <row r="1647" spans="1:10">
      <c r="A1647">
        <f>'OPEN FOREIGN ORDER'!D1273</f>
        <v>0</v>
      </c>
      <c r="B1647">
        <f>'OPEN FOREIGN ORDER'!F1273</f>
        <v>0</v>
      </c>
      <c r="C1647">
        <f>'OPEN FOREIGN ORDER'!Z1273</f>
        <v>0</v>
      </c>
      <c r="D1647" s="123">
        <f>'OPEN FOREIGN ORDER'!AA1273</f>
        <v>0</v>
      </c>
      <c r="E1647" s="112">
        <f>'OPEN FOREIGN ORDER'!AB1273</f>
        <v>0</v>
      </c>
      <c r="F1647" s="112">
        <f>'OPEN FOREIGN ORDER'!AC1273</f>
        <v>0</v>
      </c>
      <c r="G1647" s="112">
        <f>'OPEN FOREIGN ORDER'!AD1273</f>
        <v>0</v>
      </c>
      <c r="H1647" s="112">
        <f>'OPEN FOREIGN ORDER'!AE1273</f>
        <v>0</v>
      </c>
      <c r="I1647" s="112">
        <f>'OPEN FOREIGN ORDER'!AF1273</f>
        <v>0</v>
      </c>
      <c r="J1647" s="112">
        <f>'OPEN FOREIGN ORDER'!AG1273</f>
        <v>0</v>
      </c>
    </row>
    <row r="1648" spans="1:10">
      <c r="A1648">
        <f>'OPEN FOREIGN ORDER'!D1274</f>
        <v>0</v>
      </c>
      <c r="B1648">
        <f>'OPEN FOREIGN ORDER'!F1274</f>
        <v>0</v>
      </c>
      <c r="C1648">
        <f>'OPEN FOREIGN ORDER'!Z1274</f>
        <v>0</v>
      </c>
      <c r="D1648" s="123">
        <f>'OPEN FOREIGN ORDER'!AA1274</f>
        <v>0</v>
      </c>
      <c r="E1648" s="112">
        <f>'OPEN FOREIGN ORDER'!AB1274</f>
        <v>0</v>
      </c>
      <c r="F1648" s="112">
        <f>'OPEN FOREIGN ORDER'!AC1274</f>
        <v>0</v>
      </c>
      <c r="G1648" s="112">
        <f>'OPEN FOREIGN ORDER'!AD1274</f>
        <v>0</v>
      </c>
      <c r="H1648" s="112">
        <f>'OPEN FOREIGN ORDER'!AE1274</f>
        <v>0</v>
      </c>
      <c r="I1648" s="112">
        <f>'OPEN FOREIGN ORDER'!AF1274</f>
        <v>0</v>
      </c>
      <c r="J1648" s="112">
        <f>'OPEN FOREIGN ORDER'!AG1274</f>
        <v>0</v>
      </c>
    </row>
    <row r="1649" spans="1:10">
      <c r="A1649">
        <f>'OPEN FOREIGN ORDER'!D1275</f>
        <v>0</v>
      </c>
      <c r="B1649">
        <f>'OPEN FOREIGN ORDER'!F1275</f>
        <v>0</v>
      </c>
      <c r="C1649">
        <f>'OPEN FOREIGN ORDER'!Z1275</f>
        <v>0</v>
      </c>
      <c r="D1649" s="123">
        <f>'OPEN FOREIGN ORDER'!AA1275</f>
        <v>0</v>
      </c>
      <c r="E1649" s="112">
        <f>'OPEN FOREIGN ORDER'!AB1275</f>
        <v>0</v>
      </c>
      <c r="F1649" s="112">
        <f>'OPEN FOREIGN ORDER'!AC1275</f>
        <v>0</v>
      </c>
      <c r="G1649" s="112">
        <f>'OPEN FOREIGN ORDER'!AD1275</f>
        <v>0</v>
      </c>
      <c r="H1649" s="112">
        <f>'OPEN FOREIGN ORDER'!AE1275</f>
        <v>0</v>
      </c>
      <c r="I1649" s="112">
        <f>'OPEN FOREIGN ORDER'!AF1275</f>
        <v>0</v>
      </c>
      <c r="J1649" s="112">
        <f>'OPEN FOREIGN ORDER'!AG1275</f>
        <v>0</v>
      </c>
    </row>
    <row r="1650" spans="1:10">
      <c r="A1650">
        <f>'OPEN FOREIGN ORDER'!D1276</f>
        <v>0</v>
      </c>
      <c r="B1650">
        <f>'OPEN FOREIGN ORDER'!F1276</f>
        <v>0</v>
      </c>
      <c r="C1650">
        <f>'OPEN FOREIGN ORDER'!Z1276</f>
        <v>0</v>
      </c>
      <c r="D1650" s="123">
        <f>'OPEN FOREIGN ORDER'!AA1276</f>
        <v>0</v>
      </c>
      <c r="E1650" s="112">
        <f>'OPEN FOREIGN ORDER'!AB1276</f>
        <v>0</v>
      </c>
      <c r="F1650" s="112">
        <f>'OPEN FOREIGN ORDER'!AC1276</f>
        <v>0</v>
      </c>
      <c r="G1650" s="112">
        <f>'OPEN FOREIGN ORDER'!AD1276</f>
        <v>0</v>
      </c>
      <c r="H1650" s="112">
        <f>'OPEN FOREIGN ORDER'!AE1276</f>
        <v>0</v>
      </c>
      <c r="I1650" s="112">
        <f>'OPEN FOREIGN ORDER'!AF1276</f>
        <v>0</v>
      </c>
      <c r="J1650" s="112">
        <f>'OPEN FOREIGN ORDER'!AG1276</f>
        <v>0</v>
      </c>
    </row>
    <row r="1651" spans="1:10">
      <c r="A1651">
        <f>'OPEN FOREIGN ORDER'!D1277</f>
        <v>0</v>
      </c>
      <c r="B1651">
        <f>'OPEN FOREIGN ORDER'!F1277</f>
        <v>0</v>
      </c>
      <c r="C1651">
        <f>'OPEN FOREIGN ORDER'!Z1277</f>
        <v>0</v>
      </c>
      <c r="D1651" s="123">
        <f>'OPEN FOREIGN ORDER'!AA1277</f>
        <v>0</v>
      </c>
      <c r="E1651" s="112">
        <f>'OPEN FOREIGN ORDER'!AB1277</f>
        <v>0</v>
      </c>
      <c r="F1651" s="112">
        <f>'OPEN FOREIGN ORDER'!AC1277</f>
        <v>0</v>
      </c>
      <c r="G1651" s="112">
        <f>'OPEN FOREIGN ORDER'!AD1277</f>
        <v>0</v>
      </c>
      <c r="H1651" s="112">
        <f>'OPEN FOREIGN ORDER'!AE1277</f>
        <v>0</v>
      </c>
      <c r="I1651" s="112">
        <f>'OPEN FOREIGN ORDER'!AF1277</f>
        <v>0</v>
      </c>
      <c r="J1651" s="112">
        <f>'OPEN FOREIGN ORDER'!AG1277</f>
        <v>0</v>
      </c>
    </row>
    <row r="1652" spans="1:10">
      <c r="A1652">
        <f>'OPEN FOREIGN ORDER'!D1278</f>
        <v>0</v>
      </c>
      <c r="B1652">
        <f>'OPEN FOREIGN ORDER'!F1278</f>
        <v>0</v>
      </c>
      <c r="C1652">
        <f>'OPEN FOREIGN ORDER'!Z1278</f>
        <v>0</v>
      </c>
      <c r="D1652" s="123">
        <f>'OPEN FOREIGN ORDER'!AA1278</f>
        <v>0</v>
      </c>
      <c r="E1652" s="112">
        <f>'OPEN FOREIGN ORDER'!AB1278</f>
        <v>0</v>
      </c>
      <c r="F1652" s="112">
        <f>'OPEN FOREIGN ORDER'!AC1278</f>
        <v>0</v>
      </c>
      <c r="G1652" s="112">
        <f>'OPEN FOREIGN ORDER'!AD1278</f>
        <v>0</v>
      </c>
      <c r="H1652" s="112">
        <f>'OPEN FOREIGN ORDER'!AE1278</f>
        <v>0</v>
      </c>
      <c r="I1652" s="112">
        <f>'OPEN FOREIGN ORDER'!AF1278</f>
        <v>0</v>
      </c>
      <c r="J1652" s="112">
        <f>'OPEN FOREIGN ORDER'!AG1278</f>
        <v>0</v>
      </c>
    </row>
    <row r="1653" spans="1:10">
      <c r="A1653">
        <f>'OPEN FOREIGN ORDER'!D1279</f>
        <v>0</v>
      </c>
      <c r="B1653">
        <f>'OPEN FOREIGN ORDER'!F1279</f>
        <v>0</v>
      </c>
      <c r="C1653">
        <f>'OPEN FOREIGN ORDER'!Z1279</f>
        <v>0</v>
      </c>
      <c r="D1653" s="123">
        <f>'OPEN FOREIGN ORDER'!AA1279</f>
        <v>0</v>
      </c>
      <c r="E1653" s="112">
        <f>'OPEN FOREIGN ORDER'!AB1279</f>
        <v>0</v>
      </c>
      <c r="F1653" s="112">
        <f>'OPEN FOREIGN ORDER'!AC1279</f>
        <v>0</v>
      </c>
      <c r="G1653" s="112">
        <f>'OPEN FOREIGN ORDER'!AD1279</f>
        <v>0</v>
      </c>
      <c r="H1653" s="112">
        <f>'OPEN FOREIGN ORDER'!AE1279</f>
        <v>0</v>
      </c>
      <c r="I1653" s="112">
        <f>'OPEN FOREIGN ORDER'!AF1279</f>
        <v>0</v>
      </c>
      <c r="J1653" s="112">
        <f>'OPEN FOREIGN ORDER'!AG1279</f>
        <v>0</v>
      </c>
    </row>
    <row r="1654" spans="1:10">
      <c r="A1654">
        <f>'OPEN FOREIGN ORDER'!D1280</f>
        <v>0</v>
      </c>
      <c r="B1654">
        <f>'OPEN FOREIGN ORDER'!F1280</f>
        <v>0</v>
      </c>
      <c r="C1654">
        <f>'OPEN FOREIGN ORDER'!Z1280</f>
        <v>0</v>
      </c>
      <c r="D1654" s="123">
        <f>'OPEN FOREIGN ORDER'!AA1280</f>
        <v>0</v>
      </c>
      <c r="E1654" s="112">
        <f>'OPEN FOREIGN ORDER'!AB1280</f>
        <v>0</v>
      </c>
      <c r="F1654" s="112">
        <f>'OPEN FOREIGN ORDER'!AC1280</f>
        <v>0</v>
      </c>
      <c r="G1654" s="112">
        <f>'OPEN FOREIGN ORDER'!AD1280</f>
        <v>0</v>
      </c>
      <c r="H1654" s="112">
        <f>'OPEN FOREIGN ORDER'!AE1280</f>
        <v>0</v>
      </c>
      <c r="I1654" s="112">
        <f>'OPEN FOREIGN ORDER'!AF1280</f>
        <v>0</v>
      </c>
      <c r="J1654" s="112">
        <f>'OPEN FOREIGN ORDER'!AG1280</f>
        <v>0</v>
      </c>
    </row>
    <row r="1655" spans="1:10">
      <c r="A1655">
        <f>'OPEN FOREIGN ORDER'!D1281</f>
        <v>0</v>
      </c>
      <c r="B1655">
        <f>'OPEN FOREIGN ORDER'!F1281</f>
        <v>0</v>
      </c>
      <c r="C1655">
        <f>'OPEN FOREIGN ORDER'!Z1281</f>
        <v>0</v>
      </c>
      <c r="D1655" s="123">
        <f>'OPEN FOREIGN ORDER'!AA1281</f>
        <v>0</v>
      </c>
      <c r="E1655" s="112">
        <f>'OPEN FOREIGN ORDER'!AB1281</f>
        <v>0</v>
      </c>
      <c r="F1655" s="112">
        <f>'OPEN FOREIGN ORDER'!AC1281</f>
        <v>0</v>
      </c>
      <c r="G1655" s="112">
        <f>'OPEN FOREIGN ORDER'!AD1281</f>
        <v>0</v>
      </c>
      <c r="H1655" s="112">
        <f>'OPEN FOREIGN ORDER'!AE1281</f>
        <v>0</v>
      </c>
      <c r="I1655" s="112">
        <f>'OPEN FOREIGN ORDER'!AF1281</f>
        <v>0</v>
      </c>
      <c r="J1655" s="112">
        <f>'OPEN FOREIGN ORDER'!AG1281</f>
        <v>0</v>
      </c>
    </row>
    <row r="1656" spans="1:10">
      <c r="A1656">
        <f>'OPEN FOREIGN ORDER'!D1282</f>
        <v>0</v>
      </c>
      <c r="B1656">
        <f>'OPEN FOREIGN ORDER'!F1282</f>
        <v>0</v>
      </c>
      <c r="C1656">
        <f>'OPEN FOREIGN ORDER'!Z1282</f>
        <v>0</v>
      </c>
      <c r="D1656" s="123">
        <f>'OPEN FOREIGN ORDER'!AA1282</f>
        <v>0</v>
      </c>
      <c r="E1656" s="112">
        <f>'OPEN FOREIGN ORDER'!AB1282</f>
        <v>0</v>
      </c>
      <c r="F1656" s="112">
        <f>'OPEN FOREIGN ORDER'!AC1282</f>
        <v>0</v>
      </c>
      <c r="G1656" s="112">
        <f>'OPEN FOREIGN ORDER'!AD1282</f>
        <v>0</v>
      </c>
      <c r="H1656" s="112">
        <f>'OPEN FOREIGN ORDER'!AE1282</f>
        <v>0</v>
      </c>
      <c r="I1656" s="112">
        <f>'OPEN FOREIGN ORDER'!AF1282</f>
        <v>0</v>
      </c>
      <c r="J1656" s="112">
        <f>'OPEN FOREIGN ORDER'!AG1282</f>
        <v>0</v>
      </c>
    </row>
    <row r="1657" spans="1:10">
      <c r="A1657">
        <f>'OPEN FOREIGN ORDER'!D1283</f>
        <v>0</v>
      </c>
      <c r="B1657">
        <f>'OPEN FOREIGN ORDER'!F1283</f>
        <v>0</v>
      </c>
      <c r="C1657">
        <f>'OPEN FOREIGN ORDER'!Z1283</f>
        <v>0</v>
      </c>
      <c r="D1657" s="123">
        <f>'OPEN FOREIGN ORDER'!AA1283</f>
        <v>0</v>
      </c>
      <c r="E1657" s="112">
        <f>'OPEN FOREIGN ORDER'!AB1283</f>
        <v>0</v>
      </c>
      <c r="F1657" s="112">
        <f>'OPEN FOREIGN ORDER'!AC1283</f>
        <v>0</v>
      </c>
      <c r="G1657" s="112">
        <f>'OPEN FOREIGN ORDER'!AD1283</f>
        <v>0</v>
      </c>
      <c r="H1657" s="112">
        <f>'OPEN FOREIGN ORDER'!AE1283</f>
        <v>0</v>
      </c>
      <c r="I1657" s="112">
        <f>'OPEN FOREIGN ORDER'!AF1283</f>
        <v>0</v>
      </c>
      <c r="J1657" s="112">
        <f>'OPEN FOREIGN ORDER'!AG1283</f>
        <v>0</v>
      </c>
    </row>
    <row r="1658" spans="1:10">
      <c r="A1658">
        <f>'OPEN FOREIGN ORDER'!D1284</f>
        <v>0</v>
      </c>
      <c r="B1658">
        <f>'OPEN FOREIGN ORDER'!F1284</f>
        <v>0</v>
      </c>
      <c r="C1658">
        <f>'OPEN FOREIGN ORDER'!Z1284</f>
        <v>0</v>
      </c>
      <c r="D1658" s="123">
        <f>'OPEN FOREIGN ORDER'!AA1284</f>
        <v>0</v>
      </c>
      <c r="E1658" s="112">
        <f>'OPEN FOREIGN ORDER'!AB1284</f>
        <v>0</v>
      </c>
      <c r="F1658" s="112">
        <f>'OPEN FOREIGN ORDER'!AC1284</f>
        <v>0</v>
      </c>
      <c r="G1658" s="112">
        <f>'OPEN FOREIGN ORDER'!AD1284</f>
        <v>0</v>
      </c>
      <c r="H1658" s="112">
        <f>'OPEN FOREIGN ORDER'!AE1284</f>
        <v>0</v>
      </c>
      <c r="I1658" s="112">
        <f>'OPEN FOREIGN ORDER'!AF1284</f>
        <v>0</v>
      </c>
      <c r="J1658" s="112">
        <f>'OPEN FOREIGN ORDER'!AG1284</f>
        <v>0</v>
      </c>
    </row>
    <row r="1659" spans="1:10">
      <c r="A1659">
        <f>'OPEN FOREIGN ORDER'!D1285</f>
        <v>0</v>
      </c>
      <c r="B1659">
        <f>'OPEN FOREIGN ORDER'!F1285</f>
        <v>0</v>
      </c>
      <c r="C1659">
        <f>'OPEN FOREIGN ORDER'!Z1285</f>
        <v>0</v>
      </c>
      <c r="D1659" s="123">
        <f>'OPEN FOREIGN ORDER'!AA1285</f>
        <v>0</v>
      </c>
      <c r="E1659" s="112">
        <f>'OPEN FOREIGN ORDER'!AB1285</f>
        <v>0</v>
      </c>
      <c r="F1659" s="112">
        <f>'OPEN FOREIGN ORDER'!AC1285</f>
        <v>0</v>
      </c>
      <c r="G1659" s="112">
        <f>'OPEN FOREIGN ORDER'!AD1285</f>
        <v>0</v>
      </c>
      <c r="H1659" s="112">
        <f>'OPEN FOREIGN ORDER'!AE1285</f>
        <v>0</v>
      </c>
      <c r="I1659" s="112">
        <f>'OPEN FOREIGN ORDER'!AF1285</f>
        <v>0</v>
      </c>
      <c r="J1659" s="112">
        <f>'OPEN FOREIGN ORDER'!AG1285</f>
        <v>0</v>
      </c>
    </row>
    <row r="1660" spans="1:10">
      <c r="A1660">
        <f>'OPEN FOREIGN ORDER'!D1286</f>
        <v>0</v>
      </c>
      <c r="B1660">
        <f>'OPEN FOREIGN ORDER'!F1286</f>
        <v>0</v>
      </c>
      <c r="C1660">
        <f>'OPEN FOREIGN ORDER'!Z1286</f>
        <v>0</v>
      </c>
      <c r="D1660" s="123">
        <f>'OPEN FOREIGN ORDER'!AA1286</f>
        <v>0</v>
      </c>
      <c r="E1660" s="112">
        <f>'OPEN FOREIGN ORDER'!AB1286</f>
        <v>0</v>
      </c>
      <c r="F1660" s="112">
        <f>'OPEN FOREIGN ORDER'!AC1286</f>
        <v>0</v>
      </c>
      <c r="G1660" s="112">
        <f>'OPEN FOREIGN ORDER'!AD1286</f>
        <v>0</v>
      </c>
      <c r="H1660" s="112">
        <f>'OPEN FOREIGN ORDER'!AE1286</f>
        <v>0</v>
      </c>
      <c r="I1660" s="112">
        <f>'OPEN FOREIGN ORDER'!AF1286</f>
        <v>0</v>
      </c>
      <c r="J1660" s="112">
        <f>'OPEN FOREIGN ORDER'!AG1286</f>
        <v>0</v>
      </c>
    </row>
    <row r="1661" spans="1:10">
      <c r="A1661">
        <f>'OPEN FOREIGN ORDER'!D1287</f>
        <v>0</v>
      </c>
      <c r="B1661">
        <f>'OPEN FOREIGN ORDER'!F1287</f>
        <v>0</v>
      </c>
      <c r="C1661">
        <f>'OPEN FOREIGN ORDER'!Z1287</f>
        <v>0</v>
      </c>
      <c r="D1661" s="123">
        <f>'OPEN FOREIGN ORDER'!AA1287</f>
        <v>0</v>
      </c>
      <c r="E1661" s="112">
        <f>'OPEN FOREIGN ORDER'!AB1287</f>
        <v>0</v>
      </c>
      <c r="F1661" s="112">
        <f>'OPEN FOREIGN ORDER'!AC1287</f>
        <v>0</v>
      </c>
      <c r="G1661" s="112">
        <f>'OPEN FOREIGN ORDER'!AD1287</f>
        <v>0</v>
      </c>
      <c r="H1661" s="112">
        <f>'OPEN FOREIGN ORDER'!AE1287</f>
        <v>0</v>
      </c>
      <c r="I1661" s="112">
        <f>'OPEN FOREIGN ORDER'!AF1287</f>
        <v>0</v>
      </c>
      <c r="J1661" s="112">
        <f>'OPEN FOREIGN ORDER'!AG1287</f>
        <v>0</v>
      </c>
    </row>
    <row r="1662" spans="1:10">
      <c r="A1662">
        <f>'OPEN FOREIGN ORDER'!D1288</f>
        <v>0</v>
      </c>
      <c r="B1662">
        <f>'OPEN FOREIGN ORDER'!F1288</f>
        <v>0</v>
      </c>
      <c r="C1662">
        <f>'OPEN FOREIGN ORDER'!Z1288</f>
        <v>0</v>
      </c>
      <c r="D1662" s="123">
        <f>'OPEN FOREIGN ORDER'!AA1288</f>
        <v>0</v>
      </c>
      <c r="E1662" s="112">
        <f>'OPEN FOREIGN ORDER'!AB1288</f>
        <v>0</v>
      </c>
      <c r="F1662" s="112">
        <f>'OPEN FOREIGN ORDER'!AC1288</f>
        <v>0</v>
      </c>
      <c r="G1662" s="112">
        <f>'OPEN FOREIGN ORDER'!AD1288</f>
        <v>0</v>
      </c>
      <c r="H1662" s="112">
        <f>'OPEN FOREIGN ORDER'!AE1288</f>
        <v>0</v>
      </c>
      <c r="I1662" s="112">
        <f>'OPEN FOREIGN ORDER'!AF1288</f>
        <v>0</v>
      </c>
      <c r="J1662" s="112">
        <f>'OPEN FOREIGN ORDER'!AG1288</f>
        <v>0</v>
      </c>
    </row>
    <row r="1663" spans="1:10">
      <c r="A1663">
        <f>'OPEN FOREIGN ORDER'!D1289</f>
        <v>0</v>
      </c>
      <c r="B1663">
        <f>'OPEN FOREIGN ORDER'!F1289</f>
        <v>0</v>
      </c>
      <c r="C1663">
        <f>'OPEN FOREIGN ORDER'!Z1289</f>
        <v>0</v>
      </c>
      <c r="D1663" s="123">
        <f>'OPEN FOREIGN ORDER'!AA1289</f>
        <v>0</v>
      </c>
      <c r="E1663" s="112">
        <f>'OPEN FOREIGN ORDER'!AB1289</f>
        <v>0</v>
      </c>
      <c r="F1663" s="112">
        <f>'OPEN FOREIGN ORDER'!AC1289</f>
        <v>0</v>
      </c>
      <c r="G1663" s="112">
        <f>'OPEN FOREIGN ORDER'!AD1289</f>
        <v>0</v>
      </c>
      <c r="H1663" s="112">
        <f>'OPEN FOREIGN ORDER'!AE1289</f>
        <v>0</v>
      </c>
      <c r="I1663" s="112">
        <f>'OPEN FOREIGN ORDER'!AF1289</f>
        <v>0</v>
      </c>
      <c r="J1663" s="112">
        <f>'OPEN FOREIGN ORDER'!AG1289</f>
        <v>0</v>
      </c>
    </row>
    <row r="1664" spans="1:10">
      <c r="A1664">
        <f>'OPEN FOREIGN ORDER'!D1290</f>
        <v>0</v>
      </c>
      <c r="B1664">
        <f>'OPEN FOREIGN ORDER'!F1290</f>
        <v>0</v>
      </c>
      <c r="C1664">
        <f>'OPEN FOREIGN ORDER'!Z1290</f>
        <v>0</v>
      </c>
      <c r="D1664" s="123">
        <f>'OPEN FOREIGN ORDER'!AA1290</f>
        <v>0</v>
      </c>
      <c r="E1664" s="112">
        <f>'OPEN FOREIGN ORDER'!AB1290</f>
        <v>0</v>
      </c>
      <c r="F1664" s="112">
        <f>'OPEN FOREIGN ORDER'!AC1290</f>
        <v>0</v>
      </c>
      <c r="G1664" s="112">
        <f>'OPEN FOREIGN ORDER'!AD1290</f>
        <v>0</v>
      </c>
      <c r="H1664" s="112">
        <f>'OPEN FOREIGN ORDER'!AE1290</f>
        <v>0</v>
      </c>
      <c r="I1664" s="112">
        <f>'OPEN FOREIGN ORDER'!AF1290</f>
        <v>0</v>
      </c>
      <c r="J1664" s="112">
        <f>'OPEN FOREIGN ORDER'!AG1290</f>
        <v>0</v>
      </c>
    </row>
    <row r="1665" spans="1:10">
      <c r="A1665">
        <f>'OPEN FOREIGN ORDER'!D1291</f>
        <v>0</v>
      </c>
      <c r="B1665">
        <f>'OPEN FOREIGN ORDER'!F1291</f>
        <v>0</v>
      </c>
      <c r="C1665">
        <f>'OPEN FOREIGN ORDER'!Z1291</f>
        <v>0</v>
      </c>
      <c r="D1665" s="123">
        <f>'OPEN FOREIGN ORDER'!AA1291</f>
        <v>0</v>
      </c>
      <c r="E1665" s="112">
        <f>'OPEN FOREIGN ORDER'!AB1291</f>
        <v>0</v>
      </c>
      <c r="F1665" s="112">
        <f>'OPEN FOREIGN ORDER'!AC1291</f>
        <v>0</v>
      </c>
      <c r="G1665" s="112">
        <f>'OPEN FOREIGN ORDER'!AD1291</f>
        <v>0</v>
      </c>
      <c r="H1665" s="112">
        <f>'OPEN FOREIGN ORDER'!AE1291</f>
        <v>0</v>
      </c>
      <c r="I1665" s="112">
        <f>'OPEN FOREIGN ORDER'!AF1291</f>
        <v>0</v>
      </c>
      <c r="J1665" s="112">
        <f>'OPEN FOREIGN ORDER'!AG1291</f>
        <v>0</v>
      </c>
    </row>
    <row r="1666" spans="1:10">
      <c r="A1666">
        <f>'OPEN FOREIGN ORDER'!D1292</f>
        <v>0</v>
      </c>
      <c r="B1666">
        <f>'OPEN FOREIGN ORDER'!F1292</f>
        <v>0</v>
      </c>
      <c r="C1666">
        <f>'OPEN FOREIGN ORDER'!Z1292</f>
        <v>0</v>
      </c>
      <c r="D1666" s="123">
        <f>'OPEN FOREIGN ORDER'!AA1292</f>
        <v>0</v>
      </c>
      <c r="E1666" s="112">
        <f>'OPEN FOREIGN ORDER'!AB1292</f>
        <v>0</v>
      </c>
      <c r="F1666" s="112">
        <f>'OPEN FOREIGN ORDER'!AC1292</f>
        <v>0</v>
      </c>
      <c r="G1666" s="112">
        <f>'OPEN FOREIGN ORDER'!AD1292</f>
        <v>0</v>
      </c>
      <c r="H1666" s="112">
        <f>'OPEN FOREIGN ORDER'!AE1292</f>
        <v>0</v>
      </c>
      <c r="I1666" s="112">
        <f>'OPEN FOREIGN ORDER'!AF1292</f>
        <v>0</v>
      </c>
      <c r="J1666" s="112">
        <f>'OPEN FOREIGN ORDER'!AG1292</f>
        <v>0</v>
      </c>
    </row>
    <row r="1667" spans="1:10">
      <c r="A1667">
        <f>'OPEN FOREIGN ORDER'!D1293</f>
        <v>0</v>
      </c>
      <c r="B1667">
        <f>'OPEN FOREIGN ORDER'!F1293</f>
        <v>0</v>
      </c>
      <c r="C1667">
        <f>'OPEN FOREIGN ORDER'!Z1293</f>
        <v>0</v>
      </c>
      <c r="D1667" s="123">
        <f>'OPEN FOREIGN ORDER'!AA1293</f>
        <v>0</v>
      </c>
      <c r="E1667" s="112">
        <f>'OPEN FOREIGN ORDER'!AB1293</f>
        <v>0</v>
      </c>
      <c r="F1667" s="112">
        <f>'OPEN FOREIGN ORDER'!AC1293</f>
        <v>0</v>
      </c>
      <c r="G1667" s="112">
        <f>'OPEN FOREIGN ORDER'!AD1293</f>
        <v>0</v>
      </c>
      <c r="H1667" s="112">
        <f>'OPEN FOREIGN ORDER'!AE1293</f>
        <v>0</v>
      </c>
      <c r="I1667" s="112">
        <f>'OPEN FOREIGN ORDER'!AF1293</f>
        <v>0</v>
      </c>
      <c r="J1667" s="112">
        <f>'OPEN FOREIGN ORDER'!AG1293</f>
        <v>0</v>
      </c>
    </row>
    <row r="1668" spans="1:10">
      <c r="A1668">
        <f>'OPEN FOREIGN ORDER'!D1294</f>
        <v>0</v>
      </c>
      <c r="B1668">
        <f>'OPEN FOREIGN ORDER'!F1294</f>
        <v>0</v>
      </c>
      <c r="C1668">
        <f>'OPEN FOREIGN ORDER'!Z1294</f>
        <v>0</v>
      </c>
      <c r="D1668" s="123">
        <f>'OPEN FOREIGN ORDER'!AA1294</f>
        <v>0</v>
      </c>
      <c r="E1668" s="112">
        <f>'OPEN FOREIGN ORDER'!AB1294</f>
        <v>0</v>
      </c>
      <c r="F1668" s="112">
        <f>'OPEN FOREIGN ORDER'!AC1294</f>
        <v>0</v>
      </c>
      <c r="G1668" s="112">
        <f>'OPEN FOREIGN ORDER'!AD1294</f>
        <v>0</v>
      </c>
      <c r="H1668" s="112">
        <f>'OPEN FOREIGN ORDER'!AE1294</f>
        <v>0</v>
      </c>
      <c r="I1668" s="112">
        <f>'OPEN FOREIGN ORDER'!AF1294</f>
        <v>0</v>
      </c>
      <c r="J1668" s="112">
        <f>'OPEN FOREIGN ORDER'!AG1294</f>
        <v>0</v>
      </c>
    </row>
    <row r="1669" spans="1:10">
      <c r="A1669">
        <f>'OPEN FOREIGN ORDER'!D1295</f>
        <v>0</v>
      </c>
      <c r="B1669">
        <f>'OPEN FOREIGN ORDER'!F1295</f>
        <v>0</v>
      </c>
      <c r="C1669">
        <f>'OPEN FOREIGN ORDER'!Z1295</f>
        <v>0</v>
      </c>
      <c r="D1669" s="123">
        <f>'OPEN FOREIGN ORDER'!AA1295</f>
        <v>0</v>
      </c>
      <c r="E1669" s="112">
        <f>'OPEN FOREIGN ORDER'!AB1295</f>
        <v>0</v>
      </c>
      <c r="F1669" s="112">
        <f>'OPEN FOREIGN ORDER'!AC1295</f>
        <v>0</v>
      </c>
      <c r="G1669" s="112">
        <f>'OPEN FOREIGN ORDER'!AD1295</f>
        <v>0</v>
      </c>
      <c r="H1669" s="112">
        <f>'OPEN FOREIGN ORDER'!AE1295</f>
        <v>0</v>
      </c>
      <c r="I1669" s="112">
        <f>'OPEN FOREIGN ORDER'!AF1295</f>
        <v>0</v>
      </c>
      <c r="J1669" s="112">
        <f>'OPEN FOREIGN ORDER'!AG1295</f>
        <v>0</v>
      </c>
    </row>
    <row r="1670" spans="1:10">
      <c r="A1670">
        <f>'OPEN FOREIGN ORDER'!D1296</f>
        <v>0</v>
      </c>
      <c r="B1670">
        <f>'OPEN FOREIGN ORDER'!F1296</f>
        <v>0</v>
      </c>
      <c r="C1670">
        <f>'OPEN FOREIGN ORDER'!Z1296</f>
        <v>0</v>
      </c>
      <c r="D1670" s="123">
        <f>'OPEN FOREIGN ORDER'!AA1296</f>
        <v>0</v>
      </c>
      <c r="E1670" s="112">
        <f>'OPEN FOREIGN ORDER'!AB1296</f>
        <v>0</v>
      </c>
      <c r="F1670" s="112">
        <f>'OPEN FOREIGN ORDER'!AC1296</f>
        <v>0</v>
      </c>
      <c r="G1670" s="112">
        <f>'OPEN FOREIGN ORDER'!AD1296</f>
        <v>0</v>
      </c>
      <c r="H1670" s="112">
        <f>'OPEN FOREIGN ORDER'!AE1296</f>
        <v>0</v>
      </c>
      <c r="I1670" s="112">
        <f>'OPEN FOREIGN ORDER'!AF1296</f>
        <v>0</v>
      </c>
      <c r="J1670" s="112">
        <f>'OPEN FOREIGN ORDER'!AG1296</f>
        <v>0</v>
      </c>
    </row>
    <row r="1671" spans="1:10">
      <c r="A1671">
        <f>'OPEN FOREIGN ORDER'!D1297</f>
        <v>0</v>
      </c>
      <c r="B1671">
        <f>'OPEN FOREIGN ORDER'!F1297</f>
        <v>0</v>
      </c>
      <c r="C1671">
        <f>'OPEN FOREIGN ORDER'!Z1297</f>
        <v>0</v>
      </c>
      <c r="D1671" s="123">
        <f>'OPEN FOREIGN ORDER'!AA1297</f>
        <v>0</v>
      </c>
      <c r="E1671" s="112">
        <f>'OPEN FOREIGN ORDER'!AB1297</f>
        <v>0</v>
      </c>
      <c r="F1671" s="112">
        <f>'OPEN FOREIGN ORDER'!AC1297</f>
        <v>0</v>
      </c>
      <c r="G1671" s="112">
        <f>'OPEN FOREIGN ORDER'!AD1297</f>
        <v>0</v>
      </c>
      <c r="H1671" s="112">
        <f>'OPEN FOREIGN ORDER'!AE1297</f>
        <v>0</v>
      </c>
      <c r="I1671" s="112">
        <f>'OPEN FOREIGN ORDER'!AF1297</f>
        <v>0</v>
      </c>
      <c r="J1671" s="112">
        <f>'OPEN FOREIGN ORDER'!AG1297</f>
        <v>0</v>
      </c>
    </row>
    <row r="1672" spans="1:10">
      <c r="A1672">
        <f>'OPEN FOREIGN ORDER'!D1298</f>
        <v>0</v>
      </c>
      <c r="B1672">
        <f>'OPEN FOREIGN ORDER'!F1298</f>
        <v>0</v>
      </c>
      <c r="C1672">
        <f>'OPEN FOREIGN ORDER'!Z1298</f>
        <v>0</v>
      </c>
      <c r="D1672" s="123">
        <f>'OPEN FOREIGN ORDER'!AA1298</f>
        <v>0</v>
      </c>
      <c r="E1672" s="112">
        <f>'OPEN FOREIGN ORDER'!AB1298</f>
        <v>0</v>
      </c>
      <c r="F1672" s="112">
        <f>'OPEN FOREIGN ORDER'!AC1298</f>
        <v>0</v>
      </c>
      <c r="G1672" s="112">
        <f>'OPEN FOREIGN ORDER'!AD1298</f>
        <v>0</v>
      </c>
      <c r="H1672" s="112">
        <f>'OPEN FOREIGN ORDER'!AE1298</f>
        <v>0</v>
      </c>
      <c r="I1672" s="112">
        <f>'OPEN FOREIGN ORDER'!AF1298</f>
        <v>0</v>
      </c>
      <c r="J1672" s="112">
        <f>'OPEN FOREIGN ORDER'!AG1298</f>
        <v>0</v>
      </c>
    </row>
    <row r="1673" spans="1:10">
      <c r="A1673">
        <f>'OPEN FOREIGN ORDER'!D1299</f>
        <v>0</v>
      </c>
      <c r="B1673">
        <f>'OPEN FOREIGN ORDER'!F1299</f>
        <v>0</v>
      </c>
      <c r="C1673">
        <f>'OPEN FOREIGN ORDER'!Z1299</f>
        <v>0</v>
      </c>
      <c r="D1673" s="123">
        <f>'OPEN FOREIGN ORDER'!AA1299</f>
        <v>0</v>
      </c>
      <c r="E1673" s="112">
        <f>'OPEN FOREIGN ORDER'!AB1299</f>
        <v>0</v>
      </c>
      <c r="F1673" s="112">
        <f>'OPEN FOREIGN ORDER'!AC1299</f>
        <v>0</v>
      </c>
      <c r="G1673" s="112">
        <f>'OPEN FOREIGN ORDER'!AD1299</f>
        <v>0</v>
      </c>
      <c r="H1673" s="112">
        <f>'OPEN FOREIGN ORDER'!AE1299</f>
        <v>0</v>
      </c>
      <c r="I1673" s="112">
        <f>'OPEN FOREIGN ORDER'!AF1299</f>
        <v>0</v>
      </c>
      <c r="J1673" s="112">
        <f>'OPEN FOREIGN ORDER'!AG1299</f>
        <v>0</v>
      </c>
    </row>
    <row r="1674" spans="1:10">
      <c r="A1674">
        <f>'OPEN FOREIGN ORDER'!D1300</f>
        <v>0</v>
      </c>
      <c r="B1674">
        <f>'OPEN FOREIGN ORDER'!F1300</f>
        <v>0</v>
      </c>
      <c r="C1674">
        <f>'OPEN FOREIGN ORDER'!Z1300</f>
        <v>0</v>
      </c>
      <c r="D1674" s="123">
        <f>'OPEN FOREIGN ORDER'!AA1300</f>
        <v>0</v>
      </c>
      <c r="E1674" s="112">
        <f>'OPEN FOREIGN ORDER'!AB1300</f>
        <v>0</v>
      </c>
      <c r="F1674" s="112">
        <f>'OPEN FOREIGN ORDER'!AC1300</f>
        <v>0</v>
      </c>
      <c r="G1674" s="112">
        <f>'OPEN FOREIGN ORDER'!AD1300</f>
        <v>0</v>
      </c>
      <c r="H1674" s="112">
        <f>'OPEN FOREIGN ORDER'!AE1300</f>
        <v>0</v>
      </c>
      <c r="I1674" s="112">
        <f>'OPEN FOREIGN ORDER'!AF1300</f>
        <v>0</v>
      </c>
      <c r="J1674" s="112">
        <f>'OPEN FOREIGN ORDER'!AG1300</f>
        <v>0</v>
      </c>
    </row>
    <row r="1675" spans="1:10">
      <c r="A1675">
        <f>'OPEN FOREIGN ORDER'!D1301</f>
        <v>0</v>
      </c>
      <c r="B1675">
        <f>'OPEN FOREIGN ORDER'!F1301</f>
        <v>0</v>
      </c>
      <c r="C1675">
        <f>'OPEN FOREIGN ORDER'!Z1301</f>
        <v>0</v>
      </c>
      <c r="D1675" s="123">
        <f>'OPEN FOREIGN ORDER'!AA1301</f>
        <v>0</v>
      </c>
      <c r="E1675" s="112">
        <f>'OPEN FOREIGN ORDER'!AB1301</f>
        <v>0</v>
      </c>
      <c r="F1675" s="112">
        <f>'OPEN FOREIGN ORDER'!AC1301</f>
        <v>0</v>
      </c>
      <c r="G1675" s="112">
        <f>'OPEN FOREIGN ORDER'!AD1301</f>
        <v>0</v>
      </c>
      <c r="H1675" s="112">
        <f>'OPEN FOREIGN ORDER'!AE1301</f>
        <v>0</v>
      </c>
      <c r="I1675" s="112">
        <f>'OPEN FOREIGN ORDER'!AF1301</f>
        <v>0</v>
      </c>
      <c r="J1675" s="112">
        <f>'OPEN FOREIGN ORDER'!AG1301</f>
        <v>0</v>
      </c>
    </row>
    <row r="1676" spans="1:10">
      <c r="A1676">
        <f>'OPEN FOREIGN ORDER'!D1302</f>
        <v>0</v>
      </c>
      <c r="B1676">
        <f>'OPEN FOREIGN ORDER'!F1302</f>
        <v>0</v>
      </c>
      <c r="C1676">
        <f>'OPEN FOREIGN ORDER'!Z1302</f>
        <v>0</v>
      </c>
      <c r="D1676" s="123">
        <f>'OPEN FOREIGN ORDER'!AA1302</f>
        <v>0</v>
      </c>
      <c r="E1676" s="112">
        <f>'OPEN FOREIGN ORDER'!AB1302</f>
        <v>0</v>
      </c>
      <c r="F1676" s="112">
        <f>'OPEN FOREIGN ORDER'!AC1302</f>
        <v>0</v>
      </c>
      <c r="G1676" s="112">
        <f>'OPEN FOREIGN ORDER'!AD1302</f>
        <v>0</v>
      </c>
      <c r="H1676" s="112">
        <f>'OPEN FOREIGN ORDER'!AE1302</f>
        <v>0</v>
      </c>
      <c r="I1676" s="112">
        <f>'OPEN FOREIGN ORDER'!AF1302</f>
        <v>0</v>
      </c>
      <c r="J1676" s="112">
        <f>'OPEN FOREIGN ORDER'!AG1302</f>
        <v>0</v>
      </c>
    </row>
    <row r="1677" spans="1:10">
      <c r="A1677">
        <f>'OPEN FOREIGN ORDER'!D1303</f>
        <v>0</v>
      </c>
      <c r="B1677">
        <f>'OPEN FOREIGN ORDER'!F1303</f>
        <v>0</v>
      </c>
      <c r="C1677">
        <f>'OPEN FOREIGN ORDER'!Z1303</f>
        <v>0</v>
      </c>
      <c r="D1677" s="123">
        <f>'OPEN FOREIGN ORDER'!AA1303</f>
        <v>0</v>
      </c>
      <c r="E1677" s="112">
        <f>'OPEN FOREIGN ORDER'!AB1303</f>
        <v>0</v>
      </c>
      <c r="F1677" s="112">
        <f>'OPEN FOREIGN ORDER'!AC1303</f>
        <v>0</v>
      </c>
      <c r="G1677" s="112">
        <f>'OPEN FOREIGN ORDER'!AD1303</f>
        <v>0</v>
      </c>
      <c r="H1677" s="112">
        <f>'OPEN FOREIGN ORDER'!AE1303</f>
        <v>0</v>
      </c>
      <c r="I1677" s="112">
        <f>'OPEN FOREIGN ORDER'!AF1303</f>
        <v>0</v>
      </c>
      <c r="J1677" s="112">
        <f>'OPEN FOREIGN ORDER'!AG1303</f>
        <v>0</v>
      </c>
    </row>
    <row r="1678" spans="1:10">
      <c r="A1678">
        <f>'OPEN FOREIGN ORDER'!D1304</f>
        <v>0</v>
      </c>
      <c r="B1678">
        <f>'OPEN FOREIGN ORDER'!F1304</f>
        <v>0</v>
      </c>
      <c r="C1678">
        <f>'OPEN FOREIGN ORDER'!Z1304</f>
        <v>0</v>
      </c>
      <c r="D1678" s="123">
        <f>'OPEN FOREIGN ORDER'!AA1304</f>
        <v>0</v>
      </c>
      <c r="E1678" s="112">
        <f>'OPEN FOREIGN ORDER'!AB1304</f>
        <v>0</v>
      </c>
      <c r="F1678" s="112">
        <f>'OPEN FOREIGN ORDER'!AC1304</f>
        <v>0</v>
      </c>
      <c r="G1678" s="112">
        <f>'OPEN FOREIGN ORDER'!AD1304</f>
        <v>0</v>
      </c>
      <c r="H1678" s="112">
        <f>'OPEN FOREIGN ORDER'!AE1304</f>
        <v>0</v>
      </c>
      <c r="I1678" s="112">
        <f>'OPEN FOREIGN ORDER'!AF1304</f>
        <v>0</v>
      </c>
      <c r="J1678" s="112">
        <f>'OPEN FOREIGN ORDER'!AG1304</f>
        <v>0</v>
      </c>
    </row>
    <row r="1679" spans="1:10">
      <c r="A1679">
        <f>'OPEN FOREIGN ORDER'!D1305</f>
        <v>0</v>
      </c>
      <c r="B1679">
        <f>'OPEN FOREIGN ORDER'!F1305</f>
        <v>0</v>
      </c>
      <c r="C1679">
        <f>'OPEN FOREIGN ORDER'!Z1305</f>
        <v>0</v>
      </c>
      <c r="D1679" s="123">
        <f>'OPEN FOREIGN ORDER'!AA1305</f>
        <v>0</v>
      </c>
      <c r="E1679" s="112">
        <f>'OPEN FOREIGN ORDER'!AB1305</f>
        <v>0</v>
      </c>
      <c r="F1679" s="112">
        <f>'OPEN FOREIGN ORDER'!AC1305</f>
        <v>0</v>
      </c>
      <c r="G1679" s="112">
        <f>'OPEN FOREIGN ORDER'!AD1305</f>
        <v>0</v>
      </c>
      <c r="H1679" s="112">
        <f>'OPEN FOREIGN ORDER'!AE1305</f>
        <v>0</v>
      </c>
      <c r="I1679" s="112">
        <f>'OPEN FOREIGN ORDER'!AF1305</f>
        <v>0</v>
      </c>
      <c r="J1679" s="112">
        <f>'OPEN FOREIGN ORDER'!AG1305</f>
        <v>0</v>
      </c>
    </row>
    <row r="1680" spans="1:10">
      <c r="A1680">
        <f>'OPEN FOREIGN ORDER'!D1306</f>
        <v>0</v>
      </c>
      <c r="B1680">
        <f>'OPEN FOREIGN ORDER'!F1306</f>
        <v>0</v>
      </c>
      <c r="C1680">
        <f>'OPEN FOREIGN ORDER'!Z1306</f>
        <v>0</v>
      </c>
      <c r="D1680" s="123">
        <f>'OPEN FOREIGN ORDER'!AA1306</f>
        <v>0</v>
      </c>
      <c r="E1680" s="112">
        <f>'OPEN FOREIGN ORDER'!AB1306</f>
        <v>0</v>
      </c>
      <c r="F1680" s="112">
        <f>'OPEN FOREIGN ORDER'!AC1306</f>
        <v>0</v>
      </c>
      <c r="G1680" s="112">
        <f>'OPEN FOREIGN ORDER'!AD1306</f>
        <v>0</v>
      </c>
      <c r="H1680" s="112">
        <f>'OPEN FOREIGN ORDER'!AE1306</f>
        <v>0</v>
      </c>
      <c r="I1680" s="112">
        <f>'OPEN FOREIGN ORDER'!AF1306</f>
        <v>0</v>
      </c>
      <c r="J1680" s="112">
        <f>'OPEN FOREIGN ORDER'!AG1306</f>
        <v>0</v>
      </c>
    </row>
    <row r="1681" spans="1:10">
      <c r="A1681">
        <f>'OPEN FOREIGN ORDER'!D1307</f>
        <v>0</v>
      </c>
      <c r="B1681">
        <f>'OPEN FOREIGN ORDER'!F1307</f>
        <v>0</v>
      </c>
      <c r="C1681">
        <f>'OPEN FOREIGN ORDER'!Z1307</f>
        <v>0</v>
      </c>
      <c r="D1681" s="123">
        <f>'OPEN FOREIGN ORDER'!AA1307</f>
        <v>0</v>
      </c>
      <c r="E1681" s="112">
        <f>'OPEN FOREIGN ORDER'!AB1307</f>
        <v>0</v>
      </c>
      <c r="F1681" s="112">
        <f>'OPEN FOREIGN ORDER'!AC1307</f>
        <v>0</v>
      </c>
      <c r="G1681" s="112">
        <f>'OPEN FOREIGN ORDER'!AD1307</f>
        <v>0</v>
      </c>
      <c r="H1681" s="112">
        <f>'OPEN FOREIGN ORDER'!AE1307</f>
        <v>0</v>
      </c>
      <c r="I1681" s="112">
        <f>'OPEN FOREIGN ORDER'!AF1307</f>
        <v>0</v>
      </c>
      <c r="J1681" s="112">
        <f>'OPEN FOREIGN ORDER'!AG1307</f>
        <v>0</v>
      </c>
    </row>
    <row r="1682" spans="1:10">
      <c r="A1682">
        <f>'OPEN FOREIGN ORDER'!D1308</f>
        <v>0</v>
      </c>
      <c r="B1682">
        <f>'OPEN FOREIGN ORDER'!F1308</f>
        <v>0</v>
      </c>
      <c r="C1682">
        <f>'OPEN FOREIGN ORDER'!Z1308</f>
        <v>0</v>
      </c>
      <c r="D1682" s="123">
        <f>'OPEN FOREIGN ORDER'!AA1308</f>
        <v>0</v>
      </c>
      <c r="E1682" s="112">
        <f>'OPEN FOREIGN ORDER'!AB1308</f>
        <v>0</v>
      </c>
      <c r="F1682" s="112">
        <f>'OPEN FOREIGN ORDER'!AC1308</f>
        <v>0</v>
      </c>
      <c r="G1682" s="112">
        <f>'OPEN FOREIGN ORDER'!AD1308</f>
        <v>0</v>
      </c>
      <c r="H1682" s="112">
        <f>'OPEN FOREIGN ORDER'!AE1308</f>
        <v>0</v>
      </c>
      <c r="I1682" s="112">
        <f>'OPEN FOREIGN ORDER'!AF1308</f>
        <v>0</v>
      </c>
      <c r="J1682" s="112">
        <f>'OPEN FOREIGN ORDER'!AG1308</f>
        <v>0</v>
      </c>
    </row>
    <row r="1683" spans="1:10">
      <c r="A1683">
        <f>'OPEN FOREIGN ORDER'!D1309</f>
        <v>0</v>
      </c>
      <c r="B1683">
        <f>'OPEN FOREIGN ORDER'!F1309</f>
        <v>0</v>
      </c>
      <c r="C1683">
        <f>'OPEN FOREIGN ORDER'!Z1309</f>
        <v>0</v>
      </c>
      <c r="D1683" s="123">
        <f>'OPEN FOREIGN ORDER'!AA1309</f>
        <v>0</v>
      </c>
      <c r="E1683" s="112">
        <f>'OPEN FOREIGN ORDER'!AB1309</f>
        <v>0</v>
      </c>
      <c r="F1683" s="112">
        <f>'OPEN FOREIGN ORDER'!AC1309</f>
        <v>0</v>
      </c>
      <c r="G1683" s="112">
        <f>'OPEN FOREIGN ORDER'!AD1309</f>
        <v>0</v>
      </c>
      <c r="H1683" s="112">
        <f>'OPEN FOREIGN ORDER'!AE1309</f>
        <v>0</v>
      </c>
      <c r="I1683" s="112">
        <f>'OPEN FOREIGN ORDER'!AF1309</f>
        <v>0</v>
      </c>
      <c r="J1683" s="112">
        <f>'OPEN FOREIGN ORDER'!AG1309</f>
        <v>0</v>
      </c>
    </row>
    <row r="1684" spans="1:10">
      <c r="A1684">
        <f>'OPEN FOREIGN ORDER'!D1310</f>
        <v>0</v>
      </c>
      <c r="B1684">
        <f>'OPEN FOREIGN ORDER'!F1310</f>
        <v>0</v>
      </c>
      <c r="C1684">
        <f>'OPEN FOREIGN ORDER'!Z1310</f>
        <v>0</v>
      </c>
      <c r="D1684" s="123">
        <f>'OPEN FOREIGN ORDER'!AA1310</f>
        <v>0</v>
      </c>
      <c r="E1684" s="112">
        <f>'OPEN FOREIGN ORDER'!AB1310</f>
        <v>0</v>
      </c>
      <c r="F1684" s="112">
        <f>'OPEN FOREIGN ORDER'!AC1310</f>
        <v>0</v>
      </c>
      <c r="G1684" s="112">
        <f>'OPEN FOREIGN ORDER'!AD1310</f>
        <v>0</v>
      </c>
      <c r="H1684" s="112">
        <f>'OPEN FOREIGN ORDER'!AE1310</f>
        <v>0</v>
      </c>
      <c r="I1684" s="112">
        <f>'OPEN FOREIGN ORDER'!AF1310</f>
        <v>0</v>
      </c>
      <c r="J1684" s="112">
        <f>'OPEN FOREIGN ORDER'!AG1310</f>
        <v>0</v>
      </c>
    </row>
    <row r="1685" spans="1:10">
      <c r="A1685">
        <f>'OPEN FOREIGN ORDER'!D1311</f>
        <v>0</v>
      </c>
      <c r="B1685">
        <f>'OPEN FOREIGN ORDER'!F1311</f>
        <v>0</v>
      </c>
      <c r="C1685">
        <f>'OPEN FOREIGN ORDER'!Z1311</f>
        <v>0</v>
      </c>
      <c r="D1685" s="123">
        <f>'OPEN FOREIGN ORDER'!AA1311</f>
        <v>0</v>
      </c>
      <c r="E1685" s="112">
        <f>'OPEN FOREIGN ORDER'!AB1311</f>
        <v>0</v>
      </c>
      <c r="F1685" s="112">
        <f>'OPEN FOREIGN ORDER'!AC1311</f>
        <v>0</v>
      </c>
      <c r="G1685" s="112">
        <f>'OPEN FOREIGN ORDER'!AD1311</f>
        <v>0</v>
      </c>
      <c r="H1685" s="112">
        <f>'OPEN FOREIGN ORDER'!AE1311</f>
        <v>0</v>
      </c>
      <c r="I1685" s="112">
        <f>'OPEN FOREIGN ORDER'!AF1311</f>
        <v>0</v>
      </c>
      <c r="J1685" s="112">
        <f>'OPEN FOREIGN ORDER'!AG1311</f>
        <v>0</v>
      </c>
    </row>
    <row r="1686" spans="1:10">
      <c r="A1686">
        <f>'OPEN FOREIGN ORDER'!D1312</f>
        <v>0</v>
      </c>
      <c r="B1686">
        <f>'OPEN FOREIGN ORDER'!F1312</f>
        <v>0</v>
      </c>
      <c r="C1686">
        <f>'OPEN FOREIGN ORDER'!Z1312</f>
        <v>0</v>
      </c>
      <c r="D1686" s="123">
        <f>'OPEN FOREIGN ORDER'!AA1312</f>
        <v>0</v>
      </c>
      <c r="E1686" s="112">
        <f>'OPEN FOREIGN ORDER'!AB1312</f>
        <v>0</v>
      </c>
      <c r="F1686" s="112">
        <f>'OPEN FOREIGN ORDER'!AC1312</f>
        <v>0</v>
      </c>
      <c r="G1686" s="112">
        <f>'OPEN FOREIGN ORDER'!AD1312</f>
        <v>0</v>
      </c>
      <c r="H1686" s="112">
        <f>'OPEN FOREIGN ORDER'!AE1312</f>
        <v>0</v>
      </c>
      <c r="I1686" s="112">
        <f>'OPEN FOREIGN ORDER'!AF1312</f>
        <v>0</v>
      </c>
      <c r="J1686" s="112">
        <f>'OPEN FOREIGN ORDER'!AG1312</f>
        <v>0</v>
      </c>
    </row>
    <row r="1687" spans="1:10">
      <c r="A1687">
        <f>'OPEN FOREIGN ORDER'!D1313</f>
        <v>0</v>
      </c>
      <c r="B1687">
        <f>'OPEN FOREIGN ORDER'!F1313</f>
        <v>0</v>
      </c>
      <c r="C1687">
        <f>'OPEN FOREIGN ORDER'!Z1313</f>
        <v>0</v>
      </c>
      <c r="D1687" s="123">
        <f>'OPEN FOREIGN ORDER'!AA1313</f>
        <v>0</v>
      </c>
      <c r="E1687" s="112">
        <f>'OPEN FOREIGN ORDER'!AB1313</f>
        <v>0</v>
      </c>
      <c r="F1687" s="112">
        <f>'OPEN FOREIGN ORDER'!AC1313</f>
        <v>0</v>
      </c>
      <c r="G1687" s="112">
        <f>'OPEN FOREIGN ORDER'!AD1313</f>
        <v>0</v>
      </c>
      <c r="H1687" s="112">
        <f>'OPEN FOREIGN ORDER'!AE1313</f>
        <v>0</v>
      </c>
      <c r="I1687" s="112">
        <f>'OPEN FOREIGN ORDER'!AF1313</f>
        <v>0</v>
      </c>
      <c r="J1687" s="112">
        <f>'OPEN FOREIGN ORDER'!AG1313</f>
        <v>0</v>
      </c>
    </row>
    <row r="1688" spans="1:10">
      <c r="A1688">
        <f>'OPEN FOREIGN ORDER'!D1314</f>
        <v>0</v>
      </c>
      <c r="B1688">
        <f>'OPEN FOREIGN ORDER'!F1314</f>
        <v>0</v>
      </c>
      <c r="C1688">
        <f>'OPEN FOREIGN ORDER'!Z1314</f>
        <v>0</v>
      </c>
      <c r="D1688" s="123">
        <f>'OPEN FOREIGN ORDER'!AA1314</f>
        <v>0</v>
      </c>
      <c r="E1688" s="112">
        <f>'OPEN FOREIGN ORDER'!AB1314</f>
        <v>0</v>
      </c>
      <c r="F1688" s="112">
        <f>'OPEN FOREIGN ORDER'!AC1314</f>
        <v>0</v>
      </c>
      <c r="G1688" s="112">
        <f>'OPEN FOREIGN ORDER'!AD1314</f>
        <v>0</v>
      </c>
      <c r="H1688" s="112">
        <f>'OPEN FOREIGN ORDER'!AE1314</f>
        <v>0</v>
      </c>
      <c r="I1688" s="112">
        <f>'OPEN FOREIGN ORDER'!AF1314</f>
        <v>0</v>
      </c>
      <c r="J1688" s="112">
        <f>'OPEN FOREIGN ORDER'!AG1314</f>
        <v>0</v>
      </c>
    </row>
    <row r="1689" spans="1:10">
      <c r="A1689">
        <f>'OPEN FOREIGN ORDER'!D1315</f>
        <v>0</v>
      </c>
      <c r="B1689">
        <f>'OPEN FOREIGN ORDER'!F1315</f>
        <v>0</v>
      </c>
      <c r="C1689">
        <f>'OPEN FOREIGN ORDER'!Z1315</f>
        <v>0</v>
      </c>
      <c r="D1689" s="123">
        <f>'OPEN FOREIGN ORDER'!AA1315</f>
        <v>0</v>
      </c>
      <c r="E1689" s="112">
        <f>'OPEN FOREIGN ORDER'!AB1315</f>
        <v>0</v>
      </c>
      <c r="F1689" s="112">
        <f>'OPEN FOREIGN ORDER'!AC1315</f>
        <v>0</v>
      </c>
      <c r="G1689" s="112">
        <f>'OPEN FOREIGN ORDER'!AD1315</f>
        <v>0</v>
      </c>
      <c r="H1689" s="112">
        <f>'OPEN FOREIGN ORDER'!AE1315</f>
        <v>0</v>
      </c>
      <c r="I1689" s="112">
        <f>'OPEN FOREIGN ORDER'!AF1315</f>
        <v>0</v>
      </c>
      <c r="J1689" s="112">
        <f>'OPEN FOREIGN ORDER'!AG1315</f>
        <v>0</v>
      </c>
    </row>
    <row r="1690" spans="1:10">
      <c r="A1690">
        <f>'OPEN FOREIGN ORDER'!D1316</f>
        <v>0</v>
      </c>
      <c r="B1690">
        <f>'OPEN FOREIGN ORDER'!F1316</f>
        <v>0</v>
      </c>
      <c r="C1690">
        <f>'OPEN FOREIGN ORDER'!Z1316</f>
        <v>0</v>
      </c>
      <c r="D1690" s="123">
        <f>'OPEN FOREIGN ORDER'!AA1316</f>
        <v>0</v>
      </c>
      <c r="E1690" s="112">
        <f>'OPEN FOREIGN ORDER'!AB1316</f>
        <v>0</v>
      </c>
      <c r="F1690" s="112">
        <f>'OPEN FOREIGN ORDER'!AC1316</f>
        <v>0</v>
      </c>
      <c r="G1690" s="112">
        <f>'OPEN FOREIGN ORDER'!AD1316</f>
        <v>0</v>
      </c>
      <c r="H1690" s="112">
        <f>'OPEN FOREIGN ORDER'!AE1316</f>
        <v>0</v>
      </c>
      <c r="I1690" s="112">
        <f>'OPEN FOREIGN ORDER'!AF1316</f>
        <v>0</v>
      </c>
      <c r="J1690" s="112">
        <f>'OPEN FOREIGN ORDER'!AG1316</f>
        <v>0</v>
      </c>
    </row>
    <row r="1691" spans="1:10">
      <c r="A1691">
        <f>'OPEN FOREIGN ORDER'!D1317</f>
        <v>0</v>
      </c>
      <c r="B1691">
        <f>'OPEN FOREIGN ORDER'!F1317</f>
        <v>0</v>
      </c>
      <c r="C1691">
        <f>'OPEN FOREIGN ORDER'!Z1317</f>
        <v>0</v>
      </c>
      <c r="D1691" s="123">
        <f>'OPEN FOREIGN ORDER'!AA1317</f>
        <v>0</v>
      </c>
      <c r="E1691" s="112">
        <f>'OPEN FOREIGN ORDER'!AB1317</f>
        <v>0</v>
      </c>
      <c r="F1691" s="112">
        <f>'OPEN FOREIGN ORDER'!AC1317</f>
        <v>0</v>
      </c>
      <c r="G1691" s="112">
        <f>'OPEN FOREIGN ORDER'!AD1317</f>
        <v>0</v>
      </c>
      <c r="H1691" s="112">
        <f>'OPEN FOREIGN ORDER'!AE1317</f>
        <v>0</v>
      </c>
      <c r="I1691" s="112">
        <f>'OPEN FOREIGN ORDER'!AF1317</f>
        <v>0</v>
      </c>
      <c r="J1691" s="112">
        <f>'OPEN FOREIGN ORDER'!AG1317</f>
        <v>0</v>
      </c>
    </row>
    <row r="1692" spans="1:10">
      <c r="A1692">
        <f>'OPEN FOREIGN ORDER'!D1318</f>
        <v>0</v>
      </c>
      <c r="B1692">
        <f>'OPEN FOREIGN ORDER'!F1318</f>
        <v>0</v>
      </c>
      <c r="C1692">
        <f>'OPEN FOREIGN ORDER'!Z1318</f>
        <v>0</v>
      </c>
      <c r="D1692" s="123">
        <f>'OPEN FOREIGN ORDER'!AA1318</f>
        <v>0</v>
      </c>
      <c r="E1692" s="112">
        <f>'OPEN FOREIGN ORDER'!AB1318</f>
        <v>0</v>
      </c>
      <c r="F1692" s="112">
        <f>'OPEN FOREIGN ORDER'!AC1318</f>
        <v>0</v>
      </c>
      <c r="G1692" s="112">
        <f>'OPEN FOREIGN ORDER'!AD1318</f>
        <v>0</v>
      </c>
      <c r="H1692" s="112">
        <f>'OPEN FOREIGN ORDER'!AE1318</f>
        <v>0</v>
      </c>
      <c r="I1692" s="112">
        <f>'OPEN FOREIGN ORDER'!AF1318</f>
        <v>0</v>
      </c>
      <c r="J1692" s="112">
        <f>'OPEN FOREIGN ORDER'!AG1318</f>
        <v>0</v>
      </c>
    </row>
    <row r="1693" spans="1:10">
      <c r="A1693">
        <f>'OPEN FOREIGN ORDER'!D1319</f>
        <v>0</v>
      </c>
      <c r="B1693">
        <f>'OPEN FOREIGN ORDER'!F1319</f>
        <v>0</v>
      </c>
      <c r="C1693">
        <f>'OPEN FOREIGN ORDER'!Z1319</f>
        <v>0</v>
      </c>
      <c r="D1693" s="123">
        <f>'OPEN FOREIGN ORDER'!AA1319</f>
        <v>0</v>
      </c>
      <c r="E1693" s="112">
        <f>'OPEN FOREIGN ORDER'!AB1319</f>
        <v>0</v>
      </c>
      <c r="F1693" s="112">
        <f>'OPEN FOREIGN ORDER'!AC1319</f>
        <v>0</v>
      </c>
      <c r="G1693" s="112">
        <f>'OPEN FOREIGN ORDER'!AD1319</f>
        <v>0</v>
      </c>
      <c r="H1693" s="112">
        <f>'OPEN FOREIGN ORDER'!AE1319</f>
        <v>0</v>
      </c>
      <c r="I1693" s="112">
        <f>'OPEN FOREIGN ORDER'!AF1319</f>
        <v>0</v>
      </c>
      <c r="J1693" s="112">
        <f>'OPEN FOREIGN ORDER'!AG1319</f>
        <v>0</v>
      </c>
    </row>
    <row r="1694" spans="1:10">
      <c r="A1694">
        <f>'OPEN FOREIGN ORDER'!D1320</f>
        <v>0</v>
      </c>
      <c r="B1694">
        <f>'OPEN FOREIGN ORDER'!F1320</f>
        <v>0</v>
      </c>
      <c r="C1694">
        <f>'OPEN FOREIGN ORDER'!Z1320</f>
        <v>0</v>
      </c>
      <c r="D1694" s="123">
        <f>'OPEN FOREIGN ORDER'!AA1320</f>
        <v>0</v>
      </c>
      <c r="E1694" s="112">
        <f>'OPEN FOREIGN ORDER'!AB1320</f>
        <v>0</v>
      </c>
      <c r="F1694" s="112">
        <f>'OPEN FOREIGN ORDER'!AC1320</f>
        <v>0</v>
      </c>
      <c r="G1694" s="112">
        <f>'OPEN FOREIGN ORDER'!AD1320</f>
        <v>0</v>
      </c>
      <c r="H1694" s="112">
        <f>'OPEN FOREIGN ORDER'!AE1320</f>
        <v>0</v>
      </c>
      <c r="I1694" s="112">
        <f>'OPEN FOREIGN ORDER'!AF1320</f>
        <v>0</v>
      </c>
      <c r="J1694" s="112">
        <f>'OPEN FOREIGN ORDER'!AG1320</f>
        <v>0</v>
      </c>
    </row>
    <row r="1695" spans="1:10">
      <c r="A1695">
        <f>'OPEN FOREIGN ORDER'!D1321</f>
        <v>0</v>
      </c>
      <c r="B1695">
        <f>'OPEN FOREIGN ORDER'!F1321</f>
        <v>0</v>
      </c>
      <c r="C1695">
        <f>'OPEN FOREIGN ORDER'!Z1321</f>
        <v>0</v>
      </c>
      <c r="D1695" s="123">
        <f>'OPEN FOREIGN ORDER'!AA1321</f>
        <v>0</v>
      </c>
      <c r="E1695" s="112">
        <f>'OPEN FOREIGN ORDER'!AB1321</f>
        <v>0</v>
      </c>
      <c r="F1695" s="112">
        <f>'OPEN FOREIGN ORDER'!AC1321</f>
        <v>0</v>
      </c>
      <c r="G1695" s="112">
        <f>'OPEN FOREIGN ORDER'!AD1321</f>
        <v>0</v>
      </c>
      <c r="H1695" s="112">
        <f>'OPEN FOREIGN ORDER'!AE1321</f>
        <v>0</v>
      </c>
      <c r="I1695" s="112">
        <f>'OPEN FOREIGN ORDER'!AF1321</f>
        <v>0</v>
      </c>
      <c r="J1695" s="112">
        <f>'OPEN FOREIGN ORDER'!AG1321</f>
        <v>0</v>
      </c>
    </row>
    <row r="1696" spans="1:10">
      <c r="A1696">
        <f>'OPEN FOREIGN ORDER'!D1322</f>
        <v>0</v>
      </c>
      <c r="B1696">
        <f>'OPEN FOREIGN ORDER'!F1322</f>
        <v>0</v>
      </c>
      <c r="C1696">
        <f>'OPEN FOREIGN ORDER'!Z1322</f>
        <v>0</v>
      </c>
      <c r="D1696" s="123">
        <f>'OPEN FOREIGN ORDER'!AA1322</f>
        <v>0</v>
      </c>
      <c r="E1696" s="112">
        <f>'OPEN FOREIGN ORDER'!AB1322</f>
        <v>0</v>
      </c>
      <c r="F1696" s="112">
        <f>'OPEN FOREIGN ORDER'!AC1322</f>
        <v>0</v>
      </c>
      <c r="G1696" s="112">
        <f>'OPEN FOREIGN ORDER'!AD1322</f>
        <v>0</v>
      </c>
      <c r="H1696" s="112">
        <f>'OPEN FOREIGN ORDER'!AE1322</f>
        <v>0</v>
      </c>
      <c r="I1696" s="112">
        <f>'OPEN FOREIGN ORDER'!AF1322</f>
        <v>0</v>
      </c>
      <c r="J1696" s="112">
        <f>'OPEN FOREIGN ORDER'!AG1322</f>
        <v>0</v>
      </c>
    </row>
    <row r="1697" spans="1:10">
      <c r="A1697">
        <f>'OPEN FOREIGN ORDER'!D1323</f>
        <v>0</v>
      </c>
      <c r="B1697">
        <f>'OPEN FOREIGN ORDER'!F1323</f>
        <v>0</v>
      </c>
      <c r="C1697">
        <f>'OPEN FOREIGN ORDER'!Z1323</f>
        <v>0</v>
      </c>
      <c r="D1697" s="123">
        <f>'OPEN FOREIGN ORDER'!AA1323</f>
        <v>0</v>
      </c>
      <c r="E1697" s="112">
        <f>'OPEN FOREIGN ORDER'!AB1323</f>
        <v>0</v>
      </c>
      <c r="F1697" s="112">
        <f>'OPEN FOREIGN ORDER'!AC1323</f>
        <v>0</v>
      </c>
      <c r="G1697" s="112">
        <f>'OPEN FOREIGN ORDER'!AD1323</f>
        <v>0</v>
      </c>
      <c r="H1697" s="112">
        <f>'OPEN FOREIGN ORDER'!AE1323</f>
        <v>0</v>
      </c>
      <c r="I1697" s="112">
        <f>'OPEN FOREIGN ORDER'!AF1323</f>
        <v>0</v>
      </c>
      <c r="J1697" s="112">
        <f>'OPEN FOREIGN ORDER'!AG1323</f>
        <v>0</v>
      </c>
    </row>
    <row r="1698" spans="1:10">
      <c r="A1698">
        <f>'OPEN FOREIGN ORDER'!D1324</f>
        <v>0</v>
      </c>
      <c r="B1698">
        <f>'OPEN FOREIGN ORDER'!F1324</f>
        <v>0</v>
      </c>
      <c r="C1698">
        <f>'OPEN FOREIGN ORDER'!Z1324</f>
        <v>0</v>
      </c>
      <c r="D1698" s="123">
        <f>'OPEN FOREIGN ORDER'!AA1324</f>
        <v>0</v>
      </c>
      <c r="E1698" s="112">
        <f>'OPEN FOREIGN ORDER'!AB1324</f>
        <v>0</v>
      </c>
      <c r="F1698" s="112">
        <f>'OPEN FOREIGN ORDER'!AC1324</f>
        <v>0</v>
      </c>
      <c r="G1698" s="112">
        <f>'OPEN FOREIGN ORDER'!AD1324</f>
        <v>0</v>
      </c>
      <c r="H1698" s="112">
        <f>'OPEN FOREIGN ORDER'!AE1324</f>
        <v>0</v>
      </c>
      <c r="I1698" s="112">
        <f>'OPEN FOREIGN ORDER'!AF1324</f>
        <v>0</v>
      </c>
      <c r="J1698" s="112">
        <f>'OPEN FOREIGN ORDER'!AG1324</f>
        <v>0</v>
      </c>
    </row>
    <row r="1699" spans="1:10">
      <c r="A1699">
        <f>'OPEN FOREIGN ORDER'!D1325</f>
        <v>0</v>
      </c>
      <c r="B1699">
        <f>'OPEN FOREIGN ORDER'!F1325</f>
        <v>0</v>
      </c>
      <c r="C1699">
        <f>'OPEN FOREIGN ORDER'!Z1325</f>
        <v>0</v>
      </c>
      <c r="D1699" s="123">
        <f>'OPEN FOREIGN ORDER'!AA1325</f>
        <v>0</v>
      </c>
      <c r="E1699" s="112">
        <f>'OPEN FOREIGN ORDER'!AB1325</f>
        <v>0</v>
      </c>
      <c r="F1699" s="112">
        <f>'OPEN FOREIGN ORDER'!AC1325</f>
        <v>0</v>
      </c>
      <c r="G1699" s="112">
        <f>'OPEN FOREIGN ORDER'!AD1325</f>
        <v>0</v>
      </c>
      <c r="H1699" s="112">
        <f>'OPEN FOREIGN ORDER'!AE1325</f>
        <v>0</v>
      </c>
      <c r="I1699" s="112">
        <f>'OPEN FOREIGN ORDER'!AF1325</f>
        <v>0</v>
      </c>
      <c r="J1699" s="112">
        <f>'OPEN FOREIGN ORDER'!AG1325</f>
        <v>0</v>
      </c>
    </row>
    <row r="1700" spans="1:10">
      <c r="A1700">
        <f>'OPEN FOREIGN ORDER'!D1326</f>
        <v>0</v>
      </c>
      <c r="B1700">
        <f>'OPEN FOREIGN ORDER'!F1326</f>
        <v>0</v>
      </c>
      <c r="C1700">
        <f>'OPEN FOREIGN ORDER'!Z1326</f>
        <v>0</v>
      </c>
      <c r="D1700" s="123">
        <f>'OPEN FOREIGN ORDER'!AA1326</f>
        <v>0</v>
      </c>
      <c r="E1700" s="112">
        <f>'OPEN FOREIGN ORDER'!AB1326</f>
        <v>0</v>
      </c>
      <c r="F1700" s="112">
        <f>'OPEN FOREIGN ORDER'!AC1326</f>
        <v>0</v>
      </c>
      <c r="G1700" s="112">
        <f>'OPEN FOREIGN ORDER'!AD1326</f>
        <v>0</v>
      </c>
      <c r="H1700" s="112">
        <f>'OPEN FOREIGN ORDER'!AE1326</f>
        <v>0</v>
      </c>
      <c r="I1700" s="112">
        <f>'OPEN FOREIGN ORDER'!AF1326</f>
        <v>0</v>
      </c>
      <c r="J1700" s="112">
        <f>'OPEN FOREIGN ORDER'!AG1326</f>
        <v>0</v>
      </c>
    </row>
    <row r="1701" spans="1:10">
      <c r="A1701">
        <f>'OPEN FOREIGN ORDER'!D1327</f>
        <v>0</v>
      </c>
      <c r="B1701">
        <f>'OPEN FOREIGN ORDER'!F1327</f>
        <v>0</v>
      </c>
      <c r="C1701">
        <f>'OPEN FOREIGN ORDER'!Z1327</f>
        <v>0</v>
      </c>
      <c r="D1701" s="123">
        <f>'OPEN FOREIGN ORDER'!AA1327</f>
        <v>0</v>
      </c>
      <c r="E1701" s="112">
        <f>'OPEN FOREIGN ORDER'!AB1327</f>
        <v>0</v>
      </c>
      <c r="F1701" s="112">
        <f>'OPEN FOREIGN ORDER'!AC1327</f>
        <v>0</v>
      </c>
      <c r="G1701" s="112">
        <f>'OPEN FOREIGN ORDER'!AD1327</f>
        <v>0</v>
      </c>
      <c r="H1701" s="112">
        <f>'OPEN FOREIGN ORDER'!AE1327</f>
        <v>0</v>
      </c>
      <c r="I1701" s="112">
        <f>'OPEN FOREIGN ORDER'!AF1327</f>
        <v>0</v>
      </c>
      <c r="J1701" s="112">
        <f>'OPEN FOREIGN ORDER'!AG1327</f>
        <v>0</v>
      </c>
    </row>
    <row r="1702" spans="1:10">
      <c r="A1702">
        <f>'OPEN FOREIGN ORDER'!D1328</f>
        <v>0</v>
      </c>
      <c r="B1702">
        <f>'OPEN FOREIGN ORDER'!F1328</f>
        <v>0</v>
      </c>
      <c r="C1702">
        <f>'OPEN FOREIGN ORDER'!Z1328</f>
        <v>0</v>
      </c>
      <c r="D1702" s="123">
        <f>'OPEN FOREIGN ORDER'!AA1328</f>
        <v>0</v>
      </c>
      <c r="E1702" s="112">
        <f>'OPEN FOREIGN ORDER'!AB1328</f>
        <v>0</v>
      </c>
      <c r="F1702" s="112">
        <f>'OPEN FOREIGN ORDER'!AC1328</f>
        <v>0</v>
      </c>
      <c r="G1702" s="112">
        <f>'OPEN FOREIGN ORDER'!AD1328</f>
        <v>0</v>
      </c>
      <c r="H1702" s="112">
        <f>'OPEN FOREIGN ORDER'!AE1328</f>
        <v>0</v>
      </c>
      <c r="I1702" s="112">
        <f>'OPEN FOREIGN ORDER'!AF1328</f>
        <v>0</v>
      </c>
      <c r="J1702" s="112">
        <f>'OPEN FOREIGN ORDER'!AG1328</f>
        <v>0</v>
      </c>
    </row>
    <row r="1703" spans="1:10">
      <c r="A1703">
        <f>'OPEN FOREIGN ORDER'!D1329</f>
        <v>0</v>
      </c>
      <c r="B1703">
        <f>'OPEN FOREIGN ORDER'!F1329</f>
        <v>0</v>
      </c>
      <c r="C1703">
        <f>'OPEN FOREIGN ORDER'!Z1329</f>
        <v>0</v>
      </c>
      <c r="D1703" s="123">
        <f>'OPEN FOREIGN ORDER'!AA1329</f>
        <v>0</v>
      </c>
      <c r="E1703" s="112">
        <f>'OPEN FOREIGN ORDER'!AB1329</f>
        <v>0</v>
      </c>
      <c r="F1703" s="112">
        <f>'OPEN FOREIGN ORDER'!AC1329</f>
        <v>0</v>
      </c>
      <c r="G1703" s="112">
        <f>'OPEN FOREIGN ORDER'!AD1329</f>
        <v>0</v>
      </c>
      <c r="H1703" s="112">
        <f>'OPEN FOREIGN ORDER'!AE1329</f>
        <v>0</v>
      </c>
      <c r="I1703" s="112">
        <f>'OPEN FOREIGN ORDER'!AF1329</f>
        <v>0</v>
      </c>
      <c r="J1703" s="112">
        <f>'OPEN FOREIGN ORDER'!AG1329</f>
        <v>0</v>
      </c>
    </row>
    <row r="1704" spans="1:10">
      <c r="A1704">
        <f>'OPEN FOREIGN ORDER'!D1330</f>
        <v>0</v>
      </c>
      <c r="B1704">
        <f>'OPEN FOREIGN ORDER'!F1330</f>
        <v>0</v>
      </c>
      <c r="C1704">
        <f>'OPEN FOREIGN ORDER'!Z1330</f>
        <v>0</v>
      </c>
      <c r="D1704" s="123">
        <f>'OPEN FOREIGN ORDER'!AA1330</f>
        <v>0</v>
      </c>
      <c r="E1704" s="112">
        <f>'OPEN FOREIGN ORDER'!AB1330</f>
        <v>0</v>
      </c>
      <c r="F1704" s="112">
        <f>'OPEN FOREIGN ORDER'!AC1330</f>
        <v>0</v>
      </c>
      <c r="G1704" s="112">
        <f>'OPEN FOREIGN ORDER'!AD1330</f>
        <v>0</v>
      </c>
      <c r="H1704" s="112">
        <f>'OPEN FOREIGN ORDER'!AE1330</f>
        <v>0</v>
      </c>
      <c r="I1704" s="112">
        <f>'OPEN FOREIGN ORDER'!AF1330</f>
        <v>0</v>
      </c>
      <c r="J1704" s="112">
        <f>'OPEN FOREIGN ORDER'!AG1330</f>
        <v>0</v>
      </c>
    </row>
    <row r="1705" spans="1:10">
      <c r="A1705">
        <f>'OPEN FOREIGN ORDER'!D1331</f>
        <v>0</v>
      </c>
      <c r="B1705">
        <f>'OPEN FOREIGN ORDER'!F1331</f>
        <v>0</v>
      </c>
      <c r="C1705">
        <f>'OPEN FOREIGN ORDER'!Z1331</f>
        <v>0</v>
      </c>
      <c r="D1705" s="123">
        <f>'OPEN FOREIGN ORDER'!AA1331</f>
        <v>0</v>
      </c>
      <c r="E1705" s="112">
        <f>'OPEN FOREIGN ORDER'!AB1331</f>
        <v>0</v>
      </c>
      <c r="F1705" s="112">
        <f>'OPEN FOREIGN ORDER'!AC1331</f>
        <v>0</v>
      </c>
      <c r="G1705" s="112">
        <f>'OPEN FOREIGN ORDER'!AD1331</f>
        <v>0</v>
      </c>
      <c r="H1705" s="112">
        <f>'OPEN FOREIGN ORDER'!AE1331</f>
        <v>0</v>
      </c>
      <c r="I1705" s="112">
        <f>'OPEN FOREIGN ORDER'!AF1331</f>
        <v>0</v>
      </c>
      <c r="J1705" s="112">
        <f>'OPEN FOREIGN ORDER'!AG1331</f>
        <v>0</v>
      </c>
    </row>
    <row r="1706" spans="1:10">
      <c r="A1706">
        <f>'OPEN FOREIGN ORDER'!D1332</f>
        <v>0</v>
      </c>
      <c r="B1706">
        <f>'OPEN FOREIGN ORDER'!F1332</f>
        <v>0</v>
      </c>
      <c r="C1706">
        <f>'OPEN FOREIGN ORDER'!Z1332</f>
        <v>0</v>
      </c>
      <c r="D1706" s="123">
        <f>'OPEN FOREIGN ORDER'!AA1332</f>
        <v>0</v>
      </c>
      <c r="E1706" s="112">
        <f>'OPEN FOREIGN ORDER'!AB1332</f>
        <v>0</v>
      </c>
      <c r="F1706" s="112">
        <f>'OPEN FOREIGN ORDER'!AC1332</f>
        <v>0</v>
      </c>
      <c r="G1706" s="112">
        <f>'OPEN FOREIGN ORDER'!AD1332</f>
        <v>0</v>
      </c>
      <c r="H1706" s="112">
        <f>'OPEN FOREIGN ORDER'!AE1332</f>
        <v>0</v>
      </c>
      <c r="I1706" s="112">
        <f>'OPEN FOREIGN ORDER'!AF1332</f>
        <v>0</v>
      </c>
      <c r="J1706" s="112">
        <f>'OPEN FOREIGN ORDER'!AG1332</f>
        <v>0</v>
      </c>
    </row>
    <row r="1707" spans="1:10">
      <c r="A1707">
        <f>'OPEN FOREIGN ORDER'!D1333</f>
        <v>0</v>
      </c>
      <c r="B1707">
        <f>'OPEN FOREIGN ORDER'!F1333</f>
        <v>0</v>
      </c>
      <c r="C1707">
        <f>'OPEN FOREIGN ORDER'!Z1333</f>
        <v>0</v>
      </c>
      <c r="D1707" s="123">
        <f>'OPEN FOREIGN ORDER'!AA1333</f>
        <v>0</v>
      </c>
      <c r="E1707" s="112">
        <f>'OPEN FOREIGN ORDER'!AB1333</f>
        <v>0</v>
      </c>
      <c r="F1707" s="112">
        <f>'OPEN FOREIGN ORDER'!AC1333</f>
        <v>0</v>
      </c>
      <c r="G1707" s="112">
        <f>'OPEN FOREIGN ORDER'!AD1333</f>
        <v>0</v>
      </c>
      <c r="H1707" s="112">
        <f>'OPEN FOREIGN ORDER'!AE1333</f>
        <v>0</v>
      </c>
      <c r="I1707" s="112">
        <f>'OPEN FOREIGN ORDER'!AF1333</f>
        <v>0</v>
      </c>
      <c r="J1707" s="112">
        <f>'OPEN FOREIGN ORDER'!AG1333</f>
        <v>0</v>
      </c>
    </row>
    <row r="1708" spans="1:10">
      <c r="A1708">
        <f>'OPEN FOREIGN ORDER'!D1334</f>
        <v>0</v>
      </c>
      <c r="B1708">
        <f>'OPEN FOREIGN ORDER'!F1334</f>
        <v>0</v>
      </c>
      <c r="C1708">
        <f>'OPEN FOREIGN ORDER'!Z1334</f>
        <v>0</v>
      </c>
      <c r="D1708" s="123">
        <f>'OPEN FOREIGN ORDER'!AA1334</f>
        <v>0</v>
      </c>
      <c r="E1708" s="112">
        <f>'OPEN FOREIGN ORDER'!AB1334</f>
        <v>0</v>
      </c>
      <c r="F1708" s="112">
        <f>'OPEN FOREIGN ORDER'!AC1334</f>
        <v>0</v>
      </c>
      <c r="G1708" s="112">
        <f>'OPEN FOREIGN ORDER'!AD1334</f>
        <v>0</v>
      </c>
      <c r="H1708" s="112">
        <f>'OPEN FOREIGN ORDER'!AE1334</f>
        <v>0</v>
      </c>
      <c r="I1708" s="112">
        <f>'OPEN FOREIGN ORDER'!AF1334</f>
        <v>0</v>
      </c>
      <c r="J1708" s="112">
        <f>'OPEN FOREIGN ORDER'!AG1334</f>
        <v>0</v>
      </c>
    </row>
    <row r="1709" spans="1:10">
      <c r="A1709">
        <f>'OPEN FOREIGN ORDER'!D1335</f>
        <v>0</v>
      </c>
      <c r="B1709">
        <f>'OPEN FOREIGN ORDER'!F1335</f>
        <v>0</v>
      </c>
      <c r="C1709">
        <f>'OPEN FOREIGN ORDER'!Z1335</f>
        <v>0</v>
      </c>
      <c r="D1709" s="123">
        <f>'OPEN FOREIGN ORDER'!AA1335</f>
        <v>0</v>
      </c>
      <c r="E1709" s="112">
        <f>'OPEN FOREIGN ORDER'!AB1335</f>
        <v>0</v>
      </c>
      <c r="F1709" s="112">
        <f>'OPEN FOREIGN ORDER'!AC1335</f>
        <v>0</v>
      </c>
      <c r="G1709" s="112">
        <f>'OPEN FOREIGN ORDER'!AD1335</f>
        <v>0</v>
      </c>
      <c r="H1709" s="112">
        <f>'OPEN FOREIGN ORDER'!AE1335</f>
        <v>0</v>
      </c>
      <c r="I1709" s="112">
        <f>'OPEN FOREIGN ORDER'!AF1335</f>
        <v>0</v>
      </c>
      <c r="J1709" s="112">
        <f>'OPEN FOREIGN ORDER'!AG1335</f>
        <v>0</v>
      </c>
    </row>
    <row r="1710" spans="1:10">
      <c r="A1710">
        <f>'OPEN FOREIGN ORDER'!D1336</f>
        <v>0</v>
      </c>
      <c r="B1710">
        <f>'OPEN FOREIGN ORDER'!F1336</f>
        <v>0</v>
      </c>
      <c r="C1710">
        <f>'OPEN FOREIGN ORDER'!Z1336</f>
        <v>0</v>
      </c>
      <c r="D1710" s="123">
        <f>'OPEN FOREIGN ORDER'!AA1336</f>
        <v>0</v>
      </c>
      <c r="E1710" s="112">
        <f>'OPEN FOREIGN ORDER'!AB1336</f>
        <v>0</v>
      </c>
      <c r="F1710" s="112">
        <f>'OPEN FOREIGN ORDER'!AC1336</f>
        <v>0</v>
      </c>
      <c r="G1710" s="112">
        <f>'OPEN FOREIGN ORDER'!AD1336</f>
        <v>0</v>
      </c>
      <c r="H1710" s="112">
        <f>'OPEN FOREIGN ORDER'!AE1336</f>
        <v>0</v>
      </c>
      <c r="I1710" s="112">
        <f>'OPEN FOREIGN ORDER'!AF1336</f>
        <v>0</v>
      </c>
      <c r="J1710" s="112">
        <f>'OPEN FOREIGN ORDER'!AG1336</f>
        <v>0</v>
      </c>
    </row>
    <row r="1711" spans="1:10">
      <c r="A1711">
        <f>'OPEN FOREIGN ORDER'!D1337</f>
        <v>0</v>
      </c>
      <c r="B1711">
        <f>'OPEN FOREIGN ORDER'!F1337</f>
        <v>0</v>
      </c>
      <c r="C1711">
        <f>'OPEN FOREIGN ORDER'!Z1337</f>
        <v>0</v>
      </c>
      <c r="D1711" s="123">
        <f>'OPEN FOREIGN ORDER'!AA1337</f>
        <v>0</v>
      </c>
      <c r="E1711" s="112">
        <f>'OPEN FOREIGN ORDER'!AB1337</f>
        <v>0</v>
      </c>
      <c r="F1711" s="112">
        <f>'OPEN FOREIGN ORDER'!AC1337</f>
        <v>0</v>
      </c>
      <c r="G1711" s="112">
        <f>'OPEN FOREIGN ORDER'!AD1337</f>
        <v>0</v>
      </c>
      <c r="H1711" s="112">
        <f>'OPEN FOREIGN ORDER'!AE1337</f>
        <v>0</v>
      </c>
      <c r="I1711" s="112">
        <f>'OPEN FOREIGN ORDER'!AF1337</f>
        <v>0</v>
      </c>
      <c r="J1711" s="112">
        <f>'OPEN FOREIGN ORDER'!AG1337</f>
        <v>0</v>
      </c>
    </row>
    <row r="1712" spans="1:10">
      <c r="A1712">
        <f>'OPEN FOREIGN ORDER'!D1338</f>
        <v>0</v>
      </c>
      <c r="B1712">
        <f>'OPEN FOREIGN ORDER'!F1338</f>
        <v>0</v>
      </c>
      <c r="C1712">
        <f>'OPEN FOREIGN ORDER'!Z1338</f>
        <v>0</v>
      </c>
      <c r="D1712" s="123">
        <f>'OPEN FOREIGN ORDER'!AA1338</f>
        <v>0</v>
      </c>
      <c r="E1712" s="112">
        <f>'OPEN FOREIGN ORDER'!AB1338</f>
        <v>0</v>
      </c>
      <c r="F1712" s="112">
        <f>'OPEN FOREIGN ORDER'!AC1338</f>
        <v>0</v>
      </c>
      <c r="G1712" s="112">
        <f>'OPEN FOREIGN ORDER'!AD1338</f>
        <v>0</v>
      </c>
      <c r="H1712" s="112">
        <f>'OPEN FOREIGN ORDER'!AE1338</f>
        <v>0</v>
      </c>
      <c r="I1712" s="112">
        <f>'OPEN FOREIGN ORDER'!AF1338</f>
        <v>0</v>
      </c>
      <c r="J1712" s="112">
        <f>'OPEN FOREIGN ORDER'!AG1338</f>
        <v>0</v>
      </c>
    </row>
    <row r="1713" spans="1:10">
      <c r="A1713">
        <f>'OPEN FOREIGN ORDER'!D1339</f>
        <v>0</v>
      </c>
      <c r="B1713">
        <f>'OPEN FOREIGN ORDER'!F1339</f>
        <v>0</v>
      </c>
      <c r="C1713">
        <f>'OPEN FOREIGN ORDER'!Z1339</f>
        <v>0</v>
      </c>
      <c r="D1713" s="123">
        <f>'OPEN FOREIGN ORDER'!AA1339</f>
        <v>0</v>
      </c>
      <c r="E1713" s="112">
        <f>'OPEN FOREIGN ORDER'!AB1339</f>
        <v>0</v>
      </c>
      <c r="F1713" s="112">
        <f>'OPEN FOREIGN ORDER'!AC1339</f>
        <v>0</v>
      </c>
      <c r="G1713" s="112">
        <f>'OPEN FOREIGN ORDER'!AD1339</f>
        <v>0</v>
      </c>
      <c r="H1713" s="112">
        <f>'OPEN FOREIGN ORDER'!AE1339</f>
        <v>0</v>
      </c>
      <c r="I1713" s="112">
        <f>'OPEN FOREIGN ORDER'!AF1339</f>
        <v>0</v>
      </c>
      <c r="J1713" s="112">
        <f>'OPEN FOREIGN ORDER'!AG1339</f>
        <v>0</v>
      </c>
    </row>
    <row r="1714" spans="1:10">
      <c r="A1714">
        <f>'OPEN FOREIGN ORDER'!D1340</f>
        <v>0</v>
      </c>
      <c r="B1714">
        <f>'OPEN FOREIGN ORDER'!F1340</f>
        <v>0</v>
      </c>
      <c r="C1714">
        <f>'OPEN FOREIGN ORDER'!Z1340</f>
        <v>0</v>
      </c>
      <c r="D1714" s="123">
        <f>'OPEN FOREIGN ORDER'!AA1340</f>
        <v>0</v>
      </c>
      <c r="E1714" s="112">
        <f>'OPEN FOREIGN ORDER'!AB1340</f>
        <v>0</v>
      </c>
      <c r="F1714" s="112">
        <f>'OPEN FOREIGN ORDER'!AC1340</f>
        <v>0</v>
      </c>
      <c r="G1714" s="112">
        <f>'OPEN FOREIGN ORDER'!AD1340</f>
        <v>0</v>
      </c>
      <c r="H1714" s="112">
        <f>'OPEN FOREIGN ORDER'!AE1340</f>
        <v>0</v>
      </c>
      <c r="I1714" s="112">
        <f>'OPEN FOREIGN ORDER'!AF1340</f>
        <v>0</v>
      </c>
      <c r="J1714" s="112">
        <f>'OPEN FOREIGN ORDER'!AG1340</f>
        <v>0</v>
      </c>
    </row>
    <row r="1715" spans="1:10">
      <c r="A1715">
        <f>'OPEN FOREIGN ORDER'!D1341</f>
        <v>0</v>
      </c>
      <c r="B1715">
        <f>'OPEN FOREIGN ORDER'!F1341</f>
        <v>0</v>
      </c>
      <c r="C1715">
        <f>'OPEN FOREIGN ORDER'!Z1341</f>
        <v>0</v>
      </c>
      <c r="D1715" s="123">
        <f>'OPEN FOREIGN ORDER'!AA1341</f>
        <v>0</v>
      </c>
      <c r="E1715" s="112">
        <f>'OPEN FOREIGN ORDER'!AB1341</f>
        <v>0</v>
      </c>
      <c r="F1715" s="112">
        <f>'OPEN FOREIGN ORDER'!AC1341</f>
        <v>0</v>
      </c>
      <c r="G1715" s="112">
        <f>'OPEN FOREIGN ORDER'!AD1341</f>
        <v>0</v>
      </c>
      <c r="H1715" s="112">
        <f>'OPEN FOREIGN ORDER'!AE1341</f>
        <v>0</v>
      </c>
      <c r="I1715" s="112">
        <f>'OPEN FOREIGN ORDER'!AF1341</f>
        <v>0</v>
      </c>
      <c r="J1715" s="112">
        <f>'OPEN FOREIGN ORDER'!AG1341</f>
        <v>0</v>
      </c>
    </row>
    <row r="1716" spans="1:10">
      <c r="A1716">
        <f>'OPEN FOREIGN ORDER'!D1342</f>
        <v>0</v>
      </c>
      <c r="B1716">
        <f>'OPEN FOREIGN ORDER'!F1342</f>
        <v>0</v>
      </c>
      <c r="C1716">
        <f>'OPEN FOREIGN ORDER'!Z1342</f>
        <v>0</v>
      </c>
      <c r="D1716" s="123">
        <f>'OPEN FOREIGN ORDER'!AA1342</f>
        <v>0</v>
      </c>
      <c r="E1716" s="112">
        <f>'OPEN FOREIGN ORDER'!AB1342</f>
        <v>0</v>
      </c>
      <c r="F1716" s="112">
        <f>'OPEN FOREIGN ORDER'!AC1342</f>
        <v>0</v>
      </c>
      <c r="G1716" s="112">
        <f>'OPEN FOREIGN ORDER'!AD1342</f>
        <v>0</v>
      </c>
      <c r="H1716" s="112">
        <f>'OPEN FOREIGN ORDER'!AE1342</f>
        <v>0</v>
      </c>
      <c r="I1716" s="112">
        <f>'OPEN FOREIGN ORDER'!AF1342</f>
        <v>0</v>
      </c>
      <c r="J1716" s="112">
        <f>'OPEN FOREIGN ORDER'!AG1342</f>
        <v>0</v>
      </c>
    </row>
    <row r="1717" spans="1:10">
      <c r="A1717">
        <f>'OPEN FOREIGN ORDER'!D1343</f>
        <v>0</v>
      </c>
      <c r="B1717">
        <f>'OPEN FOREIGN ORDER'!F1343</f>
        <v>0</v>
      </c>
      <c r="C1717">
        <f>'OPEN FOREIGN ORDER'!Z1343</f>
        <v>0</v>
      </c>
      <c r="D1717" s="123">
        <f>'OPEN FOREIGN ORDER'!AA1343</f>
        <v>0</v>
      </c>
      <c r="E1717" s="112">
        <f>'OPEN FOREIGN ORDER'!AB1343</f>
        <v>0</v>
      </c>
      <c r="F1717" s="112">
        <f>'OPEN FOREIGN ORDER'!AC1343</f>
        <v>0</v>
      </c>
      <c r="G1717" s="112">
        <f>'OPEN FOREIGN ORDER'!AD1343</f>
        <v>0</v>
      </c>
      <c r="H1717" s="112">
        <f>'OPEN FOREIGN ORDER'!AE1343</f>
        <v>0</v>
      </c>
      <c r="I1717" s="112">
        <f>'OPEN FOREIGN ORDER'!AF1343</f>
        <v>0</v>
      </c>
      <c r="J1717" s="112">
        <f>'OPEN FOREIGN ORDER'!AG1343</f>
        <v>0</v>
      </c>
    </row>
    <row r="1718" spans="1:10">
      <c r="A1718">
        <f>'OPEN FOREIGN ORDER'!D1344</f>
        <v>0</v>
      </c>
      <c r="B1718">
        <f>'OPEN FOREIGN ORDER'!F1344</f>
        <v>0</v>
      </c>
      <c r="C1718">
        <f>'OPEN FOREIGN ORDER'!Z1344</f>
        <v>0</v>
      </c>
      <c r="D1718" s="123">
        <f>'OPEN FOREIGN ORDER'!AA1344</f>
        <v>0</v>
      </c>
      <c r="E1718" s="112">
        <f>'OPEN FOREIGN ORDER'!AB1344</f>
        <v>0</v>
      </c>
      <c r="F1718" s="112">
        <f>'OPEN FOREIGN ORDER'!AC1344</f>
        <v>0</v>
      </c>
      <c r="G1718" s="112">
        <f>'OPEN FOREIGN ORDER'!AD1344</f>
        <v>0</v>
      </c>
      <c r="H1718" s="112">
        <f>'OPEN FOREIGN ORDER'!AE1344</f>
        <v>0</v>
      </c>
      <c r="I1718" s="112">
        <f>'OPEN FOREIGN ORDER'!AF1344</f>
        <v>0</v>
      </c>
      <c r="J1718" s="112">
        <f>'OPEN FOREIGN ORDER'!AG1344</f>
        <v>0</v>
      </c>
    </row>
    <row r="1719" spans="1:10">
      <c r="A1719">
        <f>'OPEN FOREIGN ORDER'!D1345</f>
        <v>0</v>
      </c>
      <c r="B1719">
        <f>'OPEN FOREIGN ORDER'!F1345</f>
        <v>0</v>
      </c>
      <c r="C1719">
        <f>'OPEN FOREIGN ORDER'!Z1345</f>
        <v>0</v>
      </c>
      <c r="D1719" s="123">
        <f>'OPEN FOREIGN ORDER'!AA1345</f>
        <v>0</v>
      </c>
      <c r="E1719" s="112">
        <f>'OPEN FOREIGN ORDER'!AB1345</f>
        <v>0</v>
      </c>
      <c r="F1719" s="112">
        <f>'OPEN FOREIGN ORDER'!AC1345</f>
        <v>0</v>
      </c>
      <c r="G1719" s="112">
        <f>'OPEN FOREIGN ORDER'!AD1345</f>
        <v>0</v>
      </c>
      <c r="H1719" s="112">
        <f>'OPEN FOREIGN ORDER'!AE1345</f>
        <v>0</v>
      </c>
      <c r="I1719" s="112">
        <f>'OPEN FOREIGN ORDER'!AF1345</f>
        <v>0</v>
      </c>
      <c r="J1719" s="112">
        <f>'OPEN FOREIGN ORDER'!AG1345</f>
        <v>0</v>
      </c>
    </row>
    <row r="1720" spans="1:10">
      <c r="A1720">
        <f>'OPEN FOREIGN ORDER'!D1346</f>
        <v>0</v>
      </c>
      <c r="B1720">
        <f>'OPEN FOREIGN ORDER'!F1346</f>
        <v>0</v>
      </c>
      <c r="C1720">
        <f>'OPEN FOREIGN ORDER'!Z1346</f>
        <v>0</v>
      </c>
      <c r="D1720" s="123">
        <f>'OPEN FOREIGN ORDER'!AA1346</f>
        <v>0</v>
      </c>
      <c r="E1720" s="112">
        <f>'OPEN FOREIGN ORDER'!AB1346</f>
        <v>0</v>
      </c>
      <c r="F1720" s="112">
        <f>'OPEN FOREIGN ORDER'!AC1346</f>
        <v>0</v>
      </c>
      <c r="G1720" s="112">
        <f>'OPEN FOREIGN ORDER'!AD1346</f>
        <v>0</v>
      </c>
      <c r="H1720" s="112">
        <f>'OPEN FOREIGN ORDER'!AE1346</f>
        <v>0</v>
      </c>
      <c r="I1720" s="112">
        <f>'OPEN FOREIGN ORDER'!AF1346</f>
        <v>0</v>
      </c>
      <c r="J1720" s="112">
        <f>'OPEN FOREIGN ORDER'!AG1346</f>
        <v>0</v>
      </c>
    </row>
    <row r="1721" spans="1:10">
      <c r="A1721">
        <f>'OPEN FOREIGN ORDER'!D1347</f>
        <v>0</v>
      </c>
      <c r="B1721">
        <f>'OPEN FOREIGN ORDER'!F1347</f>
        <v>0</v>
      </c>
      <c r="C1721">
        <f>'OPEN FOREIGN ORDER'!Z1347</f>
        <v>0</v>
      </c>
      <c r="D1721" s="123">
        <f>'OPEN FOREIGN ORDER'!AA1347</f>
        <v>0</v>
      </c>
      <c r="E1721" s="112">
        <f>'OPEN FOREIGN ORDER'!AB1347</f>
        <v>0</v>
      </c>
      <c r="F1721" s="112">
        <f>'OPEN FOREIGN ORDER'!AC1347</f>
        <v>0</v>
      </c>
      <c r="G1721" s="112">
        <f>'OPEN FOREIGN ORDER'!AD1347</f>
        <v>0</v>
      </c>
      <c r="H1721" s="112">
        <f>'OPEN FOREIGN ORDER'!AE1347</f>
        <v>0</v>
      </c>
      <c r="I1721" s="112">
        <f>'OPEN FOREIGN ORDER'!AF1347</f>
        <v>0</v>
      </c>
      <c r="J1721" s="112">
        <f>'OPEN FOREIGN ORDER'!AG1347</f>
        <v>0</v>
      </c>
    </row>
    <row r="1722" spans="1:10">
      <c r="A1722">
        <f>'OPEN FOREIGN ORDER'!D1348</f>
        <v>0</v>
      </c>
      <c r="B1722">
        <f>'OPEN FOREIGN ORDER'!F1348</f>
        <v>0</v>
      </c>
      <c r="C1722">
        <f>'OPEN FOREIGN ORDER'!Z1348</f>
        <v>0</v>
      </c>
      <c r="D1722" s="123">
        <f>'OPEN FOREIGN ORDER'!AA1348</f>
        <v>0</v>
      </c>
      <c r="E1722" s="112">
        <f>'OPEN FOREIGN ORDER'!AB1348</f>
        <v>0</v>
      </c>
      <c r="F1722" s="112">
        <f>'OPEN FOREIGN ORDER'!AC1348</f>
        <v>0</v>
      </c>
      <c r="G1722" s="112">
        <f>'OPEN FOREIGN ORDER'!AD1348</f>
        <v>0</v>
      </c>
      <c r="H1722" s="112">
        <f>'OPEN FOREIGN ORDER'!AE1348</f>
        <v>0</v>
      </c>
      <c r="I1722" s="112">
        <f>'OPEN FOREIGN ORDER'!AF1348</f>
        <v>0</v>
      </c>
      <c r="J1722" s="112">
        <f>'OPEN FOREIGN ORDER'!AG1348</f>
        <v>0</v>
      </c>
    </row>
    <row r="1723" spans="1:10">
      <c r="A1723">
        <f>'OPEN FOREIGN ORDER'!D1349</f>
        <v>0</v>
      </c>
      <c r="B1723">
        <f>'OPEN FOREIGN ORDER'!F1349</f>
        <v>0</v>
      </c>
      <c r="C1723">
        <f>'OPEN FOREIGN ORDER'!Z1349</f>
        <v>0</v>
      </c>
      <c r="D1723" s="123">
        <f>'OPEN FOREIGN ORDER'!AA1349</f>
        <v>0</v>
      </c>
      <c r="E1723" s="112">
        <f>'OPEN FOREIGN ORDER'!AB1349</f>
        <v>0</v>
      </c>
      <c r="F1723" s="112">
        <f>'OPEN FOREIGN ORDER'!AC1349</f>
        <v>0</v>
      </c>
      <c r="G1723" s="112">
        <f>'OPEN FOREIGN ORDER'!AD1349</f>
        <v>0</v>
      </c>
      <c r="H1723" s="112">
        <f>'OPEN FOREIGN ORDER'!AE1349</f>
        <v>0</v>
      </c>
      <c r="I1723" s="112">
        <f>'OPEN FOREIGN ORDER'!AF1349</f>
        <v>0</v>
      </c>
      <c r="J1723" s="112">
        <f>'OPEN FOREIGN ORDER'!AG1349</f>
        <v>0</v>
      </c>
    </row>
    <row r="1724" spans="1:10">
      <c r="A1724">
        <f>'OPEN FOREIGN ORDER'!D1350</f>
        <v>0</v>
      </c>
      <c r="B1724">
        <f>'OPEN FOREIGN ORDER'!F1350</f>
        <v>0</v>
      </c>
      <c r="C1724">
        <f>'OPEN FOREIGN ORDER'!Z1350</f>
        <v>0</v>
      </c>
      <c r="D1724" s="123">
        <f>'OPEN FOREIGN ORDER'!AA1350</f>
        <v>0</v>
      </c>
      <c r="E1724" s="112">
        <f>'OPEN FOREIGN ORDER'!AB1350</f>
        <v>0</v>
      </c>
      <c r="F1724" s="112">
        <f>'OPEN FOREIGN ORDER'!AC1350</f>
        <v>0</v>
      </c>
      <c r="G1724" s="112">
        <f>'OPEN FOREIGN ORDER'!AD1350</f>
        <v>0</v>
      </c>
      <c r="H1724" s="112">
        <f>'OPEN FOREIGN ORDER'!AE1350</f>
        <v>0</v>
      </c>
      <c r="I1724" s="112">
        <f>'OPEN FOREIGN ORDER'!AF1350</f>
        <v>0</v>
      </c>
      <c r="J1724" s="112">
        <f>'OPEN FOREIGN ORDER'!AG1350</f>
        <v>0</v>
      </c>
    </row>
    <row r="1725" spans="1:10">
      <c r="A1725">
        <f>'OPEN FOREIGN ORDER'!D1351</f>
        <v>0</v>
      </c>
      <c r="B1725">
        <f>'OPEN FOREIGN ORDER'!F1351</f>
        <v>0</v>
      </c>
      <c r="C1725">
        <f>'OPEN FOREIGN ORDER'!Z1351</f>
        <v>0</v>
      </c>
      <c r="D1725" s="123">
        <f>'OPEN FOREIGN ORDER'!AA1351</f>
        <v>0</v>
      </c>
      <c r="E1725" s="112">
        <f>'OPEN FOREIGN ORDER'!AB1351</f>
        <v>0</v>
      </c>
      <c r="F1725" s="112">
        <f>'OPEN FOREIGN ORDER'!AC1351</f>
        <v>0</v>
      </c>
      <c r="G1725" s="112">
        <f>'OPEN FOREIGN ORDER'!AD1351</f>
        <v>0</v>
      </c>
      <c r="H1725" s="112">
        <f>'OPEN FOREIGN ORDER'!AE1351</f>
        <v>0</v>
      </c>
      <c r="I1725" s="112">
        <f>'OPEN FOREIGN ORDER'!AF1351</f>
        <v>0</v>
      </c>
      <c r="J1725" s="112">
        <f>'OPEN FOREIGN ORDER'!AG1351</f>
        <v>0</v>
      </c>
    </row>
    <row r="1726" spans="1:10">
      <c r="A1726">
        <f>'OPEN FOREIGN ORDER'!D1352</f>
        <v>0</v>
      </c>
      <c r="B1726">
        <f>'OPEN FOREIGN ORDER'!F1352</f>
        <v>0</v>
      </c>
      <c r="C1726">
        <f>'OPEN FOREIGN ORDER'!Z1352</f>
        <v>0</v>
      </c>
      <c r="D1726" s="123">
        <f>'OPEN FOREIGN ORDER'!AA1352</f>
        <v>0</v>
      </c>
      <c r="E1726" s="112">
        <f>'OPEN FOREIGN ORDER'!AB1352</f>
        <v>0</v>
      </c>
      <c r="F1726" s="112">
        <f>'OPEN FOREIGN ORDER'!AC1352</f>
        <v>0</v>
      </c>
      <c r="G1726" s="112">
        <f>'OPEN FOREIGN ORDER'!AD1352</f>
        <v>0</v>
      </c>
      <c r="H1726" s="112">
        <f>'OPEN FOREIGN ORDER'!AE1352</f>
        <v>0</v>
      </c>
      <c r="I1726" s="112">
        <f>'OPEN FOREIGN ORDER'!AF1352</f>
        <v>0</v>
      </c>
      <c r="J1726" s="112">
        <f>'OPEN FOREIGN ORDER'!AG1352</f>
        <v>0</v>
      </c>
    </row>
    <row r="1727" spans="1:10">
      <c r="A1727">
        <f>'OPEN FOREIGN ORDER'!D1353</f>
        <v>0</v>
      </c>
      <c r="B1727">
        <f>'OPEN FOREIGN ORDER'!F1353</f>
        <v>0</v>
      </c>
      <c r="C1727">
        <f>'OPEN FOREIGN ORDER'!Z1353</f>
        <v>0</v>
      </c>
      <c r="D1727" s="123">
        <f>'OPEN FOREIGN ORDER'!AA1353</f>
        <v>0</v>
      </c>
      <c r="E1727" s="112">
        <f>'OPEN FOREIGN ORDER'!AB1353</f>
        <v>0</v>
      </c>
      <c r="F1727" s="112">
        <f>'OPEN FOREIGN ORDER'!AC1353</f>
        <v>0</v>
      </c>
      <c r="G1727" s="112">
        <f>'OPEN FOREIGN ORDER'!AD1353</f>
        <v>0</v>
      </c>
      <c r="H1727" s="112">
        <f>'OPEN FOREIGN ORDER'!AE1353</f>
        <v>0</v>
      </c>
      <c r="I1727" s="112">
        <f>'OPEN FOREIGN ORDER'!AF1353</f>
        <v>0</v>
      </c>
      <c r="J1727" s="112">
        <f>'OPEN FOREIGN ORDER'!AG1353</f>
        <v>0</v>
      </c>
    </row>
    <row r="1728" spans="1:10">
      <c r="A1728">
        <f>'OPEN FOREIGN ORDER'!D1354</f>
        <v>0</v>
      </c>
      <c r="B1728">
        <f>'OPEN FOREIGN ORDER'!F1354</f>
        <v>0</v>
      </c>
      <c r="C1728">
        <f>'OPEN FOREIGN ORDER'!Z1354</f>
        <v>0</v>
      </c>
      <c r="D1728" s="123">
        <f>'OPEN FOREIGN ORDER'!AA1354</f>
        <v>0</v>
      </c>
      <c r="E1728" s="112">
        <f>'OPEN FOREIGN ORDER'!AB1354</f>
        <v>0</v>
      </c>
      <c r="F1728" s="112">
        <f>'OPEN FOREIGN ORDER'!AC1354</f>
        <v>0</v>
      </c>
      <c r="G1728" s="112">
        <f>'OPEN FOREIGN ORDER'!AD1354</f>
        <v>0</v>
      </c>
      <c r="H1728" s="112">
        <f>'OPEN FOREIGN ORDER'!AE1354</f>
        <v>0</v>
      </c>
      <c r="I1728" s="112">
        <f>'OPEN FOREIGN ORDER'!AF1354</f>
        <v>0</v>
      </c>
      <c r="J1728" s="112">
        <f>'OPEN FOREIGN ORDER'!AG1354</f>
        <v>0</v>
      </c>
    </row>
    <row r="1729" spans="1:10">
      <c r="A1729">
        <f>'OPEN FOREIGN ORDER'!D1355</f>
        <v>0</v>
      </c>
      <c r="B1729">
        <f>'OPEN FOREIGN ORDER'!F1355</f>
        <v>0</v>
      </c>
      <c r="C1729">
        <f>'OPEN FOREIGN ORDER'!Z1355</f>
        <v>0</v>
      </c>
      <c r="D1729" s="123">
        <f>'OPEN FOREIGN ORDER'!AA1355</f>
        <v>0</v>
      </c>
      <c r="E1729" s="112">
        <f>'OPEN FOREIGN ORDER'!AB1355</f>
        <v>0</v>
      </c>
      <c r="F1729" s="112">
        <f>'OPEN FOREIGN ORDER'!AC1355</f>
        <v>0</v>
      </c>
      <c r="G1729" s="112">
        <f>'OPEN FOREIGN ORDER'!AD1355</f>
        <v>0</v>
      </c>
      <c r="H1729" s="112">
        <f>'OPEN FOREIGN ORDER'!AE1355</f>
        <v>0</v>
      </c>
      <c r="I1729" s="112">
        <f>'OPEN FOREIGN ORDER'!AF1355</f>
        <v>0</v>
      </c>
      <c r="J1729" s="112">
        <f>'OPEN FOREIGN ORDER'!AG1355</f>
        <v>0</v>
      </c>
    </row>
    <row r="1730" spans="1:10">
      <c r="A1730">
        <f>'OPEN FOREIGN ORDER'!D1356</f>
        <v>0</v>
      </c>
      <c r="B1730">
        <f>'OPEN FOREIGN ORDER'!F1356</f>
        <v>0</v>
      </c>
      <c r="C1730">
        <f>'OPEN FOREIGN ORDER'!Z1356</f>
        <v>0</v>
      </c>
      <c r="D1730" s="123">
        <f>'OPEN FOREIGN ORDER'!AA1356</f>
        <v>0</v>
      </c>
      <c r="E1730" s="112">
        <f>'OPEN FOREIGN ORDER'!AB1356</f>
        <v>0</v>
      </c>
      <c r="F1730" s="112">
        <f>'OPEN FOREIGN ORDER'!AC1356</f>
        <v>0</v>
      </c>
      <c r="G1730" s="112">
        <f>'OPEN FOREIGN ORDER'!AD1356</f>
        <v>0</v>
      </c>
      <c r="H1730" s="112">
        <f>'OPEN FOREIGN ORDER'!AE1356</f>
        <v>0</v>
      </c>
      <c r="I1730" s="112">
        <f>'OPEN FOREIGN ORDER'!AF1356</f>
        <v>0</v>
      </c>
      <c r="J1730" s="112">
        <f>'OPEN FOREIGN ORDER'!AG1356</f>
        <v>0</v>
      </c>
    </row>
    <row r="1731" spans="1:10">
      <c r="A1731">
        <f>'OPEN FOREIGN ORDER'!D1357</f>
        <v>0</v>
      </c>
      <c r="B1731">
        <f>'OPEN FOREIGN ORDER'!F1357</f>
        <v>0</v>
      </c>
      <c r="C1731">
        <f>'OPEN FOREIGN ORDER'!Z1357</f>
        <v>0</v>
      </c>
      <c r="D1731" s="123">
        <f>'OPEN FOREIGN ORDER'!AA1357</f>
        <v>0</v>
      </c>
      <c r="E1731" s="112">
        <f>'OPEN FOREIGN ORDER'!AB1357</f>
        <v>0</v>
      </c>
      <c r="F1731" s="112">
        <f>'OPEN FOREIGN ORDER'!AC1357</f>
        <v>0</v>
      </c>
      <c r="G1731" s="112">
        <f>'OPEN FOREIGN ORDER'!AD1357</f>
        <v>0</v>
      </c>
      <c r="H1731" s="112">
        <f>'OPEN FOREIGN ORDER'!AE1357</f>
        <v>0</v>
      </c>
      <c r="I1731" s="112">
        <f>'OPEN FOREIGN ORDER'!AF1357</f>
        <v>0</v>
      </c>
      <c r="J1731" s="112">
        <f>'OPEN FOREIGN ORDER'!AG1357</f>
        <v>0</v>
      </c>
    </row>
    <row r="1732" spans="1:10">
      <c r="A1732">
        <f>'OPEN FOREIGN ORDER'!D1358</f>
        <v>0</v>
      </c>
      <c r="B1732">
        <f>'OPEN FOREIGN ORDER'!F1358</f>
        <v>0</v>
      </c>
      <c r="C1732">
        <f>'OPEN FOREIGN ORDER'!Z1358</f>
        <v>0</v>
      </c>
      <c r="D1732" s="123">
        <f>'OPEN FOREIGN ORDER'!AA1358</f>
        <v>0</v>
      </c>
      <c r="E1732" s="112">
        <f>'OPEN FOREIGN ORDER'!AB1358</f>
        <v>0</v>
      </c>
      <c r="F1732" s="112">
        <f>'OPEN FOREIGN ORDER'!AC1358</f>
        <v>0</v>
      </c>
      <c r="G1732" s="112">
        <f>'OPEN FOREIGN ORDER'!AD1358</f>
        <v>0</v>
      </c>
      <c r="H1732" s="112">
        <f>'OPEN FOREIGN ORDER'!AE1358</f>
        <v>0</v>
      </c>
      <c r="I1732" s="112">
        <f>'OPEN FOREIGN ORDER'!AF1358</f>
        <v>0</v>
      </c>
      <c r="J1732" s="112">
        <f>'OPEN FOREIGN ORDER'!AG1358</f>
        <v>0</v>
      </c>
    </row>
    <row r="1733" spans="1:10">
      <c r="A1733">
        <f>'OPEN FOREIGN ORDER'!D1359</f>
        <v>0</v>
      </c>
      <c r="B1733">
        <f>'OPEN FOREIGN ORDER'!F1359</f>
        <v>0</v>
      </c>
      <c r="C1733">
        <f>'OPEN FOREIGN ORDER'!Z1359</f>
        <v>0</v>
      </c>
      <c r="D1733" s="123">
        <f>'OPEN FOREIGN ORDER'!AA1359</f>
        <v>0</v>
      </c>
      <c r="E1733" s="112">
        <f>'OPEN FOREIGN ORDER'!AB1359</f>
        <v>0</v>
      </c>
      <c r="F1733" s="112">
        <f>'OPEN FOREIGN ORDER'!AC1359</f>
        <v>0</v>
      </c>
      <c r="G1733" s="112">
        <f>'OPEN FOREIGN ORDER'!AD1359</f>
        <v>0</v>
      </c>
      <c r="H1733" s="112">
        <f>'OPEN FOREIGN ORDER'!AE1359</f>
        <v>0</v>
      </c>
      <c r="I1733" s="112">
        <f>'OPEN FOREIGN ORDER'!AF1359</f>
        <v>0</v>
      </c>
      <c r="J1733" s="112">
        <f>'OPEN FOREIGN ORDER'!AG1359</f>
        <v>0</v>
      </c>
    </row>
    <row r="1734" spans="1:10">
      <c r="A1734">
        <f>'OPEN FOREIGN ORDER'!D1360</f>
        <v>0</v>
      </c>
      <c r="B1734">
        <f>'OPEN FOREIGN ORDER'!F1360</f>
        <v>0</v>
      </c>
      <c r="C1734">
        <f>'OPEN FOREIGN ORDER'!Z1360</f>
        <v>0</v>
      </c>
      <c r="D1734" s="123">
        <f>'OPEN FOREIGN ORDER'!AA1360</f>
        <v>0</v>
      </c>
      <c r="E1734" s="112">
        <f>'OPEN FOREIGN ORDER'!AB1360</f>
        <v>0</v>
      </c>
      <c r="F1734" s="112">
        <f>'OPEN FOREIGN ORDER'!AC1360</f>
        <v>0</v>
      </c>
      <c r="G1734" s="112">
        <f>'OPEN FOREIGN ORDER'!AD1360</f>
        <v>0</v>
      </c>
      <c r="H1734" s="112">
        <f>'OPEN FOREIGN ORDER'!AE1360</f>
        <v>0</v>
      </c>
      <c r="I1734" s="112">
        <f>'OPEN FOREIGN ORDER'!AF1360</f>
        <v>0</v>
      </c>
      <c r="J1734" s="112">
        <f>'OPEN FOREIGN ORDER'!AG1360</f>
        <v>0</v>
      </c>
    </row>
    <row r="1735" spans="1:10">
      <c r="A1735">
        <f>'OPEN FOREIGN ORDER'!D1361</f>
        <v>0</v>
      </c>
      <c r="B1735">
        <f>'OPEN FOREIGN ORDER'!F1361</f>
        <v>0</v>
      </c>
      <c r="C1735">
        <f>'OPEN FOREIGN ORDER'!Z1361</f>
        <v>0</v>
      </c>
      <c r="D1735" s="123">
        <f>'OPEN FOREIGN ORDER'!AA1361</f>
        <v>0</v>
      </c>
      <c r="E1735" s="112">
        <f>'OPEN FOREIGN ORDER'!AB1361</f>
        <v>0</v>
      </c>
      <c r="F1735" s="112">
        <f>'OPEN FOREIGN ORDER'!AC1361</f>
        <v>0</v>
      </c>
      <c r="G1735" s="112">
        <f>'OPEN FOREIGN ORDER'!AD1361</f>
        <v>0</v>
      </c>
      <c r="H1735" s="112">
        <f>'OPEN FOREIGN ORDER'!AE1361</f>
        <v>0</v>
      </c>
      <c r="I1735" s="112">
        <f>'OPEN FOREIGN ORDER'!AF1361</f>
        <v>0</v>
      </c>
      <c r="J1735" s="112">
        <f>'OPEN FOREIGN ORDER'!AG1361</f>
        <v>0</v>
      </c>
    </row>
    <row r="1736" spans="1:10">
      <c r="A1736">
        <f>'OPEN FOREIGN ORDER'!D1362</f>
        <v>0</v>
      </c>
      <c r="B1736">
        <f>'OPEN FOREIGN ORDER'!F1362</f>
        <v>0</v>
      </c>
      <c r="C1736">
        <f>'OPEN FOREIGN ORDER'!Z1362</f>
        <v>0</v>
      </c>
      <c r="D1736" s="123">
        <f>'OPEN FOREIGN ORDER'!AA1362</f>
        <v>0</v>
      </c>
      <c r="E1736" s="112">
        <f>'OPEN FOREIGN ORDER'!AB1362</f>
        <v>0</v>
      </c>
      <c r="F1736" s="112">
        <f>'OPEN FOREIGN ORDER'!AC1362</f>
        <v>0</v>
      </c>
      <c r="G1736" s="112">
        <f>'OPEN FOREIGN ORDER'!AD1362</f>
        <v>0</v>
      </c>
      <c r="H1736" s="112">
        <f>'OPEN FOREIGN ORDER'!AE1362</f>
        <v>0</v>
      </c>
      <c r="I1736" s="112">
        <f>'OPEN FOREIGN ORDER'!AF1362</f>
        <v>0</v>
      </c>
      <c r="J1736" s="112">
        <f>'OPEN FOREIGN ORDER'!AG1362</f>
        <v>0</v>
      </c>
    </row>
    <row r="1737" spans="1:10">
      <c r="A1737">
        <f>'OPEN FOREIGN ORDER'!D1363</f>
        <v>0</v>
      </c>
      <c r="B1737">
        <f>'OPEN FOREIGN ORDER'!F1363</f>
        <v>0</v>
      </c>
      <c r="C1737">
        <f>'OPEN FOREIGN ORDER'!Z1363</f>
        <v>0</v>
      </c>
      <c r="D1737" s="123">
        <f>'OPEN FOREIGN ORDER'!AA1363</f>
        <v>0</v>
      </c>
      <c r="E1737" s="112">
        <f>'OPEN FOREIGN ORDER'!AB1363</f>
        <v>0</v>
      </c>
      <c r="F1737" s="112">
        <f>'OPEN FOREIGN ORDER'!AC1363</f>
        <v>0</v>
      </c>
      <c r="G1737" s="112">
        <f>'OPEN FOREIGN ORDER'!AD1363</f>
        <v>0</v>
      </c>
      <c r="H1737" s="112">
        <f>'OPEN FOREIGN ORDER'!AE1363</f>
        <v>0</v>
      </c>
      <c r="I1737" s="112">
        <f>'OPEN FOREIGN ORDER'!AF1363</f>
        <v>0</v>
      </c>
      <c r="J1737" s="112">
        <f>'OPEN FOREIGN ORDER'!AG1363</f>
        <v>0</v>
      </c>
    </row>
    <row r="1738" spans="1:10">
      <c r="A1738">
        <f>'OPEN FOREIGN ORDER'!D1364</f>
        <v>0</v>
      </c>
      <c r="B1738">
        <f>'OPEN FOREIGN ORDER'!F1364</f>
        <v>0</v>
      </c>
      <c r="C1738">
        <f>'OPEN FOREIGN ORDER'!Z1364</f>
        <v>0</v>
      </c>
      <c r="D1738" s="123">
        <f>'OPEN FOREIGN ORDER'!AA1364</f>
        <v>0</v>
      </c>
      <c r="E1738" s="112">
        <f>'OPEN FOREIGN ORDER'!AB1364</f>
        <v>0</v>
      </c>
      <c r="F1738" s="112">
        <f>'OPEN FOREIGN ORDER'!AC1364</f>
        <v>0</v>
      </c>
      <c r="G1738" s="112">
        <f>'OPEN FOREIGN ORDER'!AD1364</f>
        <v>0</v>
      </c>
      <c r="H1738" s="112">
        <f>'OPEN FOREIGN ORDER'!AE1364</f>
        <v>0</v>
      </c>
      <c r="I1738" s="112">
        <f>'OPEN FOREIGN ORDER'!AF1364</f>
        <v>0</v>
      </c>
      <c r="J1738" s="112">
        <f>'OPEN FOREIGN ORDER'!AG1364</f>
        <v>0</v>
      </c>
    </row>
    <row r="1739" spans="1:10">
      <c r="A1739">
        <f>'OPEN FOREIGN ORDER'!D1365</f>
        <v>0</v>
      </c>
      <c r="B1739">
        <f>'OPEN FOREIGN ORDER'!F1365</f>
        <v>0</v>
      </c>
      <c r="C1739">
        <f>'OPEN FOREIGN ORDER'!Z1365</f>
        <v>0</v>
      </c>
      <c r="D1739" s="123">
        <f>'OPEN FOREIGN ORDER'!AA1365</f>
        <v>0</v>
      </c>
      <c r="E1739" s="112">
        <f>'OPEN FOREIGN ORDER'!AB1365</f>
        <v>0</v>
      </c>
      <c r="F1739" s="112">
        <f>'OPEN FOREIGN ORDER'!AC1365</f>
        <v>0</v>
      </c>
      <c r="G1739" s="112">
        <f>'OPEN FOREIGN ORDER'!AD1365</f>
        <v>0</v>
      </c>
      <c r="H1739" s="112">
        <f>'OPEN FOREIGN ORDER'!AE1365</f>
        <v>0</v>
      </c>
      <c r="I1739" s="112">
        <f>'OPEN FOREIGN ORDER'!AF1365</f>
        <v>0</v>
      </c>
      <c r="J1739" s="112">
        <f>'OPEN FOREIGN ORDER'!AG1365</f>
        <v>0</v>
      </c>
    </row>
    <row r="1740" spans="1:10">
      <c r="A1740">
        <f>'OPEN FOREIGN ORDER'!D1366</f>
        <v>0</v>
      </c>
      <c r="B1740">
        <f>'OPEN FOREIGN ORDER'!F1366</f>
        <v>0</v>
      </c>
      <c r="C1740">
        <f>'OPEN FOREIGN ORDER'!Z1366</f>
        <v>0</v>
      </c>
      <c r="D1740" s="123">
        <f>'OPEN FOREIGN ORDER'!AA1366</f>
        <v>0</v>
      </c>
      <c r="E1740" s="112">
        <f>'OPEN FOREIGN ORDER'!AB1366</f>
        <v>0</v>
      </c>
      <c r="F1740" s="112">
        <f>'OPEN FOREIGN ORDER'!AC1366</f>
        <v>0</v>
      </c>
      <c r="G1740" s="112">
        <f>'OPEN FOREIGN ORDER'!AD1366</f>
        <v>0</v>
      </c>
      <c r="H1740" s="112">
        <f>'OPEN FOREIGN ORDER'!AE1366</f>
        <v>0</v>
      </c>
      <c r="I1740" s="112">
        <f>'OPEN FOREIGN ORDER'!AF1366</f>
        <v>0</v>
      </c>
      <c r="J1740" s="112">
        <f>'OPEN FOREIGN ORDER'!AG1366</f>
        <v>0</v>
      </c>
    </row>
    <row r="1741" spans="1:10">
      <c r="A1741">
        <f>'OPEN FOREIGN ORDER'!D1367</f>
        <v>0</v>
      </c>
      <c r="B1741">
        <f>'OPEN FOREIGN ORDER'!F1367</f>
        <v>0</v>
      </c>
      <c r="C1741">
        <f>'OPEN FOREIGN ORDER'!Z1367</f>
        <v>0</v>
      </c>
      <c r="D1741" s="123">
        <f>'OPEN FOREIGN ORDER'!AA1367</f>
        <v>0</v>
      </c>
      <c r="E1741" s="112">
        <f>'OPEN FOREIGN ORDER'!AB1367</f>
        <v>0</v>
      </c>
      <c r="F1741" s="112">
        <f>'OPEN FOREIGN ORDER'!AC1367</f>
        <v>0</v>
      </c>
      <c r="G1741" s="112">
        <f>'OPEN FOREIGN ORDER'!AD1367</f>
        <v>0</v>
      </c>
      <c r="H1741" s="112">
        <f>'OPEN FOREIGN ORDER'!AE1367</f>
        <v>0</v>
      </c>
      <c r="I1741" s="112">
        <f>'OPEN FOREIGN ORDER'!AF1367</f>
        <v>0</v>
      </c>
      <c r="J1741" s="112">
        <f>'OPEN FOREIGN ORDER'!AG1367</f>
        <v>0</v>
      </c>
    </row>
    <row r="1742" spans="1:10">
      <c r="A1742">
        <f>'OPEN FOREIGN ORDER'!D1368</f>
        <v>0</v>
      </c>
      <c r="B1742">
        <f>'OPEN FOREIGN ORDER'!F1368</f>
        <v>0</v>
      </c>
      <c r="C1742">
        <f>'OPEN FOREIGN ORDER'!Z1368</f>
        <v>0</v>
      </c>
      <c r="D1742" s="123">
        <f>'OPEN FOREIGN ORDER'!AA1368</f>
        <v>0</v>
      </c>
      <c r="E1742" s="112">
        <f>'OPEN FOREIGN ORDER'!AB1368</f>
        <v>0</v>
      </c>
      <c r="F1742" s="112">
        <f>'OPEN FOREIGN ORDER'!AC1368</f>
        <v>0</v>
      </c>
      <c r="G1742" s="112">
        <f>'OPEN FOREIGN ORDER'!AD1368</f>
        <v>0</v>
      </c>
      <c r="H1742" s="112">
        <f>'OPEN FOREIGN ORDER'!AE1368</f>
        <v>0</v>
      </c>
      <c r="I1742" s="112">
        <f>'OPEN FOREIGN ORDER'!AF1368</f>
        <v>0</v>
      </c>
      <c r="J1742" s="112">
        <f>'OPEN FOREIGN ORDER'!AG1368</f>
        <v>0</v>
      </c>
    </row>
    <row r="1743" spans="1:10">
      <c r="A1743">
        <f>'OPEN FOREIGN ORDER'!D1369</f>
        <v>0</v>
      </c>
      <c r="B1743">
        <f>'OPEN FOREIGN ORDER'!F1369</f>
        <v>0</v>
      </c>
      <c r="C1743">
        <f>'OPEN FOREIGN ORDER'!Z1369</f>
        <v>0</v>
      </c>
      <c r="D1743" s="123">
        <f>'OPEN FOREIGN ORDER'!AA1369</f>
        <v>0</v>
      </c>
      <c r="E1743" s="112">
        <f>'OPEN FOREIGN ORDER'!AB1369</f>
        <v>0</v>
      </c>
      <c r="F1743" s="112">
        <f>'OPEN FOREIGN ORDER'!AC1369</f>
        <v>0</v>
      </c>
      <c r="G1743" s="112">
        <f>'OPEN FOREIGN ORDER'!AD1369</f>
        <v>0</v>
      </c>
      <c r="H1743" s="112">
        <f>'OPEN FOREIGN ORDER'!AE1369</f>
        <v>0</v>
      </c>
      <c r="I1743" s="112">
        <f>'OPEN FOREIGN ORDER'!AF1369</f>
        <v>0</v>
      </c>
      <c r="J1743" s="112">
        <f>'OPEN FOREIGN ORDER'!AG1369</f>
        <v>0</v>
      </c>
    </row>
    <row r="1744" spans="1:10">
      <c r="A1744">
        <f>'OPEN FOREIGN ORDER'!D1370</f>
        <v>0</v>
      </c>
      <c r="B1744">
        <f>'OPEN FOREIGN ORDER'!F1370</f>
        <v>0</v>
      </c>
      <c r="C1744">
        <f>'OPEN FOREIGN ORDER'!Z1370</f>
        <v>0</v>
      </c>
      <c r="D1744" s="123">
        <f>'OPEN FOREIGN ORDER'!AA1370</f>
        <v>0</v>
      </c>
      <c r="E1744" s="112">
        <f>'OPEN FOREIGN ORDER'!AB1370</f>
        <v>0</v>
      </c>
      <c r="F1744" s="112">
        <f>'OPEN FOREIGN ORDER'!AC1370</f>
        <v>0</v>
      </c>
      <c r="G1744" s="112">
        <f>'OPEN FOREIGN ORDER'!AD1370</f>
        <v>0</v>
      </c>
      <c r="H1744" s="112">
        <f>'OPEN FOREIGN ORDER'!AE1370</f>
        <v>0</v>
      </c>
      <c r="I1744" s="112">
        <f>'OPEN FOREIGN ORDER'!AF1370</f>
        <v>0</v>
      </c>
      <c r="J1744" s="112">
        <f>'OPEN FOREIGN ORDER'!AG1370</f>
        <v>0</v>
      </c>
    </row>
    <row r="1745" spans="1:10">
      <c r="A1745">
        <f>'OPEN FOREIGN ORDER'!D1371</f>
        <v>0</v>
      </c>
      <c r="B1745">
        <f>'OPEN FOREIGN ORDER'!F1371</f>
        <v>0</v>
      </c>
      <c r="C1745">
        <f>'OPEN FOREIGN ORDER'!Z1371</f>
        <v>0</v>
      </c>
      <c r="D1745" s="123">
        <f>'OPEN FOREIGN ORDER'!AA1371</f>
        <v>0</v>
      </c>
      <c r="E1745" s="112">
        <f>'OPEN FOREIGN ORDER'!AB1371</f>
        <v>0</v>
      </c>
      <c r="F1745" s="112">
        <f>'OPEN FOREIGN ORDER'!AC1371</f>
        <v>0</v>
      </c>
      <c r="G1745" s="112">
        <f>'OPEN FOREIGN ORDER'!AD1371</f>
        <v>0</v>
      </c>
      <c r="H1745" s="112">
        <f>'OPEN FOREIGN ORDER'!AE1371</f>
        <v>0</v>
      </c>
      <c r="I1745" s="112">
        <f>'OPEN FOREIGN ORDER'!AF1371</f>
        <v>0</v>
      </c>
      <c r="J1745" s="112">
        <f>'OPEN FOREIGN ORDER'!AG1371</f>
        <v>0</v>
      </c>
    </row>
    <row r="1746" spans="1:10">
      <c r="A1746">
        <f>'OPEN FOREIGN ORDER'!D1372</f>
        <v>0</v>
      </c>
      <c r="B1746">
        <f>'OPEN FOREIGN ORDER'!F1372</f>
        <v>0</v>
      </c>
      <c r="C1746">
        <f>'OPEN FOREIGN ORDER'!Z1372</f>
        <v>0</v>
      </c>
      <c r="D1746" s="123">
        <f>'OPEN FOREIGN ORDER'!AA1372</f>
        <v>0</v>
      </c>
      <c r="E1746" s="112">
        <f>'OPEN FOREIGN ORDER'!AB1372</f>
        <v>0</v>
      </c>
      <c r="F1746" s="112">
        <f>'OPEN FOREIGN ORDER'!AC1372</f>
        <v>0</v>
      </c>
      <c r="G1746" s="112">
        <f>'OPEN FOREIGN ORDER'!AD1372</f>
        <v>0</v>
      </c>
      <c r="H1746" s="112">
        <f>'OPEN FOREIGN ORDER'!AE1372</f>
        <v>0</v>
      </c>
      <c r="I1746" s="112">
        <f>'OPEN FOREIGN ORDER'!AF1372</f>
        <v>0</v>
      </c>
      <c r="J1746" s="112">
        <f>'OPEN FOREIGN ORDER'!AG1372</f>
        <v>0</v>
      </c>
    </row>
    <row r="1747" spans="1:10">
      <c r="A1747">
        <f>'OPEN FOREIGN ORDER'!D1373</f>
        <v>0</v>
      </c>
      <c r="B1747">
        <f>'OPEN FOREIGN ORDER'!F1373</f>
        <v>0</v>
      </c>
      <c r="C1747">
        <f>'OPEN FOREIGN ORDER'!Z1373</f>
        <v>0</v>
      </c>
      <c r="D1747" s="123">
        <f>'OPEN FOREIGN ORDER'!AA1373</f>
        <v>0</v>
      </c>
      <c r="E1747" s="112">
        <f>'OPEN FOREIGN ORDER'!AB1373</f>
        <v>0</v>
      </c>
      <c r="F1747" s="112">
        <f>'OPEN FOREIGN ORDER'!AC1373</f>
        <v>0</v>
      </c>
      <c r="G1747" s="112">
        <f>'OPEN FOREIGN ORDER'!AD1373</f>
        <v>0</v>
      </c>
      <c r="H1747" s="112">
        <f>'OPEN FOREIGN ORDER'!AE1373</f>
        <v>0</v>
      </c>
      <c r="I1747" s="112">
        <f>'OPEN FOREIGN ORDER'!AF1373</f>
        <v>0</v>
      </c>
      <c r="J1747" s="112">
        <f>'OPEN FOREIGN ORDER'!AG1373</f>
        <v>0</v>
      </c>
    </row>
    <row r="1748" spans="1:10">
      <c r="A1748">
        <f>'OPEN FOREIGN ORDER'!D1374</f>
        <v>0</v>
      </c>
      <c r="B1748">
        <f>'OPEN FOREIGN ORDER'!F1374</f>
        <v>0</v>
      </c>
      <c r="C1748">
        <f>'OPEN FOREIGN ORDER'!Z1374</f>
        <v>0</v>
      </c>
      <c r="D1748" s="123">
        <f>'OPEN FOREIGN ORDER'!AA1374</f>
        <v>0</v>
      </c>
      <c r="E1748" s="112">
        <f>'OPEN FOREIGN ORDER'!AB1374</f>
        <v>0</v>
      </c>
      <c r="F1748" s="112">
        <f>'OPEN FOREIGN ORDER'!AC1374</f>
        <v>0</v>
      </c>
      <c r="G1748" s="112">
        <f>'OPEN FOREIGN ORDER'!AD1374</f>
        <v>0</v>
      </c>
      <c r="H1748" s="112">
        <f>'OPEN FOREIGN ORDER'!AE1374</f>
        <v>0</v>
      </c>
      <c r="I1748" s="112">
        <f>'OPEN FOREIGN ORDER'!AF1374</f>
        <v>0</v>
      </c>
      <c r="J1748" s="112">
        <f>'OPEN FOREIGN ORDER'!AG1374</f>
        <v>0</v>
      </c>
    </row>
    <row r="1749" spans="1:10">
      <c r="A1749">
        <f>'OPEN FOREIGN ORDER'!D1375</f>
        <v>0</v>
      </c>
      <c r="B1749">
        <f>'OPEN FOREIGN ORDER'!F1375</f>
        <v>0</v>
      </c>
      <c r="C1749">
        <f>'OPEN FOREIGN ORDER'!Z1375</f>
        <v>0</v>
      </c>
      <c r="D1749" s="123">
        <f>'OPEN FOREIGN ORDER'!AA1375</f>
        <v>0</v>
      </c>
      <c r="E1749" s="112">
        <f>'OPEN FOREIGN ORDER'!AB1375</f>
        <v>0</v>
      </c>
      <c r="F1749" s="112">
        <f>'OPEN FOREIGN ORDER'!AC1375</f>
        <v>0</v>
      </c>
      <c r="G1749" s="112">
        <f>'OPEN FOREIGN ORDER'!AD1375</f>
        <v>0</v>
      </c>
      <c r="H1749" s="112">
        <f>'OPEN FOREIGN ORDER'!AE1375</f>
        <v>0</v>
      </c>
      <c r="I1749" s="112">
        <f>'OPEN FOREIGN ORDER'!AF1375</f>
        <v>0</v>
      </c>
      <c r="J1749" s="112">
        <f>'OPEN FOREIGN ORDER'!AG1375</f>
        <v>0</v>
      </c>
    </row>
    <row r="1750" spans="1:10">
      <c r="A1750">
        <f>'OPEN FOREIGN ORDER'!D1376</f>
        <v>0</v>
      </c>
      <c r="B1750">
        <f>'OPEN FOREIGN ORDER'!F1376</f>
        <v>0</v>
      </c>
      <c r="C1750">
        <f>'OPEN FOREIGN ORDER'!Z1376</f>
        <v>0</v>
      </c>
      <c r="D1750" s="123">
        <f>'OPEN FOREIGN ORDER'!AA1376</f>
        <v>0</v>
      </c>
      <c r="E1750" s="112">
        <f>'OPEN FOREIGN ORDER'!AB1376</f>
        <v>0</v>
      </c>
      <c r="F1750" s="112">
        <f>'OPEN FOREIGN ORDER'!AC1376</f>
        <v>0</v>
      </c>
      <c r="G1750" s="112">
        <f>'OPEN FOREIGN ORDER'!AD1376</f>
        <v>0</v>
      </c>
      <c r="H1750" s="112">
        <f>'OPEN FOREIGN ORDER'!AE1376</f>
        <v>0</v>
      </c>
      <c r="I1750" s="112">
        <f>'OPEN FOREIGN ORDER'!AF1376</f>
        <v>0</v>
      </c>
      <c r="J1750" s="112">
        <f>'OPEN FOREIGN ORDER'!AG1376</f>
        <v>0</v>
      </c>
    </row>
    <row r="1751" spans="1:10">
      <c r="A1751">
        <f>'OPEN FOREIGN ORDER'!D1377</f>
        <v>0</v>
      </c>
      <c r="B1751">
        <f>'OPEN FOREIGN ORDER'!F1377</f>
        <v>0</v>
      </c>
      <c r="C1751">
        <f>'OPEN FOREIGN ORDER'!Z1377</f>
        <v>0</v>
      </c>
      <c r="D1751" s="123">
        <f>'OPEN FOREIGN ORDER'!AA1377</f>
        <v>0</v>
      </c>
      <c r="E1751" s="112">
        <f>'OPEN FOREIGN ORDER'!AB1377</f>
        <v>0</v>
      </c>
      <c r="F1751" s="112">
        <f>'OPEN FOREIGN ORDER'!AC1377</f>
        <v>0</v>
      </c>
      <c r="G1751" s="112">
        <f>'OPEN FOREIGN ORDER'!AD1377</f>
        <v>0</v>
      </c>
      <c r="H1751" s="112">
        <f>'OPEN FOREIGN ORDER'!AE1377</f>
        <v>0</v>
      </c>
      <c r="I1751" s="112">
        <f>'OPEN FOREIGN ORDER'!AF1377</f>
        <v>0</v>
      </c>
      <c r="J1751" s="112">
        <f>'OPEN FOREIGN ORDER'!AG1377</f>
        <v>0</v>
      </c>
    </row>
    <row r="1752" spans="1:10">
      <c r="A1752">
        <f>'OPEN FOREIGN ORDER'!D1378</f>
        <v>0</v>
      </c>
      <c r="B1752">
        <f>'OPEN FOREIGN ORDER'!F1378</f>
        <v>0</v>
      </c>
      <c r="C1752">
        <f>'OPEN FOREIGN ORDER'!Z1378</f>
        <v>0</v>
      </c>
      <c r="D1752" s="123">
        <f>'OPEN FOREIGN ORDER'!AA1378</f>
        <v>0</v>
      </c>
      <c r="E1752" s="112">
        <f>'OPEN FOREIGN ORDER'!AB1378</f>
        <v>0</v>
      </c>
      <c r="F1752" s="112">
        <f>'OPEN FOREIGN ORDER'!AC1378</f>
        <v>0</v>
      </c>
      <c r="G1752" s="112">
        <f>'OPEN FOREIGN ORDER'!AD1378</f>
        <v>0</v>
      </c>
      <c r="H1752" s="112">
        <f>'OPEN FOREIGN ORDER'!AE1378</f>
        <v>0</v>
      </c>
      <c r="I1752" s="112">
        <f>'OPEN FOREIGN ORDER'!AF1378</f>
        <v>0</v>
      </c>
      <c r="J1752" s="112">
        <f>'OPEN FOREIGN ORDER'!AG1378</f>
        <v>0</v>
      </c>
    </row>
    <row r="1753" spans="1:10">
      <c r="A1753">
        <f>'OPEN FOREIGN ORDER'!D1379</f>
        <v>0</v>
      </c>
      <c r="B1753">
        <f>'OPEN FOREIGN ORDER'!F1379</f>
        <v>0</v>
      </c>
      <c r="C1753">
        <f>'OPEN FOREIGN ORDER'!Z1379</f>
        <v>0</v>
      </c>
      <c r="D1753" s="123">
        <f>'OPEN FOREIGN ORDER'!AA1379</f>
        <v>0</v>
      </c>
      <c r="E1753" s="112">
        <f>'OPEN FOREIGN ORDER'!AB1379</f>
        <v>0</v>
      </c>
      <c r="F1753" s="112">
        <f>'OPEN FOREIGN ORDER'!AC1379</f>
        <v>0</v>
      </c>
      <c r="G1753" s="112">
        <f>'OPEN FOREIGN ORDER'!AD1379</f>
        <v>0</v>
      </c>
      <c r="H1753" s="112">
        <f>'OPEN FOREIGN ORDER'!AE1379</f>
        <v>0</v>
      </c>
      <c r="I1753" s="112">
        <f>'OPEN FOREIGN ORDER'!AF1379</f>
        <v>0</v>
      </c>
      <c r="J1753" s="112">
        <f>'OPEN FOREIGN ORDER'!AG1379</f>
        <v>0</v>
      </c>
    </row>
    <row r="1754" spans="1:10">
      <c r="A1754">
        <f>'OPEN FOREIGN ORDER'!D1380</f>
        <v>0</v>
      </c>
      <c r="B1754">
        <f>'OPEN FOREIGN ORDER'!F1380</f>
        <v>0</v>
      </c>
      <c r="C1754">
        <f>'OPEN FOREIGN ORDER'!Z1380</f>
        <v>0</v>
      </c>
      <c r="D1754" s="123">
        <f>'OPEN FOREIGN ORDER'!AA1380</f>
        <v>0</v>
      </c>
      <c r="E1754" s="112">
        <f>'OPEN FOREIGN ORDER'!AB1380</f>
        <v>0</v>
      </c>
      <c r="F1754" s="112">
        <f>'OPEN FOREIGN ORDER'!AC1380</f>
        <v>0</v>
      </c>
      <c r="G1754" s="112">
        <f>'OPEN FOREIGN ORDER'!AD1380</f>
        <v>0</v>
      </c>
      <c r="H1754" s="112">
        <f>'OPEN FOREIGN ORDER'!AE1380</f>
        <v>0</v>
      </c>
      <c r="I1754" s="112">
        <f>'OPEN FOREIGN ORDER'!AF1380</f>
        <v>0</v>
      </c>
      <c r="J1754" s="112">
        <f>'OPEN FOREIGN ORDER'!AG1380</f>
        <v>0</v>
      </c>
    </row>
    <row r="1755" spans="1:10">
      <c r="A1755">
        <f>'OPEN FOREIGN ORDER'!D1381</f>
        <v>0</v>
      </c>
      <c r="B1755">
        <f>'OPEN FOREIGN ORDER'!F1381</f>
        <v>0</v>
      </c>
      <c r="C1755">
        <f>'OPEN FOREIGN ORDER'!Z1381</f>
        <v>0</v>
      </c>
      <c r="D1755" s="123">
        <f>'OPEN FOREIGN ORDER'!AA1381</f>
        <v>0</v>
      </c>
      <c r="E1755" s="112">
        <f>'OPEN FOREIGN ORDER'!AB1381</f>
        <v>0</v>
      </c>
      <c r="F1755" s="112">
        <f>'OPEN FOREIGN ORDER'!AC1381</f>
        <v>0</v>
      </c>
      <c r="G1755" s="112">
        <f>'OPEN FOREIGN ORDER'!AD1381</f>
        <v>0</v>
      </c>
      <c r="H1755" s="112">
        <f>'OPEN FOREIGN ORDER'!AE1381</f>
        <v>0</v>
      </c>
      <c r="I1755" s="112">
        <f>'OPEN FOREIGN ORDER'!AF1381</f>
        <v>0</v>
      </c>
      <c r="J1755" s="112">
        <f>'OPEN FOREIGN ORDER'!AG1381</f>
        <v>0</v>
      </c>
    </row>
    <row r="1756" spans="1:10">
      <c r="A1756">
        <f>'OPEN FOREIGN ORDER'!D1382</f>
        <v>0</v>
      </c>
      <c r="B1756">
        <f>'OPEN FOREIGN ORDER'!F1382</f>
        <v>0</v>
      </c>
      <c r="C1756">
        <f>'OPEN FOREIGN ORDER'!Z1382</f>
        <v>0</v>
      </c>
      <c r="D1756" s="123">
        <f>'OPEN FOREIGN ORDER'!AA1382</f>
        <v>0</v>
      </c>
      <c r="E1756" s="112">
        <f>'OPEN FOREIGN ORDER'!AB1382</f>
        <v>0</v>
      </c>
      <c r="F1756" s="112">
        <f>'OPEN FOREIGN ORDER'!AC1382</f>
        <v>0</v>
      </c>
      <c r="G1756" s="112">
        <f>'OPEN FOREIGN ORDER'!AD1382</f>
        <v>0</v>
      </c>
      <c r="H1756" s="112">
        <f>'OPEN FOREIGN ORDER'!AE1382</f>
        <v>0</v>
      </c>
      <c r="I1756" s="112">
        <f>'OPEN FOREIGN ORDER'!AF1382</f>
        <v>0</v>
      </c>
      <c r="J1756" s="112">
        <f>'OPEN FOREIGN ORDER'!AG1382</f>
        <v>0</v>
      </c>
    </row>
    <row r="1757" spans="1:10">
      <c r="A1757">
        <f>'OPEN FOREIGN ORDER'!D1383</f>
        <v>0</v>
      </c>
      <c r="B1757">
        <f>'OPEN FOREIGN ORDER'!F1383</f>
        <v>0</v>
      </c>
      <c r="C1757">
        <f>'OPEN FOREIGN ORDER'!Z1383</f>
        <v>0</v>
      </c>
      <c r="D1757" s="123">
        <f>'OPEN FOREIGN ORDER'!AA1383</f>
        <v>0</v>
      </c>
      <c r="E1757" s="112">
        <f>'OPEN FOREIGN ORDER'!AB1383</f>
        <v>0</v>
      </c>
      <c r="F1757" s="112">
        <f>'OPEN FOREIGN ORDER'!AC1383</f>
        <v>0</v>
      </c>
      <c r="G1757" s="112">
        <f>'OPEN FOREIGN ORDER'!AD1383</f>
        <v>0</v>
      </c>
      <c r="H1757" s="112">
        <f>'OPEN FOREIGN ORDER'!AE1383</f>
        <v>0</v>
      </c>
      <c r="I1757" s="112">
        <f>'OPEN FOREIGN ORDER'!AF1383</f>
        <v>0</v>
      </c>
      <c r="J1757" s="112">
        <f>'OPEN FOREIGN ORDER'!AG1383</f>
        <v>0</v>
      </c>
    </row>
    <row r="1758" spans="1:10">
      <c r="A1758">
        <f>'OPEN FOREIGN ORDER'!D1384</f>
        <v>0</v>
      </c>
      <c r="B1758">
        <f>'OPEN FOREIGN ORDER'!F1384</f>
        <v>0</v>
      </c>
      <c r="C1758">
        <f>'OPEN FOREIGN ORDER'!Z1384</f>
        <v>0</v>
      </c>
      <c r="D1758" s="123">
        <f>'OPEN FOREIGN ORDER'!AA1384</f>
        <v>0</v>
      </c>
      <c r="E1758" s="112">
        <f>'OPEN FOREIGN ORDER'!AB1384</f>
        <v>0</v>
      </c>
      <c r="F1758" s="112">
        <f>'OPEN FOREIGN ORDER'!AC1384</f>
        <v>0</v>
      </c>
      <c r="G1758" s="112">
        <f>'OPEN FOREIGN ORDER'!AD1384</f>
        <v>0</v>
      </c>
      <c r="H1758" s="112">
        <f>'OPEN FOREIGN ORDER'!AE1384</f>
        <v>0</v>
      </c>
      <c r="I1758" s="112">
        <f>'OPEN FOREIGN ORDER'!AF1384</f>
        <v>0</v>
      </c>
      <c r="J1758" s="112">
        <f>'OPEN FOREIGN ORDER'!AG1384</f>
        <v>0</v>
      </c>
    </row>
    <row r="1759" spans="1:10">
      <c r="A1759">
        <f>'OPEN FOREIGN ORDER'!D1385</f>
        <v>0</v>
      </c>
      <c r="B1759">
        <f>'OPEN FOREIGN ORDER'!F1385</f>
        <v>0</v>
      </c>
      <c r="C1759">
        <f>'OPEN FOREIGN ORDER'!Z1385</f>
        <v>0</v>
      </c>
      <c r="D1759" s="123">
        <f>'OPEN FOREIGN ORDER'!AA1385</f>
        <v>0</v>
      </c>
      <c r="E1759" s="112">
        <f>'OPEN FOREIGN ORDER'!AB1385</f>
        <v>0</v>
      </c>
      <c r="F1759" s="112">
        <f>'OPEN FOREIGN ORDER'!AC1385</f>
        <v>0</v>
      </c>
      <c r="G1759" s="112">
        <f>'OPEN FOREIGN ORDER'!AD1385</f>
        <v>0</v>
      </c>
      <c r="H1759" s="112">
        <f>'OPEN FOREIGN ORDER'!AE1385</f>
        <v>0</v>
      </c>
      <c r="I1759" s="112">
        <f>'OPEN FOREIGN ORDER'!AF1385</f>
        <v>0</v>
      </c>
      <c r="J1759" s="112">
        <f>'OPEN FOREIGN ORDER'!AG1385</f>
        <v>0</v>
      </c>
    </row>
    <row r="1760" spans="1:10">
      <c r="A1760">
        <f>'OPEN FOREIGN ORDER'!D1386</f>
        <v>0</v>
      </c>
      <c r="B1760">
        <f>'OPEN FOREIGN ORDER'!F1386</f>
        <v>0</v>
      </c>
      <c r="C1760">
        <f>'OPEN FOREIGN ORDER'!Z1386</f>
        <v>0</v>
      </c>
      <c r="D1760" s="123">
        <f>'OPEN FOREIGN ORDER'!AA1386</f>
        <v>0</v>
      </c>
      <c r="E1760" s="112">
        <f>'OPEN FOREIGN ORDER'!AB1386</f>
        <v>0</v>
      </c>
      <c r="F1760" s="112">
        <f>'OPEN FOREIGN ORDER'!AC1386</f>
        <v>0</v>
      </c>
      <c r="G1760" s="112">
        <f>'OPEN FOREIGN ORDER'!AD1386</f>
        <v>0</v>
      </c>
      <c r="H1760" s="112">
        <f>'OPEN FOREIGN ORDER'!AE1386</f>
        <v>0</v>
      </c>
      <c r="I1760" s="112">
        <f>'OPEN FOREIGN ORDER'!AF1386</f>
        <v>0</v>
      </c>
      <c r="J1760" s="112">
        <f>'OPEN FOREIGN ORDER'!AG1386</f>
        <v>0</v>
      </c>
    </row>
    <row r="1761" spans="1:10">
      <c r="A1761">
        <f>'OPEN FOREIGN ORDER'!D1387</f>
        <v>0</v>
      </c>
      <c r="B1761">
        <f>'OPEN FOREIGN ORDER'!F1387</f>
        <v>0</v>
      </c>
      <c r="C1761">
        <f>'OPEN FOREIGN ORDER'!Z1387</f>
        <v>0</v>
      </c>
      <c r="D1761" s="123">
        <f>'OPEN FOREIGN ORDER'!AA1387</f>
        <v>0</v>
      </c>
      <c r="E1761" s="112">
        <f>'OPEN FOREIGN ORDER'!AB1387</f>
        <v>0</v>
      </c>
      <c r="F1761" s="112">
        <f>'OPEN FOREIGN ORDER'!AC1387</f>
        <v>0</v>
      </c>
      <c r="G1761" s="112">
        <f>'OPEN FOREIGN ORDER'!AD1387</f>
        <v>0</v>
      </c>
      <c r="H1761" s="112">
        <f>'OPEN FOREIGN ORDER'!AE1387</f>
        <v>0</v>
      </c>
      <c r="I1761" s="112">
        <f>'OPEN FOREIGN ORDER'!AF1387</f>
        <v>0</v>
      </c>
      <c r="J1761" s="112">
        <f>'OPEN FOREIGN ORDER'!AG1387</f>
        <v>0</v>
      </c>
    </row>
    <row r="1762" spans="1:10">
      <c r="A1762">
        <f>'OPEN FOREIGN ORDER'!D1388</f>
        <v>0</v>
      </c>
      <c r="B1762">
        <f>'OPEN FOREIGN ORDER'!F1388</f>
        <v>0</v>
      </c>
      <c r="C1762">
        <f>'OPEN FOREIGN ORDER'!Z1388</f>
        <v>0</v>
      </c>
      <c r="D1762" s="123">
        <f>'OPEN FOREIGN ORDER'!AA1388</f>
        <v>0</v>
      </c>
      <c r="E1762" s="112">
        <f>'OPEN FOREIGN ORDER'!AB1388</f>
        <v>0</v>
      </c>
      <c r="F1762" s="112">
        <f>'OPEN FOREIGN ORDER'!AC1388</f>
        <v>0</v>
      </c>
      <c r="G1762" s="112">
        <f>'OPEN FOREIGN ORDER'!AD1388</f>
        <v>0</v>
      </c>
      <c r="H1762" s="112">
        <f>'OPEN FOREIGN ORDER'!AE1388</f>
        <v>0</v>
      </c>
      <c r="I1762" s="112">
        <f>'OPEN FOREIGN ORDER'!AF1388</f>
        <v>0</v>
      </c>
      <c r="J1762" s="112">
        <f>'OPEN FOREIGN ORDER'!AG1388</f>
        <v>0</v>
      </c>
    </row>
    <row r="1763" spans="1:10">
      <c r="A1763">
        <f>'OPEN FOREIGN ORDER'!D1389</f>
        <v>0</v>
      </c>
      <c r="B1763">
        <f>'OPEN FOREIGN ORDER'!F1389</f>
        <v>0</v>
      </c>
      <c r="C1763">
        <f>'OPEN FOREIGN ORDER'!Z1389</f>
        <v>0</v>
      </c>
      <c r="D1763" s="123">
        <f>'OPEN FOREIGN ORDER'!AA1389</f>
        <v>0</v>
      </c>
      <c r="E1763" s="112">
        <f>'OPEN FOREIGN ORDER'!AB1389</f>
        <v>0</v>
      </c>
      <c r="F1763" s="112">
        <f>'OPEN FOREIGN ORDER'!AC1389</f>
        <v>0</v>
      </c>
      <c r="G1763" s="112">
        <f>'OPEN FOREIGN ORDER'!AD1389</f>
        <v>0</v>
      </c>
      <c r="H1763" s="112">
        <f>'OPEN FOREIGN ORDER'!AE1389</f>
        <v>0</v>
      </c>
      <c r="I1763" s="112">
        <f>'OPEN FOREIGN ORDER'!AF1389</f>
        <v>0</v>
      </c>
      <c r="J1763" s="112">
        <f>'OPEN FOREIGN ORDER'!AG1389</f>
        <v>0</v>
      </c>
    </row>
    <row r="1764" spans="1:10">
      <c r="A1764">
        <f>'OPEN FOREIGN ORDER'!D1390</f>
        <v>0</v>
      </c>
      <c r="B1764">
        <f>'OPEN FOREIGN ORDER'!F1390</f>
        <v>0</v>
      </c>
      <c r="C1764">
        <f>'OPEN FOREIGN ORDER'!Z1390</f>
        <v>0</v>
      </c>
      <c r="D1764" s="123">
        <f>'OPEN FOREIGN ORDER'!AA1390</f>
        <v>0</v>
      </c>
      <c r="E1764" s="112">
        <f>'OPEN FOREIGN ORDER'!AB1390</f>
        <v>0</v>
      </c>
      <c r="F1764" s="112">
        <f>'OPEN FOREIGN ORDER'!AC1390</f>
        <v>0</v>
      </c>
      <c r="G1764" s="112">
        <f>'OPEN FOREIGN ORDER'!AD1390</f>
        <v>0</v>
      </c>
      <c r="H1764" s="112">
        <f>'OPEN FOREIGN ORDER'!AE1390</f>
        <v>0</v>
      </c>
      <c r="I1764" s="112">
        <f>'OPEN FOREIGN ORDER'!AF1390</f>
        <v>0</v>
      </c>
      <c r="J1764" s="112">
        <f>'OPEN FOREIGN ORDER'!AG1390</f>
        <v>0</v>
      </c>
    </row>
    <row r="1765" spans="1:10">
      <c r="A1765">
        <f>'OPEN FOREIGN ORDER'!D1391</f>
        <v>0</v>
      </c>
      <c r="B1765">
        <f>'OPEN FOREIGN ORDER'!F1391</f>
        <v>0</v>
      </c>
      <c r="C1765">
        <f>'OPEN FOREIGN ORDER'!Z1391</f>
        <v>0</v>
      </c>
      <c r="D1765" s="123">
        <f>'OPEN FOREIGN ORDER'!AA1391</f>
        <v>0</v>
      </c>
      <c r="E1765" s="112">
        <f>'OPEN FOREIGN ORDER'!AB1391</f>
        <v>0</v>
      </c>
      <c r="F1765" s="112">
        <f>'OPEN FOREIGN ORDER'!AC1391</f>
        <v>0</v>
      </c>
      <c r="G1765" s="112">
        <f>'OPEN FOREIGN ORDER'!AD1391</f>
        <v>0</v>
      </c>
      <c r="H1765" s="112">
        <f>'OPEN FOREIGN ORDER'!AE1391</f>
        <v>0</v>
      </c>
      <c r="I1765" s="112">
        <f>'OPEN FOREIGN ORDER'!AF1391</f>
        <v>0</v>
      </c>
      <c r="J1765" s="112">
        <f>'OPEN FOREIGN ORDER'!AG1391</f>
        <v>0</v>
      </c>
    </row>
    <row r="1766" spans="1:10">
      <c r="A1766">
        <f>'OPEN FOREIGN ORDER'!D1392</f>
        <v>0</v>
      </c>
      <c r="B1766">
        <f>'OPEN FOREIGN ORDER'!F1392</f>
        <v>0</v>
      </c>
      <c r="C1766">
        <f>'OPEN FOREIGN ORDER'!Z1392</f>
        <v>0</v>
      </c>
      <c r="D1766" s="123">
        <f>'OPEN FOREIGN ORDER'!AA1392</f>
        <v>0</v>
      </c>
      <c r="E1766" s="112">
        <f>'OPEN FOREIGN ORDER'!AB1392</f>
        <v>0</v>
      </c>
      <c r="F1766" s="112">
        <f>'OPEN FOREIGN ORDER'!AC1392</f>
        <v>0</v>
      </c>
      <c r="G1766" s="112">
        <f>'OPEN FOREIGN ORDER'!AD1392</f>
        <v>0</v>
      </c>
      <c r="H1766" s="112">
        <f>'OPEN FOREIGN ORDER'!AE1392</f>
        <v>0</v>
      </c>
      <c r="I1766" s="112">
        <f>'OPEN FOREIGN ORDER'!AF1392</f>
        <v>0</v>
      </c>
      <c r="J1766" s="112">
        <f>'OPEN FOREIGN ORDER'!AG1392</f>
        <v>0</v>
      </c>
    </row>
    <row r="1767" spans="1:10">
      <c r="A1767">
        <f>'OPEN FOREIGN ORDER'!D1393</f>
        <v>0</v>
      </c>
      <c r="B1767">
        <f>'OPEN FOREIGN ORDER'!F1393</f>
        <v>0</v>
      </c>
      <c r="C1767">
        <f>'OPEN FOREIGN ORDER'!Z1393</f>
        <v>0</v>
      </c>
      <c r="D1767" s="123">
        <f>'OPEN FOREIGN ORDER'!AA1393</f>
        <v>0</v>
      </c>
      <c r="E1767" s="112">
        <f>'OPEN FOREIGN ORDER'!AB1393</f>
        <v>0</v>
      </c>
      <c r="F1767" s="112">
        <f>'OPEN FOREIGN ORDER'!AC1393</f>
        <v>0</v>
      </c>
      <c r="G1767" s="112">
        <f>'OPEN FOREIGN ORDER'!AD1393</f>
        <v>0</v>
      </c>
      <c r="H1767" s="112">
        <f>'OPEN FOREIGN ORDER'!AE1393</f>
        <v>0</v>
      </c>
      <c r="I1767" s="112">
        <f>'OPEN FOREIGN ORDER'!AF1393</f>
        <v>0</v>
      </c>
      <c r="J1767" s="112">
        <f>'OPEN FOREIGN ORDER'!AG1393</f>
        <v>0</v>
      </c>
    </row>
    <row r="1768" spans="1:10">
      <c r="A1768">
        <f>'OPEN FOREIGN ORDER'!D1394</f>
        <v>0</v>
      </c>
      <c r="B1768">
        <f>'OPEN FOREIGN ORDER'!F1394</f>
        <v>0</v>
      </c>
      <c r="C1768">
        <f>'OPEN FOREIGN ORDER'!Z1394</f>
        <v>0</v>
      </c>
      <c r="D1768" s="123">
        <f>'OPEN FOREIGN ORDER'!AA1394</f>
        <v>0</v>
      </c>
      <c r="E1768" s="112">
        <f>'OPEN FOREIGN ORDER'!AB1394</f>
        <v>0</v>
      </c>
      <c r="F1768" s="112">
        <f>'OPEN FOREIGN ORDER'!AC1394</f>
        <v>0</v>
      </c>
      <c r="G1768" s="112">
        <f>'OPEN FOREIGN ORDER'!AD1394</f>
        <v>0</v>
      </c>
      <c r="H1768" s="112">
        <f>'OPEN FOREIGN ORDER'!AE1394</f>
        <v>0</v>
      </c>
      <c r="I1768" s="112">
        <f>'OPEN FOREIGN ORDER'!AF1394</f>
        <v>0</v>
      </c>
      <c r="J1768" s="112">
        <f>'OPEN FOREIGN ORDER'!AG1394</f>
        <v>0</v>
      </c>
    </row>
    <row r="1769" spans="1:10">
      <c r="A1769">
        <f>'OPEN FOREIGN ORDER'!D1395</f>
        <v>0</v>
      </c>
      <c r="B1769">
        <f>'OPEN FOREIGN ORDER'!F1395</f>
        <v>0</v>
      </c>
      <c r="C1769">
        <f>'OPEN FOREIGN ORDER'!Z1395</f>
        <v>0</v>
      </c>
      <c r="D1769" s="123">
        <f>'OPEN FOREIGN ORDER'!AA1395</f>
        <v>0</v>
      </c>
      <c r="E1769" s="112">
        <f>'OPEN FOREIGN ORDER'!AB1395</f>
        <v>0</v>
      </c>
      <c r="F1769" s="112">
        <f>'OPEN FOREIGN ORDER'!AC1395</f>
        <v>0</v>
      </c>
      <c r="G1769" s="112">
        <f>'OPEN FOREIGN ORDER'!AD1395</f>
        <v>0</v>
      </c>
      <c r="H1769" s="112">
        <f>'OPEN FOREIGN ORDER'!AE1395</f>
        <v>0</v>
      </c>
      <c r="I1769" s="112">
        <f>'OPEN FOREIGN ORDER'!AF1395</f>
        <v>0</v>
      </c>
      <c r="J1769" s="112">
        <f>'OPEN FOREIGN ORDER'!AG1395</f>
        <v>0</v>
      </c>
    </row>
    <row r="1770" spans="1:10">
      <c r="A1770">
        <f>'OPEN FOREIGN ORDER'!D1396</f>
        <v>0</v>
      </c>
      <c r="B1770">
        <f>'OPEN FOREIGN ORDER'!F1396</f>
        <v>0</v>
      </c>
      <c r="C1770">
        <f>'OPEN FOREIGN ORDER'!Z1396</f>
        <v>0</v>
      </c>
      <c r="D1770" s="123">
        <f>'OPEN FOREIGN ORDER'!AA1396</f>
        <v>0</v>
      </c>
      <c r="E1770" s="112">
        <f>'OPEN FOREIGN ORDER'!AB1396</f>
        <v>0</v>
      </c>
      <c r="F1770" s="112">
        <f>'OPEN FOREIGN ORDER'!AC1396</f>
        <v>0</v>
      </c>
      <c r="G1770" s="112">
        <f>'OPEN FOREIGN ORDER'!AD1396</f>
        <v>0</v>
      </c>
      <c r="H1770" s="112">
        <f>'OPEN FOREIGN ORDER'!AE1396</f>
        <v>0</v>
      </c>
      <c r="I1770" s="112">
        <f>'OPEN FOREIGN ORDER'!AF1396</f>
        <v>0</v>
      </c>
      <c r="J1770" s="112">
        <f>'OPEN FOREIGN ORDER'!AG1396</f>
        <v>0</v>
      </c>
    </row>
    <row r="1771" spans="1:10">
      <c r="A1771">
        <f>'OPEN FOREIGN ORDER'!D1397</f>
        <v>0</v>
      </c>
      <c r="B1771">
        <f>'OPEN FOREIGN ORDER'!F1397</f>
        <v>0</v>
      </c>
      <c r="C1771">
        <f>'OPEN FOREIGN ORDER'!Z1397</f>
        <v>0</v>
      </c>
      <c r="D1771" s="123">
        <f>'OPEN FOREIGN ORDER'!AA1397</f>
        <v>0</v>
      </c>
      <c r="E1771" s="112">
        <f>'OPEN FOREIGN ORDER'!AB1397</f>
        <v>0</v>
      </c>
      <c r="F1771" s="112">
        <f>'OPEN FOREIGN ORDER'!AC1397</f>
        <v>0</v>
      </c>
      <c r="G1771" s="112">
        <f>'OPEN FOREIGN ORDER'!AD1397</f>
        <v>0</v>
      </c>
      <c r="H1771" s="112">
        <f>'OPEN FOREIGN ORDER'!AE1397</f>
        <v>0</v>
      </c>
      <c r="I1771" s="112">
        <f>'OPEN FOREIGN ORDER'!AF1397</f>
        <v>0</v>
      </c>
      <c r="J1771" s="112">
        <f>'OPEN FOREIGN ORDER'!AG1397</f>
        <v>0</v>
      </c>
    </row>
    <row r="1772" spans="1:10">
      <c r="A1772">
        <f>'OPEN FOREIGN ORDER'!D1398</f>
        <v>0</v>
      </c>
      <c r="B1772">
        <f>'OPEN FOREIGN ORDER'!F1398</f>
        <v>0</v>
      </c>
      <c r="C1772">
        <f>'OPEN FOREIGN ORDER'!Z1398</f>
        <v>0</v>
      </c>
      <c r="D1772" s="123">
        <f>'OPEN FOREIGN ORDER'!AA1398</f>
        <v>0</v>
      </c>
      <c r="E1772" s="112">
        <f>'OPEN FOREIGN ORDER'!AB1398</f>
        <v>0</v>
      </c>
      <c r="F1772" s="112">
        <f>'OPEN FOREIGN ORDER'!AC1398</f>
        <v>0</v>
      </c>
      <c r="G1772" s="112">
        <f>'OPEN FOREIGN ORDER'!AD1398</f>
        <v>0</v>
      </c>
      <c r="H1772" s="112">
        <f>'OPEN FOREIGN ORDER'!AE1398</f>
        <v>0</v>
      </c>
      <c r="I1772" s="112">
        <f>'OPEN FOREIGN ORDER'!AF1398</f>
        <v>0</v>
      </c>
      <c r="J1772" s="112">
        <f>'OPEN FOREIGN ORDER'!AG1398</f>
        <v>0</v>
      </c>
    </row>
    <row r="1773" spans="1:10">
      <c r="A1773">
        <f>'OPEN FOREIGN ORDER'!D1399</f>
        <v>0</v>
      </c>
      <c r="B1773">
        <f>'OPEN FOREIGN ORDER'!F1399</f>
        <v>0</v>
      </c>
      <c r="C1773">
        <f>'OPEN FOREIGN ORDER'!Z1399</f>
        <v>0</v>
      </c>
      <c r="D1773" s="123">
        <f>'OPEN FOREIGN ORDER'!AA1399</f>
        <v>0</v>
      </c>
      <c r="E1773" s="112">
        <f>'OPEN FOREIGN ORDER'!AB1399</f>
        <v>0</v>
      </c>
      <c r="F1773" s="112">
        <f>'OPEN FOREIGN ORDER'!AC1399</f>
        <v>0</v>
      </c>
      <c r="G1773" s="112">
        <f>'OPEN FOREIGN ORDER'!AD1399</f>
        <v>0</v>
      </c>
      <c r="H1773" s="112">
        <f>'OPEN FOREIGN ORDER'!AE1399</f>
        <v>0</v>
      </c>
      <c r="I1773" s="112">
        <f>'OPEN FOREIGN ORDER'!AF1399</f>
        <v>0</v>
      </c>
      <c r="J1773" s="112">
        <f>'OPEN FOREIGN ORDER'!AG1399</f>
        <v>0</v>
      </c>
    </row>
    <row r="1774" spans="1:10">
      <c r="A1774">
        <f>'OPEN FOREIGN ORDER'!D1400</f>
        <v>0</v>
      </c>
      <c r="B1774">
        <f>'OPEN FOREIGN ORDER'!F1400</f>
        <v>0</v>
      </c>
      <c r="C1774">
        <f>'OPEN FOREIGN ORDER'!Z1400</f>
        <v>0</v>
      </c>
      <c r="D1774" s="123">
        <f>'OPEN FOREIGN ORDER'!AA1400</f>
        <v>0</v>
      </c>
      <c r="E1774" s="112">
        <f>'OPEN FOREIGN ORDER'!AB1400</f>
        <v>0</v>
      </c>
      <c r="F1774" s="112">
        <f>'OPEN FOREIGN ORDER'!AC1400</f>
        <v>0</v>
      </c>
      <c r="G1774" s="112">
        <f>'OPEN FOREIGN ORDER'!AD1400</f>
        <v>0</v>
      </c>
      <c r="H1774" s="112">
        <f>'OPEN FOREIGN ORDER'!AE1400</f>
        <v>0</v>
      </c>
      <c r="I1774" s="112">
        <f>'OPEN FOREIGN ORDER'!AF1400</f>
        <v>0</v>
      </c>
      <c r="J1774" s="112">
        <f>'OPEN FOREIGN ORDER'!AG1400</f>
        <v>0</v>
      </c>
    </row>
    <row r="1775" spans="1:10">
      <c r="A1775">
        <f>'OPEN FOREIGN ORDER'!D1401</f>
        <v>0</v>
      </c>
      <c r="B1775">
        <f>'OPEN FOREIGN ORDER'!F1401</f>
        <v>0</v>
      </c>
      <c r="C1775">
        <f>'OPEN FOREIGN ORDER'!Z1401</f>
        <v>0</v>
      </c>
      <c r="D1775" s="123">
        <f>'OPEN FOREIGN ORDER'!AA1401</f>
        <v>0</v>
      </c>
      <c r="E1775" s="112">
        <f>'OPEN FOREIGN ORDER'!AB1401</f>
        <v>0</v>
      </c>
      <c r="F1775" s="112">
        <f>'OPEN FOREIGN ORDER'!AC1401</f>
        <v>0</v>
      </c>
      <c r="G1775" s="112">
        <f>'OPEN FOREIGN ORDER'!AD1401</f>
        <v>0</v>
      </c>
      <c r="H1775" s="112">
        <f>'OPEN FOREIGN ORDER'!AE1401</f>
        <v>0</v>
      </c>
      <c r="I1775" s="112">
        <f>'OPEN FOREIGN ORDER'!AF1401</f>
        <v>0</v>
      </c>
      <c r="J1775" s="112">
        <f>'OPEN FOREIGN ORDER'!AG1401</f>
        <v>0</v>
      </c>
    </row>
    <row r="1776" spans="1:10">
      <c r="A1776">
        <f>'OPEN FOREIGN ORDER'!D1402</f>
        <v>0</v>
      </c>
      <c r="B1776">
        <f>'OPEN FOREIGN ORDER'!F1402</f>
        <v>0</v>
      </c>
      <c r="C1776">
        <f>'OPEN FOREIGN ORDER'!Z1402</f>
        <v>0</v>
      </c>
      <c r="D1776" s="123">
        <f>'OPEN FOREIGN ORDER'!AA1402</f>
        <v>0</v>
      </c>
      <c r="E1776" s="112">
        <f>'OPEN FOREIGN ORDER'!AB1402</f>
        <v>0</v>
      </c>
      <c r="F1776" s="112">
        <f>'OPEN FOREIGN ORDER'!AC1402</f>
        <v>0</v>
      </c>
      <c r="G1776" s="112">
        <f>'OPEN FOREIGN ORDER'!AD1402</f>
        <v>0</v>
      </c>
      <c r="H1776" s="112">
        <f>'OPEN FOREIGN ORDER'!AE1402</f>
        <v>0</v>
      </c>
      <c r="I1776" s="112">
        <f>'OPEN FOREIGN ORDER'!AF1402</f>
        <v>0</v>
      </c>
      <c r="J1776" s="112">
        <f>'OPEN FOREIGN ORDER'!AG1402</f>
        <v>0</v>
      </c>
    </row>
    <row r="1777" spans="1:10">
      <c r="A1777">
        <f>'OPEN FOREIGN ORDER'!D1403</f>
        <v>0</v>
      </c>
      <c r="B1777">
        <f>'OPEN FOREIGN ORDER'!F1403</f>
        <v>0</v>
      </c>
      <c r="C1777">
        <f>'OPEN FOREIGN ORDER'!Z1403</f>
        <v>0</v>
      </c>
      <c r="D1777" s="123">
        <f>'OPEN FOREIGN ORDER'!AA1403</f>
        <v>0</v>
      </c>
      <c r="E1777" s="112">
        <f>'OPEN FOREIGN ORDER'!AB1403</f>
        <v>0</v>
      </c>
      <c r="F1777" s="112">
        <f>'OPEN FOREIGN ORDER'!AC1403</f>
        <v>0</v>
      </c>
      <c r="G1777" s="112">
        <f>'OPEN FOREIGN ORDER'!AD1403</f>
        <v>0</v>
      </c>
      <c r="H1777" s="112">
        <f>'OPEN FOREIGN ORDER'!AE1403</f>
        <v>0</v>
      </c>
      <c r="I1777" s="112">
        <f>'OPEN FOREIGN ORDER'!AF1403</f>
        <v>0</v>
      </c>
      <c r="J1777" s="112">
        <f>'OPEN FOREIGN ORDER'!AG1403</f>
        <v>0</v>
      </c>
    </row>
    <row r="1778" spans="1:10">
      <c r="A1778">
        <f>'OPEN FOREIGN ORDER'!D1404</f>
        <v>0</v>
      </c>
      <c r="B1778">
        <f>'OPEN FOREIGN ORDER'!F1404</f>
        <v>0</v>
      </c>
      <c r="C1778">
        <f>'OPEN FOREIGN ORDER'!Z1404</f>
        <v>0</v>
      </c>
      <c r="D1778" s="123">
        <f>'OPEN FOREIGN ORDER'!AA1404</f>
        <v>0</v>
      </c>
      <c r="E1778" s="112">
        <f>'OPEN FOREIGN ORDER'!AB1404</f>
        <v>0</v>
      </c>
      <c r="F1778" s="112">
        <f>'OPEN FOREIGN ORDER'!AC1404</f>
        <v>0</v>
      </c>
      <c r="G1778" s="112">
        <f>'OPEN FOREIGN ORDER'!AD1404</f>
        <v>0</v>
      </c>
      <c r="H1778" s="112">
        <f>'OPEN FOREIGN ORDER'!AE1404</f>
        <v>0</v>
      </c>
      <c r="I1778" s="112">
        <f>'OPEN FOREIGN ORDER'!AF1404</f>
        <v>0</v>
      </c>
      <c r="J1778" s="112">
        <f>'OPEN FOREIGN ORDER'!AG1404</f>
        <v>0</v>
      </c>
    </row>
    <row r="1779" spans="1:10">
      <c r="A1779">
        <f>'OPEN FOREIGN ORDER'!D1405</f>
        <v>0</v>
      </c>
      <c r="B1779">
        <f>'OPEN FOREIGN ORDER'!F1405</f>
        <v>0</v>
      </c>
      <c r="C1779">
        <f>'OPEN FOREIGN ORDER'!Z1405</f>
        <v>0</v>
      </c>
      <c r="D1779" s="123">
        <f>'OPEN FOREIGN ORDER'!AA1405</f>
        <v>0</v>
      </c>
      <c r="E1779" s="112">
        <f>'OPEN FOREIGN ORDER'!AB1405</f>
        <v>0</v>
      </c>
      <c r="F1779" s="112">
        <f>'OPEN FOREIGN ORDER'!AC1405</f>
        <v>0</v>
      </c>
      <c r="G1779" s="112">
        <f>'OPEN FOREIGN ORDER'!AD1405</f>
        <v>0</v>
      </c>
      <c r="H1779" s="112">
        <f>'OPEN FOREIGN ORDER'!AE1405</f>
        <v>0</v>
      </c>
      <c r="I1779" s="112">
        <f>'OPEN FOREIGN ORDER'!AF1405</f>
        <v>0</v>
      </c>
      <c r="J1779" s="112">
        <f>'OPEN FOREIGN ORDER'!AG1405</f>
        <v>0</v>
      </c>
    </row>
    <row r="1780" spans="1:10">
      <c r="A1780">
        <f>'OPEN FOREIGN ORDER'!D1406</f>
        <v>0</v>
      </c>
      <c r="B1780">
        <f>'OPEN FOREIGN ORDER'!F1406</f>
        <v>0</v>
      </c>
      <c r="C1780">
        <f>'OPEN FOREIGN ORDER'!Z1406</f>
        <v>0</v>
      </c>
      <c r="D1780" s="123">
        <f>'OPEN FOREIGN ORDER'!AA1406</f>
        <v>0</v>
      </c>
      <c r="E1780" s="112">
        <f>'OPEN FOREIGN ORDER'!AB1406</f>
        <v>0</v>
      </c>
      <c r="F1780" s="112">
        <f>'OPEN FOREIGN ORDER'!AC1406</f>
        <v>0</v>
      </c>
      <c r="G1780" s="112">
        <f>'OPEN FOREIGN ORDER'!AD1406</f>
        <v>0</v>
      </c>
      <c r="H1780" s="112">
        <f>'OPEN FOREIGN ORDER'!AE1406</f>
        <v>0</v>
      </c>
      <c r="I1780" s="112">
        <f>'OPEN FOREIGN ORDER'!AF1406</f>
        <v>0</v>
      </c>
      <c r="J1780" s="112">
        <f>'OPEN FOREIGN ORDER'!AG1406</f>
        <v>0</v>
      </c>
    </row>
    <row r="1781" spans="1:10">
      <c r="A1781">
        <f>'OPEN FOREIGN ORDER'!D1407</f>
        <v>0</v>
      </c>
      <c r="B1781">
        <f>'OPEN FOREIGN ORDER'!F1407</f>
        <v>0</v>
      </c>
      <c r="C1781">
        <f>'OPEN FOREIGN ORDER'!Z1407</f>
        <v>0</v>
      </c>
      <c r="D1781" s="123">
        <f>'OPEN FOREIGN ORDER'!AA1407</f>
        <v>0</v>
      </c>
      <c r="E1781" s="112">
        <f>'OPEN FOREIGN ORDER'!AB1407</f>
        <v>0</v>
      </c>
      <c r="F1781" s="112">
        <f>'OPEN FOREIGN ORDER'!AC1407</f>
        <v>0</v>
      </c>
      <c r="G1781" s="112">
        <f>'OPEN FOREIGN ORDER'!AD1407</f>
        <v>0</v>
      </c>
      <c r="H1781" s="112">
        <f>'OPEN FOREIGN ORDER'!AE1407</f>
        <v>0</v>
      </c>
      <c r="I1781" s="112">
        <f>'OPEN FOREIGN ORDER'!AF1407</f>
        <v>0</v>
      </c>
      <c r="J1781" s="112">
        <f>'OPEN FOREIGN ORDER'!AG1407</f>
        <v>0</v>
      </c>
    </row>
    <row r="1782" spans="1:10">
      <c r="A1782">
        <f>'OPEN FOREIGN ORDER'!D1408</f>
        <v>0</v>
      </c>
      <c r="B1782">
        <f>'OPEN FOREIGN ORDER'!F1408</f>
        <v>0</v>
      </c>
      <c r="C1782">
        <f>'OPEN FOREIGN ORDER'!Z1408</f>
        <v>0</v>
      </c>
      <c r="D1782" s="123">
        <f>'OPEN FOREIGN ORDER'!AA1408</f>
        <v>0</v>
      </c>
      <c r="E1782" s="112">
        <f>'OPEN FOREIGN ORDER'!AB1408</f>
        <v>0</v>
      </c>
      <c r="F1782" s="112">
        <f>'OPEN FOREIGN ORDER'!AC1408</f>
        <v>0</v>
      </c>
      <c r="G1782" s="112">
        <f>'OPEN FOREIGN ORDER'!AD1408</f>
        <v>0</v>
      </c>
      <c r="H1782" s="112">
        <f>'OPEN FOREIGN ORDER'!AE1408</f>
        <v>0</v>
      </c>
      <c r="I1782" s="112">
        <f>'OPEN FOREIGN ORDER'!AF1408</f>
        <v>0</v>
      </c>
      <c r="J1782" s="112">
        <f>'OPEN FOREIGN ORDER'!AG1408</f>
        <v>0</v>
      </c>
    </row>
    <row r="1783" spans="1:10">
      <c r="A1783">
        <f>'OPEN FOREIGN ORDER'!D1409</f>
        <v>0</v>
      </c>
      <c r="B1783">
        <f>'OPEN FOREIGN ORDER'!F1409</f>
        <v>0</v>
      </c>
      <c r="C1783">
        <f>'OPEN FOREIGN ORDER'!Z1409</f>
        <v>0</v>
      </c>
      <c r="D1783" s="123">
        <f>'OPEN FOREIGN ORDER'!AA1409</f>
        <v>0</v>
      </c>
      <c r="E1783" s="112">
        <f>'OPEN FOREIGN ORDER'!AB1409</f>
        <v>0</v>
      </c>
      <c r="F1783" s="112">
        <f>'OPEN FOREIGN ORDER'!AC1409</f>
        <v>0</v>
      </c>
      <c r="G1783" s="112">
        <f>'OPEN FOREIGN ORDER'!AD1409</f>
        <v>0</v>
      </c>
      <c r="H1783" s="112">
        <f>'OPEN FOREIGN ORDER'!AE1409</f>
        <v>0</v>
      </c>
      <c r="I1783" s="112">
        <f>'OPEN FOREIGN ORDER'!AF1409</f>
        <v>0</v>
      </c>
      <c r="J1783" s="112">
        <f>'OPEN FOREIGN ORDER'!AG1409</f>
        <v>0</v>
      </c>
    </row>
    <row r="1784" spans="1:10">
      <c r="A1784">
        <f>'OPEN FOREIGN ORDER'!D1410</f>
        <v>0</v>
      </c>
      <c r="B1784">
        <f>'OPEN FOREIGN ORDER'!F1410</f>
        <v>0</v>
      </c>
      <c r="C1784">
        <f>'OPEN FOREIGN ORDER'!Z1410</f>
        <v>0</v>
      </c>
      <c r="D1784" s="123">
        <f>'OPEN FOREIGN ORDER'!AA1410</f>
        <v>0</v>
      </c>
      <c r="E1784" s="112">
        <f>'OPEN FOREIGN ORDER'!AB1410</f>
        <v>0</v>
      </c>
      <c r="F1784" s="112">
        <f>'OPEN FOREIGN ORDER'!AC1410</f>
        <v>0</v>
      </c>
      <c r="G1784" s="112">
        <f>'OPEN FOREIGN ORDER'!AD1410</f>
        <v>0</v>
      </c>
      <c r="H1784" s="112">
        <f>'OPEN FOREIGN ORDER'!AE1410</f>
        <v>0</v>
      </c>
      <c r="I1784" s="112">
        <f>'OPEN FOREIGN ORDER'!AF1410</f>
        <v>0</v>
      </c>
      <c r="J1784" s="112">
        <f>'OPEN FOREIGN ORDER'!AG1410</f>
        <v>0</v>
      </c>
    </row>
    <row r="1785" spans="1:10">
      <c r="A1785">
        <f>'OPEN FOREIGN ORDER'!D1411</f>
        <v>0</v>
      </c>
      <c r="B1785">
        <f>'OPEN FOREIGN ORDER'!F1411</f>
        <v>0</v>
      </c>
      <c r="C1785">
        <f>'OPEN FOREIGN ORDER'!Z1411</f>
        <v>0</v>
      </c>
      <c r="D1785" s="123">
        <f>'OPEN FOREIGN ORDER'!AA1411</f>
        <v>0</v>
      </c>
      <c r="E1785" s="112">
        <f>'OPEN FOREIGN ORDER'!AB1411</f>
        <v>0</v>
      </c>
      <c r="F1785" s="112">
        <f>'OPEN FOREIGN ORDER'!AC1411</f>
        <v>0</v>
      </c>
      <c r="G1785" s="112">
        <f>'OPEN FOREIGN ORDER'!AD1411</f>
        <v>0</v>
      </c>
      <c r="H1785" s="112">
        <f>'OPEN FOREIGN ORDER'!AE1411</f>
        <v>0</v>
      </c>
      <c r="I1785" s="112">
        <f>'OPEN FOREIGN ORDER'!AF1411</f>
        <v>0</v>
      </c>
      <c r="J1785" s="112">
        <f>'OPEN FOREIGN ORDER'!AG1411</f>
        <v>0</v>
      </c>
    </row>
    <row r="1786" spans="1:10">
      <c r="A1786">
        <f>'OPEN FOREIGN ORDER'!D1412</f>
        <v>0</v>
      </c>
      <c r="B1786">
        <f>'OPEN FOREIGN ORDER'!F1412</f>
        <v>0</v>
      </c>
      <c r="C1786">
        <f>'OPEN FOREIGN ORDER'!Z1412</f>
        <v>0</v>
      </c>
      <c r="D1786" s="123">
        <f>'OPEN FOREIGN ORDER'!AA1412</f>
        <v>0</v>
      </c>
      <c r="E1786" s="112">
        <f>'OPEN FOREIGN ORDER'!AB1412</f>
        <v>0</v>
      </c>
      <c r="F1786" s="112">
        <f>'OPEN FOREIGN ORDER'!AC1412</f>
        <v>0</v>
      </c>
      <c r="G1786" s="112">
        <f>'OPEN FOREIGN ORDER'!AD1412</f>
        <v>0</v>
      </c>
      <c r="H1786" s="112">
        <f>'OPEN FOREIGN ORDER'!AE1412</f>
        <v>0</v>
      </c>
      <c r="I1786" s="112">
        <f>'OPEN FOREIGN ORDER'!AF1412</f>
        <v>0</v>
      </c>
      <c r="J1786" s="112">
        <f>'OPEN FOREIGN ORDER'!AG1412</f>
        <v>0</v>
      </c>
    </row>
    <row r="1787" spans="1:10">
      <c r="A1787">
        <f>'OPEN FOREIGN ORDER'!D1413</f>
        <v>0</v>
      </c>
      <c r="B1787">
        <f>'OPEN FOREIGN ORDER'!F1413</f>
        <v>0</v>
      </c>
      <c r="C1787">
        <f>'OPEN FOREIGN ORDER'!Z1413</f>
        <v>0</v>
      </c>
      <c r="D1787" s="123">
        <f>'OPEN FOREIGN ORDER'!AA1413</f>
        <v>0</v>
      </c>
      <c r="E1787" s="112">
        <f>'OPEN FOREIGN ORDER'!AB1413</f>
        <v>0</v>
      </c>
      <c r="F1787" s="112">
        <f>'OPEN FOREIGN ORDER'!AC1413</f>
        <v>0</v>
      </c>
      <c r="G1787" s="112">
        <f>'OPEN FOREIGN ORDER'!AD1413</f>
        <v>0</v>
      </c>
      <c r="H1787" s="112">
        <f>'OPEN FOREIGN ORDER'!AE1413</f>
        <v>0</v>
      </c>
      <c r="I1787" s="112">
        <f>'OPEN FOREIGN ORDER'!AF1413</f>
        <v>0</v>
      </c>
      <c r="J1787" s="112">
        <f>'OPEN FOREIGN ORDER'!AG1413</f>
        <v>0</v>
      </c>
    </row>
    <row r="1788" spans="1:10">
      <c r="A1788">
        <f>'OPEN FOREIGN ORDER'!D1414</f>
        <v>0</v>
      </c>
      <c r="B1788">
        <f>'OPEN FOREIGN ORDER'!F1414</f>
        <v>0</v>
      </c>
      <c r="C1788">
        <f>'OPEN FOREIGN ORDER'!Z1414</f>
        <v>0</v>
      </c>
      <c r="D1788" s="123">
        <f>'OPEN FOREIGN ORDER'!AA1414</f>
        <v>0</v>
      </c>
      <c r="E1788" s="112">
        <f>'OPEN FOREIGN ORDER'!AB1414</f>
        <v>0</v>
      </c>
      <c r="F1788" s="112">
        <f>'OPEN FOREIGN ORDER'!AC1414</f>
        <v>0</v>
      </c>
      <c r="G1788" s="112">
        <f>'OPEN FOREIGN ORDER'!AD1414</f>
        <v>0</v>
      </c>
      <c r="H1788" s="112">
        <f>'OPEN FOREIGN ORDER'!AE1414</f>
        <v>0</v>
      </c>
      <c r="I1788" s="112">
        <f>'OPEN FOREIGN ORDER'!AF1414</f>
        <v>0</v>
      </c>
      <c r="J1788" s="112">
        <f>'OPEN FOREIGN ORDER'!AG1414</f>
        <v>0</v>
      </c>
    </row>
    <row r="1789" spans="1:10">
      <c r="A1789">
        <f>'OPEN FOREIGN ORDER'!D1415</f>
        <v>0</v>
      </c>
      <c r="B1789">
        <f>'OPEN FOREIGN ORDER'!F1415</f>
        <v>0</v>
      </c>
      <c r="C1789">
        <f>'OPEN FOREIGN ORDER'!Z1415</f>
        <v>0</v>
      </c>
      <c r="D1789" s="123">
        <f>'OPEN FOREIGN ORDER'!AA1415</f>
        <v>0</v>
      </c>
      <c r="E1789" s="112">
        <f>'OPEN FOREIGN ORDER'!AB1415</f>
        <v>0</v>
      </c>
      <c r="F1789" s="112">
        <f>'OPEN FOREIGN ORDER'!AC1415</f>
        <v>0</v>
      </c>
      <c r="G1789" s="112">
        <f>'OPEN FOREIGN ORDER'!AD1415</f>
        <v>0</v>
      </c>
      <c r="H1789" s="112">
        <f>'OPEN FOREIGN ORDER'!AE1415</f>
        <v>0</v>
      </c>
      <c r="I1789" s="112">
        <f>'OPEN FOREIGN ORDER'!AF1415</f>
        <v>0</v>
      </c>
      <c r="J1789" s="112">
        <f>'OPEN FOREIGN ORDER'!AG1415</f>
        <v>0</v>
      </c>
    </row>
    <row r="1790" spans="1:10">
      <c r="A1790">
        <f>'OPEN FOREIGN ORDER'!D1416</f>
        <v>0</v>
      </c>
      <c r="B1790">
        <f>'OPEN FOREIGN ORDER'!F1416</f>
        <v>0</v>
      </c>
      <c r="C1790">
        <f>'OPEN FOREIGN ORDER'!Z1416</f>
        <v>0</v>
      </c>
      <c r="D1790" s="123">
        <f>'OPEN FOREIGN ORDER'!AA1416</f>
        <v>0</v>
      </c>
      <c r="E1790" s="112">
        <f>'OPEN FOREIGN ORDER'!AB1416</f>
        <v>0</v>
      </c>
      <c r="F1790" s="112">
        <f>'OPEN FOREIGN ORDER'!AC1416</f>
        <v>0</v>
      </c>
      <c r="G1790" s="112">
        <f>'OPEN FOREIGN ORDER'!AD1416</f>
        <v>0</v>
      </c>
      <c r="H1790" s="112">
        <f>'OPEN FOREIGN ORDER'!AE1416</f>
        <v>0</v>
      </c>
      <c r="I1790" s="112">
        <f>'OPEN FOREIGN ORDER'!AF1416</f>
        <v>0</v>
      </c>
      <c r="J1790" s="112">
        <f>'OPEN FOREIGN ORDER'!AG1416</f>
        <v>0</v>
      </c>
    </row>
    <row r="1791" spans="1:10">
      <c r="A1791">
        <f>'OPEN FOREIGN ORDER'!D1417</f>
        <v>0</v>
      </c>
      <c r="B1791">
        <f>'OPEN FOREIGN ORDER'!F1417</f>
        <v>0</v>
      </c>
      <c r="C1791">
        <f>'OPEN FOREIGN ORDER'!Z1417</f>
        <v>0</v>
      </c>
      <c r="D1791" s="123">
        <f>'OPEN FOREIGN ORDER'!AA1417</f>
        <v>0</v>
      </c>
      <c r="E1791" s="112">
        <f>'OPEN FOREIGN ORDER'!AB1417</f>
        <v>0</v>
      </c>
      <c r="F1791" s="112">
        <f>'OPEN FOREIGN ORDER'!AC1417</f>
        <v>0</v>
      </c>
      <c r="G1791" s="112">
        <f>'OPEN FOREIGN ORDER'!AD1417</f>
        <v>0</v>
      </c>
      <c r="H1791" s="112">
        <f>'OPEN FOREIGN ORDER'!AE1417</f>
        <v>0</v>
      </c>
      <c r="I1791" s="112">
        <f>'OPEN FOREIGN ORDER'!AF1417</f>
        <v>0</v>
      </c>
      <c r="J1791" s="112">
        <f>'OPEN FOREIGN ORDER'!AG1417</f>
        <v>0</v>
      </c>
    </row>
    <row r="1792" spans="1:10">
      <c r="A1792">
        <f>'OPEN FOREIGN ORDER'!D1418</f>
        <v>0</v>
      </c>
      <c r="B1792">
        <f>'OPEN FOREIGN ORDER'!F1418</f>
        <v>0</v>
      </c>
      <c r="C1792">
        <f>'OPEN FOREIGN ORDER'!Z1418</f>
        <v>0</v>
      </c>
      <c r="D1792" s="123">
        <f>'OPEN FOREIGN ORDER'!AA1418</f>
        <v>0</v>
      </c>
      <c r="E1792" s="112">
        <f>'OPEN FOREIGN ORDER'!AB1418</f>
        <v>0</v>
      </c>
      <c r="F1792" s="112">
        <f>'OPEN FOREIGN ORDER'!AC1418</f>
        <v>0</v>
      </c>
      <c r="G1792" s="112">
        <f>'OPEN FOREIGN ORDER'!AD1418</f>
        <v>0</v>
      </c>
      <c r="H1792" s="112">
        <f>'OPEN FOREIGN ORDER'!AE1418</f>
        <v>0</v>
      </c>
      <c r="I1792" s="112">
        <f>'OPEN FOREIGN ORDER'!AF1418</f>
        <v>0</v>
      </c>
      <c r="J1792" s="112">
        <f>'OPEN FOREIGN ORDER'!AG1418</f>
        <v>0</v>
      </c>
    </row>
    <row r="1793" spans="1:10">
      <c r="A1793">
        <f>'OPEN FOREIGN ORDER'!D1419</f>
        <v>0</v>
      </c>
      <c r="B1793">
        <f>'OPEN FOREIGN ORDER'!F1419</f>
        <v>0</v>
      </c>
      <c r="C1793">
        <f>'OPEN FOREIGN ORDER'!Z1419</f>
        <v>0</v>
      </c>
      <c r="D1793" s="123">
        <f>'OPEN FOREIGN ORDER'!AA1419</f>
        <v>0</v>
      </c>
      <c r="E1793" s="112">
        <f>'OPEN FOREIGN ORDER'!AB1419</f>
        <v>0</v>
      </c>
      <c r="F1793" s="112">
        <f>'OPEN FOREIGN ORDER'!AC1419</f>
        <v>0</v>
      </c>
      <c r="G1793" s="112">
        <f>'OPEN FOREIGN ORDER'!AD1419</f>
        <v>0</v>
      </c>
      <c r="H1793" s="112">
        <f>'OPEN FOREIGN ORDER'!AE1419</f>
        <v>0</v>
      </c>
      <c r="I1793" s="112">
        <f>'OPEN FOREIGN ORDER'!AF1419</f>
        <v>0</v>
      </c>
      <c r="J1793" s="112">
        <f>'OPEN FOREIGN ORDER'!AG1419</f>
        <v>0</v>
      </c>
    </row>
    <row r="1794" spans="1:10">
      <c r="A1794">
        <f>'OPEN FOREIGN ORDER'!D1420</f>
        <v>0</v>
      </c>
      <c r="B1794">
        <f>'OPEN FOREIGN ORDER'!F1420</f>
        <v>0</v>
      </c>
      <c r="C1794">
        <f>'OPEN FOREIGN ORDER'!Z1420</f>
        <v>0</v>
      </c>
      <c r="D1794" s="123">
        <f>'OPEN FOREIGN ORDER'!AA1420</f>
        <v>0</v>
      </c>
      <c r="E1794" s="112">
        <f>'OPEN FOREIGN ORDER'!AB1420</f>
        <v>0</v>
      </c>
      <c r="F1794" s="112">
        <f>'OPEN FOREIGN ORDER'!AC1420</f>
        <v>0</v>
      </c>
      <c r="G1794" s="112">
        <f>'OPEN FOREIGN ORDER'!AD1420</f>
        <v>0</v>
      </c>
      <c r="H1794" s="112">
        <f>'OPEN FOREIGN ORDER'!AE1420</f>
        <v>0</v>
      </c>
      <c r="I1794" s="112">
        <f>'OPEN FOREIGN ORDER'!AF1420</f>
        <v>0</v>
      </c>
      <c r="J1794" s="112">
        <f>'OPEN FOREIGN ORDER'!AG1420</f>
        <v>0</v>
      </c>
    </row>
    <row r="1795" spans="1:10">
      <c r="A1795">
        <f>'OPEN FOREIGN ORDER'!D1421</f>
        <v>0</v>
      </c>
      <c r="B1795">
        <f>'OPEN FOREIGN ORDER'!F1421</f>
        <v>0</v>
      </c>
      <c r="C1795">
        <f>'OPEN FOREIGN ORDER'!Z1421</f>
        <v>0</v>
      </c>
      <c r="D1795" s="123">
        <f>'OPEN FOREIGN ORDER'!AA1421</f>
        <v>0</v>
      </c>
      <c r="E1795" s="112">
        <f>'OPEN FOREIGN ORDER'!AB1421</f>
        <v>0</v>
      </c>
      <c r="F1795" s="112">
        <f>'OPEN FOREIGN ORDER'!AC1421</f>
        <v>0</v>
      </c>
      <c r="G1795" s="112">
        <f>'OPEN FOREIGN ORDER'!AD1421</f>
        <v>0</v>
      </c>
      <c r="H1795" s="112">
        <f>'OPEN FOREIGN ORDER'!AE1421</f>
        <v>0</v>
      </c>
      <c r="I1795" s="112">
        <f>'OPEN FOREIGN ORDER'!AF1421</f>
        <v>0</v>
      </c>
      <c r="J1795" s="112">
        <f>'OPEN FOREIGN ORDER'!AG1421</f>
        <v>0</v>
      </c>
    </row>
    <row r="1796" spans="1:10">
      <c r="A1796">
        <f>'OPEN FOREIGN ORDER'!D1422</f>
        <v>0</v>
      </c>
      <c r="B1796">
        <f>'OPEN FOREIGN ORDER'!F1422</f>
        <v>0</v>
      </c>
      <c r="C1796">
        <f>'OPEN FOREIGN ORDER'!Z1422</f>
        <v>0</v>
      </c>
      <c r="D1796" s="123">
        <f>'OPEN FOREIGN ORDER'!AA1422</f>
        <v>0</v>
      </c>
      <c r="E1796" s="112">
        <f>'OPEN FOREIGN ORDER'!AB1422</f>
        <v>0</v>
      </c>
      <c r="F1796" s="112">
        <f>'OPEN FOREIGN ORDER'!AC1422</f>
        <v>0</v>
      </c>
      <c r="G1796" s="112">
        <f>'OPEN FOREIGN ORDER'!AD1422</f>
        <v>0</v>
      </c>
      <c r="H1796" s="112">
        <f>'OPEN FOREIGN ORDER'!AE1422</f>
        <v>0</v>
      </c>
      <c r="I1796" s="112">
        <f>'OPEN FOREIGN ORDER'!AF1422</f>
        <v>0</v>
      </c>
      <c r="J1796" s="112">
        <f>'OPEN FOREIGN ORDER'!AG1422</f>
        <v>0</v>
      </c>
    </row>
    <row r="1797" spans="1:10">
      <c r="A1797">
        <f>'OPEN FOREIGN ORDER'!D1423</f>
        <v>0</v>
      </c>
      <c r="B1797">
        <f>'OPEN FOREIGN ORDER'!F1423</f>
        <v>0</v>
      </c>
      <c r="C1797">
        <f>'OPEN FOREIGN ORDER'!Z1423</f>
        <v>0</v>
      </c>
      <c r="D1797" s="123">
        <f>'OPEN FOREIGN ORDER'!AA1423</f>
        <v>0</v>
      </c>
      <c r="E1797" s="112">
        <f>'OPEN FOREIGN ORDER'!AB1423</f>
        <v>0</v>
      </c>
      <c r="F1797" s="112">
        <f>'OPEN FOREIGN ORDER'!AC1423</f>
        <v>0</v>
      </c>
      <c r="G1797" s="112">
        <f>'OPEN FOREIGN ORDER'!AD1423</f>
        <v>0</v>
      </c>
      <c r="H1797" s="112">
        <f>'OPEN FOREIGN ORDER'!AE1423</f>
        <v>0</v>
      </c>
      <c r="I1797" s="112">
        <f>'OPEN FOREIGN ORDER'!AF1423</f>
        <v>0</v>
      </c>
      <c r="J1797" s="112">
        <f>'OPEN FOREIGN ORDER'!AG1423</f>
        <v>0</v>
      </c>
    </row>
    <row r="1798" spans="1:10">
      <c r="A1798">
        <f>'OPEN FOREIGN ORDER'!D1424</f>
        <v>0</v>
      </c>
      <c r="B1798">
        <f>'OPEN FOREIGN ORDER'!F1424</f>
        <v>0</v>
      </c>
      <c r="C1798">
        <f>'OPEN FOREIGN ORDER'!Z1424</f>
        <v>0</v>
      </c>
      <c r="D1798" s="123">
        <f>'OPEN FOREIGN ORDER'!AA1424</f>
        <v>0</v>
      </c>
      <c r="E1798" s="112">
        <f>'OPEN FOREIGN ORDER'!AB1424</f>
        <v>0</v>
      </c>
      <c r="F1798" s="112">
        <f>'OPEN FOREIGN ORDER'!AC1424</f>
        <v>0</v>
      </c>
      <c r="G1798" s="112">
        <f>'OPEN FOREIGN ORDER'!AD1424</f>
        <v>0</v>
      </c>
      <c r="H1798" s="112">
        <f>'OPEN FOREIGN ORDER'!AE1424</f>
        <v>0</v>
      </c>
      <c r="I1798" s="112">
        <f>'OPEN FOREIGN ORDER'!AF1424</f>
        <v>0</v>
      </c>
      <c r="J1798" s="112">
        <f>'OPEN FOREIGN ORDER'!AG1424</f>
        <v>0</v>
      </c>
    </row>
    <row r="1799" spans="1:10">
      <c r="A1799">
        <f>'OPEN FOREIGN ORDER'!D1425</f>
        <v>0</v>
      </c>
      <c r="B1799">
        <f>'OPEN FOREIGN ORDER'!F1425</f>
        <v>0</v>
      </c>
      <c r="C1799">
        <f>'OPEN FOREIGN ORDER'!Z1425</f>
        <v>0</v>
      </c>
      <c r="D1799" s="123">
        <f>'OPEN FOREIGN ORDER'!AA1425</f>
        <v>0</v>
      </c>
      <c r="E1799" s="112">
        <f>'OPEN FOREIGN ORDER'!AB1425</f>
        <v>0</v>
      </c>
      <c r="F1799" s="112">
        <f>'OPEN FOREIGN ORDER'!AC1425</f>
        <v>0</v>
      </c>
      <c r="G1799" s="112">
        <f>'OPEN FOREIGN ORDER'!AD1425</f>
        <v>0</v>
      </c>
      <c r="H1799" s="112">
        <f>'OPEN FOREIGN ORDER'!AE1425</f>
        <v>0</v>
      </c>
      <c r="I1799" s="112">
        <f>'OPEN FOREIGN ORDER'!AF1425</f>
        <v>0</v>
      </c>
      <c r="J1799" s="112">
        <f>'OPEN FOREIGN ORDER'!AG1425</f>
        <v>0</v>
      </c>
    </row>
    <row r="1800" spans="1:10">
      <c r="A1800">
        <f>'OPEN FOREIGN ORDER'!D1426</f>
        <v>0</v>
      </c>
      <c r="B1800">
        <f>'OPEN FOREIGN ORDER'!F1426</f>
        <v>0</v>
      </c>
      <c r="C1800">
        <f>'OPEN FOREIGN ORDER'!Z1426</f>
        <v>0</v>
      </c>
      <c r="D1800" s="123">
        <f>'OPEN FOREIGN ORDER'!AA1426</f>
        <v>0</v>
      </c>
      <c r="E1800" s="112">
        <f>'OPEN FOREIGN ORDER'!AB1426</f>
        <v>0</v>
      </c>
      <c r="F1800" s="112">
        <f>'OPEN FOREIGN ORDER'!AC1426</f>
        <v>0</v>
      </c>
      <c r="G1800" s="112">
        <f>'OPEN FOREIGN ORDER'!AD1426</f>
        <v>0</v>
      </c>
      <c r="H1800" s="112">
        <f>'OPEN FOREIGN ORDER'!AE1426</f>
        <v>0</v>
      </c>
      <c r="I1800" s="112">
        <f>'OPEN FOREIGN ORDER'!AF1426</f>
        <v>0</v>
      </c>
      <c r="J1800" s="112">
        <f>'OPEN FOREIGN ORDER'!AG1426</f>
        <v>0</v>
      </c>
    </row>
    <row r="1801" spans="1:10">
      <c r="A1801">
        <f>'OPEN FOREIGN ORDER'!D1427</f>
        <v>0</v>
      </c>
      <c r="B1801">
        <f>'OPEN FOREIGN ORDER'!F1427</f>
        <v>0</v>
      </c>
      <c r="C1801">
        <f>'OPEN FOREIGN ORDER'!Z1427</f>
        <v>0</v>
      </c>
      <c r="D1801" s="123">
        <f>'OPEN FOREIGN ORDER'!AA1427</f>
        <v>0</v>
      </c>
      <c r="E1801" s="112">
        <f>'OPEN FOREIGN ORDER'!AB1427</f>
        <v>0</v>
      </c>
      <c r="F1801" s="112">
        <f>'OPEN FOREIGN ORDER'!AC1427</f>
        <v>0</v>
      </c>
      <c r="G1801" s="112">
        <f>'OPEN FOREIGN ORDER'!AD1427</f>
        <v>0</v>
      </c>
      <c r="H1801" s="112">
        <f>'OPEN FOREIGN ORDER'!AE1427</f>
        <v>0</v>
      </c>
      <c r="I1801" s="112">
        <f>'OPEN FOREIGN ORDER'!AF1427</f>
        <v>0</v>
      </c>
      <c r="J1801" s="112">
        <f>'OPEN FOREIGN ORDER'!AG1427</f>
        <v>0</v>
      </c>
    </row>
    <row r="1802" spans="1:10">
      <c r="A1802">
        <f>'OPEN FOREIGN ORDER'!D1428</f>
        <v>0</v>
      </c>
      <c r="B1802">
        <f>'OPEN FOREIGN ORDER'!F1428</f>
        <v>0</v>
      </c>
      <c r="C1802">
        <f>'OPEN FOREIGN ORDER'!Z1428</f>
        <v>0</v>
      </c>
      <c r="D1802" s="123">
        <f>'OPEN FOREIGN ORDER'!AA1428</f>
        <v>0</v>
      </c>
      <c r="E1802" s="112">
        <f>'OPEN FOREIGN ORDER'!AB1428</f>
        <v>0</v>
      </c>
      <c r="F1802" s="112">
        <f>'OPEN FOREIGN ORDER'!AC1428</f>
        <v>0</v>
      </c>
      <c r="G1802" s="112">
        <f>'OPEN FOREIGN ORDER'!AD1428</f>
        <v>0</v>
      </c>
      <c r="H1802" s="112">
        <f>'OPEN FOREIGN ORDER'!AE1428</f>
        <v>0</v>
      </c>
      <c r="I1802" s="112">
        <f>'OPEN FOREIGN ORDER'!AF1428</f>
        <v>0</v>
      </c>
      <c r="J1802" s="112">
        <f>'OPEN FOREIGN ORDER'!AG1428</f>
        <v>0</v>
      </c>
    </row>
    <row r="1803" spans="1:10">
      <c r="A1803">
        <f>'OPEN FOREIGN ORDER'!D1429</f>
        <v>0</v>
      </c>
      <c r="B1803">
        <f>'OPEN FOREIGN ORDER'!F1429</f>
        <v>0</v>
      </c>
      <c r="C1803">
        <f>'OPEN FOREIGN ORDER'!Z1429</f>
        <v>0</v>
      </c>
      <c r="D1803" s="123">
        <f>'OPEN FOREIGN ORDER'!AA1429</f>
        <v>0</v>
      </c>
      <c r="E1803" s="112">
        <f>'OPEN FOREIGN ORDER'!AB1429</f>
        <v>0</v>
      </c>
      <c r="F1803" s="112">
        <f>'OPEN FOREIGN ORDER'!AC1429</f>
        <v>0</v>
      </c>
      <c r="G1803" s="112">
        <f>'OPEN FOREIGN ORDER'!AD1429</f>
        <v>0</v>
      </c>
      <c r="H1803" s="112">
        <f>'OPEN FOREIGN ORDER'!AE1429</f>
        <v>0</v>
      </c>
      <c r="I1803" s="112">
        <f>'OPEN FOREIGN ORDER'!AF1429</f>
        <v>0</v>
      </c>
      <c r="J1803" s="112">
        <f>'OPEN FOREIGN ORDER'!AG1429</f>
        <v>0</v>
      </c>
    </row>
    <row r="1804" spans="1:10">
      <c r="A1804">
        <f>'OPEN FOREIGN ORDER'!D1430</f>
        <v>0</v>
      </c>
      <c r="B1804">
        <f>'OPEN FOREIGN ORDER'!F1430</f>
        <v>0</v>
      </c>
      <c r="C1804">
        <f>'OPEN FOREIGN ORDER'!Z1430</f>
        <v>0</v>
      </c>
      <c r="D1804" s="123">
        <f>'OPEN FOREIGN ORDER'!AA1430</f>
        <v>0</v>
      </c>
      <c r="E1804" s="112">
        <f>'OPEN FOREIGN ORDER'!AB1430</f>
        <v>0</v>
      </c>
      <c r="F1804" s="112">
        <f>'OPEN FOREIGN ORDER'!AC1430</f>
        <v>0</v>
      </c>
      <c r="G1804" s="112">
        <f>'OPEN FOREIGN ORDER'!AD1430</f>
        <v>0</v>
      </c>
      <c r="H1804" s="112">
        <f>'OPEN FOREIGN ORDER'!AE1430</f>
        <v>0</v>
      </c>
      <c r="I1804" s="112">
        <f>'OPEN FOREIGN ORDER'!AF1430</f>
        <v>0</v>
      </c>
      <c r="J1804" s="112">
        <f>'OPEN FOREIGN ORDER'!AG1430</f>
        <v>0</v>
      </c>
    </row>
    <row r="1805" spans="1:10">
      <c r="A1805">
        <f>'OPEN FOREIGN ORDER'!D1431</f>
        <v>0</v>
      </c>
      <c r="B1805">
        <f>'OPEN FOREIGN ORDER'!F1431</f>
        <v>0</v>
      </c>
      <c r="C1805">
        <f>'OPEN FOREIGN ORDER'!Z1431</f>
        <v>0</v>
      </c>
      <c r="D1805" s="123">
        <f>'OPEN FOREIGN ORDER'!AA1431</f>
        <v>0</v>
      </c>
      <c r="E1805" s="112">
        <f>'OPEN FOREIGN ORDER'!AB1431</f>
        <v>0</v>
      </c>
      <c r="F1805" s="112">
        <f>'OPEN FOREIGN ORDER'!AC1431</f>
        <v>0</v>
      </c>
      <c r="G1805" s="112">
        <f>'OPEN FOREIGN ORDER'!AD1431</f>
        <v>0</v>
      </c>
      <c r="H1805" s="112">
        <f>'OPEN FOREIGN ORDER'!AE1431</f>
        <v>0</v>
      </c>
      <c r="I1805" s="112">
        <f>'OPEN FOREIGN ORDER'!AF1431</f>
        <v>0</v>
      </c>
      <c r="J1805" s="112">
        <f>'OPEN FOREIGN ORDER'!AG1431</f>
        <v>0</v>
      </c>
    </row>
    <row r="1806" spans="1:10">
      <c r="A1806">
        <f>'OPEN FOREIGN ORDER'!D1432</f>
        <v>0</v>
      </c>
      <c r="B1806">
        <f>'OPEN FOREIGN ORDER'!F1432</f>
        <v>0</v>
      </c>
      <c r="C1806">
        <f>'OPEN FOREIGN ORDER'!Z1432</f>
        <v>0</v>
      </c>
      <c r="D1806" s="123">
        <f>'OPEN FOREIGN ORDER'!AA1432</f>
        <v>0</v>
      </c>
      <c r="E1806" s="112">
        <f>'OPEN FOREIGN ORDER'!AB1432</f>
        <v>0</v>
      </c>
      <c r="F1806" s="112">
        <f>'OPEN FOREIGN ORDER'!AC1432</f>
        <v>0</v>
      </c>
      <c r="G1806" s="112">
        <f>'OPEN FOREIGN ORDER'!AD1432</f>
        <v>0</v>
      </c>
      <c r="H1806" s="112">
        <f>'OPEN FOREIGN ORDER'!AE1432</f>
        <v>0</v>
      </c>
      <c r="I1806" s="112">
        <f>'OPEN FOREIGN ORDER'!AF1432</f>
        <v>0</v>
      </c>
      <c r="J1806" s="112">
        <f>'OPEN FOREIGN ORDER'!AG1432</f>
        <v>0</v>
      </c>
    </row>
    <row r="1807" spans="1:10">
      <c r="A1807">
        <f>'OPEN FOREIGN ORDER'!D1433</f>
        <v>0</v>
      </c>
      <c r="B1807">
        <f>'OPEN FOREIGN ORDER'!F1433</f>
        <v>0</v>
      </c>
      <c r="C1807">
        <f>'OPEN FOREIGN ORDER'!Z1433</f>
        <v>0</v>
      </c>
      <c r="D1807" s="123">
        <f>'OPEN FOREIGN ORDER'!AA1433</f>
        <v>0</v>
      </c>
      <c r="E1807" s="112">
        <f>'OPEN FOREIGN ORDER'!AB1433</f>
        <v>0</v>
      </c>
      <c r="F1807" s="112">
        <f>'OPEN FOREIGN ORDER'!AC1433</f>
        <v>0</v>
      </c>
      <c r="G1807" s="112">
        <f>'OPEN FOREIGN ORDER'!AD1433</f>
        <v>0</v>
      </c>
      <c r="H1807" s="112">
        <f>'OPEN FOREIGN ORDER'!AE1433</f>
        <v>0</v>
      </c>
      <c r="I1807" s="112">
        <f>'OPEN FOREIGN ORDER'!AF1433</f>
        <v>0</v>
      </c>
      <c r="J1807" s="112">
        <f>'OPEN FOREIGN ORDER'!AG1433</f>
        <v>0</v>
      </c>
    </row>
    <row r="1808" spans="1:10">
      <c r="A1808">
        <f>'OPEN FOREIGN ORDER'!D1434</f>
        <v>0</v>
      </c>
      <c r="B1808">
        <f>'OPEN FOREIGN ORDER'!F1434</f>
        <v>0</v>
      </c>
      <c r="C1808">
        <f>'OPEN FOREIGN ORDER'!Z1434</f>
        <v>0</v>
      </c>
      <c r="D1808" s="123">
        <f>'OPEN FOREIGN ORDER'!AA1434</f>
        <v>0</v>
      </c>
      <c r="E1808" s="112">
        <f>'OPEN FOREIGN ORDER'!AB1434</f>
        <v>0</v>
      </c>
      <c r="F1808" s="112">
        <f>'OPEN FOREIGN ORDER'!AC1434</f>
        <v>0</v>
      </c>
      <c r="G1808" s="112">
        <f>'OPEN FOREIGN ORDER'!AD1434</f>
        <v>0</v>
      </c>
      <c r="H1808" s="112">
        <f>'OPEN FOREIGN ORDER'!AE1434</f>
        <v>0</v>
      </c>
      <c r="I1808" s="112">
        <f>'OPEN FOREIGN ORDER'!AF1434</f>
        <v>0</v>
      </c>
      <c r="J1808" s="112">
        <f>'OPEN FOREIGN ORDER'!AG1434</f>
        <v>0</v>
      </c>
    </row>
    <row r="1809" spans="1:10">
      <c r="A1809">
        <f>'OPEN FOREIGN ORDER'!D1435</f>
        <v>0</v>
      </c>
      <c r="B1809">
        <f>'OPEN FOREIGN ORDER'!F1435</f>
        <v>0</v>
      </c>
      <c r="C1809">
        <f>'OPEN FOREIGN ORDER'!Z1435</f>
        <v>0</v>
      </c>
      <c r="D1809" s="123">
        <f>'OPEN FOREIGN ORDER'!AA1435</f>
        <v>0</v>
      </c>
      <c r="E1809" s="112">
        <f>'OPEN FOREIGN ORDER'!AB1435</f>
        <v>0</v>
      </c>
      <c r="F1809" s="112">
        <f>'OPEN FOREIGN ORDER'!AC1435</f>
        <v>0</v>
      </c>
      <c r="G1809" s="112">
        <f>'OPEN FOREIGN ORDER'!AD1435</f>
        <v>0</v>
      </c>
      <c r="H1809" s="112">
        <f>'OPEN FOREIGN ORDER'!AE1435</f>
        <v>0</v>
      </c>
      <c r="I1809" s="112">
        <f>'OPEN FOREIGN ORDER'!AF1435</f>
        <v>0</v>
      </c>
      <c r="J1809" s="112">
        <f>'OPEN FOREIGN ORDER'!AG1435</f>
        <v>0</v>
      </c>
    </row>
    <row r="1810" spans="1:10">
      <c r="A1810">
        <f>'OPEN FOREIGN ORDER'!D1436</f>
        <v>0</v>
      </c>
      <c r="B1810">
        <f>'OPEN FOREIGN ORDER'!F1436</f>
        <v>0</v>
      </c>
      <c r="C1810">
        <f>'OPEN FOREIGN ORDER'!Z1436</f>
        <v>0</v>
      </c>
      <c r="D1810" s="123">
        <f>'OPEN FOREIGN ORDER'!AA1436</f>
        <v>0</v>
      </c>
      <c r="E1810" s="112">
        <f>'OPEN FOREIGN ORDER'!AB1436</f>
        <v>0</v>
      </c>
      <c r="F1810" s="112">
        <f>'OPEN FOREIGN ORDER'!AC1436</f>
        <v>0</v>
      </c>
      <c r="G1810" s="112">
        <f>'OPEN FOREIGN ORDER'!AD1436</f>
        <v>0</v>
      </c>
      <c r="H1810" s="112">
        <f>'OPEN FOREIGN ORDER'!AE1436</f>
        <v>0</v>
      </c>
      <c r="I1810" s="112">
        <f>'OPEN FOREIGN ORDER'!AF1436</f>
        <v>0</v>
      </c>
      <c r="J1810" s="112">
        <f>'OPEN FOREIGN ORDER'!AG1436</f>
        <v>0</v>
      </c>
    </row>
    <row r="1811" spans="1:10">
      <c r="A1811">
        <f>'OPEN FOREIGN ORDER'!D1437</f>
        <v>0</v>
      </c>
      <c r="B1811">
        <f>'OPEN FOREIGN ORDER'!F1437</f>
        <v>0</v>
      </c>
      <c r="C1811">
        <f>'OPEN FOREIGN ORDER'!Z1437</f>
        <v>0</v>
      </c>
      <c r="D1811" s="123">
        <f>'OPEN FOREIGN ORDER'!AA1437</f>
        <v>0</v>
      </c>
      <c r="E1811" s="112">
        <f>'OPEN FOREIGN ORDER'!AB1437</f>
        <v>0</v>
      </c>
      <c r="F1811" s="112">
        <f>'OPEN FOREIGN ORDER'!AC1437</f>
        <v>0</v>
      </c>
      <c r="G1811" s="112">
        <f>'OPEN FOREIGN ORDER'!AD1437</f>
        <v>0</v>
      </c>
      <c r="H1811" s="112">
        <f>'OPEN FOREIGN ORDER'!AE1437</f>
        <v>0</v>
      </c>
      <c r="I1811" s="112">
        <f>'OPEN FOREIGN ORDER'!AF1437</f>
        <v>0</v>
      </c>
      <c r="J1811" s="112">
        <f>'OPEN FOREIGN ORDER'!AG1437</f>
        <v>0</v>
      </c>
    </row>
    <row r="1812" spans="1:10">
      <c r="A1812">
        <f>'OPEN FOREIGN ORDER'!D1438</f>
        <v>0</v>
      </c>
      <c r="B1812">
        <f>'OPEN FOREIGN ORDER'!F1438</f>
        <v>0</v>
      </c>
      <c r="C1812">
        <f>'OPEN FOREIGN ORDER'!Z1438</f>
        <v>0</v>
      </c>
      <c r="D1812" s="123">
        <f>'OPEN FOREIGN ORDER'!AA1438</f>
        <v>0</v>
      </c>
      <c r="E1812" s="112">
        <f>'OPEN FOREIGN ORDER'!AB1438</f>
        <v>0</v>
      </c>
      <c r="F1812" s="112">
        <f>'OPEN FOREIGN ORDER'!AC1438</f>
        <v>0</v>
      </c>
      <c r="G1812" s="112">
        <f>'OPEN FOREIGN ORDER'!AD1438</f>
        <v>0</v>
      </c>
      <c r="H1812" s="112">
        <f>'OPEN FOREIGN ORDER'!AE1438</f>
        <v>0</v>
      </c>
      <c r="I1812" s="112">
        <f>'OPEN FOREIGN ORDER'!AF1438</f>
        <v>0</v>
      </c>
      <c r="J1812" s="112">
        <f>'OPEN FOREIGN ORDER'!AG1438</f>
        <v>0</v>
      </c>
    </row>
    <row r="1813" spans="1:10">
      <c r="A1813">
        <f>'OPEN FOREIGN ORDER'!D1439</f>
        <v>0</v>
      </c>
      <c r="B1813">
        <f>'OPEN FOREIGN ORDER'!F1439</f>
        <v>0</v>
      </c>
      <c r="C1813">
        <f>'OPEN FOREIGN ORDER'!Z1439</f>
        <v>0</v>
      </c>
      <c r="D1813" s="123">
        <f>'OPEN FOREIGN ORDER'!AA1439</f>
        <v>0</v>
      </c>
      <c r="E1813" s="112">
        <f>'OPEN FOREIGN ORDER'!AB1439</f>
        <v>0</v>
      </c>
      <c r="F1813" s="112">
        <f>'OPEN FOREIGN ORDER'!AC1439</f>
        <v>0</v>
      </c>
      <c r="G1813" s="112">
        <f>'OPEN FOREIGN ORDER'!AD1439</f>
        <v>0</v>
      </c>
      <c r="H1813" s="112">
        <f>'OPEN FOREIGN ORDER'!AE1439</f>
        <v>0</v>
      </c>
      <c r="I1813" s="112">
        <f>'OPEN FOREIGN ORDER'!AF1439</f>
        <v>0</v>
      </c>
      <c r="J1813" s="112">
        <f>'OPEN FOREIGN ORDER'!AG1439</f>
        <v>0</v>
      </c>
    </row>
    <row r="1814" spans="1:10">
      <c r="A1814">
        <f>'OPEN FOREIGN ORDER'!D1440</f>
        <v>0</v>
      </c>
      <c r="B1814">
        <f>'OPEN FOREIGN ORDER'!F1440</f>
        <v>0</v>
      </c>
      <c r="C1814">
        <f>'OPEN FOREIGN ORDER'!Z1440</f>
        <v>0</v>
      </c>
      <c r="D1814" s="123">
        <f>'OPEN FOREIGN ORDER'!AA1440</f>
        <v>0</v>
      </c>
      <c r="E1814" s="112">
        <f>'OPEN FOREIGN ORDER'!AB1440</f>
        <v>0</v>
      </c>
      <c r="F1814" s="112">
        <f>'OPEN FOREIGN ORDER'!AC1440</f>
        <v>0</v>
      </c>
      <c r="G1814" s="112">
        <f>'OPEN FOREIGN ORDER'!AD1440</f>
        <v>0</v>
      </c>
      <c r="H1814" s="112">
        <f>'OPEN FOREIGN ORDER'!AE1440</f>
        <v>0</v>
      </c>
      <c r="I1814" s="112">
        <f>'OPEN FOREIGN ORDER'!AF1440</f>
        <v>0</v>
      </c>
      <c r="J1814" s="112">
        <f>'OPEN FOREIGN ORDER'!AG1440</f>
        <v>0</v>
      </c>
    </row>
    <row r="1815" spans="1:10">
      <c r="A1815">
        <f>'OPEN FOREIGN ORDER'!D1441</f>
        <v>0</v>
      </c>
      <c r="B1815">
        <f>'OPEN FOREIGN ORDER'!F1441</f>
        <v>0</v>
      </c>
      <c r="C1815">
        <f>'OPEN FOREIGN ORDER'!Z1441</f>
        <v>0</v>
      </c>
      <c r="D1815" s="123">
        <f>'OPEN FOREIGN ORDER'!AA1441</f>
        <v>0</v>
      </c>
      <c r="E1815" s="112">
        <f>'OPEN FOREIGN ORDER'!AB1441</f>
        <v>0</v>
      </c>
      <c r="F1815" s="112">
        <f>'OPEN FOREIGN ORDER'!AC1441</f>
        <v>0</v>
      </c>
      <c r="G1815" s="112">
        <f>'OPEN FOREIGN ORDER'!AD1441</f>
        <v>0</v>
      </c>
      <c r="H1815" s="112">
        <f>'OPEN FOREIGN ORDER'!AE1441</f>
        <v>0</v>
      </c>
      <c r="I1815" s="112">
        <f>'OPEN FOREIGN ORDER'!AF1441</f>
        <v>0</v>
      </c>
      <c r="J1815" s="112">
        <f>'OPEN FOREIGN ORDER'!AG1441</f>
        <v>0</v>
      </c>
    </row>
    <row r="1816" spans="1:10">
      <c r="A1816">
        <f>'OPEN FOREIGN ORDER'!D1442</f>
        <v>0</v>
      </c>
      <c r="B1816">
        <f>'OPEN FOREIGN ORDER'!F1442</f>
        <v>0</v>
      </c>
      <c r="C1816">
        <f>'OPEN FOREIGN ORDER'!Z1442</f>
        <v>0</v>
      </c>
      <c r="D1816" s="123">
        <f>'OPEN FOREIGN ORDER'!AA1442</f>
        <v>0</v>
      </c>
      <c r="E1816" s="112">
        <f>'OPEN FOREIGN ORDER'!AB1442</f>
        <v>0</v>
      </c>
      <c r="F1816" s="112">
        <f>'OPEN FOREIGN ORDER'!AC1442</f>
        <v>0</v>
      </c>
      <c r="G1816" s="112">
        <f>'OPEN FOREIGN ORDER'!AD1442</f>
        <v>0</v>
      </c>
      <c r="H1816" s="112">
        <f>'OPEN FOREIGN ORDER'!AE1442</f>
        <v>0</v>
      </c>
      <c r="I1816" s="112">
        <f>'OPEN FOREIGN ORDER'!AF1442</f>
        <v>0</v>
      </c>
      <c r="J1816" s="112">
        <f>'OPEN FOREIGN ORDER'!AG1442</f>
        <v>0</v>
      </c>
    </row>
    <row r="1817" spans="1:10">
      <c r="A1817">
        <f>'OPEN FOREIGN ORDER'!D1443</f>
        <v>0</v>
      </c>
      <c r="B1817">
        <f>'OPEN FOREIGN ORDER'!F1443</f>
        <v>0</v>
      </c>
      <c r="C1817">
        <f>'OPEN FOREIGN ORDER'!Z1443</f>
        <v>0</v>
      </c>
      <c r="D1817" s="123">
        <f>'OPEN FOREIGN ORDER'!AA1443</f>
        <v>0</v>
      </c>
      <c r="E1817" s="112">
        <f>'OPEN FOREIGN ORDER'!AB1443</f>
        <v>0</v>
      </c>
      <c r="F1817" s="112">
        <f>'OPEN FOREIGN ORDER'!AC1443</f>
        <v>0</v>
      </c>
      <c r="G1817" s="112">
        <f>'OPEN FOREIGN ORDER'!AD1443</f>
        <v>0</v>
      </c>
      <c r="H1817" s="112">
        <f>'OPEN FOREIGN ORDER'!AE1443</f>
        <v>0</v>
      </c>
      <c r="I1817" s="112">
        <f>'OPEN FOREIGN ORDER'!AF1443</f>
        <v>0</v>
      </c>
      <c r="J1817" s="112">
        <f>'OPEN FOREIGN ORDER'!AG1443</f>
        <v>0</v>
      </c>
    </row>
    <row r="1818" spans="1:10">
      <c r="A1818">
        <f>'OPEN FOREIGN ORDER'!D1444</f>
        <v>0</v>
      </c>
      <c r="B1818">
        <f>'OPEN FOREIGN ORDER'!F1444</f>
        <v>0</v>
      </c>
      <c r="C1818">
        <f>'OPEN FOREIGN ORDER'!Z1444</f>
        <v>0</v>
      </c>
      <c r="D1818" s="123">
        <f>'OPEN FOREIGN ORDER'!AA1444</f>
        <v>0</v>
      </c>
      <c r="E1818" s="112">
        <f>'OPEN FOREIGN ORDER'!AB1444</f>
        <v>0</v>
      </c>
      <c r="F1818" s="112">
        <f>'OPEN FOREIGN ORDER'!AC1444</f>
        <v>0</v>
      </c>
      <c r="G1818" s="112">
        <f>'OPEN FOREIGN ORDER'!AD1444</f>
        <v>0</v>
      </c>
      <c r="H1818" s="112">
        <f>'OPEN FOREIGN ORDER'!AE1444</f>
        <v>0</v>
      </c>
      <c r="I1818" s="112">
        <f>'OPEN FOREIGN ORDER'!AF1444</f>
        <v>0</v>
      </c>
      <c r="J1818" s="112">
        <f>'OPEN FOREIGN ORDER'!AG1444</f>
        <v>0</v>
      </c>
    </row>
    <row r="1819" spans="1:10">
      <c r="A1819">
        <f>'OPEN FOREIGN ORDER'!D1445</f>
        <v>0</v>
      </c>
      <c r="B1819">
        <f>'OPEN FOREIGN ORDER'!F1445</f>
        <v>0</v>
      </c>
      <c r="C1819">
        <f>'OPEN FOREIGN ORDER'!Z1445</f>
        <v>0</v>
      </c>
      <c r="D1819" s="123">
        <f>'OPEN FOREIGN ORDER'!AA1445</f>
        <v>0</v>
      </c>
      <c r="E1819" s="112">
        <f>'OPEN FOREIGN ORDER'!AB1445</f>
        <v>0</v>
      </c>
      <c r="F1819" s="112">
        <f>'OPEN FOREIGN ORDER'!AC1445</f>
        <v>0</v>
      </c>
      <c r="G1819" s="112">
        <f>'OPEN FOREIGN ORDER'!AD1445</f>
        <v>0</v>
      </c>
      <c r="H1819" s="112">
        <f>'OPEN FOREIGN ORDER'!AE1445</f>
        <v>0</v>
      </c>
      <c r="I1819" s="112">
        <f>'OPEN FOREIGN ORDER'!AF1445</f>
        <v>0</v>
      </c>
      <c r="J1819" s="112">
        <f>'OPEN FOREIGN ORDER'!AG1445</f>
        <v>0</v>
      </c>
    </row>
    <row r="1820" spans="1:10">
      <c r="A1820">
        <f>'OPEN FOREIGN ORDER'!D1446</f>
        <v>0</v>
      </c>
      <c r="B1820">
        <f>'OPEN FOREIGN ORDER'!F1446</f>
        <v>0</v>
      </c>
      <c r="C1820">
        <f>'OPEN FOREIGN ORDER'!Z1446</f>
        <v>0</v>
      </c>
      <c r="D1820" s="123">
        <f>'OPEN FOREIGN ORDER'!AA1446</f>
        <v>0</v>
      </c>
      <c r="E1820" s="112">
        <f>'OPEN FOREIGN ORDER'!AB1446</f>
        <v>0</v>
      </c>
      <c r="F1820" s="112">
        <f>'OPEN FOREIGN ORDER'!AC1446</f>
        <v>0</v>
      </c>
      <c r="G1820" s="112">
        <f>'OPEN FOREIGN ORDER'!AD1446</f>
        <v>0</v>
      </c>
      <c r="H1820" s="112">
        <f>'OPEN FOREIGN ORDER'!AE1446</f>
        <v>0</v>
      </c>
      <c r="I1820" s="112">
        <f>'OPEN FOREIGN ORDER'!AF1446</f>
        <v>0</v>
      </c>
      <c r="J1820" s="112">
        <f>'OPEN FOREIGN ORDER'!AG1446</f>
        <v>0</v>
      </c>
    </row>
    <row r="1821" spans="1:10">
      <c r="A1821">
        <f>'OPEN FOREIGN ORDER'!D1447</f>
        <v>0</v>
      </c>
      <c r="B1821">
        <f>'OPEN FOREIGN ORDER'!F1447</f>
        <v>0</v>
      </c>
      <c r="C1821">
        <f>'OPEN FOREIGN ORDER'!Z1447</f>
        <v>0</v>
      </c>
      <c r="D1821" s="123">
        <f>'OPEN FOREIGN ORDER'!AA1447</f>
        <v>0</v>
      </c>
      <c r="E1821" s="112">
        <f>'OPEN FOREIGN ORDER'!AB1447</f>
        <v>0</v>
      </c>
      <c r="F1821" s="112">
        <f>'OPEN FOREIGN ORDER'!AC1447</f>
        <v>0</v>
      </c>
      <c r="G1821" s="112">
        <f>'OPEN FOREIGN ORDER'!AD1447</f>
        <v>0</v>
      </c>
      <c r="H1821" s="112">
        <f>'OPEN FOREIGN ORDER'!AE1447</f>
        <v>0</v>
      </c>
      <c r="I1821" s="112">
        <f>'OPEN FOREIGN ORDER'!AF1447</f>
        <v>0</v>
      </c>
      <c r="J1821" s="112">
        <f>'OPEN FOREIGN ORDER'!AG1447</f>
        <v>0</v>
      </c>
    </row>
    <row r="1822" spans="1:10">
      <c r="A1822">
        <f>'OPEN FOREIGN ORDER'!D1448</f>
        <v>0</v>
      </c>
      <c r="B1822">
        <f>'OPEN FOREIGN ORDER'!F1448</f>
        <v>0</v>
      </c>
      <c r="C1822">
        <f>'OPEN FOREIGN ORDER'!Z1448</f>
        <v>0</v>
      </c>
      <c r="D1822" s="123">
        <f>'OPEN FOREIGN ORDER'!AA1448</f>
        <v>0</v>
      </c>
      <c r="E1822" s="112">
        <f>'OPEN FOREIGN ORDER'!AB1448</f>
        <v>0</v>
      </c>
      <c r="F1822" s="112">
        <f>'OPEN FOREIGN ORDER'!AC1448</f>
        <v>0</v>
      </c>
      <c r="G1822" s="112">
        <f>'OPEN FOREIGN ORDER'!AD1448</f>
        <v>0</v>
      </c>
      <c r="H1822" s="112">
        <f>'OPEN FOREIGN ORDER'!AE1448</f>
        <v>0</v>
      </c>
      <c r="I1822" s="112">
        <f>'OPEN FOREIGN ORDER'!AF1448</f>
        <v>0</v>
      </c>
      <c r="J1822" s="112">
        <f>'OPEN FOREIGN ORDER'!AG1448</f>
        <v>0</v>
      </c>
    </row>
    <row r="1823" spans="1:10">
      <c r="A1823">
        <f>'OPEN FOREIGN ORDER'!D1449</f>
        <v>0</v>
      </c>
      <c r="B1823">
        <f>'OPEN FOREIGN ORDER'!F1449</f>
        <v>0</v>
      </c>
      <c r="C1823">
        <f>'OPEN FOREIGN ORDER'!Z1449</f>
        <v>0</v>
      </c>
      <c r="D1823" s="123">
        <f>'OPEN FOREIGN ORDER'!AA1449</f>
        <v>0</v>
      </c>
      <c r="E1823" s="112">
        <f>'OPEN FOREIGN ORDER'!AB1449</f>
        <v>0</v>
      </c>
      <c r="F1823" s="112">
        <f>'OPEN FOREIGN ORDER'!AC1449</f>
        <v>0</v>
      </c>
      <c r="G1823" s="112">
        <f>'OPEN FOREIGN ORDER'!AD1449</f>
        <v>0</v>
      </c>
      <c r="H1823" s="112">
        <f>'OPEN FOREIGN ORDER'!AE1449</f>
        <v>0</v>
      </c>
      <c r="I1823" s="112">
        <f>'OPEN FOREIGN ORDER'!AF1449</f>
        <v>0</v>
      </c>
      <c r="J1823" s="112">
        <f>'OPEN FOREIGN ORDER'!AG1449</f>
        <v>0</v>
      </c>
    </row>
    <row r="1824" spans="1:10">
      <c r="A1824">
        <f>'OPEN FOREIGN ORDER'!D1450</f>
        <v>0</v>
      </c>
      <c r="B1824">
        <f>'OPEN FOREIGN ORDER'!F1450</f>
        <v>0</v>
      </c>
      <c r="C1824">
        <f>'OPEN FOREIGN ORDER'!Z1450</f>
        <v>0</v>
      </c>
      <c r="D1824" s="123">
        <f>'OPEN FOREIGN ORDER'!AA1450</f>
        <v>0</v>
      </c>
      <c r="E1824" s="112">
        <f>'OPEN FOREIGN ORDER'!AB1450</f>
        <v>0</v>
      </c>
      <c r="F1824" s="112">
        <f>'OPEN FOREIGN ORDER'!AC1450</f>
        <v>0</v>
      </c>
      <c r="G1824" s="112">
        <f>'OPEN FOREIGN ORDER'!AD1450</f>
        <v>0</v>
      </c>
      <c r="H1824" s="112">
        <f>'OPEN FOREIGN ORDER'!AE1450</f>
        <v>0</v>
      </c>
      <c r="I1824" s="112">
        <f>'OPEN FOREIGN ORDER'!AF1450</f>
        <v>0</v>
      </c>
      <c r="J1824" s="112">
        <f>'OPEN FOREIGN ORDER'!AG1450</f>
        <v>0</v>
      </c>
    </row>
    <row r="1825" spans="1:10">
      <c r="A1825">
        <f>'OPEN FOREIGN ORDER'!D1451</f>
        <v>0</v>
      </c>
      <c r="B1825">
        <f>'OPEN FOREIGN ORDER'!F1451</f>
        <v>0</v>
      </c>
      <c r="C1825">
        <f>'OPEN FOREIGN ORDER'!Z1451</f>
        <v>0</v>
      </c>
      <c r="D1825" s="123">
        <f>'OPEN FOREIGN ORDER'!AA1451</f>
        <v>0</v>
      </c>
      <c r="E1825" s="112">
        <f>'OPEN FOREIGN ORDER'!AB1451</f>
        <v>0</v>
      </c>
      <c r="F1825" s="112">
        <f>'OPEN FOREIGN ORDER'!AC1451</f>
        <v>0</v>
      </c>
      <c r="G1825" s="112">
        <f>'OPEN FOREIGN ORDER'!AD1451</f>
        <v>0</v>
      </c>
      <c r="H1825" s="112">
        <f>'OPEN FOREIGN ORDER'!AE1451</f>
        <v>0</v>
      </c>
      <c r="I1825" s="112">
        <f>'OPEN FOREIGN ORDER'!AF1451</f>
        <v>0</v>
      </c>
      <c r="J1825" s="112">
        <f>'OPEN FOREIGN ORDER'!AG1451</f>
        <v>0</v>
      </c>
    </row>
    <row r="1826" spans="1:10">
      <c r="A1826">
        <f>'OPEN FOREIGN ORDER'!D1452</f>
        <v>0</v>
      </c>
      <c r="B1826">
        <f>'OPEN FOREIGN ORDER'!F1452</f>
        <v>0</v>
      </c>
      <c r="C1826">
        <f>'OPEN FOREIGN ORDER'!Z1452</f>
        <v>0</v>
      </c>
      <c r="D1826" s="123">
        <f>'OPEN FOREIGN ORDER'!AA1452</f>
        <v>0</v>
      </c>
      <c r="E1826" s="112">
        <f>'OPEN FOREIGN ORDER'!AB1452</f>
        <v>0</v>
      </c>
      <c r="F1826" s="112">
        <f>'OPEN FOREIGN ORDER'!AC1452</f>
        <v>0</v>
      </c>
      <c r="G1826" s="112">
        <f>'OPEN FOREIGN ORDER'!AD1452</f>
        <v>0</v>
      </c>
      <c r="H1826" s="112">
        <f>'OPEN FOREIGN ORDER'!AE1452</f>
        <v>0</v>
      </c>
      <c r="I1826" s="112">
        <f>'OPEN FOREIGN ORDER'!AF1452</f>
        <v>0</v>
      </c>
      <c r="J1826" s="112">
        <f>'OPEN FOREIGN ORDER'!AG1452</f>
        <v>0</v>
      </c>
    </row>
    <row r="1827" spans="1:10">
      <c r="A1827">
        <f>'OPEN FOREIGN ORDER'!D1453</f>
        <v>0</v>
      </c>
      <c r="B1827">
        <f>'OPEN FOREIGN ORDER'!F1453</f>
        <v>0</v>
      </c>
      <c r="C1827">
        <f>'OPEN FOREIGN ORDER'!Z1453</f>
        <v>0</v>
      </c>
      <c r="D1827" s="123">
        <f>'OPEN FOREIGN ORDER'!AA1453</f>
        <v>0</v>
      </c>
      <c r="E1827" s="112">
        <f>'OPEN FOREIGN ORDER'!AB1453</f>
        <v>0</v>
      </c>
      <c r="F1827" s="112">
        <f>'OPEN FOREIGN ORDER'!AC1453</f>
        <v>0</v>
      </c>
      <c r="G1827" s="112">
        <f>'OPEN FOREIGN ORDER'!AD1453</f>
        <v>0</v>
      </c>
      <c r="H1827" s="112">
        <f>'OPEN FOREIGN ORDER'!AE1453</f>
        <v>0</v>
      </c>
      <c r="I1827" s="112">
        <f>'OPEN FOREIGN ORDER'!AF1453</f>
        <v>0</v>
      </c>
      <c r="J1827" s="112">
        <f>'OPEN FOREIGN ORDER'!AG1453</f>
        <v>0</v>
      </c>
    </row>
    <row r="1828" spans="1:10">
      <c r="A1828">
        <f>'OPEN FOREIGN ORDER'!D1454</f>
        <v>0</v>
      </c>
      <c r="B1828">
        <f>'OPEN FOREIGN ORDER'!F1454</f>
        <v>0</v>
      </c>
      <c r="C1828">
        <f>'OPEN FOREIGN ORDER'!Z1454</f>
        <v>0</v>
      </c>
      <c r="D1828" s="123">
        <f>'OPEN FOREIGN ORDER'!AA1454</f>
        <v>0</v>
      </c>
      <c r="E1828" s="112">
        <f>'OPEN FOREIGN ORDER'!AB1454</f>
        <v>0</v>
      </c>
      <c r="F1828" s="112">
        <f>'OPEN FOREIGN ORDER'!AC1454</f>
        <v>0</v>
      </c>
      <c r="G1828" s="112">
        <f>'OPEN FOREIGN ORDER'!AD1454</f>
        <v>0</v>
      </c>
      <c r="H1828" s="112">
        <f>'OPEN FOREIGN ORDER'!AE1454</f>
        <v>0</v>
      </c>
      <c r="I1828" s="112">
        <f>'OPEN FOREIGN ORDER'!AF1454</f>
        <v>0</v>
      </c>
      <c r="J1828" s="112">
        <f>'OPEN FOREIGN ORDER'!AG1454</f>
        <v>0</v>
      </c>
    </row>
    <row r="1829" spans="1:10">
      <c r="A1829">
        <f>'OPEN FOREIGN ORDER'!D1455</f>
        <v>0</v>
      </c>
      <c r="B1829">
        <f>'OPEN FOREIGN ORDER'!F1455</f>
        <v>0</v>
      </c>
      <c r="C1829">
        <f>'OPEN FOREIGN ORDER'!Z1455</f>
        <v>0</v>
      </c>
      <c r="D1829" s="123">
        <f>'OPEN FOREIGN ORDER'!AA1455</f>
        <v>0</v>
      </c>
      <c r="E1829" s="112">
        <f>'OPEN FOREIGN ORDER'!AB1455</f>
        <v>0</v>
      </c>
      <c r="F1829" s="112">
        <f>'OPEN FOREIGN ORDER'!AC1455</f>
        <v>0</v>
      </c>
      <c r="G1829" s="112">
        <f>'OPEN FOREIGN ORDER'!AD1455</f>
        <v>0</v>
      </c>
      <c r="H1829" s="112">
        <f>'OPEN FOREIGN ORDER'!AE1455</f>
        <v>0</v>
      </c>
      <c r="I1829" s="112">
        <f>'OPEN FOREIGN ORDER'!AF1455</f>
        <v>0</v>
      </c>
      <c r="J1829" s="112">
        <f>'OPEN FOREIGN ORDER'!AG1455</f>
        <v>0</v>
      </c>
    </row>
    <row r="1830" spans="1:10">
      <c r="A1830">
        <f>'OPEN FOREIGN ORDER'!D1456</f>
        <v>0</v>
      </c>
      <c r="B1830">
        <f>'OPEN FOREIGN ORDER'!F1456</f>
        <v>0</v>
      </c>
      <c r="C1830">
        <f>'OPEN FOREIGN ORDER'!Z1456</f>
        <v>0</v>
      </c>
      <c r="D1830" s="123">
        <f>'OPEN FOREIGN ORDER'!AA1456</f>
        <v>0</v>
      </c>
      <c r="E1830" s="112">
        <f>'OPEN FOREIGN ORDER'!AB1456</f>
        <v>0</v>
      </c>
      <c r="F1830" s="112">
        <f>'OPEN FOREIGN ORDER'!AC1456</f>
        <v>0</v>
      </c>
      <c r="G1830" s="112">
        <f>'OPEN FOREIGN ORDER'!AD1456</f>
        <v>0</v>
      </c>
      <c r="H1830" s="112">
        <f>'OPEN FOREIGN ORDER'!AE1456</f>
        <v>0</v>
      </c>
      <c r="I1830" s="112">
        <f>'OPEN FOREIGN ORDER'!AF1456</f>
        <v>0</v>
      </c>
      <c r="J1830" s="112">
        <f>'OPEN FOREIGN ORDER'!AG1456</f>
        <v>0</v>
      </c>
    </row>
    <row r="1831" spans="1:10">
      <c r="A1831">
        <f>'OPEN FOREIGN ORDER'!D1457</f>
        <v>0</v>
      </c>
      <c r="B1831">
        <f>'OPEN FOREIGN ORDER'!F1457</f>
        <v>0</v>
      </c>
      <c r="C1831">
        <f>'OPEN FOREIGN ORDER'!Z1457</f>
        <v>0</v>
      </c>
      <c r="D1831" s="123">
        <f>'OPEN FOREIGN ORDER'!AA1457</f>
        <v>0</v>
      </c>
      <c r="E1831" s="112">
        <f>'OPEN FOREIGN ORDER'!AB1457</f>
        <v>0</v>
      </c>
      <c r="F1831" s="112">
        <f>'OPEN FOREIGN ORDER'!AC1457</f>
        <v>0</v>
      </c>
      <c r="G1831" s="112">
        <f>'OPEN FOREIGN ORDER'!AD1457</f>
        <v>0</v>
      </c>
      <c r="H1831" s="112">
        <f>'OPEN FOREIGN ORDER'!AE1457</f>
        <v>0</v>
      </c>
      <c r="I1831" s="112">
        <f>'OPEN FOREIGN ORDER'!AF1457</f>
        <v>0</v>
      </c>
      <c r="J1831" s="112">
        <f>'OPEN FOREIGN ORDER'!AG1457</f>
        <v>0</v>
      </c>
    </row>
    <row r="1832" spans="1:10">
      <c r="A1832">
        <f>'OPEN FOREIGN ORDER'!D1458</f>
        <v>0</v>
      </c>
      <c r="B1832">
        <f>'OPEN FOREIGN ORDER'!F1458</f>
        <v>0</v>
      </c>
      <c r="C1832">
        <f>'OPEN FOREIGN ORDER'!Z1458</f>
        <v>0</v>
      </c>
      <c r="D1832" s="123">
        <f>'OPEN FOREIGN ORDER'!AA1458</f>
        <v>0</v>
      </c>
      <c r="E1832" s="112">
        <f>'OPEN FOREIGN ORDER'!AB1458</f>
        <v>0</v>
      </c>
      <c r="F1832" s="112">
        <f>'OPEN FOREIGN ORDER'!AC1458</f>
        <v>0</v>
      </c>
      <c r="G1832" s="112">
        <f>'OPEN FOREIGN ORDER'!AD1458</f>
        <v>0</v>
      </c>
      <c r="H1832" s="112">
        <f>'OPEN FOREIGN ORDER'!AE1458</f>
        <v>0</v>
      </c>
      <c r="I1832" s="112">
        <f>'OPEN FOREIGN ORDER'!AF1458</f>
        <v>0</v>
      </c>
      <c r="J1832" s="112">
        <f>'OPEN FOREIGN ORDER'!AG1458</f>
        <v>0</v>
      </c>
    </row>
    <row r="1833" spans="1:10">
      <c r="A1833">
        <f>'OPEN FOREIGN ORDER'!D1459</f>
        <v>0</v>
      </c>
      <c r="B1833">
        <f>'OPEN FOREIGN ORDER'!F1459</f>
        <v>0</v>
      </c>
      <c r="C1833">
        <f>'OPEN FOREIGN ORDER'!Z1459</f>
        <v>0</v>
      </c>
      <c r="D1833" s="123">
        <f>'OPEN FOREIGN ORDER'!AA1459</f>
        <v>0</v>
      </c>
      <c r="E1833" s="112">
        <f>'OPEN FOREIGN ORDER'!AB1459</f>
        <v>0</v>
      </c>
      <c r="F1833" s="112">
        <f>'OPEN FOREIGN ORDER'!AC1459</f>
        <v>0</v>
      </c>
      <c r="G1833" s="112">
        <f>'OPEN FOREIGN ORDER'!AD1459</f>
        <v>0</v>
      </c>
      <c r="H1833" s="112">
        <f>'OPEN FOREIGN ORDER'!AE1459</f>
        <v>0</v>
      </c>
      <c r="I1833" s="112">
        <f>'OPEN FOREIGN ORDER'!AF1459</f>
        <v>0</v>
      </c>
      <c r="J1833" s="112">
        <f>'OPEN FOREIGN ORDER'!AG1459</f>
        <v>0</v>
      </c>
    </row>
    <row r="1834" spans="1:10">
      <c r="A1834">
        <f>'OPEN FOREIGN ORDER'!D1460</f>
        <v>0</v>
      </c>
      <c r="B1834">
        <f>'OPEN FOREIGN ORDER'!F1460</f>
        <v>0</v>
      </c>
      <c r="C1834">
        <f>'OPEN FOREIGN ORDER'!Z1460</f>
        <v>0</v>
      </c>
      <c r="D1834" s="123">
        <f>'OPEN FOREIGN ORDER'!AA1460</f>
        <v>0</v>
      </c>
      <c r="E1834" s="112">
        <f>'OPEN FOREIGN ORDER'!AB1460</f>
        <v>0</v>
      </c>
      <c r="F1834" s="112">
        <f>'OPEN FOREIGN ORDER'!AC1460</f>
        <v>0</v>
      </c>
      <c r="G1834" s="112">
        <f>'OPEN FOREIGN ORDER'!AD1460</f>
        <v>0</v>
      </c>
      <c r="H1834" s="112">
        <f>'OPEN FOREIGN ORDER'!AE1460</f>
        <v>0</v>
      </c>
      <c r="I1834" s="112">
        <f>'OPEN FOREIGN ORDER'!AF1460</f>
        <v>0</v>
      </c>
      <c r="J1834" s="112">
        <f>'OPEN FOREIGN ORDER'!AG1460</f>
        <v>0</v>
      </c>
    </row>
    <row r="1835" spans="1:10">
      <c r="A1835">
        <f>'OPEN FOREIGN ORDER'!D1461</f>
        <v>0</v>
      </c>
      <c r="B1835">
        <f>'OPEN FOREIGN ORDER'!F1461</f>
        <v>0</v>
      </c>
      <c r="C1835">
        <f>'OPEN FOREIGN ORDER'!Z1461</f>
        <v>0</v>
      </c>
      <c r="D1835" s="123">
        <f>'OPEN FOREIGN ORDER'!AA1461</f>
        <v>0</v>
      </c>
      <c r="E1835" s="112">
        <f>'OPEN FOREIGN ORDER'!AB1461</f>
        <v>0</v>
      </c>
      <c r="F1835" s="112">
        <f>'OPEN FOREIGN ORDER'!AC1461</f>
        <v>0</v>
      </c>
      <c r="G1835" s="112">
        <f>'OPEN FOREIGN ORDER'!AD1461</f>
        <v>0</v>
      </c>
      <c r="H1835" s="112">
        <f>'OPEN FOREIGN ORDER'!AE1461</f>
        <v>0</v>
      </c>
      <c r="I1835" s="112">
        <f>'OPEN FOREIGN ORDER'!AF1461</f>
        <v>0</v>
      </c>
      <c r="J1835" s="112">
        <f>'OPEN FOREIGN ORDER'!AG1461</f>
        <v>0</v>
      </c>
    </row>
    <row r="1836" spans="1:10">
      <c r="A1836">
        <f>'OPEN FOREIGN ORDER'!D1462</f>
        <v>0</v>
      </c>
      <c r="B1836">
        <f>'OPEN FOREIGN ORDER'!F1462</f>
        <v>0</v>
      </c>
      <c r="C1836">
        <f>'OPEN FOREIGN ORDER'!Z1462</f>
        <v>0</v>
      </c>
      <c r="D1836" s="123">
        <f>'OPEN FOREIGN ORDER'!AA1462</f>
        <v>0</v>
      </c>
      <c r="E1836" s="112">
        <f>'OPEN FOREIGN ORDER'!AB1462</f>
        <v>0</v>
      </c>
      <c r="F1836" s="112">
        <f>'OPEN FOREIGN ORDER'!AC1462</f>
        <v>0</v>
      </c>
      <c r="G1836" s="112">
        <f>'OPEN FOREIGN ORDER'!AD1462</f>
        <v>0</v>
      </c>
      <c r="H1836" s="112">
        <f>'OPEN FOREIGN ORDER'!AE1462</f>
        <v>0</v>
      </c>
      <c r="I1836" s="112">
        <f>'OPEN FOREIGN ORDER'!AF1462</f>
        <v>0</v>
      </c>
      <c r="J1836" s="112">
        <f>'OPEN FOREIGN ORDER'!AG1462</f>
        <v>0</v>
      </c>
    </row>
    <row r="1837" spans="1:10">
      <c r="A1837">
        <f>'OPEN FOREIGN ORDER'!D1463</f>
        <v>0</v>
      </c>
      <c r="B1837">
        <f>'OPEN FOREIGN ORDER'!F1463</f>
        <v>0</v>
      </c>
      <c r="C1837">
        <f>'OPEN FOREIGN ORDER'!Z1463</f>
        <v>0</v>
      </c>
      <c r="D1837" s="123">
        <f>'OPEN FOREIGN ORDER'!AA1463</f>
        <v>0</v>
      </c>
      <c r="E1837" s="112">
        <f>'OPEN FOREIGN ORDER'!AB1463</f>
        <v>0</v>
      </c>
      <c r="F1837" s="112">
        <f>'OPEN FOREIGN ORDER'!AC1463</f>
        <v>0</v>
      </c>
      <c r="G1837" s="112">
        <f>'OPEN FOREIGN ORDER'!AD1463</f>
        <v>0</v>
      </c>
      <c r="H1837" s="112">
        <f>'OPEN FOREIGN ORDER'!AE1463</f>
        <v>0</v>
      </c>
      <c r="I1837" s="112">
        <f>'OPEN FOREIGN ORDER'!AF1463</f>
        <v>0</v>
      </c>
      <c r="J1837" s="112">
        <f>'OPEN FOREIGN ORDER'!AG1463</f>
        <v>0</v>
      </c>
    </row>
    <row r="1838" spans="1:10">
      <c r="A1838">
        <f>'OPEN FOREIGN ORDER'!D1464</f>
        <v>0</v>
      </c>
      <c r="B1838">
        <f>'OPEN FOREIGN ORDER'!F1464</f>
        <v>0</v>
      </c>
      <c r="C1838">
        <f>'OPEN FOREIGN ORDER'!Z1464</f>
        <v>0</v>
      </c>
      <c r="D1838" s="123">
        <f>'OPEN FOREIGN ORDER'!AA1464</f>
        <v>0</v>
      </c>
      <c r="E1838" s="112">
        <f>'OPEN FOREIGN ORDER'!AB1464</f>
        <v>0</v>
      </c>
      <c r="F1838" s="112">
        <f>'OPEN FOREIGN ORDER'!AC1464</f>
        <v>0</v>
      </c>
      <c r="G1838" s="112">
        <f>'OPEN FOREIGN ORDER'!AD1464</f>
        <v>0</v>
      </c>
      <c r="H1838" s="112">
        <f>'OPEN FOREIGN ORDER'!AE1464</f>
        <v>0</v>
      </c>
      <c r="I1838" s="112">
        <f>'OPEN FOREIGN ORDER'!AF1464</f>
        <v>0</v>
      </c>
      <c r="J1838" s="112">
        <f>'OPEN FOREIGN ORDER'!AG1464</f>
        <v>0</v>
      </c>
    </row>
    <row r="1839" spans="1:10">
      <c r="A1839">
        <f>'OPEN FOREIGN ORDER'!D1465</f>
        <v>0</v>
      </c>
      <c r="B1839">
        <f>'OPEN FOREIGN ORDER'!F1465</f>
        <v>0</v>
      </c>
      <c r="C1839">
        <f>'OPEN FOREIGN ORDER'!Z1465</f>
        <v>0</v>
      </c>
      <c r="D1839" s="123">
        <f>'OPEN FOREIGN ORDER'!AA1465</f>
        <v>0</v>
      </c>
      <c r="E1839" s="112">
        <f>'OPEN FOREIGN ORDER'!AB1465</f>
        <v>0</v>
      </c>
      <c r="F1839" s="112">
        <f>'OPEN FOREIGN ORDER'!AC1465</f>
        <v>0</v>
      </c>
      <c r="G1839" s="112">
        <f>'OPEN FOREIGN ORDER'!AD1465</f>
        <v>0</v>
      </c>
      <c r="H1839" s="112">
        <f>'OPEN FOREIGN ORDER'!AE1465</f>
        <v>0</v>
      </c>
      <c r="I1839" s="112">
        <f>'OPEN FOREIGN ORDER'!AF1465</f>
        <v>0</v>
      </c>
      <c r="J1839" s="112">
        <f>'OPEN FOREIGN ORDER'!AG1465</f>
        <v>0</v>
      </c>
    </row>
    <row r="1840" spans="1:10">
      <c r="A1840">
        <f>'OPEN FOREIGN ORDER'!D1466</f>
        <v>0</v>
      </c>
      <c r="B1840">
        <f>'OPEN FOREIGN ORDER'!F1466</f>
        <v>0</v>
      </c>
      <c r="C1840">
        <f>'OPEN FOREIGN ORDER'!Z1466</f>
        <v>0</v>
      </c>
      <c r="D1840" s="123">
        <f>'OPEN FOREIGN ORDER'!AA1466</f>
        <v>0</v>
      </c>
      <c r="E1840" s="112">
        <f>'OPEN FOREIGN ORDER'!AB1466</f>
        <v>0</v>
      </c>
      <c r="F1840" s="112">
        <f>'OPEN FOREIGN ORDER'!AC1466</f>
        <v>0</v>
      </c>
      <c r="G1840" s="112">
        <f>'OPEN FOREIGN ORDER'!AD1466</f>
        <v>0</v>
      </c>
      <c r="H1840" s="112">
        <f>'OPEN FOREIGN ORDER'!AE1466</f>
        <v>0</v>
      </c>
      <c r="I1840" s="112">
        <f>'OPEN FOREIGN ORDER'!AF1466</f>
        <v>0</v>
      </c>
      <c r="J1840" s="112">
        <f>'OPEN FOREIGN ORDER'!AG1466</f>
        <v>0</v>
      </c>
    </row>
    <row r="1841" spans="1:10">
      <c r="A1841">
        <f>'OPEN FOREIGN ORDER'!D1467</f>
        <v>0</v>
      </c>
      <c r="B1841">
        <f>'OPEN FOREIGN ORDER'!F1467</f>
        <v>0</v>
      </c>
      <c r="C1841">
        <f>'OPEN FOREIGN ORDER'!Z1467</f>
        <v>0</v>
      </c>
      <c r="D1841" s="123">
        <f>'OPEN FOREIGN ORDER'!AA1467</f>
        <v>0</v>
      </c>
      <c r="E1841" s="112">
        <f>'OPEN FOREIGN ORDER'!AB1467</f>
        <v>0</v>
      </c>
      <c r="F1841" s="112">
        <f>'OPEN FOREIGN ORDER'!AC1467</f>
        <v>0</v>
      </c>
      <c r="G1841" s="112">
        <f>'OPEN FOREIGN ORDER'!AD1467</f>
        <v>0</v>
      </c>
      <c r="H1841" s="112">
        <f>'OPEN FOREIGN ORDER'!AE1467</f>
        <v>0</v>
      </c>
      <c r="I1841" s="112">
        <f>'OPEN FOREIGN ORDER'!AF1467</f>
        <v>0</v>
      </c>
      <c r="J1841" s="112">
        <f>'OPEN FOREIGN ORDER'!AG1467</f>
        <v>0</v>
      </c>
    </row>
    <row r="1842" spans="1:10">
      <c r="A1842">
        <f>'OPEN FOREIGN ORDER'!D1468</f>
        <v>0</v>
      </c>
      <c r="B1842">
        <f>'OPEN FOREIGN ORDER'!F1468</f>
        <v>0</v>
      </c>
      <c r="C1842">
        <f>'OPEN FOREIGN ORDER'!Z1468</f>
        <v>0</v>
      </c>
      <c r="D1842" s="123">
        <f>'OPEN FOREIGN ORDER'!AA1468</f>
        <v>0</v>
      </c>
      <c r="E1842" s="112">
        <f>'OPEN FOREIGN ORDER'!AB1468</f>
        <v>0</v>
      </c>
      <c r="F1842" s="112">
        <f>'OPEN FOREIGN ORDER'!AC1468</f>
        <v>0</v>
      </c>
      <c r="G1842" s="112">
        <f>'OPEN FOREIGN ORDER'!AD1468</f>
        <v>0</v>
      </c>
      <c r="H1842" s="112">
        <f>'OPEN FOREIGN ORDER'!AE1468</f>
        <v>0</v>
      </c>
      <c r="I1842" s="112">
        <f>'OPEN FOREIGN ORDER'!AF1468</f>
        <v>0</v>
      </c>
      <c r="J1842" s="112">
        <f>'OPEN FOREIGN ORDER'!AG1468</f>
        <v>0</v>
      </c>
    </row>
    <row r="1843" spans="1:10">
      <c r="A1843">
        <f>'OPEN FOREIGN ORDER'!D1469</f>
        <v>0</v>
      </c>
      <c r="B1843">
        <f>'OPEN FOREIGN ORDER'!F1469</f>
        <v>0</v>
      </c>
      <c r="C1843">
        <f>'OPEN FOREIGN ORDER'!Z1469</f>
        <v>0</v>
      </c>
      <c r="D1843" s="123">
        <f>'OPEN FOREIGN ORDER'!AA1469</f>
        <v>0</v>
      </c>
      <c r="E1843" s="112">
        <f>'OPEN FOREIGN ORDER'!AB1469</f>
        <v>0</v>
      </c>
      <c r="F1843" s="112">
        <f>'OPEN FOREIGN ORDER'!AC1469</f>
        <v>0</v>
      </c>
      <c r="G1843" s="112">
        <f>'OPEN FOREIGN ORDER'!AD1469</f>
        <v>0</v>
      </c>
      <c r="H1843" s="112">
        <f>'OPEN FOREIGN ORDER'!AE1469</f>
        <v>0</v>
      </c>
      <c r="I1843" s="112">
        <f>'OPEN FOREIGN ORDER'!AF1469</f>
        <v>0</v>
      </c>
      <c r="J1843" s="112">
        <f>'OPEN FOREIGN ORDER'!AG1469</f>
        <v>0</v>
      </c>
    </row>
    <row r="1844" spans="1:10">
      <c r="A1844">
        <f>'OPEN FOREIGN ORDER'!D1470</f>
        <v>0</v>
      </c>
      <c r="B1844">
        <f>'OPEN FOREIGN ORDER'!F1470</f>
        <v>0</v>
      </c>
      <c r="C1844">
        <f>'OPEN FOREIGN ORDER'!Z1470</f>
        <v>0</v>
      </c>
      <c r="D1844" s="123">
        <f>'OPEN FOREIGN ORDER'!AA1470</f>
        <v>0</v>
      </c>
      <c r="E1844" s="112">
        <f>'OPEN FOREIGN ORDER'!AB1470</f>
        <v>0</v>
      </c>
      <c r="F1844" s="112">
        <f>'OPEN FOREIGN ORDER'!AC1470</f>
        <v>0</v>
      </c>
      <c r="G1844" s="112">
        <f>'OPEN FOREIGN ORDER'!AD1470</f>
        <v>0</v>
      </c>
      <c r="H1844" s="112">
        <f>'OPEN FOREIGN ORDER'!AE1470</f>
        <v>0</v>
      </c>
      <c r="I1844" s="112">
        <f>'OPEN FOREIGN ORDER'!AF1470</f>
        <v>0</v>
      </c>
      <c r="J1844" s="112">
        <f>'OPEN FOREIGN ORDER'!AG1470</f>
        <v>0</v>
      </c>
    </row>
    <row r="1845" spans="1:10">
      <c r="A1845">
        <f>'OPEN FOREIGN ORDER'!D1471</f>
        <v>0</v>
      </c>
      <c r="B1845">
        <f>'OPEN FOREIGN ORDER'!F1471</f>
        <v>0</v>
      </c>
      <c r="C1845">
        <f>'OPEN FOREIGN ORDER'!Z1471</f>
        <v>0</v>
      </c>
      <c r="D1845" s="123">
        <f>'OPEN FOREIGN ORDER'!AA1471</f>
        <v>0</v>
      </c>
      <c r="E1845" s="112">
        <f>'OPEN FOREIGN ORDER'!AB1471</f>
        <v>0</v>
      </c>
      <c r="F1845" s="112">
        <f>'OPEN FOREIGN ORDER'!AC1471</f>
        <v>0</v>
      </c>
      <c r="G1845" s="112">
        <f>'OPEN FOREIGN ORDER'!AD1471</f>
        <v>0</v>
      </c>
      <c r="H1845" s="112">
        <f>'OPEN FOREIGN ORDER'!AE1471</f>
        <v>0</v>
      </c>
      <c r="I1845" s="112">
        <f>'OPEN FOREIGN ORDER'!AF1471</f>
        <v>0</v>
      </c>
      <c r="J1845" s="112">
        <f>'OPEN FOREIGN ORDER'!AG1471</f>
        <v>0</v>
      </c>
    </row>
    <row r="1846" spans="1:10">
      <c r="A1846">
        <f>'OPEN FOREIGN ORDER'!D1472</f>
        <v>0</v>
      </c>
      <c r="B1846">
        <f>'OPEN FOREIGN ORDER'!F1472</f>
        <v>0</v>
      </c>
      <c r="C1846">
        <f>'OPEN FOREIGN ORDER'!Z1472</f>
        <v>0</v>
      </c>
      <c r="D1846" s="123">
        <f>'OPEN FOREIGN ORDER'!AA1472</f>
        <v>0</v>
      </c>
      <c r="E1846" s="112">
        <f>'OPEN FOREIGN ORDER'!AB1472</f>
        <v>0</v>
      </c>
      <c r="F1846" s="112">
        <f>'OPEN FOREIGN ORDER'!AC1472</f>
        <v>0</v>
      </c>
      <c r="G1846" s="112">
        <f>'OPEN FOREIGN ORDER'!AD1472</f>
        <v>0</v>
      </c>
      <c r="H1846" s="112">
        <f>'OPEN FOREIGN ORDER'!AE1472</f>
        <v>0</v>
      </c>
      <c r="I1846" s="112">
        <f>'OPEN FOREIGN ORDER'!AF1472</f>
        <v>0</v>
      </c>
      <c r="J1846" s="112">
        <f>'OPEN FOREIGN ORDER'!AG1472</f>
        <v>0</v>
      </c>
    </row>
    <row r="1847" spans="1:10">
      <c r="A1847">
        <f>'OPEN FOREIGN ORDER'!D1473</f>
        <v>0</v>
      </c>
      <c r="B1847">
        <f>'OPEN FOREIGN ORDER'!F1473</f>
        <v>0</v>
      </c>
      <c r="C1847">
        <f>'OPEN FOREIGN ORDER'!Z1473</f>
        <v>0</v>
      </c>
      <c r="D1847" s="123">
        <f>'OPEN FOREIGN ORDER'!AA1473</f>
        <v>0</v>
      </c>
      <c r="E1847" s="112">
        <f>'OPEN FOREIGN ORDER'!AB1473</f>
        <v>0</v>
      </c>
      <c r="F1847" s="112">
        <f>'OPEN FOREIGN ORDER'!AC1473</f>
        <v>0</v>
      </c>
      <c r="G1847" s="112">
        <f>'OPEN FOREIGN ORDER'!AD1473</f>
        <v>0</v>
      </c>
      <c r="H1847" s="112">
        <f>'OPEN FOREIGN ORDER'!AE1473</f>
        <v>0</v>
      </c>
      <c r="I1847" s="112">
        <f>'OPEN FOREIGN ORDER'!AF1473</f>
        <v>0</v>
      </c>
      <c r="J1847" s="112">
        <f>'OPEN FOREIGN ORDER'!AG1473</f>
        <v>0</v>
      </c>
    </row>
    <row r="1848" spans="1:10">
      <c r="A1848">
        <f>'OPEN FOREIGN ORDER'!D1474</f>
        <v>0</v>
      </c>
      <c r="B1848">
        <f>'OPEN FOREIGN ORDER'!F1474</f>
        <v>0</v>
      </c>
      <c r="C1848">
        <f>'OPEN FOREIGN ORDER'!Z1474</f>
        <v>0</v>
      </c>
      <c r="D1848" s="123">
        <f>'OPEN FOREIGN ORDER'!AA1474</f>
        <v>0</v>
      </c>
      <c r="E1848" s="112">
        <f>'OPEN FOREIGN ORDER'!AB1474</f>
        <v>0</v>
      </c>
      <c r="F1848" s="112">
        <f>'OPEN FOREIGN ORDER'!AC1474</f>
        <v>0</v>
      </c>
      <c r="G1848" s="112">
        <f>'OPEN FOREIGN ORDER'!AD1474</f>
        <v>0</v>
      </c>
      <c r="H1848" s="112">
        <f>'OPEN FOREIGN ORDER'!AE1474</f>
        <v>0</v>
      </c>
      <c r="I1848" s="112">
        <f>'OPEN FOREIGN ORDER'!AF1474</f>
        <v>0</v>
      </c>
      <c r="J1848" s="112">
        <f>'OPEN FOREIGN ORDER'!AG1474</f>
        <v>0</v>
      </c>
    </row>
    <row r="1849" spans="1:10">
      <c r="A1849">
        <f>'OPEN FOREIGN ORDER'!D1475</f>
        <v>0</v>
      </c>
      <c r="B1849">
        <f>'OPEN FOREIGN ORDER'!F1475</f>
        <v>0</v>
      </c>
      <c r="C1849">
        <f>'OPEN FOREIGN ORDER'!Z1475</f>
        <v>0</v>
      </c>
      <c r="D1849" s="123">
        <f>'OPEN FOREIGN ORDER'!AA1475</f>
        <v>0</v>
      </c>
      <c r="E1849" s="112">
        <f>'OPEN FOREIGN ORDER'!AB1475</f>
        <v>0</v>
      </c>
      <c r="F1849" s="112">
        <f>'OPEN FOREIGN ORDER'!AC1475</f>
        <v>0</v>
      </c>
      <c r="G1849" s="112">
        <f>'OPEN FOREIGN ORDER'!AD1475</f>
        <v>0</v>
      </c>
      <c r="H1849" s="112">
        <f>'OPEN FOREIGN ORDER'!AE1475</f>
        <v>0</v>
      </c>
      <c r="I1849" s="112">
        <f>'OPEN FOREIGN ORDER'!AF1475</f>
        <v>0</v>
      </c>
      <c r="J1849" s="112">
        <f>'OPEN FOREIGN ORDER'!AG1475</f>
        <v>0</v>
      </c>
    </row>
    <row r="1850" spans="1:10">
      <c r="A1850">
        <f>'OPEN FOREIGN ORDER'!D1476</f>
        <v>0</v>
      </c>
      <c r="B1850">
        <f>'OPEN FOREIGN ORDER'!F1476</f>
        <v>0</v>
      </c>
      <c r="C1850">
        <f>'OPEN FOREIGN ORDER'!Z1476</f>
        <v>0</v>
      </c>
      <c r="D1850" s="123">
        <f>'OPEN FOREIGN ORDER'!AA1476</f>
        <v>0</v>
      </c>
      <c r="E1850" s="112">
        <f>'OPEN FOREIGN ORDER'!AB1476</f>
        <v>0</v>
      </c>
      <c r="F1850" s="112">
        <f>'OPEN FOREIGN ORDER'!AC1476</f>
        <v>0</v>
      </c>
      <c r="G1850" s="112">
        <f>'OPEN FOREIGN ORDER'!AD1476</f>
        <v>0</v>
      </c>
      <c r="H1850" s="112">
        <f>'OPEN FOREIGN ORDER'!AE1476</f>
        <v>0</v>
      </c>
      <c r="I1850" s="112">
        <f>'OPEN FOREIGN ORDER'!AF1476</f>
        <v>0</v>
      </c>
      <c r="J1850" s="112">
        <f>'OPEN FOREIGN ORDER'!AG1476</f>
        <v>0</v>
      </c>
    </row>
    <row r="1851" spans="1:10">
      <c r="A1851">
        <f>'OPEN FOREIGN ORDER'!D1477</f>
        <v>0</v>
      </c>
      <c r="B1851">
        <f>'OPEN FOREIGN ORDER'!F1477</f>
        <v>0</v>
      </c>
      <c r="C1851">
        <f>'OPEN FOREIGN ORDER'!Z1477</f>
        <v>0</v>
      </c>
      <c r="D1851" s="123">
        <f>'OPEN FOREIGN ORDER'!AA1477</f>
        <v>0</v>
      </c>
      <c r="E1851" s="112">
        <f>'OPEN FOREIGN ORDER'!AB1477</f>
        <v>0</v>
      </c>
      <c r="F1851" s="112">
        <f>'OPEN FOREIGN ORDER'!AC1477</f>
        <v>0</v>
      </c>
      <c r="G1851" s="112">
        <f>'OPEN FOREIGN ORDER'!AD1477</f>
        <v>0</v>
      </c>
      <c r="H1851" s="112">
        <f>'OPEN FOREIGN ORDER'!AE1477</f>
        <v>0</v>
      </c>
      <c r="I1851" s="112">
        <f>'OPEN FOREIGN ORDER'!AF1477</f>
        <v>0</v>
      </c>
      <c r="J1851" s="112">
        <f>'OPEN FOREIGN ORDER'!AG1477</f>
        <v>0</v>
      </c>
    </row>
    <row r="1852" spans="1:10">
      <c r="A1852">
        <f>'OPEN FOREIGN ORDER'!D1478</f>
        <v>0</v>
      </c>
      <c r="B1852">
        <f>'OPEN FOREIGN ORDER'!F1478</f>
        <v>0</v>
      </c>
      <c r="C1852">
        <f>'OPEN FOREIGN ORDER'!Z1478</f>
        <v>0</v>
      </c>
      <c r="D1852" s="123">
        <f>'OPEN FOREIGN ORDER'!AA1478</f>
        <v>0</v>
      </c>
      <c r="E1852" s="112">
        <f>'OPEN FOREIGN ORDER'!AB1478</f>
        <v>0</v>
      </c>
      <c r="F1852" s="112">
        <f>'OPEN FOREIGN ORDER'!AC1478</f>
        <v>0</v>
      </c>
      <c r="G1852" s="112">
        <f>'OPEN FOREIGN ORDER'!AD1478</f>
        <v>0</v>
      </c>
      <c r="H1852" s="112">
        <f>'OPEN FOREIGN ORDER'!AE1478</f>
        <v>0</v>
      </c>
      <c r="I1852" s="112">
        <f>'OPEN FOREIGN ORDER'!AF1478</f>
        <v>0</v>
      </c>
      <c r="J1852" s="112">
        <f>'OPEN FOREIGN ORDER'!AG1478</f>
        <v>0</v>
      </c>
    </row>
    <row r="1853" spans="1:10">
      <c r="A1853">
        <f>'OPEN FOREIGN ORDER'!D1479</f>
        <v>0</v>
      </c>
      <c r="B1853">
        <f>'OPEN FOREIGN ORDER'!F1479</f>
        <v>0</v>
      </c>
      <c r="C1853">
        <f>'OPEN FOREIGN ORDER'!Z1479</f>
        <v>0</v>
      </c>
      <c r="D1853" s="123">
        <f>'OPEN FOREIGN ORDER'!AA1479</f>
        <v>0</v>
      </c>
      <c r="E1853" s="112">
        <f>'OPEN FOREIGN ORDER'!AB1479</f>
        <v>0</v>
      </c>
      <c r="F1853" s="112">
        <f>'OPEN FOREIGN ORDER'!AC1479</f>
        <v>0</v>
      </c>
      <c r="G1853" s="112">
        <f>'OPEN FOREIGN ORDER'!AD1479</f>
        <v>0</v>
      </c>
      <c r="H1853" s="112">
        <f>'OPEN FOREIGN ORDER'!AE1479</f>
        <v>0</v>
      </c>
      <c r="I1853" s="112">
        <f>'OPEN FOREIGN ORDER'!AF1479</f>
        <v>0</v>
      </c>
      <c r="J1853" s="112">
        <f>'OPEN FOREIGN ORDER'!AG1479</f>
        <v>0</v>
      </c>
    </row>
    <row r="1854" spans="1:10">
      <c r="A1854">
        <f>'OPEN FOREIGN ORDER'!D1480</f>
        <v>0</v>
      </c>
      <c r="B1854">
        <f>'OPEN FOREIGN ORDER'!F1480</f>
        <v>0</v>
      </c>
      <c r="C1854">
        <f>'OPEN FOREIGN ORDER'!Z1480</f>
        <v>0</v>
      </c>
      <c r="D1854" s="123">
        <f>'OPEN FOREIGN ORDER'!AA1480</f>
        <v>0</v>
      </c>
      <c r="E1854" s="112">
        <f>'OPEN FOREIGN ORDER'!AB1480</f>
        <v>0</v>
      </c>
      <c r="F1854" s="112">
        <f>'OPEN FOREIGN ORDER'!AC1480</f>
        <v>0</v>
      </c>
      <c r="G1854" s="112">
        <f>'OPEN FOREIGN ORDER'!AD1480</f>
        <v>0</v>
      </c>
      <c r="H1854" s="112">
        <f>'OPEN FOREIGN ORDER'!AE1480</f>
        <v>0</v>
      </c>
      <c r="I1854" s="112">
        <f>'OPEN FOREIGN ORDER'!AF1480</f>
        <v>0</v>
      </c>
      <c r="J1854" s="112">
        <f>'OPEN FOREIGN ORDER'!AG1480</f>
        <v>0</v>
      </c>
    </row>
    <row r="1855" spans="1:10">
      <c r="A1855">
        <f>'OPEN FOREIGN ORDER'!D1481</f>
        <v>0</v>
      </c>
      <c r="B1855">
        <f>'OPEN FOREIGN ORDER'!F1481</f>
        <v>0</v>
      </c>
      <c r="C1855">
        <f>'OPEN FOREIGN ORDER'!Z1481</f>
        <v>0</v>
      </c>
      <c r="D1855" s="123">
        <f>'OPEN FOREIGN ORDER'!AA1481</f>
        <v>0</v>
      </c>
      <c r="E1855" s="112">
        <f>'OPEN FOREIGN ORDER'!AB1481</f>
        <v>0</v>
      </c>
      <c r="F1855" s="112">
        <f>'OPEN FOREIGN ORDER'!AC1481</f>
        <v>0</v>
      </c>
      <c r="G1855" s="112">
        <f>'OPEN FOREIGN ORDER'!AD1481</f>
        <v>0</v>
      </c>
      <c r="H1855" s="112">
        <f>'OPEN FOREIGN ORDER'!AE1481</f>
        <v>0</v>
      </c>
      <c r="I1855" s="112">
        <f>'OPEN FOREIGN ORDER'!AF1481</f>
        <v>0</v>
      </c>
      <c r="J1855" s="112">
        <f>'OPEN FOREIGN ORDER'!AG1481</f>
        <v>0</v>
      </c>
    </row>
    <row r="1856" spans="1:10">
      <c r="A1856">
        <f>'OPEN FOREIGN ORDER'!D1482</f>
        <v>0</v>
      </c>
      <c r="B1856">
        <f>'OPEN FOREIGN ORDER'!F1482</f>
        <v>0</v>
      </c>
      <c r="C1856">
        <f>'OPEN FOREIGN ORDER'!Z1482</f>
        <v>0</v>
      </c>
      <c r="D1856" s="123">
        <f>'OPEN FOREIGN ORDER'!AA1482</f>
        <v>0</v>
      </c>
      <c r="E1856" s="112">
        <f>'OPEN FOREIGN ORDER'!AB1482</f>
        <v>0</v>
      </c>
      <c r="F1856" s="112">
        <f>'OPEN FOREIGN ORDER'!AC1482</f>
        <v>0</v>
      </c>
      <c r="G1856" s="112">
        <f>'OPEN FOREIGN ORDER'!AD1482</f>
        <v>0</v>
      </c>
      <c r="H1856" s="112">
        <f>'OPEN FOREIGN ORDER'!AE1482</f>
        <v>0</v>
      </c>
      <c r="I1856" s="112">
        <f>'OPEN FOREIGN ORDER'!AF1482</f>
        <v>0</v>
      </c>
      <c r="J1856" s="112">
        <f>'OPEN FOREIGN ORDER'!AG1482</f>
        <v>0</v>
      </c>
    </row>
    <row r="1857" spans="1:10">
      <c r="A1857">
        <f>'OPEN FOREIGN ORDER'!D1483</f>
        <v>0</v>
      </c>
      <c r="B1857">
        <f>'OPEN FOREIGN ORDER'!F1483</f>
        <v>0</v>
      </c>
      <c r="C1857">
        <f>'OPEN FOREIGN ORDER'!Z1483</f>
        <v>0</v>
      </c>
      <c r="D1857" s="123">
        <f>'OPEN FOREIGN ORDER'!AA1483</f>
        <v>0</v>
      </c>
      <c r="E1857" s="112">
        <f>'OPEN FOREIGN ORDER'!AB1483</f>
        <v>0</v>
      </c>
      <c r="F1857" s="112">
        <f>'OPEN FOREIGN ORDER'!AC1483</f>
        <v>0</v>
      </c>
      <c r="G1857" s="112">
        <f>'OPEN FOREIGN ORDER'!AD1483</f>
        <v>0</v>
      </c>
      <c r="H1857" s="112">
        <f>'OPEN FOREIGN ORDER'!AE1483</f>
        <v>0</v>
      </c>
      <c r="I1857" s="112">
        <f>'OPEN FOREIGN ORDER'!AF1483</f>
        <v>0</v>
      </c>
      <c r="J1857" s="112">
        <f>'OPEN FOREIGN ORDER'!AG1483</f>
        <v>0</v>
      </c>
    </row>
    <row r="1858" spans="1:10">
      <c r="A1858">
        <f>'OPEN FOREIGN ORDER'!D1484</f>
        <v>0</v>
      </c>
      <c r="B1858">
        <f>'OPEN FOREIGN ORDER'!F1484</f>
        <v>0</v>
      </c>
      <c r="C1858">
        <f>'OPEN FOREIGN ORDER'!Z1484</f>
        <v>0</v>
      </c>
      <c r="D1858" s="123">
        <f>'OPEN FOREIGN ORDER'!AA1484</f>
        <v>0</v>
      </c>
      <c r="E1858" s="112">
        <f>'OPEN FOREIGN ORDER'!AB1484</f>
        <v>0</v>
      </c>
      <c r="F1858" s="112">
        <f>'OPEN FOREIGN ORDER'!AC1484</f>
        <v>0</v>
      </c>
      <c r="G1858" s="112">
        <f>'OPEN FOREIGN ORDER'!AD1484</f>
        <v>0</v>
      </c>
      <c r="H1858" s="112">
        <f>'OPEN FOREIGN ORDER'!AE1484</f>
        <v>0</v>
      </c>
      <c r="I1858" s="112">
        <f>'OPEN FOREIGN ORDER'!AF1484</f>
        <v>0</v>
      </c>
      <c r="J1858" s="112">
        <f>'OPEN FOREIGN ORDER'!AG1484</f>
        <v>0</v>
      </c>
    </row>
    <row r="1859" spans="1:10">
      <c r="A1859">
        <f>'OPEN FOREIGN ORDER'!D1485</f>
        <v>0</v>
      </c>
      <c r="B1859">
        <f>'OPEN FOREIGN ORDER'!F1485</f>
        <v>0</v>
      </c>
      <c r="C1859">
        <f>'OPEN FOREIGN ORDER'!Z1485</f>
        <v>0</v>
      </c>
      <c r="D1859" s="123">
        <f>'OPEN FOREIGN ORDER'!AA1485</f>
        <v>0</v>
      </c>
      <c r="E1859" s="112">
        <f>'OPEN FOREIGN ORDER'!AB1485</f>
        <v>0</v>
      </c>
      <c r="F1859" s="112">
        <f>'OPEN FOREIGN ORDER'!AC1485</f>
        <v>0</v>
      </c>
      <c r="G1859" s="112">
        <f>'OPEN FOREIGN ORDER'!AD1485</f>
        <v>0</v>
      </c>
      <c r="H1859" s="112">
        <f>'OPEN FOREIGN ORDER'!AE1485</f>
        <v>0</v>
      </c>
      <c r="I1859" s="112">
        <f>'OPEN FOREIGN ORDER'!AF1485</f>
        <v>0</v>
      </c>
      <c r="J1859" s="112">
        <f>'OPEN FOREIGN ORDER'!AG1485</f>
        <v>0</v>
      </c>
    </row>
    <row r="1860" spans="1:10">
      <c r="A1860">
        <f>'OPEN FOREIGN ORDER'!D1486</f>
        <v>0</v>
      </c>
      <c r="B1860">
        <f>'OPEN FOREIGN ORDER'!F1486</f>
        <v>0</v>
      </c>
      <c r="C1860">
        <f>'OPEN FOREIGN ORDER'!Z1486</f>
        <v>0</v>
      </c>
      <c r="D1860" s="123">
        <f>'OPEN FOREIGN ORDER'!AA1486</f>
        <v>0</v>
      </c>
      <c r="E1860" s="112">
        <f>'OPEN FOREIGN ORDER'!AB1486</f>
        <v>0</v>
      </c>
      <c r="F1860" s="112">
        <f>'OPEN FOREIGN ORDER'!AC1486</f>
        <v>0</v>
      </c>
      <c r="G1860" s="112">
        <f>'OPEN FOREIGN ORDER'!AD1486</f>
        <v>0</v>
      </c>
      <c r="H1860" s="112">
        <f>'OPEN FOREIGN ORDER'!AE1486</f>
        <v>0</v>
      </c>
      <c r="I1860" s="112">
        <f>'OPEN FOREIGN ORDER'!AF1486</f>
        <v>0</v>
      </c>
      <c r="J1860" s="112">
        <f>'OPEN FOREIGN ORDER'!AG1486</f>
        <v>0</v>
      </c>
    </row>
    <row r="1861" spans="1:10">
      <c r="A1861">
        <f>'OPEN FOREIGN ORDER'!D1487</f>
        <v>0</v>
      </c>
      <c r="B1861">
        <f>'OPEN FOREIGN ORDER'!F1487</f>
        <v>0</v>
      </c>
      <c r="C1861">
        <f>'OPEN FOREIGN ORDER'!Z1487</f>
        <v>0</v>
      </c>
      <c r="D1861" s="123">
        <f>'OPEN FOREIGN ORDER'!AA1487</f>
        <v>0</v>
      </c>
      <c r="E1861" s="112">
        <f>'OPEN FOREIGN ORDER'!AB1487</f>
        <v>0</v>
      </c>
      <c r="F1861" s="112">
        <f>'OPEN FOREIGN ORDER'!AC1487</f>
        <v>0</v>
      </c>
      <c r="G1861" s="112">
        <f>'OPEN FOREIGN ORDER'!AD1487</f>
        <v>0</v>
      </c>
      <c r="H1861" s="112">
        <f>'OPEN FOREIGN ORDER'!AE1487</f>
        <v>0</v>
      </c>
      <c r="I1861" s="112">
        <f>'OPEN FOREIGN ORDER'!AF1487</f>
        <v>0</v>
      </c>
      <c r="J1861" s="112">
        <f>'OPEN FOREIGN ORDER'!AG1487</f>
        <v>0</v>
      </c>
    </row>
    <row r="1862" spans="1:10">
      <c r="A1862">
        <f>'OPEN FOREIGN ORDER'!D1488</f>
        <v>0</v>
      </c>
      <c r="B1862">
        <f>'OPEN FOREIGN ORDER'!F1488</f>
        <v>0</v>
      </c>
      <c r="C1862">
        <f>'OPEN FOREIGN ORDER'!Z1488</f>
        <v>0</v>
      </c>
      <c r="D1862" s="123">
        <f>'OPEN FOREIGN ORDER'!AA1488</f>
        <v>0</v>
      </c>
      <c r="E1862" s="112">
        <f>'OPEN FOREIGN ORDER'!AB1488</f>
        <v>0</v>
      </c>
      <c r="F1862" s="112">
        <f>'OPEN FOREIGN ORDER'!AC1488</f>
        <v>0</v>
      </c>
      <c r="G1862" s="112">
        <f>'OPEN FOREIGN ORDER'!AD1488</f>
        <v>0</v>
      </c>
      <c r="H1862" s="112">
        <f>'OPEN FOREIGN ORDER'!AE1488</f>
        <v>0</v>
      </c>
      <c r="I1862" s="112">
        <f>'OPEN FOREIGN ORDER'!AF1488</f>
        <v>0</v>
      </c>
      <c r="J1862" s="112">
        <f>'OPEN FOREIGN ORDER'!AG1488</f>
        <v>0</v>
      </c>
    </row>
    <row r="1863" spans="1:10">
      <c r="A1863">
        <f>'OPEN FOREIGN ORDER'!D1489</f>
        <v>0</v>
      </c>
      <c r="B1863">
        <f>'OPEN FOREIGN ORDER'!F1489</f>
        <v>0</v>
      </c>
      <c r="C1863">
        <f>'OPEN FOREIGN ORDER'!Z1489</f>
        <v>0</v>
      </c>
      <c r="D1863" s="123">
        <f>'OPEN FOREIGN ORDER'!AA1489</f>
        <v>0</v>
      </c>
      <c r="E1863" s="112">
        <f>'OPEN FOREIGN ORDER'!AB1489</f>
        <v>0</v>
      </c>
      <c r="F1863" s="112">
        <f>'OPEN FOREIGN ORDER'!AC1489</f>
        <v>0</v>
      </c>
      <c r="G1863" s="112">
        <f>'OPEN FOREIGN ORDER'!AD1489</f>
        <v>0</v>
      </c>
      <c r="H1863" s="112">
        <f>'OPEN FOREIGN ORDER'!AE1489</f>
        <v>0</v>
      </c>
      <c r="I1863" s="112">
        <f>'OPEN FOREIGN ORDER'!AF1489</f>
        <v>0</v>
      </c>
      <c r="J1863" s="112">
        <f>'OPEN FOREIGN ORDER'!AG1489</f>
        <v>0</v>
      </c>
    </row>
    <row r="1864" spans="1:10">
      <c r="A1864">
        <f>'OPEN FOREIGN ORDER'!D1490</f>
        <v>0</v>
      </c>
      <c r="B1864">
        <f>'OPEN FOREIGN ORDER'!F1490</f>
        <v>0</v>
      </c>
      <c r="C1864">
        <f>'OPEN FOREIGN ORDER'!Z1490</f>
        <v>0</v>
      </c>
      <c r="D1864" s="123">
        <f>'OPEN FOREIGN ORDER'!AA1490</f>
        <v>0</v>
      </c>
      <c r="E1864" s="112">
        <f>'OPEN FOREIGN ORDER'!AB1490</f>
        <v>0</v>
      </c>
      <c r="F1864" s="112">
        <f>'OPEN FOREIGN ORDER'!AC1490</f>
        <v>0</v>
      </c>
      <c r="G1864" s="112">
        <f>'OPEN FOREIGN ORDER'!AD1490</f>
        <v>0</v>
      </c>
      <c r="H1864" s="112">
        <f>'OPEN FOREIGN ORDER'!AE1490</f>
        <v>0</v>
      </c>
      <c r="I1864" s="112">
        <f>'OPEN FOREIGN ORDER'!AF1490</f>
        <v>0</v>
      </c>
      <c r="J1864" s="112">
        <f>'OPEN FOREIGN ORDER'!AG1490</f>
        <v>0</v>
      </c>
    </row>
    <row r="1865" spans="1:10">
      <c r="A1865">
        <f>'OPEN FOREIGN ORDER'!D1491</f>
        <v>0</v>
      </c>
      <c r="B1865">
        <f>'OPEN FOREIGN ORDER'!F1491</f>
        <v>0</v>
      </c>
      <c r="C1865">
        <f>'OPEN FOREIGN ORDER'!Z1491</f>
        <v>0</v>
      </c>
      <c r="D1865" s="123">
        <f>'OPEN FOREIGN ORDER'!AA1491</f>
        <v>0</v>
      </c>
      <c r="E1865" s="112">
        <f>'OPEN FOREIGN ORDER'!AB1491</f>
        <v>0</v>
      </c>
      <c r="F1865" s="112">
        <f>'OPEN FOREIGN ORDER'!AC1491</f>
        <v>0</v>
      </c>
      <c r="G1865" s="112">
        <f>'OPEN FOREIGN ORDER'!AD1491</f>
        <v>0</v>
      </c>
      <c r="H1865" s="112">
        <f>'OPEN FOREIGN ORDER'!AE1491</f>
        <v>0</v>
      </c>
      <c r="I1865" s="112">
        <f>'OPEN FOREIGN ORDER'!AF1491</f>
        <v>0</v>
      </c>
      <c r="J1865" s="112">
        <f>'OPEN FOREIGN ORDER'!AG1491</f>
        <v>0</v>
      </c>
    </row>
    <row r="1866" spans="1:10">
      <c r="A1866">
        <f>'OPEN FOREIGN ORDER'!D1492</f>
        <v>0</v>
      </c>
      <c r="B1866">
        <f>'OPEN FOREIGN ORDER'!F1492</f>
        <v>0</v>
      </c>
      <c r="C1866">
        <f>'OPEN FOREIGN ORDER'!Z1492</f>
        <v>0</v>
      </c>
      <c r="D1866" s="123">
        <f>'OPEN FOREIGN ORDER'!AA1492</f>
        <v>0</v>
      </c>
      <c r="E1866" s="112">
        <f>'OPEN FOREIGN ORDER'!AB1492</f>
        <v>0</v>
      </c>
      <c r="F1866" s="112">
        <f>'OPEN FOREIGN ORDER'!AC1492</f>
        <v>0</v>
      </c>
      <c r="G1866" s="112">
        <f>'OPEN FOREIGN ORDER'!AD1492</f>
        <v>0</v>
      </c>
      <c r="H1866" s="112">
        <f>'OPEN FOREIGN ORDER'!AE1492</f>
        <v>0</v>
      </c>
      <c r="I1866" s="112">
        <f>'OPEN FOREIGN ORDER'!AF1492</f>
        <v>0</v>
      </c>
      <c r="J1866" s="112">
        <f>'OPEN FOREIGN ORDER'!AG1492</f>
        <v>0</v>
      </c>
    </row>
    <row r="1867" spans="1:10">
      <c r="A1867">
        <f>'OPEN FOREIGN ORDER'!D1493</f>
        <v>0</v>
      </c>
      <c r="B1867">
        <f>'OPEN FOREIGN ORDER'!F1493</f>
        <v>0</v>
      </c>
      <c r="C1867">
        <f>'OPEN FOREIGN ORDER'!Z1493</f>
        <v>0</v>
      </c>
      <c r="D1867" s="123">
        <f>'OPEN FOREIGN ORDER'!AA1493</f>
        <v>0</v>
      </c>
      <c r="E1867" s="112">
        <f>'OPEN FOREIGN ORDER'!AB1493</f>
        <v>0</v>
      </c>
      <c r="F1867" s="112">
        <f>'OPEN FOREIGN ORDER'!AC1493</f>
        <v>0</v>
      </c>
      <c r="G1867" s="112">
        <f>'OPEN FOREIGN ORDER'!AD1493</f>
        <v>0</v>
      </c>
      <c r="H1867" s="112">
        <f>'OPEN FOREIGN ORDER'!AE1493</f>
        <v>0</v>
      </c>
      <c r="I1867" s="112">
        <f>'OPEN FOREIGN ORDER'!AF1493</f>
        <v>0</v>
      </c>
      <c r="J1867" s="112">
        <f>'OPEN FOREIGN ORDER'!AG1493</f>
        <v>0</v>
      </c>
    </row>
    <row r="1868" spans="1:10">
      <c r="A1868">
        <f>'OPEN FOREIGN ORDER'!D1494</f>
        <v>0</v>
      </c>
      <c r="B1868">
        <f>'OPEN FOREIGN ORDER'!F1494</f>
        <v>0</v>
      </c>
      <c r="C1868">
        <f>'OPEN FOREIGN ORDER'!Z1494</f>
        <v>0</v>
      </c>
      <c r="D1868" s="123">
        <f>'OPEN FOREIGN ORDER'!AA1494</f>
        <v>0</v>
      </c>
      <c r="E1868" s="112">
        <f>'OPEN FOREIGN ORDER'!AB1494</f>
        <v>0</v>
      </c>
      <c r="F1868" s="112">
        <f>'OPEN FOREIGN ORDER'!AC1494</f>
        <v>0</v>
      </c>
      <c r="G1868" s="112">
        <f>'OPEN FOREIGN ORDER'!AD1494</f>
        <v>0</v>
      </c>
      <c r="H1868" s="112">
        <f>'OPEN FOREIGN ORDER'!AE1494</f>
        <v>0</v>
      </c>
      <c r="I1868" s="112">
        <f>'OPEN FOREIGN ORDER'!AF1494</f>
        <v>0</v>
      </c>
      <c r="J1868" s="112">
        <f>'OPEN FOREIGN ORDER'!AG1494</f>
        <v>0</v>
      </c>
    </row>
    <row r="1869" spans="1:10">
      <c r="A1869">
        <f>'OPEN FOREIGN ORDER'!D1495</f>
        <v>0</v>
      </c>
      <c r="B1869">
        <f>'OPEN FOREIGN ORDER'!F1495</f>
        <v>0</v>
      </c>
      <c r="C1869">
        <f>'OPEN FOREIGN ORDER'!Z1495</f>
        <v>0</v>
      </c>
      <c r="D1869" s="123">
        <f>'OPEN FOREIGN ORDER'!AA1495</f>
        <v>0</v>
      </c>
      <c r="E1869" s="112">
        <f>'OPEN FOREIGN ORDER'!AB1495</f>
        <v>0</v>
      </c>
      <c r="F1869" s="112">
        <f>'OPEN FOREIGN ORDER'!AC1495</f>
        <v>0</v>
      </c>
      <c r="G1869" s="112">
        <f>'OPEN FOREIGN ORDER'!AD1495</f>
        <v>0</v>
      </c>
      <c r="H1869" s="112">
        <f>'OPEN FOREIGN ORDER'!AE1495</f>
        <v>0</v>
      </c>
      <c r="I1869" s="112">
        <f>'OPEN FOREIGN ORDER'!AF1495</f>
        <v>0</v>
      </c>
      <c r="J1869" s="112">
        <f>'OPEN FOREIGN ORDER'!AG1495</f>
        <v>0</v>
      </c>
    </row>
    <row r="1870" spans="1:10">
      <c r="A1870">
        <f>'OPEN FOREIGN ORDER'!D1496</f>
        <v>0</v>
      </c>
      <c r="B1870">
        <f>'OPEN FOREIGN ORDER'!F1496</f>
        <v>0</v>
      </c>
      <c r="C1870">
        <f>'OPEN FOREIGN ORDER'!Z1496</f>
        <v>0</v>
      </c>
      <c r="D1870" s="123">
        <f>'OPEN FOREIGN ORDER'!AA1496</f>
        <v>0</v>
      </c>
      <c r="E1870" s="112">
        <f>'OPEN FOREIGN ORDER'!AB1496</f>
        <v>0</v>
      </c>
      <c r="F1870" s="112">
        <f>'OPEN FOREIGN ORDER'!AC1496</f>
        <v>0</v>
      </c>
      <c r="G1870" s="112">
        <f>'OPEN FOREIGN ORDER'!AD1496</f>
        <v>0</v>
      </c>
      <c r="H1870" s="112">
        <f>'OPEN FOREIGN ORDER'!AE1496</f>
        <v>0</v>
      </c>
      <c r="I1870" s="112">
        <f>'OPEN FOREIGN ORDER'!AF1496</f>
        <v>0</v>
      </c>
      <c r="J1870" s="112">
        <f>'OPEN FOREIGN ORDER'!AG1496</f>
        <v>0</v>
      </c>
    </row>
    <row r="1871" spans="1:10">
      <c r="A1871">
        <f>'OPEN FOREIGN ORDER'!D1497</f>
        <v>0</v>
      </c>
      <c r="B1871">
        <f>'OPEN FOREIGN ORDER'!F1497</f>
        <v>0</v>
      </c>
      <c r="C1871">
        <f>'OPEN FOREIGN ORDER'!Z1497</f>
        <v>0</v>
      </c>
      <c r="D1871" s="123">
        <f>'OPEN FOREIGN ORDER'!AA1497</f>
        <v>0</v>
      </c>
      <c r="E1871" s="112">
        <f>'OPEN FOREIGN ORDER'!AB1497</f>
        <v>0</v>
      </c>
      <c r="F1871" s="112">
        <f>'OPEN FOREIGN ORDER'!AC1497</f>
        <v>0</v>
      </c>
      <c r="G1871" s="112">
        <f>'OPEN FOREIGN ORDER'!AD1497</f>
        <v>0</v>
      </c>
      <c r="H1871" s="112">
        <f>'OPEN FOREIGN ORDER'!AE1497</f>
        <v>0</v>
      </c>
      <c r="I1871" s="112">
        <f>'OPEN FOREIGN ORDER'!AF1497</f>
        <v>0</v>
      </c>
      <c r="J1871" s="112">
        <f>'OPEN FOREIGN ORDER'!AG1497</f>
        <v>0</v>
      </c>
    </row>
    <row r="1872" spans="1:10">
      <c r="A1872">
        <f>'OPEN FOREIGN ORDER'!D1498</f>
        <v>0</v>
      </c>
      <c r="B1872">
        <f>'OPEN FOREIGN ORDER'!F1498</f>
        <v>0</v>
      </c>
      <c r="C1872">
        <f>'OPEN FOREIGN ORDER'!Z1498</f>
        <v>0</v>
      </c>
      <c r="D1872" s="123">
        <f>'OPEN FOREIGN ORDER'!AA1498</f>
        <v>0</v>
      </c>
      <c r="E1872" s="112">
        <f>'OPEN FOREIGN ORDER'!AB1498</f>
        <v>0</v>
      </c>
      <c r="F1872" s="112">
        <f>'OPEN FOREIGN ORDER'!AC1498</f>
        <v>0</v>
      </c>
      <c r="G1872" s="112">
        <f>'OPEN FOREIGN ORDER'!AD1498</f>
        <v>0</v>
      </c>
      <c r="H1872" s="112">
        <f>'OPEN FOREIGN ORDER'!AE1498</f>
        <v>0</v>
      </c>
      <c r="I1872" s="112">
        <f>'OPEN FOREIGN ORDER'!AF1498</f>
        <v>0</v>
      </c>
      <c r="J1872" s="112">
        <f>'OPEN FOREIGN ORDER'!AG1498</f>
        <v>0</v>
      </c>
    </row>
    <row r="1873" spans="1:10">
      <c r="A1873">
        <f>'OPEN FOREIGN ORDER'!D1499</f>
        <v>0</v>
      </c>
      <c r="B1873">
        <f>'OPEN FOREIGN ORDER'!F1499</f>
        <v>0</v>
      </c>
      <c r="C1873">
        <f>'OPEN FOREIGN ORDER'!Z1499</f>
        <v>0</v>
      </c>
      <c r="D1873" s="123">
        <f>'OPEN FOREIGN ORDER'!AA1499</f>
        <v>0</v>
      </c>
      <c r="E1873" s="112">
        <f>'OPEN FOREIGN ORDER'!AB1499</f>
        <v>0</v>
      </c>
      <c r="F1873" s="112">
        <f>'OPEN FOREIGN ORDER'!AC1499</f>
        <v>0</v>
      </c>
      <c r="G1873" s="112">
        <f>'OPEN FOREIGN ORDER'!AD1499</f>
        <v>0</v>
      </c>
      <c r="H1873" s="112">
        <f>'OPEN FOREIGN ORDER'!AE1499</f>
        <v>0</v>
      </c>
      <c r="I1873" s="112">
        <f>'OPEN FOREIGN ORDER'!AF1499</f>
        <v>0</v>
      </c>
      <c r="J1873" s="112">
        <f>'OPEN FOREIGN ORDER'!AG1499</f>
        <v>0</v>
      </c>
    </row>
    <row r="1874" spans="1:10">
      <c r="A1874">
        <f>'OPEN FOREIGN ORDER'!D1500</f>
        <v>0</v>
      </c>
      <c r="B1874">
        <f>'OPEN FOREIGN ORDER'!F1500</f>
        <v>0</v>
      </c>
      <c r="C1874">
        <f>'OPEN FOREIGN ORDER'!Z1500</f>
        <v>0</v>
      </c>
      <c r="D1874" s="123">
        <f>'OPEN FOREIGN ORDER'!AA1500</f>
        <v>0</v>
      </c>
      <c r="E1874" s="112">
        <f>'OPEN FOREIGN ORDER'!AB1500</f>
        <v>0</v>
      </c>
      <c r="F1874" s="112">
        <f>'OPEN FOREIGN ORDER'!AC1500</f>
        <v>0</v>
      </c>
      <c r="G1874" s="112">
        <f>'OPEN FOREIGN ORDER'!AD1500</f>
        <v>0</v>
      </c>
      <c r="H1874" s="112">
        <f>'OPEN FOREIGN ORDER'!AE1500</f>
        <v>0</v>
      </c>
      <c r="I1874" s="112">
        <f>'OPEN FOREIGN ORDER'!AF1500</f>
        <v>0</v>
      </c>
      <c r="J1874" s="112">
        <f>'OPEN FOREIGN ORDER'!AG1500</f>
        <v>0</v>
      </c>
    </row>
    <row r="1875" spans="1:10">
      <c r="A1875">
        <f>'OPEN FOREIGN ORDER'!D1501</f>
        <v>0</v>
      </c>
      <c r="B1875">
        <f>'OPEN FOREIGN ORDER'!F1501</f>
        <v>0</v>
      </c>
      <c r="C1875">
        <f>'OPEN FOREIGN ORDER'!Z1501</f>
        <v>0</v>
      </c>
      <c r="D1875" s="123">
        <f>'OPEN FOREIGN ORDER'!AA1501</f>
        <v>0</v>
      </c>
      <c r="E1875" s="112">
        <f>'OPEN FOREIGN ORDER'!AB1501</f>
        <v>0</v>
      </c>
      <c r="F1875" s="112">
        <f>'OPEN FOREIGN ORDER'!AC1501</f>
        <v>0</v>
      </c>
      <c r="G1875" s="112">
        <f>'OPEN FOREIGN ORDER'!AD1501</f>
        <v>0</v>
      </c>
      <c r="H1875" s="112">
        <f>'OPEN FOREIGN ORDER'!AE1501</f>
        <v>0</v>
      </c>
      <c r="I1875" s="112">
        <f>'OPEN FOREIGN ORDER'!AF1501</f>
        <v>0</v>
      </c>
      <c r="J1875" s="112">
        <f>'OPEN FOREIGN ORDER'!AG1501</f>
        <v>0</v>
      </c>
    </row>
    <row r="1876" spans="1:10">
      <c r="A1876">
        <f>'OPEN FOREIGN ORDER'!D1502</f>
        <v>0</v>
      </c>
      <c r="B1876">
        <f>'OPEN FOREIGN ORDER'!F1502</f>
        <v>0</v>
      </c>
      <c r="C1876">
        <f>'OPEN FOREIGN ORDER'!Z1502</f>
        <v>0</v>
      </c>
      <c r="D1876" s="123">
        <f>'OPEN FOREIGN ORDER'!AA1502</f>
        <v>0</v>
      </c>
      <c r="E1876" s="112">
        <f>'OPEN FOREIGN ORDER'!AB1502</f>
        <v>0</v>
      </c>
      <c r="F1876" s="112">
        <f>'OPEN FOREIGN ORDER'!AC1502</f>
        <v>0</v>
      </c>
      <c r="G1876" s="112">
        <f>'OPEN FOREIGN ORDER'!AD1502</f>
        <v>0</v>
      </c>
      <c r="H1876" s="112">
        <f>'OPEN FOREIGN ORDER'!AE1502</f>
        <v>0</v>
      </c>
      <c r="I1876" s="112">
        <f>'OPEN FOREIGN ORDER'!AF1502</f>
        <v>0</v>
      </c>
      <c r="J1876" s="112">
        <f>'OPEN FOREIGN ORDER'!AG1502</f>
        <v>0</v>
      </c>
    </row>
    <row r="1877" spans="1:10">
      <c r="A1877">
        <f>'OPEN FOREIGN ORDER'!D1503</f>
        <v>0</v>
      </c>
      <c r="B1877">
        <f>'OPEN FOREIGN ORDER'!F1503</f>
        <v>0</v>
      </c>
      <c r="C1877">
        <f>'OPEN FOREIGN ORDER'!Z1503</f>
        <v>0</v>
      </c>
      <c r="D1877" s="123">
        <f>'OPEN FOREIGN ORDER'!AA1503</f>
        <v>0</v>
      </c>
      <c r="E1877" s="112">
        <f>'OPEN FOREIGN ORDER'!AB1503</f>
        <v>0</v>
      </c>
      <c r="F1877" s="112">
        <f>'OPEN FOREIGN ORDER'!AC1503</f>
        <v>0</v>
      </c>
      <c r="G1877" s="112">
        <f>'OPEN FOREIGN ORDER'!AD1503</f>
        <v>0</v>
      </c>
      <c r="H1877" s="112">
        <f>'OPEN FOREIGN ORDER'!AE1503</f>
        <v>0</v>
      </c>
      <c r="I1877" s="112">
        <f>'OPEN FOREIGN ORDER'!AF1503</f>
        <v>0</v>
      </c>
      <c r="J1877" s="112">
        <f>'OPEN FOREIGN ORDER'!AG1503</f>
        <v>0</v>
      </c>
    </row>
    <row r="1878" spans="1:10">
      <c r="A1878">
        <f>'OPEN FOREIGN ORDER'!D1504</f>
        <v>0</v>
      </c>
      <c r="B1878">
        <f>'OPEN FOREIGN ORDER'!F1504</f>
        <v>0</v>
      </c>
      <c r="C1878">
        <f>'OPEN FOREIGN ORDER'!Z1504</f>
        <v>0</v>
      </c>
      <c r="D1878" s="123">
        <f>'OPEN FOREIGN ORDER'!AA1504</f>
        <v>0</v>
      </c>
      <c r="E1878" s="112">
        <f>'OPEN FOREIGN ORDER'!AB1504</f>
        <v>0</v>
      </c>
      <c r="F1878" s="112">
        <f>'OPEN FOREIGN ORDER'!AC1504</f>
        <v>0</v>
      </c>
      <c r="G1878" s="112">
        <f>'OPEN FOREIGN ORDER'!AD1504</f>
        <v>0</v>
      </c>
      <c r="H1878" s="112">
        <f>'OPEN FOREIGN ORDER'!AE1504</f>
        <v>0</v>
      </c>
      <c r="I1878" s="112">
        <f>'OPEN FOREIGN ORDER'!AF1504</f>
        <v>0</v>
      </c>
      <c r="J1878" s="112">
        <f>'OPEN FOREIGN ORDER'!AG1504</f>
        <v>0</v>
      </c>
    </row>
    <row r="1879" spans="1:10">
      <c r="A1879">
        <f>'OPEN FOREIGN ORDER'!D1505</f>
        <v>0</v>
      </c>
      <c r="B1879">
        <f>'OPEN FOREIGN ORDER'!F1505</f>
        <v>0</v>
      </c>
      <c r="C1879">
        <f>'OPEN FOREIGN ORDER'!Z1505</f>
        <v>0</v>
      </c>
      <c r="D1879" s="123">
        <f>'OPEN FOREIGN ORDER'!AA1505</f>
        <v>0</v>
      </c>
      <c r="E1879" s="112">
        <f>'OPEN FOREIGN ORDER'!AB1505</f>
        <v>0</v>
      </c>
      <c r="F1879" s="112">
        <f>'OPEN FOREIGN ORDER'!AC1505</f>
        <v>0</v>
      </c>
      <c r="G1879" s="112">
        <f>'OPEN FOREIGN ORDER'!AD1505</f>
        <v>0</v>
      </c>
      <c r="H1879" s="112">
        <f>'OPEN FOREIGN ORDER'!AE1505</f>
        <v>0</v>
      </c>
      <c r="I1879" s="112">
        <f>'OPEN FOREIGN ORDER'!AF1505</f>
        <v>0</v>
      </c>
      <c r="J1879" s="112">
        <f>'OPEN FOREIGN ORDER'!AG1505</f>
        <v>0</v>
      </c>
    </row>
    <row r="1880" spans="1:10">
      <c r="A1880">
        <f>'OPEN FOREIGN ORDER'!D1506</f>
        <v>0</v>
      </c>
      <c r="B1880">
        <f>'OPEN FOREIGN ORDER'!F1506</f>
        <v>0</v>
      </c>
      <c r="C1880">
        <f>'OPEN FOREIGN ORDER'!Z1506</f>
        <v>0</v>
      </c>
      <c r="D1880" s="123">
        <f>'OPEN FOREIGN ORDER'!AA1506</f>
        <v>0</v>
      </c>
      <c r="E1880" s="112">
        <f>'OPEN FOREIGN ORDER'!AB1506</f>
        <v>0</v>
      </c>
      <c r="F1880" s="112">
        <f>'OPEN FOREIGN ORDER'!AC1506</f>
        <v>0</v>
      </c>
      <c r="G1880" s="112">
        <f>'OPEN FOREIGN ORDER'!AD1506</f>
        <v>0</v>
      </c>
      <c r="H1880" s="112">
        <f>'OPEN FOREIGN ORDER'!AE1506</f>
        <v>0</v>
      </c>
      <c r="I1880" s="112">
        <f>'OPEN FOREIGN ORDER'!AF1506</f>
        <v>0</v>
      </c>
      <c r="J1880" s="112">
        <f>'OPEN FOREIGN ORDER'!AG1506</f>
        <v>0</v>
      </c>
    </row>
    <row r="1881" spans="1:10">
      <c r="A1881">
        <f>'OPEN FOREIGN ORDER'!D1507</f>
        <v>0</v>
      </c>
      <c r="B1881">
        <f>'OPEN FOREIGN ORDER'!F1507</f>
        <v>0</v>
      </c>
      <c r="C1881">
        <f>'OPEN FOREIGN ORDER'!Z1507</f>
        <v>0</v>
      </c>
      <c r="D1881" s="123">
        <f>'OPEN FOREIGN ORDER'!AA1507</f>
        <v>0</v>
      </c>
      <c r="E1881" s="112">
        <f>'OPEN FOREIGN ORDER'!AB1507</f>
        <v>0</v>
      </c>
      <c r="F1881" s="112">
        <f>'OPEN FOREIGN ORDER'!AC1507</f>
        <v>0</v>
      </c>
      <c r="G1881" s="112">
        <f>'OPEN FOREIGN ORDER'!AD1507</f>
        <v>0</v>
      </c>
      <c r="H1881" s="112">
        <f>'OPEN FOREIGN ORDER'!AE1507</f>
        <v>0</v>
      </c>
      <c r="I1881" s="112">
        <f>'OPEN FOREIGN ORDER'!AF1507</f>
        <v>0</v>
      </c>
      <c r="J1881" s="112">
        <f>'OPEN FOREIGN ORDER'!AG1507</f>
        <v>0</v>
      </c>
    </row>
    <row r="1882" spans="1:10">
      <c r="A1882">
        <f>'OPEN FOREIGN ORDER'!D1508</f>
        <v>0</v>
      </c>
      <c r="B1882">
        <f>'OPEN FOREIGN ORDER'!F1508</f>
        <v>0</v>
      </c>
      <c r="C1882">
        <f>'OPEN FOREIGN ORDER'!Z1508</f>
        <v>0</v>
      </c>
      <c r="D1882" s="123">
        <f>'OPEN FOREIGN ORDER'!AA1508</f>
        <v>0</v>
      </c>
      <c r="E1882" s="112">
        <f>'OPEN FOREIGN ORDER'!AB1508</f>
        <v>0</v>
      </c>
      <c r="F1882" s="112">
        <f>'OPEN FOREIGN ORDER'!AC1508</f>
        <v>0</v>
      </c>
      <c r="G1882" s="112">
        <f>'OPEN FOREIGN ORDER'!AD1508</f>
        <v>0</v>
      </c>
      <c r="H1882" s="112">
        <f>'OPEN FOREIGN ORDER'!AE1508</f>
        <v>0</v>
      </c>
      <c r="I1882" s="112">
        <f>'OPEN FOREIGN ORDER'!AF1508</f>
        <v>0</v>
      </c>
      <c r="J1882" s="112">
        <f>'OPEN FOREIGN ORDER'!AG1508</f>
        <v>0</v>
      </c>
    </row>
    <row r="1883" spans="1:10">
      <c r="A1883">
        <f>'OPEN FOREIGN ORDER'!D1509</f>
        <v>0</v>
      </c>
      <c r="B1883">
        <f>'OPEN FOREIGN ORDER'!F1509</f>
        <v>0</v>
      </c>
      <c r="C1883">
        <f>'OPEN FOREIGN ORDER'!Z1509</f>
        <v>0</v>
      </c>
      <c r="D1883" s="123">
        <f>'OPEN FOREIGN ORDER'!AA1509</f>
        <v>0</v>
      </c>
      <c r="E1883" s="112">
        <f>'OPEN FOREIGN ORDER'!AB1509</f>
        <v>0</v>
      </c>
      <c r="F1883" s="112">
        <f>'OPEN FOREIGN ORDER'!AC1509</f>
        <v>0</v>
      </c>
      <c r="G1883" s="112">
        <f>'OPEN FOREIGN ORDER'!AD1509</f>
        <v>0</v>
      </c>
      <c r="H1883" s="112">
        <f>'OPEN FOREIGN ORDER'!AE1509</f>
        <v>0</v>
      </c>
      <c r="I1883" s="112">
        <f>'OPEN FOREIGN ORDER'!AF1509</f>
        <v>0</v>
      </c>
      <c r="J1883" s="112">
        <f>'OPEN FOREIGN ORDER'!AG1509</f>
        <v>0</v>
      </c>
    </row>
    <row r="1884" spans="1:10">
      <c r="A1884">
        <f>'OPEN FOREIGN ORDER'!D1510</f>
        <v>0</v>
      </c>
      <c r="B1884">
        <f>'OPEN FOREIGN ORDER'!F1510</f>
        <v>0</v>
      </c>
      <c r="C1884">
        <f>'OPEN FOREIGN ORDER'!Z1510</f>
        <v>0</v>
      </c>
      <c r="D1884" s="123">
        <f>'OPEN FOREIGN ORDER'!AA1510</f>
        <v>0</v>
      </c>
      <c r="E1884" s="112">
        <f>'OPEN FOREIGN ORDER'!AB1510</f>
        <v>0</v>
      </c>
      <c r="F1884" s="112">
        <f>'OPEN FOREIGN ORDER'!AC1510</f>
        <v>0</v>
      </c>
      <c r="G1884" s="112">
        <f>'OPEN FOREIGN ORDER'!AD1510</f>
        <v>0</v>
      </c>
      <c r="H1884" s="112">
        <f>'OPEN FOREIGN ORDER'!AE1510</f>
        <v>0</v>
      </c>
      <c r="I1884" s="112">
        <f>'OPEN FOREIGN ORDER'!AF1510</f>
        <v>0</v>
      </c>
      <c r="J1884" s="112">
        <f>'OPEN FOREIGN ORDER'!AG1510</f>
        <v>0</v>
      </c>
    </row>
    <row r="1885" spans="1:10">
      <c r="A1885">
        <f>'OPEN FOREIGN ORDER'!D1511</f>
        <v>0</v>
      </c>
      <c r="B1885">
        <f>'OPEN FOREIGN ORDER'!F1511</f>
        <v>0</v>
      </c>
      <c r="C1885">
        <f>'OPEN FOREIGN ORDER'!Z1511</f>
        <v>0</v>
      </c>
      <c r="D1885" s="123">
        <f>'OPEN FOREIGN ORDER'!AA1511</f>
        <v>0</v>
      </c>
      <c r="E1885" s="112">
        <f>'OPEN FOREIGN ORDER'!AB1511</f>
        <v>0</v>
      </c>
      <c r="F1885" s="112">
        <f>'OPEN FOREIGN ORDER'!AC1511</f>
        <v>0</v>
      </c>
      <c r="G1885" s="112">
        <f>'OPEN FOREIGN ORDER'!AD1511</f>
        <v>0</v>
      </c>
      <c r="H1885" s="112">
        <f>'OPEN FOREIGN ORDER'!AE1511</f>
        <v>0</v>
      </c>
      <c r="I1885" s="112">
        <f>'OPEN FOREIGN ORDER'!AF1511</f>
        <v>0</v>
      </c>
      <c r="J1885" s="112">
        <f>'OPEN FOREIGN ORDER'!AG1511</f>
        <v>0</v>
      </c>
    </row>
    <row r="1886" spans="1:10">
      <c r="A1886">
        <f>'OPEN FOREIGN ORDER'!D1512</f>
        <v>0</v>
      </c>
      <c r="B1886">
        <f>'OPEN FOREIGN ORDER'!F1512</f>
        <v>0</v>
      </c>
      <c r="C1886">
        <f>'OPEN FOREIGN ORDER'!Z1512</f>
        <v>0</v>
      </c>
      <c r="D1886" s="123">
        <f>'OPEN FOREIGN ORDER'!AA1512</f>
        <v>0</v>
      </c>
      <c r="E1886" s="112">
        <f>'OPEN FOREIGN ORDER'!AB1512</f>
        <v>0</v>
      </c>
      <c r="F1886" s="112">
        <f>'OPEN FOREIGN ORDER'!AC1512</f>
        <v>0</v>
      </c>
      <c r="G1886" s="112">
        <f>'OPEN FOREIGN ORDER'!AD1512</f>
        <v>0</v>
      </c>
      <c r="H1886" s="112">
        <f>'OPEN FOREIGN ORDER'!AE1512</f>
        <v>0</v>
      </c>
      <c r="I1886" s="112">
        <f>'OPEN FOREIGN ORDER'!AF1512</f>
        <v>0</v>
      </c>
      <c r="J1886" s="112">
        <f>'OPEN FOREIGN ORDER'!AG1512</f>
        <v>0</v>
      </c>
    </row>
    <row r="1887" spans="1:10">
      <c r="A1887">
        <f>'OPEN FOREIGN ORDER'!D1513</f>
        <v>0</v>
      </c>
      <c r="B1887">
        <f>'OPEN FOREIGN ORDER'!F1513</f>
        <v>0</v>
      </c>
      <c r="C1887">
        <f>'OPEN FOREIGN ORDER'!Z1513</f>
        <v>0</v>
      </c>
      <c r="D1887" s="123">
        <f>'OPEN FOREIGN ORDER'!AA1513</f>
        <v>0</v>
      </c>
      <c r="E1887" s="112">
        <f>'OPEN FOREIGN ORDER'!AB1513</f>
        <v>0</v>
      </c>
      <c r="F1887" s="112">
        <f>'OPEN FOREIGN ORDER'!AC1513</f>
        <v>0</v>
      </c>
      <c r="G1887" s="112">
        <f>'OPEN FOREIGN ORDER'!AD1513</f>
        <v>0</v>
      </c>
      <c r="H1887" s="112">
        <f>'OPEN FOREIGN ORDER'!AE1513</f>
        <v>0</v>
      </c>
      <c r="I1887" s="112">
        <f>'OPEN FOREIGN ORDER'!AF1513</f>
        <v>0</v>
      </c>
      <c r="J1887" s="112">
        <f>'OPEN FOREIGN ORDER'!AG1513</f>
        <v>0</v>
      </c>
    </row>
    <row r="1888" spans="1:10">
      <c r="A1888">
        <f>'OPEN FOREIGN ORDER'!D1514</f>
        <v>0</v>
      </c>
      <c r="B1888">
        <f>'OPEN FOREIGN ORDER'!F1514</f>
        <v>0</v>
      </c>
      <c r="C1888">
        <f>'OPEN FOREIGN ORDER'!Z1514</f>
        <v>0</v>
      </c>
      <c r="D1888" s="123">
        <f>'OPEN FOREIGN ORDER'!AA1514</f>
        <v>0</v>
      </c>
      <c r="E1888" s="112">
        <f>'OPEN FOREIGN ORDER'!AB1514</f>
        <v>0</v>
      </c>
      <c r="F1888" s="112">
        <f>'OPEN FOREIGN ORDER'!AC1514</f>
        <v>0</v>
      </c>
      <c r="G1888" s="112">
        <f>'OPEN FOREIGN ORDER'!AD1514</f>
        <v>0</v>
      </c>
      <c r="H1888" s="112">
        <f>'OPEN FOREIGN ORDER'!AE1514</f>
        <v>0</v>
      </c>
      <c r="I1888" s="112">
        <f>'OPEN FOREIGN ORDER'!AF1514</f>
        <v>0</v>
      </c>
      <c r="J1888" s="112">
        <f>'OPEN FOREIGN ORDER'!AG1514</f>
        <v>0</v>
      </c>
    </row>
    <row r="1889" spans="1:10">
      <c r="A1889">
        <f>'OPEN FOREIGN ORDER'!D1515</f>
        <v>0</v>
      </c>
      <c r="B1889">
        <f>'OPEN FOREIGN ORDER'!F1515</f>
        <v>0</v>
      </c>
      <c r="C1889">
        <f>'OPEN FOREIGN ORDER'!Z1515</f>
        <v>0</v>
      </c>
      <c r="D1889" s="123">
        <f>'OPEN FOREIGN ORDER'!AA1515</f>
        <v>0</v>
      </c>
      <c r="E1889" s="112">
        <f>'OPEN FOREIGN ORDER'!AB1515</f>
        <v>0</v>
      </c>
      <c r="F1889" s="112">
        <f>'OPEN FOREIGN ORDER'!AC1515</f>
        <v>0</v>
      </c>
      <c r="G1889" s="112">
        <f>'OPEN FOREIGN ORDER'!AD1515</f>
        <v>0</v>
      </c>
      <c r="H1889" s="112">
        <f>'OPEN FOREIGN ORDER'!AE1515</f>
        <v>0</v>
      </c>
      <c r="I1889" s="112">
        <f>'OPEN FOREIGN ORDER'!AF1515</f>
        <v>0</v>
      </c>
      <c r="J1889" s="112">
        <f>'OPEN FOREIGN ORDER'!AG1515</f>
        <v>0</v>
      </c>
    </row>
    <row r="1890" spans="1:10">
      <c r="A1890">
        <f>'OPEN FOREIGN ORDER'!D1516</f>
        <v>0</v>
      </c>
      <c r="B1890">
        <f>'OPEN FOREIGN ORDER'!F1516</f>
        <v>0</v>
      </c>
      <c r="C1890">
        <f>'OPEN FOREIGN ORDER'!Z1516</f>
        <v>0</v>
      </c>
      <c r="D1890" s="123">
        <f>'OPEN FOREIGN ORDER'!AA1516</f>
        <v>0</v>
      </c>
      <c r="E1890" s="112">
        <f>'OPEN FOREIGN ORDER'!AB1516</f>
        <v>0</v>
      </c>
      <c r="F1890" s="112">
        <f>'OPEN FOREIGN ORDER'!AC1516</f>
        <v>0</v>
      </c>
      <c r="G1890" s="112">
        <f>'OPEN FOREIGN ORDER'!AD1516</f>
        <v>0</v>
      </c>
      <c r="H1890" s="112">
        <f>'OPEN FOREIGN ORDER'!AE1516</f>
        <v>0</v>
      </c>
      <c r="I1890" s="112">
        <f>'OPEN FOREIGN ORDER'!AF1516</f>
        <v>0</v>
      </c>
      <c r="J1890" s="112">
        <f>'OPEN FOREIGN ORDER'!AG1516</f>
        <v>0</v>
      </c>
    </row>
    <row r="1891" spans="1:10">
      <c r="A1891">
        <f>'OPEN FOREIGN ORDER'!D1517</f>
        <v>0</v>
      </c>
      <c r="B1891">
        <f>'OPEN FOREIGN ORDER'!F1517</f>
        <v>0</v>
      </c>
      <c r="C1891">
        <f>'OPEN FOREIGN ORDER'!Z1517</f>
        <v>0</v>
      </c>
      <c r="D1891" s="123">
        <f>'OPEN FOREIGN ORDER'!AA1517</f>
        <v>0</v>
      </c>
      <c r="E1891" s="112">
        <f>'OPEN FOREIGN ORDER'!AB1517</f>
        <v>0</v>
      </c>
      <c r="F1891" s="112">
        <f>'OPEN FOREIGN ORDER'!AC1517</f>
        <v>0</v>
      </c>
      <c r="G1891" s="112">
        <f>'OPEN FOREIGN ORDER'!AD1517</f>
        <v>0</v>
      </c>
      <c r="H1891" s="112">
        <f>'OPEN FOREIGN ORDER'!AE1517</f>
        <v>0</v>
      </c>
      <c r="I1891" s="112">
        <f>'OPEN FOREIGN ORDER'!AF1517</f>
        <v>0</v>
      </c>
      <c r="J1891" s="112">
        <f>'OPEN FOREIGN ORDER'!AG1517</f>
        <v>0</v>
      </c>
    </row>
    <row r="1892" spans="1:10">
      <c r="A1892">
        <f>'OPEN FOREIGN ORDER'!D1518</f>
        <v>0</v>
      </c>
      <c r="B1892">
        <f>'OPEN FOREIGN ORDER'!F1518</f>
        <v>0</v>
      </c>
      <c r="C1892">
        <f>'OPEN FOREIGN ORDER'!Z1518</f>
        <v>0</v>
      </c>
      <c r="D1892" s="123">
        <f>'OPEN FOREIGN ORDER'!AA1518</f>
        <v>0</v>
      </c>
      <c r="E1892" s="112">
        <f>'OPEN FOREIGN ORDER'!AB1518</f>
        <v>0</v>
      </c>
      <c r="F1892" s="112">
        <f>'OPEN FOREIGN ORDER'!AC1518</f>
        <v>0</v>
      </c>
      <c r="G1892" s="112">
        <f>'OPEN FOREIGN ORDER'!AD1518</f>
        <v>0</v>
      </c>
      <c r="H1892" s="112">
        <f>'OPEN FOREIGN ORDER'!AE1518</f>
        <v>0</v>
      </c>
      <c r="I1892" s="112">
        <f>'OPEN FOREIGN ORDER'!AF1518</f>
        <v>0</v>
      </c>
      <c r="J1892" s="112">
        <f>'OPEN FOREIGN ORDER'!AG1518</f>
        <v>0</v>
      </c>
    </row>
    <row r="1893" spans="1:10">
      <c r="A1893">
        <f>'OPEN FOREIGN ORDER'!D1519</f>
        <v>0</v>
      </c>
      <c r="B1893">
        <f>'OPEN FOREIGN ORDER'!F1519</f>
        <v>0</v>
      </c>
      <c r="C1893">
        <f>'OPEN FOREIGN ORDER'!Z1519</f>
        <v>0</v>
      </c>
      <c r="D1893" s="123">
        <f>'OPEN FOREIGN ORDER'!AA1519</f>
        <v>0</v>
      </c>
      <c r="E1893" s="112">
        <f>'OPEN FOREIGN ORDER'!AB1519</f>
        <v>0</v>
      </c>
      <c r="F1893" s="112">
        <f>'OPEN FOREIGN ORDER'!AC1519</f>
        <v>0</v>
      </c>
      <c r="G1893" s="112">
        <f>'OPEN FOREIGN ORDER'!AD1519</f>
        <v>0</v>
      </c>
      <c r="H1893" s="112">
        <f>'OPEN FOREIGN ORDER'!AE1519</f>
        <v>0</v>
      </c>
      <c r="I1893" s="112">
        <f>'OPEN FOREIGN ORDER'!AF1519</f>
        <v>0</v>
      </c>
      <c r="J1893" s="112">
        <f>'OPEN FOREIGN ORDER'!AG1519</f>
        <v>0</v>
      </c>
    </row>
    <row r="1894" spans="1:10">
      <c r="A1894">
        <f>'OPEN FOREIGN ORDER'!D1520</f>
        <v>0</v>
      </c>
      <c r="B1894">
        <f>'OPEN FOREIGN ORDER'!F1520</f>
        <v>0</v>
      </c>
      <c r="C1894">
        <f>'OPEN FOREIGN ORDER'!Z1520</f>
        <v>0</v>
      </c>
      <c r="D1894" s="123">
        <f>'OPEN FOREIGN ORDER'!AA1520</f>
        <v>0</v>
      </c>
      <c r="E1894" s="112">
        <f>'OPEN FOREIGN ORDER'!AB1520</f>
        <v>0</v>
      </c>
      <c r="F1894" s="112">
        <f>'OPEN FOREIGN ORDER'!AC1520</f>
        <v>0</v>
      </c>
      <c r="G1894" s="112">
        <f>'OPEN FOREIGN ORDER'!AD1520</f>
        <v>0</v>
      </c>
      <c r="H1894" s="112">
        <f>'OPEN FOREIGN ORDER'!AE1520</f>
        <v>0</v>
      </c>
      <c r="I1894" s="112">
        <f>'OPEN FOREIGN ORDER'!AF1520</f>
        <v>0</v>
      </c>
      <c r="J1894" s="112">
        <f>'OPEN FOREIGN ORDER'!AG1520</f>
        <v>0</v>
      </c>
    </row>
    <row r="1895" spans="1:10">
      <c r="A1895">
        <f>'OPEN FOREIGN ORDER'!D1521</f>
        <v>0</v>
      </c>
      <c r="B1895">
        <f>'OPEN FOREIGN ORDER'!F1521</f>
        <v>0</v>
      </c>
      <c r="C1895">
        <f>'OPEN FOREIGN ORDER'!Z1521</f>
        <v>0</v>
      </c>
      <c r="D1895" s="123">
        <f>'OPEN FOREIGN ORDER'!AA1521</f>
        <v>0</v>
      </c>
      <c r="E1895" s="112">
        <f>'OPEN FOREIGN ORDER'!AB1521</f>
        <v>0</v>
      </c>
      <c r="F1895" s="112">
        <f>'OPEN FOREIGN ORDER'!AC1521</f>
        <v>0</v>
      </c>
      <c r="G1895" s="112">
        <f>'OPEN FOREIGN ORDER'!AD1521</f>
        <v>0</v>
      </c>
      <c r="H1895" s="112">
        <f>'OPEN FOREIGN ORDER'!AE1521</f>
        <v>0</v>
      </c>
      <c r="I1895" s="112">
        <f>'OPEN FOREIGN ORDER'!AF1521</f>
        <v>0</v>
      </c>
      <c r="J1895" s="112">
        <f>'OPEN FOREIGN ORDER'!AG1521</f>
        <v>0</v>
      </c>
    </row>
    <row r="1896" spans="1:10">
      <c r="A1896">
        <f>'OPEN FOREIGN ORDER'!D1522</f>
        <v>0</v>
      </c>
      <c r="B1896">
        <f>'OPEN FOREIGN ORDER'!F1522</f>
        <v>0</v>
      </c>
      <c r="C1896">
        <f>'OPEN FOREIGN ORDER'!Z1522</f>
        <v>0</v>
      </c>
      <c r="D1896" s="123">
        <f>'OPEN FOREIGN ORDER'!AA1522</f>
        <v>0</v>
      </c>
      <c r="E1896" s="112">
        <f>'OPEN FOREIGN ORDER'!AB1522</f>
        <v>0</v>
      </c>
      <c r="F1896" s="112">
        <f>'OPEN FOREIGN ORDER'!AC1522</f>
        <v>0</v>
      </c>
      <c r="G1896" s="112">
        <f>'OPEN FOREIGN ORDER'!AD1522</f>
        <v>0</v>
      </c>
      <c r="H1896" s="112">
        <f>'OPEN FOREIGN ORDER'!AE1522</f>
        <v>0</v>
      </c>
      <c r="I1896" s="112">
        <f>'OPEN FOREIGN ORDER'!AF1522</f>
        <v>0</v>
      </c>
      <c r="J1896" s="112">
        <f>'OPEN FOREIGN ORDER'!AG1522</f>
        <v>0</v>
      </c>
    </row>
    <row r="1897" spans="1:10">
      <c r="A1897">
        <f>'OPEN FOREIGN ORDER'!D1523</f>
        <v>0</v>
      </c>
      <c r="B1897">
        <f>'OPEN FOREIGN ORDER'!F1523</f>
        <v>0</v>
      </c>
      <c r="C1897">
        <f>'OPEN FOREIGN ORDER'!Z1523</f>
        <v>0</v>
      </c>
      <c r="D1897" s="123">
        <f>'OPEN FOREIGN ORDER'!AA1523</f>
        <v>0</v>
      </c>
      <c r="E1897" s="112">
        <f>'OPEN FOREIGN ORDER'!AB1523</f>
        <v>0</v>
      </c>
      <c r="F1897" s="112">
        <f>'OPEN FOREIGN ORDER'!AC1523</f>
        <v>0</v>
      </c>
      <c r="G1897" s="112">
        <f>'OPEN FOREIGN ORDER'!AD1523</f>
        <v>0</v>
      </c>
      <c r="H1897" s="112">
        <f>'OPEN FOREIGN ORDER'!AE1523</f>
        <v>0</v>
      </c>
      <c r="I1897" s="112">
        <f>'OPEN FOREIGN ORDER'!AF1523</f>
        <v>0</v>
      </c>
      <c r="J1897" s="112">
        <f>'OPEN FOREIGN ORDER'!AG1523</f>
        <v>0</v>
      </c>
    </row>
    <row r="1898" spans="1:10">
      <c r="A1898">
        <f>'OPEN FOREIGN ORDER'!D1524</f>
        <v>0</v>
      </c>
      <c r="B1898">
        <f>'OPEN FOREIGN ORDER'!F1524</f>
        <v>0</v>
      </c>
      <c r="C1898">
        <f>'OPEN FOREIGN ORDER'!Z1524</f>
        <v>0</v>
      </c>
      <c r="D1898" s="123">
        <f>'OPEN FOREIGN ORDER'!AA1524</f>
        <v>0</v>
      </c>
      <c r="E1898" s="112">
        <f>'OPEN FOREIGN ORDER'!AB1524</f>
        <v>0</v>
      </c>
      <c r="F1898" s="112">
        <f>'OPEN FOREIGN ORDER'!AC1524</f>
        <v>0</v>
      </c>
      <c r="G1898" s="112">
        <f>'OPEN FOREIGN ORDER'!AD1524</f>
        <v>0</v>
      </c>
      <c r="H1898" s="112">
        <f>'OPEN FOREIGN ORDER'!AE1524</f>
        <v>0</v>
      </c>
      <c r="I1898" s="112">
        <f>'OPEN FOREIGN ORDER'!AF1524</f>
        <v>0</v>
      </c>
      <c r="J1898" s="112">
        <f>'OPEN FOREIGN ORDER'!AG1524</f>
        <v>0</v>
      </c>
    </row>
    <row r="1899" spans="1:10">
      <c r="A1899">
        <f>'OPEN FOREIGN ORDER'!D1525</f>
        <v>0</v>
      </c>
      <c r="B1899">
        <f>'OPEN FOREIGN ORDER'!F1525</f>
        <v>0</v>
      </c>
      <c r="C1899">
        <f>'OPEN FOREIGN ORDER'!Z1525</f>
        <v>0</v>
      </c>
      <c r="D1899" s="123">
        <f>'OPEN FOREIGN ORDER'!AA1525</f>
        <v>0</v>
      </c>
      <c r="E1899" s="112">
        <f>'OPEN FOREIGN ORDER'!AB1525</f>
        <v>0</v>
      </c>
      <c r="F1899" s="112">
        <f>'OPEN FOREIGN ORDER'!AC1525</f>
        <v>0</v>
      </c>
      <c r="G1899" s="112">
        <f>'OPEN FOREIGN ORDER'!AD1525</f>
        <v>0</v>
      </c>
      <c r="H1899" s="112">
        <f>'OPEN FOREIGN ORDER'!AE1525</f>
        <v>0</v>
      </c>
      <c r="I1899" s="112">
        <f>'OPEN FOREIGN ORDER'!AF1525</f>
        <v>0</v>
      </c>
      <c r="J1899" s="112">
        <f>'OPEN FOREIGN ORDER'!AG1525</f>
        <v>0</v>
      </c>
    </row>
    <row r="1900" spans="1:10">
      <c r="A1900">
        <f>'OPEN FOREIGN ORDER'!D1526</f>
        <v>0</v>
      </c>
      <c r="B1900">
        <f>'OPEN FOREIGN ORDER'!F1526</f>
        <v>0</v>
      </c>
      <c r="C1900">
        <f>'OPEN FOREIGN ORDER'!Z1526</f>
        <v>0</v>
      </c>
      <c r="D1900" s="123">
        <f>'OPEN FOREIGN ORDER'!AA1526</f>
        <v>0</v>
      </c>
      <c r="E1900" s="112">
        <f>'OPEN FOREIGN ORDER'!AB1526</f>
        <v>0</v>
      </c>
      <c r="F1900" s="112">
        <f>'OPEN FOREIGN ORDER'!AC1526</f>
        <v>0</v>
      </c>
      <c r="G1900" s="112">
        <f>'OPEN FOREIGN ORDER'!AD1526</f>
        <v>0</v>
      </c>
      <c r="H1900" s="112">
        <f>'OPEN FOREIGN ORDER'!AE1526</f>
        <v>0</v>
      </c>
      <c r="I1900" s="112">
        <f>'OPEN FOREIGN ORDER'!AF1526</f>
        <v>0</v>
      </c>
      <c r="J1900" s="112">
        <f>'OPEN FOREIGN ORDER'!AG1526</f>
        <v>0</v>
      </c>
    </row>
    <row r="1901" spans="1:10">
      <c r="A1901">
        <f>'OPEN FOREIGN ORDER'!D1527</f>
        <v>0</v>
      </c>
      <c r="B1901">
        <f>'OPEN FOREIGN ORDER'!F1527</f>
        <v>0</v>
      </c>
      <c r="C1901">
        <f>'OPEN FOREIGN ORDER'!Z1527</f>
        <v>0</v>
      </c>
      <c r="D1901" s="123">
        <f>'OPEN FOREIGN ORDER'!AA1527</f>
        <v>0</v>
      </c>
      <c r="E1901" s="112">
        <f>'OPEN FOREIGN ORDER'!AB1527</f>
        <v>0</v>
      </c>
      <c r="F1901" s="112">
        <f>'OPEN FOREIGN ORDER'!AC1527</f>
        <v>0</v>
      </c>
      <c r="G1901" s="112">
        <f>'OPEN FOREIGN ORDER'!AD1527</f>
        <v>0</v>
      </c>
      <c r="H1901" s="112">
        <f>'OPEN FOREIGN ORDER'!AE1527</f>
        <v>0</v>
      </c>
      <c r="I1901" s="112">
        <f>'OPEN FOREIGN ORDER'!AF1527</f>
        <v>0</v>
      </c>
      <c r="J1901" s="112">
        <f>'OPEN FOREIGN ORDER'!AG1527</f>
        <v>0</v>
      </c>
    </row>
    <row r="1902" spans="1:10">
      <c r="A1902">
        <f>'OPEN FOREIGN ORDER'!D1528</f>
        <v>0</v>
      </c>
      <c r="B1902">
        <f>'OPEN FOREIGN ORDER'!F1528</f>
        <v>0</v>
      </c>
      <c r="C1902">
        <f>'OPEN FOREIGN ORDER'!Z1528</f>
        <v>0</v>
      </c>
      <c r="D1902" s="123">
        <f>'OPEN FOREIGN ORDER'!AA1528</f>
        <v>0</v>
      </c>
      <c r="E1902" s="112">
        <f>'OPEN FOREIGN ORDER'!AB1528</f>
        <v>0</v>
      </c>
      <c r="F1902" s="112">
        <f>'OPEN FOREIGN ORDER'!AC1528</f>
        <v>0</v>
      </c>
      <c r="G1902" s="112">
        <f>'OPEN FOREIGN ORDER'!AD1528</f>
        <v>0</v>
      </c>
      <c r="H1902" s="112">
        <f>'OPEN FOREIGN ORDER'!AE1528</f>
        <v>0</v>
      </c>
      <c r="I1902" s="112">
        <f>'OPEN FOREIGN ORDER'!AF1528</f>
        <v>0</v>
      </c>
      <c r="J1902" s="112">
        <f>'OPEN FOREIGN ORDER'!AG1528</f>
        <v>0</v>
      </c>
    </row>
    <row r="1903" spans="1:10">
      <c r="A1903">
        <f>'OPEN FOREIGN ORDER'!D1529</f>
        <v>0</v>
      </c>
      <c r="B1903">
        <f>'OPEN FOREIGN ORDER'!F1529</f>
        <v>0</v>
      </c>
      <c r="C1903">
        <f>'OPEN FOREIGN ORDER'!Z1529</f>
        <v>0</v>
      </c>
      <c r="D1903" s="123">
        <f>'OPEN FOREIGN ORDER'!AA1529</f>
        <v>0</v>
      </c>
      <c r="E1903" s="112">
        <f>'OPEN FOREIGN ORDER'!AB1529</f>
        <v>0</v>
      </c>
      <c r="F1903" s="112">
        <f>'OPEN FOREIGN ORDER'!AC1529</f>
        <v>0</v>
      </c>
      <c r="G1903" s="112">
        <f>'OPEN FOREIGN ORDER'!AD1529</f>
        <v>0</v>
      </c>
      <c r="H1903" s="112">
        <f>'OPEN FOREIGN ORDER'!AE1529</f>
        <v>0</v>
      </c>
      <c r="I1903" s="112">
        <f>'OPEN FOREIGN ORDER'!AF1529</f>
        <v>0</v>
      </c>
      <c r="J1903" s="112">
        <f>'OPEN FOREIGN ORDER'!AG1529</f>
        <v>0</v>
      </c>
    </row>
    <row r="1904" spans="1:10">
      <c r="A1904">
        <f>'OPEN FOREIGN ORDER'!D1530</f>
        <v>0</v>
      </c>
      <c r="B1904">
        <f>'OPEN FOREIGN ORDER'!F1530</f>
        <v>0</v>
      </c>
      <c r="C1904">
        <f>'OPEN FOREIGN ORDER'!Z1530</f>
        <v>0</v>
      </c>
      <c r="D1904" s="123">
        <f>'OPEN FOREIGN ORDER'!AA1530</f>
        <v>0</v>
      </c>
      <c r="E1904" s="112">
        <f>'OPEN FOREIGN ORDER'!AB1530</f>
        <v>0</v>
      </c>
      <c r="F1904" s="112">
        <f>'OPEN FOREIGN ORDER'!AC1530</f>
        <v>0</v>
      </c>
      <c r="G1904" s="112">
        <f>'OPEN FOREIGN ORDER'!AD1530</f>
        <v>0</v>
      </c>
      <c r="H1904" s="112">
        <f>'OPEN FOREIGN ORDER'!AE1530</f>
        <v>0</v>
      </c>
      <c r="I1904" s="112">
        <f>'OPEN FOREIGN ORDER'!AF1530</f>
        <v>0</v>
      </c>
      <c r="J1904" s="112">
        <f>'OPEN FOREIGN ORDER'!AG1530</f>
        <v>0</v>
      </c>
    </row>
    <row r="1905" spans="1:10">
      <c r="A1905">
        <f>'OPEN FOREIGN ORDER'!D1531</f>
        <v>0</v>
      </c>
      <c r="B1905">
        <f>'OPEN FOREIGN ORDER'!F1531</f>
        <v>0</v>
      </c>
      <c r="C1905">
        <f>'OPEN FOREIGN ORDER'!Z1531</f>
        <v>0</v>
      </c>
      <c r="D1905" s="123">
        <f>'OPEN FOREIGN ORDER'!AA1531</f>
        <v>0</v>
      </c>
      <c r="E1905" s="112">
        <f>'OPEN FOREIGN ORDER'!AB1531</f>
        <v>0</v>
      </c>
      <c r="F1905" s="112">
        <f>'OPEN FOREIGN ORDER'!AC1531</f>
        <v>0</v>
      </c>
      <c r="G1905" s="112">
        <f>'OPEN FOREIGN ORDER'!AD1531</f>
        <v>0</v>
      </c>
      <c r="H1905" s="112">
        <f>'OPEN FOREIGN ORDER'!AE1531</f>
        <v>0</v>
      </c>
      <c r="I1905" s="112">
        <f>'OPEN FOREIGN ORDER'!AF1531</f>
        <v>0</v>
      </c>
      <c r="J1905" s="112">
        <f>'OPEN FOREIGN ORDER'!AG1531</f>
        <v>0</v>
      </c>
    </row>
    <row r="1906" spans="1:10">
      <c r="A1906">
        <f>'OPEN FOREIGN ORDER'!D1532</f>
        <v>0</v>
      </c>
      <c r="B1906">
        <f>'OPEN FOREIGN ORDER'!F1532</f>
        <v>0</v>
      </c>
      <c r="C1906">
        <f>'OPEN FOREIGN ORDER'!Z1532</f>
        <v>0</v>
      </c>
      <c r="D1906" s="123">
        <f>'OPEN FOREIGN ORDER'!AA1532</f>
        <v>0</v>
      </c>
      <c r="E1906" s="112">
        <f>'OPEN FOREIGN ORDER'!AB1532</f>
        <v>0</v>
      </c>
      <c r="F1906" s="112">
        <f>'OPEN FOREIGN ORDER'!AC1532</f>
        <v>0</v>
      </c>
      <c r="G1906" s="112">
        <f>'OPEN FOREIGN ORDER'!AD1532</f>
        <v>0</v>
      </c>
      <c r="H1906" s="112">
        <f>'OPEN FOREIGN ORDER'!AE1532</f>
        <v>0</v>
      </c>
      <c r="I1906" s="112">
        <f>'OPEN FOREIGN ORDER'!AF1532</f>
        <v>0</v>
      </c>
      <c r="J1906" s="112">
        <f>'OPEN FOREIGN ORDER'!AG1532</f>
        <v>0</v>
      </c>
    </row>
    <row r="1907" spans="1:10">
      <c r="A1907">
        <f>'OPEN FOREIGN ORDER'!D1533</f>
        <v>0</v>
      </c>
      <c r="B1907">
        <f>'OPEN FOREIGN ORDER'!F1533</f>
        <v>0</v>
      </c>
      <c r="C1907">
        <f>'OPEN FOREIGN ORDER'!Z1533</f>
        <v>0</v>
      </c>
      <c r="D1907" s="123">
        <f>'OPEN FOREIGN ORDER'!AA1533</f>
        <v>0</v>
      </c>
      <c r="E1907" s="112">
        <f>'OPEN FOREIGN ORDER'!AB1533</f>
        <v>0</v>
      </c>
      <c r="F1907" s="112">
        <f>'OPEN FOREIGN ORDER'!AC1533</f>
        <v>0</v>
      </c>
      <c r="G1907" s="112">
        <f>'OPEN FOREIGN ORDER'!AD1533</f>
        <v>0</v>
      </c>
      <c r="H1907" s="112">
        <f>'OPEN FOREIGN ORDER'!AE1533</f>
        <v>0</v>
      </c>
      <c r="I1907" s="112">
        <f>'OPEN FOREIGN ORDER'!AF1533</f>
        <v>0</v>
      </c>
      <c r="J1907" s="112">
        <f>'OPEN FOREIGN ORDER'!AG1533</f>
        <v>0</v>
      </c>
    </row>
    <row r="1908" spans="1:10">
      <c r="A1908">
        <f>'OPEN FOREIGN ORDER'!D1534</f>
        <v>0</v>
      </c>
      <c r="B1908">
        <f>'OPEN FOREIGN ORDER'!F1534</f>
        <v>0</v>
      </c>
      <c r="C1908">
        <f>'OPEN FOREIGN ORDER'!Z1534</f>
        <v>0</v>
      </c>
      <c r="D1908" s="123">
        <f>'OPEN FOREIGN ORDER'!AA1534</f>
        <v>0</v>
      </c>
      <c r="E1908" s="112">
        <f>'OPEN FOREIGN ORDER'!AB1534</f>
        <v>0</v>
      </c>
      <c r="F1908" s="112">
        <f>'OPEN FOREIGN ORDER'!AC1534</f>
        <v>0</v>
      </c>
      <c r="G1908" s="112">
        <f>'OPEN FOREIGN ORDER'!AD1534</f>
        <v>0</v>
      </c>
      <c r="H1908" s="112">
        <f>'OPEN FOREIGN ORDER'!AE1534</f>
        <v>0</v>
      </c>
      <c r="I1908" s="112">
        <f>'OPEN FOREIGN ORDER'!AF1534</f>
        <v>0</v>
      </c>
      <c r="J1908" s="112">
        <f>'OPEN FOREIGN ORDER'!AG1534</f>
        <v>0</v>
      </c>
    </row>
    <row r="1909" spans="1:10">
      <c r="A1909">
        <f>'OPEN FOREIGN ORDER'!D1535</f>
        <v>0</v>
      </c>
      <c r="B1909">
        <f>'OPEN FOREIGN ORDER'!F1535</f>
        <v>0</v>
      </c>
      <c r="C1909">
        <f>'OPEN FOREIGN ORDER'!Z1535</f>
        <v>0</v>
      </c>
      <c r="D1909" s="123">
        <f>'OPEN FOREIGN ORDER'!AA1535</f>
        <v>0</v>
      </c>
      <c r="E1909" s="112">
        <f>'OPEN FOREIGN ORDER'!AB1535</f>
        <v>0</v>
      </c>
      <c r="F1909" s="112">
        <f>'OPEN FOREIGN ORDER'!AC1535</f>
        <v>0</v>
      </c>
      <c r="G1909" s="112">
        <f>'OPEN FOREIGN ORDER'!AD1535</f>
        <v>0</v>
      </c>
      <c r="H1909" s="112">
        <f>'OPEN FOREIGN ORDER'!AE1535</f>
        <v>0</v>
      </c>
      <c r="I1909" s="112">
        <f>'OPEN FOREIGN ORDER'!AF1535</f>
        <v>0</v>
      </c>
      <c r="J1909" s="112">
        <f>'OPEN FOREIGN ORDER'!AG1535</f>
        <v>0</v>
      </c>
    </row>
    <row r="1910" spans="1:10">
      <c r="A1910">
        <f>'OPEN FOREIGN ORDER'!D1536</f>
        <v>0</v>
      </c>
      <c r="B1910">
        <f>'OPEN FOREIGN ORDER'!F1536</f>
        <v>0</v>
      </c>
      <c r="C1910">
        <f>'OPEN FOREIGN ORDER'!Z1536</f>
        <v>0</v>
      </c>
      <c r="D1910" s="123">
        <f>'OPEN FOREIGN ORDER'!AA1536</f>
        <v>0</v>
      </c>
      <c r="E1910" s="112">
        <f>'OPEN FOREIGN ORDER'!AB1536</f>
        <v>0</v>
      </c>
      <c r="F1910" s="112">
        <f>'OPEN FOREIGN ORDER'!AC1536</f>
        <v>0</v>
      </c>
      <c r="G1910" s="112">
        <f>'OPEN FOREIGN ORDER'!AD1536</f>
        <v>0</v>
      </c>
      <c r="H1910" s="112">
        <f>'OPEN FOREIGN ORDER'!AE1536</f>
        <v>0</v>
      </c>
      <c r="I1910" s="112">
        <f>'OPEN FOREIGN ORDER'!AF1536</f>
        <v>0</v>
      </c>
      <c r="J1910" s="112">
        <f>'OPEN FOREIGN ORDER'!AG1536</f>
        <v>0</v>
      </c>
    </row>
    <row r="1911" spans="1:10">
      <c r="A1911">
        <f>'OPEN FOREIGN ORDER'!D1537</f>
        <v>0</v>
      </c>
      <c r="B1911">
        <f>'OPEN FOREIGN ORDER'!F1537</f>
        <v>0</v>
      </c>
      <c r="C1911">
        <f>'OPEN FOREIGN ORDER'!Z1537</f>
        <v>0</v>
      </c>
      <c r="D1911" s="123">
        <f>'OPEN FOREIGN ORDER'!AA1537</f>
        <v>0</v>
      </c>
      <c r="E1911" s="112">
        <f>'OPEN FOREIGN ORDER'!AB1537</f>
        <v>0</v>
      </c>
      <c r="F1911" s="112">
        <f>'OPEN FOREIGN ORDER'!AC1537</f>
        <v>0</v>
      </c>
      <c r="G1911" s="112">
        <f>'OPEN FOREIGN ORDER'!AD1537</f>
        <v>0</v>
      </c>
      <c r="H1911" s="112">
        <f>'OPEN FOREIGN ORDER'!AE1537</f>
        <v>0</v>
      </c>
      <c r="I1911" s="112">
        <f>'OPEN FOREIGN ORDER'!AF1537</f>
        <v>0</v>
      </c>
      <c r="J1911" s="112">
        <f>'OPEN FOREIGN ORDER'!AG1537</f>
        <v>0</v>
      </c>
    </row>
    <row r="1912" spans="1:10">
      <c r="A1912">
        <f>'OPEN FOREIGN ORDER'!D1538</f>
        <v>0</v>
      </c>
      <c r="B1912">
        <f>'OPEN FOREIGN ORDER'!F1538</f>
        <v>0</v>
      </c>
      <c r="C1912">
        <f>'OPEN FOREIGN ORDER'!Z1538</f>
        <v>0</v>
      </c>
      <c r="D1912" s="123">
        <f>'OPEN FOREIGN ORDER'!AA1538</f>
        <v>0</v>
      </c>
      <c r="E1912" s="112">
        <f>'OPEN FOREIGN ORDER'!AB1538</f>
        <v>0</v>
      </c>
      <c r="F1912" s="112">
        <f>'OPEN FOREIGN ORDER'!AC1538</f>
        <v>0</v>
      </c>
      <c r="G1912" s="112">
        <f>'OPEN FOREIGN ORDER'!AD1538</f>
        <v>0</v>
      </c>
      <c r="H1912" s="112">
        <f>'OPEN FOREIGN ORDER'!AE1538</f>
        <v>0</v>
      </c>
      <c r="I1912" s="112">
        <f>'OPEN FOREIGN ORDER'!AF1538</f>
        <v>0</v>
      </c>
      <c r="J1912" s="112">
        <f>'OPEN FOREIGN ORDER'!AG1538</f>
        <v>0</v>
      </c>
    </row>
    <row r="1913" spans="1:10">
      <c r="A1913">
        <f>'OPEN FOREIGN ORDER'!D1539</f>
        <v>0</v>
      </c>
      <c r="B1913">
        <f>'OPEN FOREIGN ORDER'!F1539</f>
        <v>0</v>
      </c>
      <c r="C1913">
        <f>'OPEN FOREIGN ORDER'!Z1539</f>
        <v>0</v>
      </c>
      <c r="D1913" s="123">
        <f>'OPEN FOREIGN ORDER'!AA1539</f>
        <v>0</v>
      </c>
      <c r="E1913" s="112">
        <f>'OPEN FOREIGN ORDER'!AB1539</f>
        <v>0</v>
      </c>
      <c r="F1913" s="112">
        <f>'OPEN FOREIGN ORDER'!AC1539</f>
        <v>0</v>
      </c>
      <c r="G1913" s="112">
        <f>'OPEN FOREIGN ORDER'!AD1539</f>
        <v>0</v>
      </c>
      <c r="H1913" s="112">
        <f>'OPEN FOREIGN ORDER'!AE1539</f>
        <v>0</v>
      </c>
      <c r="I1913" s="112">
        <f>'OPEN FOREIGN ORDER'!AF1539</f>
        <v>0</v>
      </c>
      <c r="J1913" s="112">
        <f>'OPEN FOREIGN ORDER'!AG1539</f>
        <v>0</v>
      </c>
    </row>
    <row r="1914" spans="1:10">
      <c r="A1914">
        <f>'OPEN FOREIGN ORDER'!D1540</f>
        <v>0</v>
      </c>
      <c r="B1914">
        <f>'OPEN FOREIGN ORDER'!F1540</f>
        <v>0</v>
      </c>
      <c r="C1914">
        <f>'OPEN FOREIGN ORDER'!Z1540</f>
        <v>0</v>
      </c>
      <c r="D1914" s="123">
        <f>'OPEN FOREIGN ORDER'!AA1540</f>
        <v>0</v>
      </c>
      <c r="E1914" s="112">
        <f>'OPEN FOREIGN ORDER'!AB1540</f>
        <v>0</v>
      </c>
      <c r="F1914" s="112">
        <f>'OPEN FOREIGN ORDER'!AC1540</f>
        <v>0</v>
      </c>
      <c r="G1914" s="112">
        <f>'OPEN FOREIGN ORDER'!AD1540</f>
        <v>0</v>
      </c>
      <c r="H1914" s="112">
        <f>'OPEN FOREIGN ORDER'!AE1540</f>
        <v>0</v>
      </c>
      <c r="I1914" s="112">
        <f>'OPEN FOREIGN ORDER'!AF1540</f>
        <v>0</v>
      </c>
      <c r="J1914" s="112">
        <f>'OPEN FOREIGN ORDER'!AG1540</f>
        <v>0</v>
      </c>
    </row>
    <row r="1915" spans="1:10">
      <c r="A1915">
        <f>'OPEN FOREIGN ORDER'!D1541</f>
        <v>0</v>
      </c>
      <c r="B1915">
        <f>'OPEN FOREIGN ORDER'!F1541</f>
        <v>0</v>
      </c>
      <c r="C1915">
        <f>'OPEN FOREIGN ORDER'!Z1541</f>
        <v>0</v>
      </c>
      <c r="D1915" s="123">
        <f>'OPEN FOREIGN ORDER'!AA1541</f>
        <v>0</v>
      </c>
      <c r="E1915" s="112">
        <f>'OPEN FOREIGN ORDER'!AB1541</f>
        <v>0</v>
      </c>
      <c r="F1915" s="112">
        <f>'OPEN FOREIGN ORDER'!AC1541</f>
        <v>0</v>
      </c>
      <c r="G1915" s="112">
        <f>'OPEN FOREIGN ORDER'!AD1541</f>
        <v>0</v>
      </c>
      <c r="H1915" s="112">
        <f>'OPEN FOREIGN ORDER'!AE1541</f>
        <v>0</v>
      </c>
      <c r="I1915" s="112">
        <f>'OPEN FOREIGN ORDER'!AF1541</f>
        <v>0</v>
      </c>
      <c r="J1915" s="112">
        <f>'OPEN FOREIGN ORDER'!AG1541</f>
        <v>0</v>
      </c>
    </row>
    <row r="1916" spans="1:10">
      <c r="A1916">
        <f>'OPEN FOREIGN ORDER'!D1542</f>
        <v>0</v>
      </c>
      <c r="B1916">
        <f>'OPEN FOREIGN ORDER'!F1542</f>
        <v>0</v>
      </c>
      <c r="C1916">
        <f>'OPEN FOREIGN ORDER'!Z1542</f>
        <v>0</v>
      </c>
      <c r="D1916" s="123">
        <f>'OPEN FOREIGN ORDER'!AA1542</f>
        <v>0</v>
      </c>
      <c r="E1916" s="112">
        <f>'OPEN FOREIGN ORDER'!AB1542</f>
        <v>0</v>
      </c>
      <c r="F1916" s="112">
        <f>'OPEN FOREIGN ORDER'!AC1542</f>
        <v>0</v>
      </c>
      <c r="G1916" s="112">
        <f>'OPEN FOREIGN ORDER'!AD1542</f>
        <v>0</v>
      </c>
      <c r="H1916" s="112">
        <f>'OPEN FOREIGN ORDER'!AE1542</f>
        <v>0</v>
      </c>
      <c r="I1916" s="112">
        <f>'OPEN FOREIGN ORDER'!AF1542</f>
        <v>0</v>
      </c>
      <c r="J1916" s="112">
        <f>'OPEN FOREIGN ORDER'!AG1542</f>
        <v>0</v>
      </c>
    </row>
    <row r="1917" spans="1:10">
      <c r="A1917">
        <f>'OPEN FOREIGN ORDER'!D1543</f>
        <v>0</v>
      </c>
      <c r="B1917">
        <f>'OPEN FOREIGN ORDER'!F1543</f>
        <v>0</v>
      </c>
      <c r="C1917">
        <f>'OPEN FOREIGN ORDER'!Z1543</f>
        <v>0</v>
      </c>
      <c r="D1917" s="123">
        <f>'OPEN FOREIGN ORDER'!AA1543</f>
        <v>0</v>
      </c>
      <c r="E1917" s="112">
        <f>'OPEN FOREIGN ORDER'!AB1543</f>
        <v>0</v>
      </c>
      <c r="F1917" s="112">
        <f>'OPEN FOREIGN ORDER'!AC1543</f>
        <v>0</v>
      </c>
      <c r="G1917" s="112">
        <f>'OPEN FOREIGN ORDER'!AD1543</f>
        <v>0</v>
      </c>
      <c r="H1917" s="112">
        <f>'OPEN FOREIGN ORDER'!AE1543</f>
        <v>0</v>
      </c>
      <c r="I1917" s="112">
        <f>'OPEN FOREIGN ORDER'!AF1543</f>
        <v>0</v>
      </c>
      <c r="J1917" s="112">
        <f>'OPEN FOREIGN ORDER'!AG1543</f>
        <v>0</v>
      </c>
    </row>
    <row r="1918" spans="1:10">
      <c r="A1918">
        <f>'OPEN FOREIGN ORDER'!D1544</f>
        <v>0</v>
      </c>
      <c r="B1918">
        <f>'OPEN FOREIGN ORDER'!F1544</f>
        <v>0</v>
      </c>
      <c r="C1918">
        <f>'OPEN FOREIGN ORDER'!Z1544</f>
        <v>0</v>
      </c>
      <c r="D1918" s="123">
        <f>'OPEN FOREIGN ORDER'!AA1544</f>
        <v>0</v>
      </c>
      <c r="E1918" s="112">
        <f>'OPEN FOREIGN ORDER'!AB1544</f>
        <v>0</v>
      </c>
      <c r="F1918" s="112">
        <f>'OPEN FOREIGN ORDER'!AC1544</f>
        <v>0</v>
      </c>
      <c r="G1918" s="112">
        <f>'OPEN FOREIGN ORDER'!AD1544</f>
        <v>0</v>
      </c>
      <c r="H1918" s="112">
        <f>'OPEN FOREIGN ORDER'!AE1544</f>
        <v>0</v>
      </c>
      <c r="I1918" s="112">
        <f>'OPEN FOREIGN ORDER'!AF1544</f>
        <v>0</v>
      </c>
      <c r="J1918" s="112">
        <f>'OPEN FOREIGN ORDER'!AG1544</f>
        <v>0</v>
      </c>
    </row>
    <row r="1919" spans="1:10">
      <c r="A1919">
        <f>'OPEN FOREIGN ORDER'!D1545</f>
        <v>0</v>
      </c>
      <c r="B1919">
        <f>'OPEN FOREIGN ORDER'!F1545</f>
        <v>0</v>
      </c>
      <c r="C1919">
        <f>'OPEN FOREIGN ORDER'!Z1545</f>
        <v>0</v>
      </c>
      <c r="D1919" s="123">
        <f>'OPEN FOREIGN ORDER'!AA1545</f>
        <v>0</v>
      </c>
      <c r="E1919" s="112">
        <f>'OPEN FOREIGN ORDER'!AB1545</f>
        <v>0</v>
      </c>
      <c r="F1919" s="112">
        <f>'OPEN FOREIGN ORDER'!AC1545</f>
        <v>0</v>
      </c>
      <c r="G1919" s="112">
        <f>'OPEN FOREIGN ORDER'!AD1545</f>
        <v>0</v>
      </c>
      <c r="H1919" s="112">
        <f>'OPEN FOREIGN ORDER'!AE1545</f>
        <v>0</v>
      </c>
      <c r="I1919" s="112">
        <f>'OPEN FOREIGN ORDER'!AF1545</f>
        <v>0</v>
      </c>
      <c r="J1919" s="112">
        <f>'OPEN FOREIGN ORDER'!AG1545</f>
        <v>0</v>
      </c>
    </row>
    <row r="1920" spans="1:10">
      <c r="A1920">
        <f>'OPEN FOREIGN ORDER'!D1546</f>
        <v>0</v>
      </c>
      <c r="B1920">
        <f>'OPEN FOREIGN ORDER'!F1546</f>
        <v>0</v>
      </c>
      <c r="C1920">
        <f>'OPEN FOREIGN ORDER'!Z1546</f>
        <v>0</v>
      </c>
      <c r="D1920" s="123">
        <f>'OPEN FOREIGN ORDER'!AA1546</f>
        <v>0</v>
      </c>
      <c r="E1920" s="112">
        <f>'OPEN FOREIGN ORDER'!AB1546</f>
        <v>0</v>
      </c>
      <c r="F1920" s="112">
        <f>'OPEN FOREIGN ORDER'!AC1546</f>
        <v>0</v>
      </c>
      <c r="G1920" s="112">
        <f>'OPEN FOREIGN ORDER'!AD1546</f>
        <v>0</v>
      </c>
      <c r="H1920" s="112">
        <f>'OPEN FOREIGN ORDER'!AE1546</f>
        <v>0</v>
      </c>
      <c r="I1920" s="112">
        <f>'OPEN FOREIGN ORDER'!AF1546</f>
        <v>0</v>
      </c>
      <c r="J1920" s="112">
        <f>'OPEN FOREIGN ORDER'!AG1546</f>
        <v>0</v>
      </c>
    </row>
    <row r="1921" spans="1:10">
      <c r="A1921">
        <f>'OPEN FOREIGN ORDER'!D1547</f>
        <v>0</v>
      </c>
      <c r="B1921">
        <f>'OPEN FOREIGN ORDER'!F1547</f>
        <v>0</v>
      </c>
      <c r="C1921">
        <f>'OPEN FOREIGN ORDER'!Z1547</f>
        <v>0</v>
      </c>
      <c r="D1921" s="123">
        <f>'OPEN FOREIGN ORDER'!AA1547</f>
        <v>0</v>
      </c>
      <c r="E1921" s="112">
        <f>'OPEN FOREIGN ORDER'!AB1547</f>
        <v>0</v>
      </c>
      <c r="F1921" s="112">
        <f>'OPEN FOREIGN ORDER'!AC1547</f>
        <v>0</v>
      </c>
      <c r="G1921" s="112">
        <f>'OPEN FOREIGN ORDER'!AD1547</f>
        <v>0</v>
      </c>
      <c r="H1921" s="112">
        <f>'OPEN FOREIGN ORDER'!AE1547</f>
        <v>0</v>
      </c>
      <c r="I1921" s="112">
        <f>'OPEN FOREIGN ORDER'!AF1547</f>
        <v>0</v>
      </c>
      <c r="J1921" s="112">
        <f>'OPEN FOREIGN ORDER'!AG1547</f>
        <v>0</v>
      </c>
    </row>
    <row r="1922" spans="1:10">
      <c r="A1922">
        <f>'OPEN FOREIGN ORDER'!D1548</f>
        <v>0</v>
      </c>
      <c r="B1922">
        <f>'OPEN FOREIGN ORDER'!F1548</f>
        <v>0</v>
      </c>
      <c r="C1922">
        <f>'OPEN FOREIGN ORDER'!Z1548</f>
        <v>0</v>
      </c>
      <c r="D1922" s="123">
        <f>'OPEN FOREIGN ORDER'!AA1548</f>
        <v>0</v>
      </c>
      <c r="E1922" s="112">
        <f>'OPEN FOREIGN ORDER'!AB1548</f>
        <v>0</v>
      </c>
      <c r="F1922" s="112">
        <f>'OPEN FOREIGN ORDER'!AC1548</f>
        <v>0</v>
      </c>
      <c r="G1922" s="112">
        <f>'OPEN FOREIGN ORDER'!AD1548</f>
        <v>0</v>
      </c>
      <c r="H1922" s="112">
        <f>'OPEN FOREIGN ORDER'!AE1548</f>
        <v>0</v>
      </c>
      <c r="I1922" s="112">
        <f>'OPEN FOREIGN ORDER'!AF1548</f>
        <v>0</v>
      </c>
      <c r="J1922" s="112">
        <f>'OPEN FOREIGN ORDER'!AG1548</f>
        <v>0</v>
      </c>
    </row>
    <row r="1923" spans="1:10">
      <c r="A1923">
        <f>'OPEN FOREIGN ORDER'!D1549</f>
        <v>0</v>
      </c>
      <c r="B1923">
        <f>'OPEN FOREIGN ORDER'!F1549</f>
        <v>0</v>
      </c>
      <c r="C1923">
        <f>'OPEN FOREIGN ORDER'!Z1549</f>
        <v>0</v>
      </c>
      <c r="D1923" s="123">
        <f>'OPEN FOREIGN ORDER'!AA1549</f>
        <v>0</v>
      </c>
      <c r="E1923" s="112">
        <f>'OPEN FOREIGN ORDER'!AB1549</f>
        <v>0</v>
      </c>
      <c r="F1923" s="112">
        <f>'OPEN FOREIGN ORDER'!AC1549</f>
        <v>0</v>
      </c>
      <c r="G1923" s="112">
        <f>'OPEN FOREIGN ORDER'!AD1549</f>
        <v>0</v>
      </c>
      <c r="H1923" s="112">
        <f>'OPEN FOREIGN ORDER'!AE1549</f>
        <v>0</v>
      </c>
      <c r="I1923" s="112">
        <f>'OPEN FOREIGN ORDER'!AF1549</f>
        <v>0</v>
      </c>
      <c r="J1923" s="112">
        <f>'OPEN FOREIGN ORDER'!AG1549</f>
        <v>0</v>
      </c>
    </row>
    <row r="1924" spans="1:10">
      <c r="A1924">
        <f>'OPEN FOREIGN ORDER'!D1550</f>
        <v>0</v>
      </c>
      <c r="B1924">
        <f>'OPEN FOREIGN ORDER'!F1550</f>
        <v>0</v>
      </c>
      <c r="C1924">
        <f>'OPEN FOREIGN ORDER'!Z1550</f>
        <v>0</v>
      </c>
      <c r="D1924" s="123">
        <f>'OPEN FOREIGN ORDER'!AA1550</f>
        <v>0</v>
      </c>
      <c r="E1924" s="112">
        <f>'OPEN FOREIGN ORDER'!AB1550</f>
        <v>0</v>
      </c>
      <c r="F1924" s="112">
        <f>'OPEN FOREIGN ORDER'!AC1550</f>
        <v>0</v>
      </c>
      <c r="G1924" s="112">
        <f>'OPEN FOREIGN ORDER'!AD1550</f>
        <v>0</v>
      </c>
      <c r="H1924" s="112">
        <f>'OPEN FOREIGN ORDER'!AE1550</f>
        <v>0</v>
      </c>
      <c r="I1924" s="112">
        <f>'OPEN FOREIGN ORDER'!AF1550</f>
        <v>0</v>
      </c>
      <c r="J1924" s="112">
        <f>'OPEN FOREIGN ORDER'!AG1550</f>
        <v>0</v>
      </c>
    </row>
    <row r="1925" spans="1:10">
      <c r="A1925">
        <f>'OPEN FOREIGN ORDER'!D1551</f>
        <v>0</v>
      </c>
      <c r="B1925">
        <f>'OPEN FOREIGN ORDER'!F1551</f>
        <v>0</v>
      </c>
      <c r="C1925">
        <f>'OPEN FOREIGN ORDER'!Z1551</f>
        <v>0</v>
      </c>
      <c r="D1925" s="123">
        <f>'OPEN FOREIGN ORDER'!AA1551</f>
        <v>0</v>
      </c>
      <c r="E1925" s="112">
        <f>'OPEN FOREIGN ORDER'!AB1551</f>
        <v>0</v>
      </c>
      <c r="F1925" s="112">
        <f>'OPEN FOREIGN ORDER'!AC1551</f>
        <v>0</v>
      </c>
      <c r="G1925" s="112">
        <f>'OPEN FOREIGN ORDER'!AD1551</f>
        <v>0</v>
      </c>
      <c r="H1925" s="112">
        <f>'OPEN FOREIGN ORDER'!AE1551</f>
        <v>0</v>
      </c>
      <c r="I1925" s="112">
        <f>'OPEN FOREIGN ORDER'!AF1551</f>
        <v>0</v>
      </c>
      <c r="J1925" s="112">
        <f>'OPEN FOREIGN ORDER'!AG1551</f>
        <v>0</v>
      </c>
    </row>
    <row r="1926" spans="1:10">
      <c r="A1926">
        <f>'OPEN FOREIGN ORDER'!D1552</f>
        <v>0</v>
      </c>
      <c r="B1926">
        <f>'OPEN FOREIGN ORDER'!F1552</f>
        <v>0</v>
      </c>
      <c r="C1926">
        <f>'OPEN FOREIGN ORDER'!Z1552</f>
        <v>0</v>
      </c>
      <c r="D1926" s="123">
        <f>'OPEN FOREIGN ORDER'!AA1552</f>
        <v>0</v>
      </c>
      <c r="E1926" s="112">
        <f>'OPEN FOREIGN ORDER'!AB1552</f>
        <v>0</v>
      </c>
      <c r="F1926" s="112">
        <f>'OPEN FOREIGN ORDER'!AC1552</f>
        <v>0</v>
      </c>
      <c r="G1926" s="112">
        <f>'OPEN FOREIGN ORDER'!AD1552</f>
        <v>0</v>
      </c>
      <c r="H1926" s="112">
        <f>'OPEN FOREIGN ORDER'!AE1552</f>
        <v>0</v>
      </c>
      <c r="I1926" s="112">
        <f>'OPEN FOREIGN ORDER'!AF1552</f>
        <v>0</v>
      </c>
      <c r="J1926" s="112">
        <f>'OPEN FOREIGN ORDER'!AG1552</f>
        <v>0</v>
      </c>
    </row>
    <row r="1927" spans="1:10">
      <c r="A1927">
        <f>'OPEN FOREIGN ORDER'!D1553</f>
        <v>0</v>
      </c>
      <c r="B1927">
        <f>'OPEN FOREIGN ORDER'!F1553</f>
        <v>0</v>
      </c>
      <c r="C1927">
        <f>'OPEN FOREIGN ORDER'!Z1553</f>
        <v>0</v>
      </c>
      <c r="D1927" s="123">
        <f>'OPEN FOREIGN ORDER'!AA1553</f>
        <v>0</v>
      </c>
      <c r="E1927" s="112">
        <f>'OPEN FOREIGN ORDER'!AB1553</f>
        <v>0</v>
      </c>
      <c r="F1927" s="112">
        <f>'OPEN FOREIGN ORDER'!AC1553</f>
        <v>0</v>
      </c>
      <c r="G1927" s="112">
        <f>'OPEN FOREIGN ORDER'!AD1553</f>
        <v>0</v>
      </c>
      <c r="H1927" s="112">
        <f>'OPEN FOREIGN ORDER'!AE1553</f>
        <v>0</v>
      </c>
      <c r="I1927" s="112">
        <f>'OPEN FOREIGN ORDER'!AF1553</f>
        <v>0</v>
      </c>
      <c r="J1927" s="112">
        <f>'OPEN FOREIGN ORDER'!AG1553</f>
        <v>0</v>
      </c>
    </row>
    <row r="1928" spans="1:10">
      <c r="A1928">
        <f>'OPEN FOREIGN ORDER'!D1554</f>
        <v>0</v>
      </c>
      <c r="B1928">
        <f>'OPEN FOREIGN ORDER'!F1554</f>
        <v>0</v>
      </c>
      <c r="C1928">
        <f>'OPEN FOREIGN ORDER'!Z1554</f>
        <v>0</v>
      </c>
      <c r="D1928" s="123">
        <f>'OPEN FOREIGN ORDER'!AA1554</f>
        <v>0</v>
      </c>
      <c r="E1928" s="112">
        <f>'OPEN FOREIGN ORDER'!AB1554</f>
        <v>0</v>
      </c>
      <c r="F1928" s="112">
        <f>'OPEN FOREIGN ORDER'!AC1554</f>
        <v>0</v>
      </c>
      <c r="G1928" s="112">
        <f>'OPEN FOREIGN ORDER'!AD1554</f>
        <v>0</v>
      </c>
      <c r="H1928" s="112">
        <f>'OPEN FOREIGN ORDER'!AE1554</f>
        <v>0</v>
      </c>
      <c r="I1928" s="112">
        <f>'OPEN FOREIGN ORDER'!AF1554</f>
        <v>0</v>
      </c>
      <c r="J1928" s="112">
        <f>'OPEN FOREIGN ORDER'!AG1554</f>
        <v>0</v>
      </c>
    </row>
    <row r="1929" spans="1:10">
      <c r="A1929">
        <f>'OPEN FOREIGN ORDER'!D1555</f>
        <v>0</v>
      </c>
      <c r="B1929">
        <f>'OPEN FOREIGN ORDER'!F1555</f>
        <v>0</v>
      </c>
      <c r="C1929">
        <f>'OPEN FOREIGN ORDER'!Z1555</f>
        <v>0</v>
      </c>
      <c r="D1929" s="123">
        <f>'OPEN FOREIGN ORDER'!AA1555</f>
        <v>0</v>
      </c>
      <c r="E1929" s="112">
        <f>'OPEN FOREIGN ORDER'!AB1555</f>
        <v>0</v>
      </c>
      <c r="F1929" s="112">
        <f>'OPEN FOREIGN ORDER'!AC1555</f>
        <v>0</v>
      </c>
      <c r="G1929" s="112">
        <f>'OPEN FOREIGN ORDER'!AD1555</f>
        <v>0</v>
      </c>
      <c r="H1929" s="112">
        <f>'OPEN FOREIGN ORDER'!AE1555</f>
        <v>0</v>
      </c>
      <c r="I1929" s="112">
        <f>'OPEN FOREIGN ORDER'!AF1555</f>
        <v>0</v>
      </c>
      <c r="J1929" s="112">
        <f>'OPEN FOREIGN ORDER'!AG1555</f>
        <v>0</v>
      </c>
    </row>
    <row r="1930" spans="1:10">
      <c r="A1930">
        <f>'OPEN FOREIGN ORDER'!D1556</f>
        <v>0</v>
      </c>
      <c r="B1930">
        <f>'OPEN FOREIGN ORDER'!F1556</f>
        <v>0</v>
      </c>
      <c r="C1930">
        <f>'OPEN FOREIGN ORDER'!Z1556</f>
        <v>0</v>
      </c>
      <c r="D1930" s="123">
        <f>'OPEN FOREIGN ORDER'!AA1556</f>
        <v>0</v>
      </c>
      <c r="E1930" s="112">
        <f>'OPEN FOREIGN ORDER'!AB1556</f>
        <v>0</v>
      </c>
      <c r="F1930" s="112">
        <f>'OPEN FOREIGN ORDER'!AC1556</f>
        <v>0</v>
      </c>
      <c r="G1930" s="112">
        <f>'OPEN FOREIGN ORDER'!AD1556</f>
        <v>0</v>
      </c>
      <c r="H1930" s="112">
        <f>'OPEN FOREIGN ORDER'!AE1556</f>
        <v>0</v>
      </c>
      <c r="I1930" s="112">
        <f>'OPEN FOREIGN ORDER'!AF1556</f>
        <v>0</v>
      </c>
      <c r="J1930" s="112">
        <f>'OPEN FOREIGN ORDER'!AG1556</f>
        <v>0</v>
      </c>
    </row>
    <row r="1931" spans="1:10">
      <c r="A1931">
        <f>'OPEN FOREIGN ORDER'!D1557</f>
        <v>0</v>
      </c>
      <c r="B1931">
        <f>'OPEN FOREIGN ORDER'!F1557</f>
        <v>0</v>
      </c>
      <c r="C1931">
        <f>'OPEN FOREIGN ORDER'!Z1557</f>
        <v>0</v>
      </c>
      <c r="D1931" s="123">
        <f>'OPEN FOREIGN ORDER'!AA1557</f>
        <v>0</v>
      </c>
      <c r="E1931" s="112">
        <f>'OPEN FOREIGN ORDER'!AB1557</f>
        <v>0</v>
      </c>
      <c r="F1931" s="112">
        <f>'OPEN FOREIGN ORDER'!AC1557</f>
        <v>0</v>
      </c>
      <c r="G1931" s="112">
        <f>'OPEN FOREIGN ORDER'!AD1557</f>
        <v>0</v>
      </c>
      <c r="H1931" s="112">
        <f>'OPEN FOREIGN ORDER'!AE1557</f>
        <v>0</v>
      </c>
      <c r="I1931" s="112">
        <f>'OPEN FOREIGN ORDER'!AF1557</f>
        <v>0</v>
      </c>
      <c r="J1931" s="112">
        <f>'OPEN FOREIGN ORDER'!AG1557</f>
        <v>0</v>
      </c>
    </row>
    <row r="1932" spans="1:10">
      <c r="A1932">
        <f>'OPEN FOREIGN ORDER'!D1558</f>
        <v>0</v>
      </c>
      <c r="B1932">
        <f>'OPEN FOREIGN ORDER'!F1558</f>
        <v>0</v>
      </c>
      <c r="C1932">
        <f>'OPEN FOREIGN ORDER'!Z1558</f>
        <v>0</v>
      </c>
      <c r="D1932" s="123">
        <f>'OPEN FOREIGN ORDER'!AA1558</f>
        <v>0</v>
      </c>
      <c r="E1932" s="112">
        <f>'OPEN FOREIGN ORDER'!AB1558</f>
        <v>0</v>
      </c>
      <c r="F1932" s="112">
        <f>'OPEN FOREIGN ORDER'!AC1558</f>
        <v>0</v>
      </c>
      <c r="G1932" s="112">
        <f>'OPEN FOREIGN ORDER'!AD1558</f>
        <v>0</v>
      </c>
      <c r="H1932" s="112">
        <f>'OPEN FOREIGN ORDER'!AE1558</f>
        <v>0</v>
      </c>
      <c r="I1932" s="112">
        <f>'OPEN FOREIGN ORDER'!AF1558</f>
        <v>0</v>
      </c>
      <c r="J1932" s="112">
        <f>'OPEN FOREIGN ORDER'!AG1558</f>
        <v>0</v>
      </c>
    </row>
    <row r="1933" spans="1:10">
      <c r="A1933">
        <f>'OPEN FOREIGN ORDER'!D1559</f>
        <v>0</v>
      </c>
      <c r="B1933">
        <f>'OPEN FOREIGN ORDER'!F1559</f>
        <v>0</v>
      </c>
      <c r="C1933">
        <f>'OPEN FOREIGN ORDER'!Z1559</f>
        <v>0</v>
      </c>
      <c r="D1933" s="123">
        <f>'OPEN FOREIGN ORDER'!AA1559</f>
        <v>0</v>
      </c>
      <c r="E1933" s="112">
        <f>'OPEN FOREIGN ORDER'!AB1559</f>
        <v>0</v>
      </c>
      <c r="F1933" s="112">
        <f>'OPEN FOREIGN ORDER'!AC1559</f>
        <v>0</v>
      </c>
      <c r="G1933" s="112">
        <f>'OPEN FOREIGN ORDER'!AD1559</f>
        <v>0</v>
      </c>
      <c r="H1933" s="112">
        <f>'OPEN FOREIGN ORDER'!AE1559</f>
        <v>0</v>
      </c>
      <c r="I1933" s="112">
        <f>'OPEN FOREIGN ORDER'!AF1559</f>
        <v>0</v>
      </c>
      <c r="J1933" s="112">
        <f>'OPEN FOREIGN ORDER'!AG1559</f>
        <v>0</v>
      </c>
    </row>
    <row r="1934" spans="1:10">
      <c r="A1934">
        <f>'OPEN FOREIGN ORDER'!D1560</f>
        <v>0</v>
      </c>
      <c r="B1934">
        <f>'OPEN FOREIGN ORDER'!F1560</f>
        <v>0</v>
      </c>
      <c r="C1934">
        <f>'OPEN FOREIGN ORDER'!Z1560</f>
        <v>0</v>
      </c>
      <c r="D1934" s="123">
        <f>'OPEN FOREIGN ORDER'!AA1560</f>
        <v>0</v>
      </c>
      <c r="E1934" s="112">
        <f>'OPEN FOREIGN ORDER'!AB1560</f>
        <v>0</v>
      </c>
      <c r="F1934" s="112">
        <f>'OPEN FOREIGN ORDER'!AC1560</f>
        <v>0</v>
      </c>
      <c r="G1934" s="112">
        <f>'OPEN FOREIGN ORDER'!AD1560</f>
        <v>0</v>
      </c>
      <c r="H1934" s="112">
        <f>'OPEN FOREIGN ORDER'!AE1560</f>
        <v>0</v>
      </c>
      <c r="I1934" s="112">
        <f>'OPEN FOREIGN ORDER'!AF1560</f>
        <v>0</v>
      </c>
      <c r="J1934" s="112">
        <f>'OPEN FOREIGN ORDER'!AG1560</f>
        <v>0</v>
      </c>
    </row>
    <row r="1935" spans="1:10">
      <c r="A1935">
        <f>'OPEN FOREIGN ORDER'!D1561</f>
        <v>0</v>
      </c>
      <c r="B1935">
        <f>'OPEN FOREIGN ORDER'!F1561</f>
        <v>0</v>
      </c>
      <c r="C1935">
        <f>'OPEN FOREIGN ORDER'!Z1561</f>
        <v>0</v>
      </c>
      <c r="D1935" s="123">
        <f>'OPEN FOREIGN ORDER'!AA1561</f>
        <v>0</v>
      </c>
      <c r="E1935" s="112">
        <f>'OPEN FOREIGN ORDER'!AB1561</f>
        <v>0</v>
      </c>
      <c r="F1935" s="112">
        <f>'OPEN FOREIGN ORDER'!AC1561</f>
        <v>0</v>
      </c>
      <c r="G1935" s="112">
        <f>'OPEN FOREIGN ORDER'!AD1561</f>
        <v>0</v>
      </c>
      <c r="H1935" s="112">
        <f>'OPEN FOREIGN ORDER'!AE1561</f>
        <v>0</v>
      </c>
      <c r="I1935" s="112">
        <f>'OPEN FOREIGN ORDER'!AF1561</f>
        <v>0</v>
      </c>
      <c r="J1935" s="112">
        <f>'OPEN FOREIGN ORDER'!AG1561</f>
        <v>0</v>
      </c>
    </row>
    <row r="1936" spans="1:10">
      <c r="A1936">
        <f>'OPEN FOREIGN ORDER'!D1562</f>
        <v>0</v>
      </c>
      <c r="B1936">
        <f>'OPEN FOREIGN ORDER'!F1562</f>
        <v>0</v>
      </c>
      <c r="C1936">
        <f>'OPEN FOREIGN ORDER'!Z1562</f>
        <v>0</v>
      </c>
      <c r="D1936" s="123">
        <f>'OPEN FOREIGN ORDER'!AA1562</f>
        <v>0</v>
      </c>
      <c r="E1936" s="112">
        <f>'OPEN FOREIGN ORDER'!AB1562</f>
        <v>0</v>
      </c>
      <c r="F1936" s="112">
        <f>'OPEN FOREIGN ORDER'!AC1562</f>
        <v>0</v>
      </c>
      <c r="G1936" s="112">
        <f>'OPEN FOREIGN ORDER'!AD1562</f>
        <v>0</v>
      </c>
      <c r="H1936" s="112">
        <f>'OPEN FOREIGN ORDER'!AE1562</f>
        <v>0</v>
      </c>
      <c r="I1936" s="112">
        <f>'OPEN FOREIGN ORDER'!AF1562</f>
        <v>0</v>
      </c>
      <c r="J1936" s="112">
        <f>'OPEN FOREIGN ORDER'!AG1562</f>
        <v>0</v>
      </c>
    </row>
    <row r="1937" spans="1:10">
      <c r="A1937">
        <f>'OPEN FOREIGN ORDER'!D1563</f>
        <v>0</v>
      </c>
      <c r="B1937">
        <f>'OPEN FOREIGN ORDER'!F1563</f>
        <v>0</v>
      </c>
      <c r="C1937">
        <f>'OPEN FOREIGN ORDER'!Z1563</f>
        <v>0</v>
      </c>
      <c r="D1937" s="123">
        <f>'OPEN FOREIGN ORDER'!AA1563</f>
        <v>0</v>
      </c>
      <c r="E1937" s="112">
        <f>'OPEN FOREIGN ORDER'!AB1563</f>
        <v>0</v>
      </c>
      <c r="F1937" s="112">
        <f>'OPEN FOREIGN ORDER'!AC1563</f>
        <v>0</v>
      </c>
      <c r="G1937" s="112">
        <f>'OPEN FOREIGN ORDER'!AD1563</f>
        <v>0</v>
      </c>
      <c r="H1937" s="112">
        <f>'OPEN FOREIGN ORDER'!AE1563</f>
        <v>0</v>
      </c>
      <c r="I1937" s="112">
        <f>'OPEN FOREIGN ORDER'!AF1563</f>
        <v>0</v>
      </c>
      <c r="J1937" s="112">
        <f>'OPEN FOREIGN ORDER'!AG1563</f>
        <v>0</v>
      </c>
    </row>
    <row r="1938" spans="1:10">
      <c r="A1938">
        <f>'OPEN FOREIGN ORDER'!D1564</f>
        <v>0</v>
      </c>
      <c r="B1938">
        <f>'OPEN FOREIGN ORDER'!F1564</f>
        <v>0</v>
      </c>
      <c r="C1938">
        <f>'OPEN FOREIGN ORDER'!Z1564</f>
        <v>0</v>
      </c>
      <c r="D1938" s="123">
        <f>'OPEN FOREIGN ORDER'!AA1564</f>
        <v>0</v>
      </c>
      <c r="E1938" s="112">
        <f>'OPEN FOREIGN ORDER'!AB1564</f>
        <v>0</v>
      </c>
      <c r="F1938" s="112">
        <f>'OPEN FOREIGN ORDER'!AC1564</f>
        <v>0</v>
      </c>
      <c r="G1938" s="112">
        <f>'OPEN FOREIGN ORDER'!AD1564</f>
        <v>0</v>
      </c>
      <c r="H1938" s="112">
        <f>'OPEN FOREIGN ORDER'!AE1564</f>
        <v>0</v>
      </c>
      <c r="I1938" s="112">
        <f>'OPEN FOREIGN ORDER'!AF1564</f>
        <v>0</v>
      </c>
      <c r="J1938" s="112">
        <f>'OPEN FOREIGN ORDER'!AG1564</f>
        <v>0</v>
      </c>
    </row>
    <row r="1939" spans="1:10">
      <c r="A1939">
        <f>'OPEN FOREIGN ORDER'!D1565</f>
        <v>0</v>
      </c>
      <c r="B1939">
        <f>'OPEN FOREIGN ORDER'!F1565</f>
        <v>0</v>
      </c>
      <c r="C1939">
        <f>'OPEN FOREIGN ORDER'!Z1565</f>
        <v>0</v>
      </c>
      <c r="D1939" s="123">
        <f>'OPEN FOREIGN ORDER'!AA1565</f>
        <v>0</v>
      </c>
      <c r="E1939" s="112">
        <f>'OPEN FOREIGN ORDER'!AB1565</f>
        <v>0</v>
      </c>
      <c r="F1939" s="112">
        <f>'OPEN FOREIGN ORDER'!AC1565</f>
        <v>0</v>
      </c>
      <c r="G1939" s="112">
        <f>'OPEN FOREIGN ORDER'!AD1565</f>
        <v>0</v>
      </c>
      <c r="H1939" s="112">
        <f>'OPEN FOREIGN ORDER'!AE1565</f>
        <v>0</v>
      </c>
      <c r="I1939" s="112">
        <f>'OPEN FOREIGN ORDER'!AF1565</f>
        <v>0</v>
      </c>
      <c r="J1939" s="112">
        <f>'OPEN FOREIGN ORDER'!AG1565</f>
        <v>0</v>
      </c>
    </row>
    <row r="1940" spans="1:10">
      <c r="A1940">
        <f>'OPEN FOREIGN ORDER'!D1566</f>
        <v>0</v>
      </c>
      <c r="B1940">
        <f>'OPEN FOREIGN ORDER'!F1566</f>
        <v>0</v>
      </c>
      <c r="C1940">
        <f>'OPEN FOREIGN ORDER'!Z1566</f>
        <v>0</v>
      </c>
      <c r="D1940" s="123">
        <f>'OPEN FOREIGN ORDER'!AA1566</f>
        <v>0</v>
      </c>
      <c r="E1940" s="112">
        <f>'OPEN FOREIGN ORDER'!AB1566</f>
        <v>0</v>
      </c>
      <c r="F1940" s="112">
        <f>'OPEN FOREIGN ORDER'!AC1566</f>
        <v>0</v>
      </c>
      <c r="G1940" s="112">
        <f>'OPEN FOREIGN ORDER'!AD1566</f>
        <v>0</v>
      </c>
      <c r="H1940" s="112">
        <f>'OPEN FOREIGN ORDER'!AE1566</f>
        <v>0</v>
      </c>
      <c r="I1940" s="112">
        <f>'OPEN FOREIGN ORDER'!AF1566</f>
        <v>0</v>
      </c>
      <c r="J1940" s="112">
        <f>'OPEN FOREIGN ORDER'!AG1566</f>
        <v>0</v>
      </c>
    </row>
    <row r="1941" spans="1:10">
      <c r="A1941">
        <f>'OPEN FOREIGN ORDER'!D1567</f>
        <v>0</v>
      </c>
      <c r="B1941">
        <f>'OPEN FOREIGN ORDER'!F1567</f>
        <v>0</v>
      </c>
      <c r="C1941">
        <f>'OPEN FOREIGN ORDER'!Z1567</f>
        <v>0</v>
      </c>
      <c r="D1941" s="123">
        <f>'OPEN FOREIGN ORDER'!AA1567</f>
        <v>0</v>
      </c>
      <c r="E1941" s="112">
        <f>'OPEN FOREIGN ORDER'!AB1567</f>
        <v>0</v>
      </c>
      <c r="F1941" s="112">
        <f>'OPEN FOREIGN ORDER'!AC1567</f>
        <v>0</v>
      </c>
      <c r="G1941" s="112">
        <f>'OPEN FOREIGN ORDER'!AD1567</f>
        <v>0</v>
      </c>
      <c r="H1941" s="112">
        <f>'OPEN FOREIGN ORDER'!AE1567</f>
        <v>0</v>
      </c>
      <c r="I1941" s="112">
        <f>'OPEN FOREIGN ORDER'!AF1567</f>
        <v>0</v>
      </c>
      <c r="J1941" s="112">
        <f>'OPEN FOREIGN ORDER'!AG1567</f>
        <v>0</v>
      </c>
    </row>
    <row r="1942" spans="1:10">
      <c r="A1942">
        <f>'OPEN FOREIGN ORDER'!D1568</f>
        <v>0</v>
      </c>
      <c r="B1942">
        <f>'OPEN FOREIGN ORDER'!F1568</f>
        <v>0</v>
      </c>
      <c r="C1942">
        <f>'OPEN FOREIGN ORDER'!Z1568</f>
        <v>0</v>
      </c>
      <c r="D1942" s="123">
        <f>'OPEN FOREIGN ORDER'!AA1568</f>
        <v>0</v>
      </c>
      <c r="E1942" s="112">
        <f>'OPEN FOREIGN ORDER'!AB1568</f>
        <v>0</v>
      </c>
      <c r="F1942" s="112">
        <f>'OPEN FOREIGN ORDER'!AC1568</f>
        <v>0</v>
      </c>
      <c r="G1942" s="112">
        <f>'OPEN FOREIGN ORDER'!AD1568</f>
        <v>0</v>
      </c>
      <c r="H1942" s="112">
        <f>'OPEN FOREIGN ORDER'!AE1568</f>
        <v>0</v>
      </c>
      <c r="I1942" s="112">
        <f>'OPEN FOREIGN ORDER'!AF1568</f>
        <v>0</v>
      </c>
      <c r="J1942" s="112">
        <f>'OPEN FOREIGN ORDER'!AG1568</f>
        <v>0</v>
      </c>
    </row>
    <row r="1943" spans="1:10">
      <c r="A1943">
        <f>'OPEN FOREIGN ORDER'!D1569</f>
        <v>0</v>
      </c>
      <c r="B1943">
        <f>'OPEN FOREIGN ORDER'!F1569</f>
        <v>0</v>
      </c>
      <c r="C1943">
        <f>'OPEN FOREIGN ORDER'!Z1569</f>
        <v>0</v>
      </c>
      <c r="D1943" s="123">
        <f>'OPEN FOREIGN ORDER'!AA1569</f>
        <v>0</v>
      </c>
      <c r="E1943" s="112">
        <f>'OPEN FOREIGN ORDER'!AB1569</f>
        <v>0</v>
      </c>
      <c r="F1943" s="112">
        <f>'OPEN FOREIGN ORDER'!AC1569</f>
        <v>0</v>
      </c>
      <c r="G1943" s="112">
        <f>'OPEN FOREIGN ORDER'!AD1569</f>
        <v>0</v>
      </c>
      <c r="H1943" s="112">
        <f>'OPEN FOREIGN ORDER'!AE1569</f>
        <v>0</v>
      </c>
      <c r="I1943" s="112">
        <f>'OPEN FOREIGN ORDER'!AF1569</f>
        <v>0</v>
      </c>
      <c r="J1943" s="112">
        <f>'OPEN FOREIGN ORDER'!AG1569</f>
        <v>0</v>
      </c>
    </row>
    <row r="1944" spans="1:10">
      <c r="A1944">
        <f>'OPEN FOREIGN ORDER'!D1570</f>
        <v>0</v>
      </c>
      <c r="B1944">
        <f>'OPEN FOREIGN ORDER'!F1570</f>
        <v>0</v>
      </c>
      <c r="C1944">
        <f>'OPEN FOREIGN ORDER'!Z1570</f>
        <v>0</v>
      </c>
      <c r="D1944" s="123">
        <f>'OPEN FOREIGN ORDER'!AA1570</f>
        <v>0</v>
      </c>
      <c r="E1944" s="112">
        <f>'OPEN FOREIGN ORDER'!AB1570</f>
        <v>0</v>
      </c>
      <c r="F1944" s="112">
        <f>'OPEN FOREIGN ORDER'!AC1570</f>
        <v>0</v>
      </c>
      <c r="G1944" s="112">
        <f>'OPEN FOREIGN ORDER'!AD1570</f>
        <v>0</v>
      </c>
      <c r="H1944" s="112">
        <f>'OPEN FOREIGN ORDER'!AE1570</f>
        <v>0</v>
      </c>
      <c r="I1944" s="112">
        <f>'OPEN FOREIGN ORDER'!AF1570</f>
        <v>0</v>
      </c>
      <c r="J1944" s="112">
        <f>'OPEN FOREIGN ORDER'!AG1570</f>
        <v>0</v>
      </c>
    </row>
    <row r="1945" spans="1:10">
      <c r="A1945">
        <f>'OPEN FOREIGN ORDER'!D1571</f>
        <v>0</v>
      </c>
      <c r="B1945">
        <f>'OPEN FOREIGN ORDER'!F1571</f>
        <v>0</v>
      </c>
      <c r="C1945">
        <f>'OPEN FOREIGN ORDER'!Z1571</f>
        <v>0</v>
      </c>
      <c r="D1945" s="123">
        <f>'OPEN FOREIGN ORDER'!AA1571</f>
        <v>0</v>
      </c>
      <c r="E1945" s="112">
        <f>'OPEN FOREIGN ORDER'!AB1571</f>
        <v>0</v>
      </c>
      <c r="F1945" s="112">
        <f>'OPEN FOREIGN ORDER'!AC1571</f>
        <v>0</v>
      </c>
      <c r="G1945" s="112">
        <f>'OPEN FOREIGN ORDER'!AD1571</f>
        <v>0</v>
      </c>
      <c r="H1945" s="112">
        <f>'OPEN FOREIGN ORDER'!AE1571</f>
        <v>0</v>
      </c>
      <c r="I1945" s="112">
        <f>'OPEN FOREIGN ORDER'!AF1571</f>
        <v>0</v>
      </c>
      <c r="J1945" s="112">
        <f>'OPEN FOREIGN ORDER'!AG1571</f>
        <v>0</v>
      </c>
    </row>
    <row r="1946" spans="1:10">
      <c r="A1946">
        <f>'OPEN FOREIGN ORDER'!D1572</f>
        <v>0</v>
      </c>
      <c r="B1946">
        <f>'OPEN FOREIGN ORDER'!F1572</f>
        <v>0</v>
      </c>
      <c r="C1946">
        <f>'OPEN FOREIGN ORDER'!Z1572</f>
        <v>0</v>
      </c>
      <c r="D1946" s="123">
        <f>'OPEN FOREIGN ORDER'!AA1572</f>
        <v>0</v>
      </c>
      <c r="E1946" s="112">
        <f>'OPEN FOREIGN ORDER'!AB1572</f>
        <v>0</v>
      </c>
      <c r="F1946" s="112">
        <f>'OPEN FOREIGN ORDER'!AC1572</f>
        <v>0</v>
      </c>
      <c r="G1946" s="112">
        <f>'OPEN FOREIGN ORDER'!AD1572</f>
        <v>0</v>
      </c>
      <c r="H1946" s="112">
        <f>'OPEN FOREIGN ORDER'!AE1572</f>
        <v>0</v>
      </c>
      <c r="I1946" s="112">
        <f>'OPEN FOREIGN ORDER'!AF1572</f>
        <v>0</v>
      </c>
      <c r="J1946" s="112">
        <f>'OPEN FOREIGN ORDER'!AG1572</f>
        <v>0</v>
      </c>
    </row>
    <row r="1947" spans="1:10">
      <c r="A1947">
        <f>'OPEN FOREIGN ORDER'!D1573</f>
        <v>0</v>
      </c>
      <c r="B1947">
        <f>'OPEN FOREIGN ORDER'!F1573</f>
        <v>0</v>
      </c>
      <c r="C1947">
        <f>'OPEN FOREIGN ORDER'!Z1573</f>
        <v>0</v>
      </c>
      <c r="D1947" s="123">
        <f>'OPEN FOREIGN ORDER'!AA1573</f>
        <v>0</v>
      </c>
      <c r="E1947" s="112">
        <f>'OPEN FOREIGN ORDER'!AB1573</f>
        <v>0</v>
      </c>
      <c r="F1947" s="112">
        <f>'OPEN FOREIGN ORDER'!AC1573</f>
        <v>0</v>
      </c>
      <c r="G1947" s="112">
        <f>'OPEN FOREIGN ORDER'!AD1573</f>
        <v>0</v>
      </c>
      <c r="H1947" s="112">
        <f>'OPEN FOREIGN ORDER'!AE1573</f>
        <v>0</v>
      </c>
      <c r="I1947" s="112">
        <f>'OPEN FOREIGN ORDER'!AF1573</f>
        <v>0</v>
      </c>
      <c r="J1947" s="112">
        <f>'OPEN FOREIGN ORDER'!AG1573</f>
        <v>0</v>
      </c>
    </row>
    <row r="1948" spans="1:10">
      <c r="A1948">
        <f>'OPEN FOREIGN ORDER'!D1574</f>
        <v>0</v>
      </c>
      <c r="B1948">
        <f>'OPEN FOREIGN ORDER'!F1574</f>
        <v>0</v>
      </c>
      <c r="C1948">
        <f>'OPEN FOREIGN ORDER'!Z1574</f>
        <v>0</v>
      </c>
      <c r="D1948" s="123">
        <f>'OPEN FOREIGN ORDER'!AA1574</f>
        <v>0</v>
      </c>
      <c r="E1948" s="112">
        <f>'OPEN FOREIGN ORDER'!AB1574</f>
        <v>0</v>
      </c>
      <c r="F1948" s="112">
        <f>'OPEN FOREIGN ORDER'!AC1574</f>
        <v>0</v>
      </c>
      <c r="G1948" s="112">
        <f>'OPEN FOREIGN ORDER'!AD1574</f>
        <v>0</v>
      </c>
      <c r="H1948" s="112">
        <f>'OPEN FOREIGN ORDER'!AE1574</f>
        <v>0</v>
      </c>
      <c r="I1948" s="112">
        <f>'OPEN FOREIGN ORDER'!AF1574</f>
        <v>0</v>
      </c>
      <c r="J1948" s="112">
        <f>'OPEN FOREIGN ORDER'!AG1574</f>
        <v>0</v>
      </c>
    </row>
    <row r="1949" spans="1:10">
      <c r="A1949">
        <f>'OPEN FOREIGN ORDER'!D1575</f>
        <v>0</v>
      </c>
      <c r="B1949">
        <f>'OPEN FOREIGN ORDER'!F1575</f>
        <v>0</v>
      </c>
      <c r="C1949">
        <f>'OPEN FOREIGN ORDER'!Z1575</f>
        <v>0</v>
      </c>
      <c r="D1949" s="123">
        <f>'OPEN FOREIGN ORDER'!AA1575</f>
        <v>0</v>
      </c>
      <c r="E1949" s="112">
        <f>'OPEN FOREIGN ORDER'!AB1575</f>
        <v>0</v>
      </c>
      <c r="F1949" s="112">
        <f>'OPEN FOREIGN ORDER'!AC1575</f>
        <v>0</v>
      </c>
      <c r="G1949" s="112">
        <f>'OPEN FOREIGN ORDER'!AD1575</f>
        <v>0</v>
      </c>
      <c r="H1949" s="112">
        <f>'OPEN FOREIGN ORDER'!AE1575</f>
        <v>0</v>
      </c>
      <c r="I1949" s="112">
        <f>'OPEN FOREIGN ORDER'!AF1575</f>
        <v>0</v>
      </c>
      <c r="J1949" s="112">
        <f>'OPEN FOREIGN ORDER'!AG1575</f>
        <v>0</v>
      </c>
    </row>
    <row r="1950" spans="1:10">
      <c r="A1950">
        <f>'OPEN FOREIGN ORDER'!D1576</f>
        <v>0</v>
      </c>
      <c r="B1950">
        <f>'OPEN FOREIGN ORDER'!F1576</f>
        <v>0</v>
      </c>
      <c r="C1950">
        <f>'OPEN FOREIGN ORDER'!Z1576</f>
        <v>0</v>
      </c>
      <c r="D1950" s="123">
        <f>'OPEN FOREIGN ORDER'!AA1576</f>
        <v>0</v>
      </c>
      <c r="E1950" s="112">
        <f>'OPEN FOREIGN ORDER'!AB1576</f>
        <v>0</v>
      </c>
      <c r="F1950" s="112">
        <f>'OPEN FOREIGN ORDER'!AC1576</f>
        <v>0</v>
      </c>
      <c r="G1950" s="112">
        <f>'OPEN FOREIGN ORDER'!AD1576</f>
        <v>0</v>
      </c>
      <c r="H1950" s="112">
        <f>'OPEN FOREIGN ORDER'!AE1576</f>
        <v>0</v>
      </c>
      <c r="I1950" s="112">
        <f>'OPEN FOREIGN ORDER'!AF1576</f>
        <v>0</v>
      </c>
      <c r="J1950" s="112">
        <f>'OPEN FOREIGN ORDER'!AG1576</f>
        <v>0</v>
      </c>
    </row>
    <row r="1951" spans="1:10">
      <c r="A1951">
        <f>'OPEN FOREIGN ORDER'!D1577</f>
        <v>0</v>
      </c>
      <c r="B1951">
        <f>'OPEN FOREIGN ORDER'!F1577</f>
        <v>0</v>
      </c>
      <c r="C1951">
        <f>'OPEN FOREIGN ORDER'!Z1577</f>
        <v>0</v>
      </c>
      <c r="D1951" s="123">
        <f>'OPEN FOREIGN ORDER'!AA1577</f>
        <v>0</v>
      </c>
      <c r="E1951" s="112">
        <f>'OPEN FOREIGN ORDER'!AB1577</f>
        <v>0</v>
      </c>
      <c r="F1951" s="112">
        <f>'OPEN FOREIGN ORDER'!AC1577</f>
        <v>0</v>
      </c>
      <c r="G1951" s="112">
        <f>'OPEN FOREIGN ORDER'!AD1577</f>
        <v>0</v>
      </c>
      <c r="H1951" s="112">
        <f>'OPEN FOREIGN ORDER'!AE1577</f>
        <v>0</v>
      </c>
      <c r="I1951" s="112">
        <f>'OPEN FOREIGN ORDER'!AF1577</f>
        <v>0</v>
      </c>
      <c r="J1951" s="112">
        <f>'OPEN FOREIGN ORDER'!AG1577</f>
        <v>0</v>
      </c>
    </row>
    <row r="1952" spans="1:10">
      <c r="A1952">
        <f>'OPEN FOREIGN ORDER'!D1578</f>
        <v>0</v>
      </c>
      <c r="B1952">
        <f>'OPEN FOREIGN ORDER'!F1578</f>
        <v>0</v>
      </c>
      <c r="C1952">
        <f>'OPEN FOREIGN ORDER'!Z1578</f>
        <v>0</v>
      </c>
      <c r="D1952" s="123">
        <f>'OPEN FOREIGN ORDER'!AA1578</f>
        <v>0</v>
      </c>
      <c r="E1952" s="112">
        <f>'OPEN FOREIGN ORDER'!AB1578</f>
        <v>0</v>
      </c>
      <c r="F1952" s="112">
        <f>'OPEN FOREIGN ORDER'!AC1578</f>
        <v>0</v>
      </c>
      <c r="G1952" s="112">
        <f>'OPEN FOREIGN ORDER'!AD1578</f>
        <v>0</v>
      </c>
      <c r="H1952" s="112">
        <f>'OPEN FOREIGN ORDER'!AE1578</f>
        <v>0</v>
      </c>
      <c r="I1952" s="112">
        <f>'OPEN FOREIGN ORDER'!AF1578</f>
        <v>0</v>
      </c>
      <c r="J1952" s="112">
        <f>'OPEN FOREIGN ORDER'!AG1578</f>
        <v>0</v>
      </c>
    </row>
    <row r="1953" spans="1:10">
      <c r="A1953">
        <f>'OPEN FOREIGN ORDER'!D1579</f>
        <v>0</v>
      </c>
      <c r="B1953">
        <f>'OPEN FOREIGN ORDER'!F1579</f>
        <v>0</v>
      </c>
      <c r="C1953">
        <f>'OPEN FOREIGN ORDER'!Z1579</f>
        <v>0</v>
      </c>
      <c r="D1953" s="123">
        <f>'OPEN FOREIGN ORDER'!AA1579</f>
        <v>0</v>
      </c>
      <c r="E1953" s="112">
        <f>'OPEN FOREIGN ORDER'!AB1579</f>
        <v>0</v>
      </c>
      <c r="F1953" s="112">
        <f>'OPEN FOREIGN ORDER'!AC1579</f>
        <v>0</v>
      </c>
      <c r="G1953" s="112">
        <f>'OPEN FOREIGN ORDER'!AD1579</f>
        <v>0</v>
      </c>
      <c r="H1953" s="112">
        <f>'OPEN FOREIGN ORDER'!AE1579</f>
        <v>0</v>
      </c>
      <c r="I1953" s="112">
        <f>'OPEN FOREIGN ORDER'!AF1579</f>
        <v>0</v>
      </c>
      <c r="J1953" s="112">
        <f>'OPEN FOREIGN ORDER'!AG1579</f>
        <v>0</v>
      </c>
    </row>
    <row r="1954" spans="1:10">
      <c r="A1954">
        <f>'OPEN FOREIGN ORDER'!D1580</f>
        <v>0</v>
      </c>
      <c r="B1954">
        <f>'OPEN FOREIGN ORDER'!F1580</f>
        <v>0</v>
      </c>
      <c r="C1954">
        <f>'OPEN FOREIGN ORDER'!Z1580</f>
        <v>0</v>
      </c>
      <c r="D1954" s="123">
        <f>'OPEN FOREIGN ORDER'!AA1580</f>
        <v>0</v>
      </c>
      <c r="E1954" s="112">
        <f>'OPEN FOREIGN ORDER'!AB1580</f>
        <v>0</v>
      </c>
      <c r="F1954" s="112">
        <f>'OPEN FOREIGN ORDER'!AC1580</f>
        <v>0</v>
      </c>
      <c r="G1954" s="112">
        <f>'OPEN FOREIGN ORDER'!AD1580</f>
        <v>0</v>
      </c>
      <c r="H1954" s="112">
        <f>'OPEN FOREIGN ORDER'!AE1580</f>
        <v>0</v>
      </c>
      <c r="I1954" s="112">
        <f>'OPEN FOREIGN ORDER'!AF1580</f>
        <v>0</v>
      </c>
      <c r="J1954" s="112">
        <f>'OPEN FOREIGN ORDER'!AG1580</f>
        <v>0</v>
      </c>
    </row>
    <row r="1955" spans="1:10">
      <c r="A1955">
        <f>'OPEN FOREIGN ORDER'!D1581</f>
        <v>0</v>
      </c>
      <c r="B1955">
        <f>'OPEN FOREIGN ORDER'!F1581</f>
        <v>0</v>
      </c>
      <c r="C1955">
        <f>'OPEN FOREIGN ORDER'!Z1581</f>
        <v>0</v>
      </c>
      <c r="D1955" s="123">
        <f>'OPEN FOREIGN ORDER'!AA1581</f>
        <v>0</v>
      </c>
      <c r="E1955" s="112">
        <f>'OPEN FOREIGN ORDER'!AB1581</f>
        <v>0</v>
      </c>
      <c r="F1955" s="112">
        <f>'OPEN FOREIGN ORDER'!AC1581</f>
        <v>0</v>
      </c>
      <c r="G1955" s="112">
        <f>'OPEN FOREIGN ORDER'!AD1581</f>
        <v>0</v>
      </c>
      <c r="H1955" s="112">
        <f>'OPEN FOREIGN ORDER'!AE1581</f>
        <v>0</v>
      </c>
      <c r="I1955" s="112">
        <f>'OPEN FOREIGN ORDER'!AF1581</f>
        <v>0</v>
      </c>
      <c r="J1955" s="112">
        <f>'OPEN FOREIGN ORDER'!AG1581</f>
        <v>0</v>
      </c>
    </row>
    <row r="1956" spans="1:10">
      <c r="A1956">
        <f>'OPEN FOREIGN ORDER'!D1582</f>
        <v>0</v>
      </c>
      <c r="B1956">
        <f>'OPEN FOREIGN ORDER'!F1582</f>
        <v>0</v>
      </c>
      <c r="C1956">
        <f>'OPEN FOREIGN ORDER'!Z1582</f>
        <v>0</v>
      </c>
      <c r="D1956" s="123">
        <f>'OPEN FOREIGN ORDER'!AA1582</f>
        <v>0</v>
      </c>
      <c r="E1956" s="112">
        <f>'OPEN FOREIGN ORDER'!AB1582</f>
        <v>0</v>
      </c>
      <c r="F1956" s="112">
        <f>'OPEN FOREIGN ORDER'!AC1582</f>
        <v>0</v>
      </c>
      <c r="G1956" s="112">
        <f>'OPEN FOREIGN ORDER'!AD1582</f>
        <v>0</v>
      </c>
      <c r="H1956" s="112">
        <f>'OPEN FOREIGN ORDER'!AE1582</f>
        <v>0</v>
      </c>
      <c r="I1956" s="112">
        <f>'OPEN FOREIGN ORDER'!AF1582</f>
        <v>0</v>
      </c>
      <c r="J1956" s="112">
        <f>'OPEN FOREIGN ORDER'!AG1582</f>
        <v>0</v>
      </c>
    </row>
    <row r="1957" spans="1:10">
      <c r="A1957">
        <f>'OPEN FOREIGN ORDER'!D1583</f>
        <v>0</v>
      </c>
      <c r="B1957">
        <f>'OPEN FOREIGN ORDER'!F1583</f>
        <v>0</v>
      </c>
      <c r="C1957">
        <f>'OPEN FOREIGN ORDER'!Z1583</f>
        <v>0</v>
      </c>
      <c r="D1957" s="123">
        <f>'OPEN FOREIGN ORDER'!AA1583</f>
        <v>0</v>
      </c>
      <c r="E1957" s="112">
        <f>'OPEN FOREIGN ORDER'!AB1583</f>
        <v>0</v>
      </c>
      <c r="F1957" s="112">
        <f>'OPEN FOREIGN ORDER'!AC1583</f>
        <v>0</v>
      </c>
      <c r="G1957" s="112">
        <f>'OPEN FOREIGN ORDER'!AD1583</f>
        <v>0</v>
      </c>
      <c r="H1957" s="112">
        <f>'OPEN FOREIGN ORDER'!AE1583</f>
        <v>0</v>
      </c>
      <c r="I1957" s="112">
        <f>'OPEN FOREIGN ORDER'!AF1583</f>
        <v>0</v>
      </c>
      <c r="J1957" s="112">
        <f>'OPEN FOREIGN ORDER'!AG1583</f>
        <v>0</v>
      </c>
    </row>
    <row r="1958" spans="1:10">
      <c r="A1958">
        <f>'OPEN FOREIGN ORDER'!D1584</f>
        <v>0</v>
      </c>
      <c r="B1958">
        <f>'OPEN FOREIGN ORDER'!F1584</f>
        <v>0</v>
      </c>
      <c r="C1958">
        <f>'OPEN FOREIGN ORDER'!Z1584</f>
        <v>0</v>
      </c>
      <c r="D1958" s="123">
        <f>'OPEN FOREIGN ORDER'!AA1584</f>
        <v>0</v>
      </c>
      <c r="E1958" s="112">
        <f>'OPEN FOREIGN ORDER'!AB1584</f>
        <v>0</v>
      </c>
      <c r="F1958" s="112">
        <f>'OPEN FOREIGN ORDER'!AC1584</f>
        <v>0</v>
      </c>
      <c r="G1958" s="112">
        <f>'OPEN FOREIGN ORDER'!AD1584</f>
        <v>0</v>
      </c>
      <c r="H1958" s="112">
        <f>'OPEN FOREIGN ORDER'!AE1584</f>
        <v>0</v>
      </c>
      <c r="I1958" s="112">
        <f>'OPEN FOREIGN ORDER'!AF1584</f>
        <v>0</v>
      </c>
      <c r="J1958" s="112">
        <f>'OPEN FOREIGN ORDER'!AG1584</f>
        <v>0</v>
      </c>
    </row>
    <row r="1959" spans="1:10">
      <c r="A1959">
        <f>'OPEN FOREIGN ORDER'!D1585</f>
        <v>0</v>
      </c>
      <c r="B1959">
        <f>'OPEN FOREIGN ORDER'!F1585</f>
        <v>0</v>
      </c>
      <c r="C1959">
        <f>'OPEN FOREIGN ORDER'!Z1585</f>
        <v>0</v>
      </c>
      <c r="D1959" s="123">
        <f>'OPEN FOREIGN ORDER'!AA1585</f>
        <v>0</v>
      </c>
      <c r="E1959" s="112">
        <f>'OPEN FOREIGN ORDER'!AB1585</f>
        <v>0</v>
      </c>
      <c r="F1959" s="112">
        <f>'OPEN FOREIGN ORDER'!AC1585</f>
        <v>0</v>
      </c>
      <c r="G1959" s="112">
        <f>'OPEN FOREIGN ORDER'!AD1585</f>
        <v>0</v>
      </c>
      <c r="H1959" s="112">
        <f>'OPEN FOREIGN ORDER'!AE1585</f>
        <v>0</v>
      </c>
      <c r="I1959" s="112">
        <f>'OPEN FOREIGN ORDER'!AF1585</f>
        <v>0</v>
      </c>
      <c r="J1959" s="112">
        <f>'OPEN FOREIGN ORDER'!AG1585</f>
        <v>0</v>
      </c>
    </row>
    <row r="1960" spans="1:10">
      <c r="A1960">
        <f>'OPEN FOREIGN ORDER'!D1586</f>
        <v>0</v>
      </c>
      <c r="B1960">
        <f>'OPEN FOREIGN ORDER'!F1586</f>
        <v>0</v>
      </c>
      <c r="C1960">
        <f>'OPEN FOREIGN ORDER'!Z1586</f>
        <v>0</v>
      </c>
      <c r="D1960" s="123">
        <f>'OPEN FOREIGN ORDER'!AA1586</f>
        <v>0</v>
      </c>
      <c r="E1960" s="112">
        <f>'OPEN FOREIGN ORDER'!AB1586</f>
        <v>0</v>
      </c>
      <c r="F1960" s="112">
        <f>'OPEN FOREIGN ORDER'!AC1586</f>
        <v>0</v>
      </c>
      <c r="G1960" s="112">
        <f>'OPEN FOREIGN ORDER'!AD1586</f>
        <v>0</v>
      </c>
      <c r="H1960" s="112">
        <f>'OPEN FOREIGN ORDER'!AE1586</f>
        <v>0</v>
      </c>
      <c r="I1960" s="112">
        <f>'OPEN FOREIGN ORDER'!AF1586</f>
        <v>0</v>
      </c>
      <c r="J1960" s="112">
        <f>'OPEN FOREIGN ORDER'!AG1586</f>
        <v>0</v>
      </c>
    </row>
    <row r="1961" spans="1:10">
      <c r="A1961">
        <f>'OPEN FOREIGN ORDER'!D1587</f>
        <v>0</v>
      </c>
      <c r="B1961">
        <f>'OPEN FOREIGN ORDER'!F1587</f>
        <v>0</v>
      </c>
      <c r="C1961">
        <f>'OPEN FOREIGN ORDER'!Z1587</f>
        <v>0</v>
      </c>
      <c r="D1961" s="123">
        <f>'OPEN FOREIGN ORDER'!AA1587</f>
        <v>0</v>
      </c>
      <c r="E1961" s="112">
        <f>'OPEN FOREIGN ORDER'!AB1587</f>
        <v>0</v>
      </c>
      <c r="F1961" s="112">
        <f>'OPEN FOREIGN ORDER'!AC1587</f>
        <v>0</v>
      </c>
      <c r="G1961" s="112">
        <f>'OPEN FOREIGN ORDER'!AD1587</f>
        <v>0</v>
      </c>
      <c r="H1961" s="112">
        <f>'OPEN FOREIGN ORDER'!AE1587</f>
        <v>0</v>
      </c>
      <c r="I1961" s="112">
        <f>'OPEN FOREIGN ORDER'!AF1587</f>
        <v>0</v>
      </c>
      <c r="J1961" s="112">
        <f>'OPEN FOREIGN ORDER'!AG1587</f>
        <v>0</v>
      </c>
    </row>
    <row r="1962" spans="1:10">
      <c r="A1962">
        <f>'OPEN FOREIGN ORDER'!D1588</f>
        <v>0</v>
      </c>
      <c r="B1962">
        <f>'OPEN FOREIGN ORDER'!F1588</f>
        <v>0</v>
      </c>
      <c r="C1962">
        <f>'OPEN FOREIGN ORDER'!Z1588</f>
        <v>0</v>
      </c>
      <c r="D1962" s="123">
        <f>'OPEN FOREIGN ORDER'!AA1588</f>
        <v>0</v>
      </c>
      <c r="E1962" s="112">
        <f>'OPEN FOREIGN ORDER'!AB1588</f>
        <v>0</v>
      </c>
      <c r="F1962" s="112">
        <f>'OPEN FOREIGN ORDER'!AC1588</f>
        <v>0</v>
      </c>
      <c r="G1962" s="112">
        <f>'OPEN FOREIGN ORDER'!AD1588</f>
        <v>0</v>
      </c>
      <c r="H1962" s="112">
        <f>'OPEN FOREIGN ORDER'!AE1588</f>
        <v>0</v>
      </c>
      <c r="I1962" s="112">
        <f>'OPEN FOREIGN ORDER'!AF1588</f>
        <v>0</v>
      </c>
      <c r="J1962" s="112">
        <f>'OPEN FOREIGN ORDER'!AG1588</f>
        <v>0</v>
      </c>
    </row>
    <row r="1963" spans="1:10">
      <c r="A1963">
        <f>'OPEN FOREIGN ORDER'!D1589</f>
        <v>0</v>
      </c>
      <c r="B1963">
        <f>'OPEN FOREIGN ORDER'!F1589</f>
        <v>0</v>
      </c>
      <c r="C1963">
        <f>'OPEN FOREIGN ORDER'!Z1589</f>
        <v>0</v>
      </c>
      <c r="D1963" s="123">
        <f>'OPEN FOREIGN ORDER'!AA1589</f>
        <v>0</v>
      </c>
      <c r="E1963" s="112">
        <f>'OPEN FOREIGN ORDER'!AB1589</f>
        <v>0</v>
      </c>
      <c r="F1963" s="112">
        <f>'OPEN FOREIGN ORDER'!AC1589</f>
        <v>0</v>
      </c>
      <c r="G1963" s="112">
        <f>'OPEN FOREIGN ORDER'!AD1589</f>
        <v>0</v>
      </c>
      <c r="H1963" s="112">
        <f>'OPEN FOREIGN ORDER'!AE1589</f>
        <v>0</v>
      </c>
      <c r="I1963" s="112">
        <f>'OPEN FOREIGN ORDER'!AF1589</f>
        <v>0</v>
      </c>
      <c r="J1963" s="112">
        <f>'OPEN FOREIGN ORDER'!AG1589</f>
        <v>0</v>
      </c>
    </row>
    <row r="1964" spans="1:10">
      <c r="A1964">
        <f>'OPEN FOREIGN ORDER'!D1590</f>
        <v>0</v>
      </c>
      <c r="B1964">
        <f>'OPEN FOREIGN ORDER'!F1590</f>
        <v>0</v>
      </c>
      <c r="C1964">
        <f>'OPEN FOREIGN ORDER'!Z1590</f>
        <v>0</v>
      </c>
      <c r="D1964" s="123">
        <f>'OPEN FOREIGN ORDER'!AA1590</f>
        <v>0</v>
      </c>
      <c r="E1964" s="112">
        <f>'OPEN FOREIGN ORDER'!AB1590</f>
        <v>0</v>
      </c>
      <c r="F1964" s="112">
        <f>'OPEN FOREIGN ORDER'!AC1590</f>
        <v>0</v>
      </c>
      <c r="G1964" s="112">
        <f>'OPEN FOREIGN ORDER'!AD1590</f>
        <v>0</v>
      </c>
      <c r="H1964" s="112">
        <f>'OPEN FOREIGN ORDER'!AE1590</f>
        <v>0</v>
      </c>
      <c r="I1964" s="112">
        <f>'OPEN FOREIGN ORDER'!AF1590</f>
        <v>0</v>
      </c>
      <c r="J1964" s="112">
        <f>'OPEN FOREIGN ORDER'!AG1590</f>
        <v>0</v>
      </c>
    </row>
    <row r="1965" spans="1:10">
      <c r="A1965">
        <f>'OPEN FOREIGN ORDER'!D1591</f>
        <v>0</v>
      </c>
      <c r="B1965">
        <f>'OPEN FOREIGN ORDER'!F1591</f>
        <v>0</v>
      </c>
      <c r="C1965">
        <f>'OPEN FOREIGN ORDER'!Z1591</f>
        <v>0</v>
      </c>
      <c r="D1965" s="123">
        <f>'OPEN FOREIGN ORDER'!AA1591</f>
        <v>0</v>
      </c>
      <c r="E1965" s="112">
        <f>'OPEN FOREIGN ORDER'!AB1591</f>
        <v>0</v>
      </c>
      <c r="F1965" s="112">
        <f>'OPEN FOREIGN ORDER'!AC1591</f>
        <v>0</v>
      </c>
      <c r="G1965" s="112">
        <f>'OPEN FOREIGN ORDER'!AD1591</f>
        <v>0</v>
      </c>
      <c r="H1965" s="112">
        <f>'OPEN FOREIGN ORDER'!AE1591</f>
        <v>0</v>
      </c>
      <c r="I1965" s="112">
        <f>'OPEN FOREIGN ORDER'!AF1591</f>
        <v>0</v>
      </c>
      <c r="J1965" s="112">
        <f>'OPEN FOREIGN ORDER'!AG1591</f>
        <v>0</v>
      </c>
    </row>
    <row r="1966" spans="1:10">
      <c r="A1966">
        <f>'OPEN FOREIGN ORDER'!D1592</f>
        <v>0</v>
      </c>
      <c r="B1966">
        <f>'OPEN FOREIGN ORDER'!F1592</f>
        <v>0</v>
      </c>
      <c r="C1966">
        <f>'OPEN FOREIGN ORDER'!Z1592</f>
        <v>0</v>
      </c>
      <c r="D1966" s="123">
        <f>'OPEN FOREIGN ORDER'!AA1592</f>
        <v>0</v>
      </c>
      <c r="E1966" s="112">
        <f>'OPEN FOREIGN ORDER'!AB1592</f>
        <v>0</v>
      </c>
      <c r="F1966" s="112">
        <f>'OPEN FOREIGN ORDER'!AC1592</f>
        <v>0</v>
      </c>
      <c r="G1966" s="112">
        <f>'OPEN FOREIGN ORDER'!AD1592</f>
        <v>0</v>
      </c>
      <c r="H1966" s="112">
        <f>'OPEN FOREIGN ORDER'!AE1592</f>
        <v>0</v>
      </c>
      <c r="I1966" s="112">
        <f>'OPEN FOREIGN ORDER'!AF1592</f>
        <v>0</v>
      </c>
      <c r="J1966" s="112">
        <f>'OPEN FOREIGN ORDER'!AG1592</f>
        <v>0</v>
      </c>
    </row>
    <row r="1967" spans="1:10">
      <c r="A1967">
        <f>'OPEN FOREIGN ORDER'!D1593</f>
        <v>0</v>
      </c>
      <c r="B1967">
        <f>'OPEN FOREIGN ORDER'!F1593</f>
        <v>0</v>
      </c>
      <c r="C1967">
        <f>'OPEN FOREIGN ORDER'!Z1593</f>
        <v>0</v>
      </c>
      <c r="D1967" s="123">
        <f>'OPEN FOREIGN ORDER'!AA1593</f>
        <v>0</v>
      </c>
      <c r="E1967" s="112">
        <f>'OPEN FOREIGN ORDER'!AB1593</f>
        <v>0</v>
      </c>
      <c r="F1967" s="112">
        <f>'OPEN FOREIGN ORDER'!AC1593</f>
        <v>0</v>
      </c>
      <c r="G1967" s="112">
        <f>'OPEN FOREIGN ORDER'!AD1593</f>
        <v>0</v>
      </c>
      <c r="H1967" s="112">
        <f>'OPEN FOREIGN ORDER'!AE1593</f>
        <v>0</v>
      </c>
      <c r="I1967" s="112">
        <f>'OPEN FOREIGN ORDER'!AF1593</f>
        <v>0</v>
      </c>
      <c r="J1967" s="112">
        <f>'OPEN FOREIGN ORDER'!AG1593</f>
        <v>0</v>
      </c>
    </row>
    <row r="1968" spans="1:10">
      <c r="A1968">
        <f>'OPEN FOREIGN ORDER'!D1594</f>
        <v>0</v>
      </c>
      <c r="B1968">
        <f>'OPEN FOREIGN ORDER'!F1594</f>
        <v>0</v>
      </c>
      <c r="C1968">
        <f>'OPEN FOREIGN ORDER'!Z1594</f>
        <v>0</v>
      </c>
      <c r="D1968" s="123">
        <f>'OPEN FOREIGN ORDER'!AA1594</f>
        <v>0</v>
      </c>
      <c r="E1968" s="112">
        <f>'OPEN FOREIGN ORDER'!AB1594</f>
        <v>0</v>
      </c>
      <c r="F1968" s="112">
        <f>'OPEN FOREIGN ORDER'!AC1594</f>
        <v>0</v>
      </c>
      <c r="G1968" s="112">
        <f>'OPEN FOREIGN ORDER'!AD1594</f>
        <v>0</v>
      </c>
      <c r="H1968" s="112">
        <f>'OPEN FOREIGN ORDER'!AE1594</f>
        <v>0</v>
      </c>
      <c r="I1968" s="112">
        <f>'OPEN FOREIGN ORDER'!AF1594</f>
        <v>0</v>
      </c>
      <c r="J1968" s="112">
        <f>'OPEN FOREIGN ORDER'!AG1594</f>
        <v>0</v>
      </c>
    </row>
    <row r="1969" spans="1:10">
      <c r="A1969">
        <f>'OPEN FOREIGN ORDER'!D1595</f>
        <v>0</v>
      </c>
      <c r="B1969">
        <f>'OPEN FOREIGN ORDER'!F1595</f>
        <v>0</v>
      </c>
      <c r="C1969">
        <f>'OPEN FOREIGN ORDER'!Z1595</f>
        <v>0</v>
      </c>
      <c r="D1969" s="123">
        <f>'OPEN FOREIGN ORDER'!AA1595</f>
        <v>0</v>
      </c>
      <c r="E1969" s="112">
        <f>'OPEN FOREIGN ORDER'!AB1595</f>
        <v>0</v>
      </c>
      <c r="F1969" s="112">
        <f>'OPEN FOREIGN ORDER'!AC1595</f>
        <v>0</v>
      </c>
      <c r="G1969" s="112">
        <f>'OPEN FOREIGN ORDER'!AD1595</f>
        <v>0</v>
      </c>
      <c r="H1969" s="112">
        <f>'OPEN FOREIGN ORDER'!AE1595</f>
        <v>0</v>
      </c>
      <c r="I1969" s="112">
        <f>'OPEN FOREIGN ORDER'!AF1595</f>
        <v>0</v>
      </c>
      <c r="J1969" s="112">
        <f>'OPEN FOREIGN ORDER'!AG1595</f>
        <v>0</v>
      </c>
    </row>
    <row r="1970" spans="1:10">
      <c r="A1970">
        <f>'OPEN FOREIGN ORDER'!D1596</f>
        <v>0</v>
      </c>
      <c r="B1970">
        <f>'OPEN FOREIGN ORDER'!F1596</f>
        <v>0</v>
      </c>
      <c r="C1970">
        <f>'OPEN FOREIGN ORDER'!Z1596</f>
        <v>0</v>
      </c>
      <c r="D1970" s="123">
        <f>'OPEN FOREIGN ORDER'!AA1596</f>
        <v>0</v>
      </c>
      <c r="E1970" s="112">
        <f>'OPEN FOREIGN ORDER'!AB1596</f>
        <v>0</v>
      </c>
      <c r="F1970" s="112">
        <f>'OPEN FOREIGN ORDER'!AC1596</f>
        <v>0</v>
      </c>
      <c r="G1970" s="112">
        <f>'OPEN FOREIGN ORDER'!AD1596</f>
        <v>0</v>
      </c>
      <c r="H1970" s="112">
        <f>'OPEN FOREIGN ORDER'!AE1596</f>
        <v>0</v>
      </c>
      <c r="I1970" s="112">
        <f>'OPEN FOREIGN ORDER'!AF1596</f>
        <v>0</v>
      </c>
      <c r="J1970" s="112">
        <f>'OPEN FOREIGN ORDER'!AG1596</f>
        <v>0</v>
      </c>
    </row>
    <row r="1971" spans="1:10">
      <c r="A1971">
        <f>'OPEN FOREIGN ORDER'!D1597</f>
        <v>0</v>
      </c>
      <c r="B1971">
        <f>'OPEN FOREIGN ORDER'!F1597</f>
        <v>0</v>
      </c>
      <c r="C1971">
        <f>'OPEN FOREIGN ORDER'!Z1597</f>
        <v>0</v>
      </c>
      <c r="D1971" s="123">
        <f>'OPEN FOREIGN ORDER'!AA1597</f>
        <v>0</v>
      </c>
      <c r="E1971" s="112">
        <f>'OPEN FOREIGN ORDER'!AB1597</f>
        <v>0</v>
      </c>
      <c r="F1971" s="112">
        <f>'OPEN FOREIGN ORDER'!AC1597</f>
        <v>0</v>
      </c>
      <c r="G1971" s="112">
        <f>'OPEN FOREIGN ORDER'!AD1597</f>
        <v>0</v>
      </c>
      <c r="H1971" s="112">
        <f>'OPEN FOREIGN ORDER'!AE1597</f>
        <v>0</v>
      </c>
      <c r="I1971" s="112">
        <f>'OPEN FOREIGN ORDER'!AF1597</f>
        <v>0</v>
      </c>
      <c r="J1971" s="112">
        <f>'OPEN FOREIGN ORDER'!AG1597</f>
        <v>0</v>
      </c>
    </row>
    <row r="1972" spans="1:10">
      <c r="A1972">
        <f>'OPEN FOREIGN ORDER'!D1598</f>
        <v>0</v>
      </c>
      <c r="B1972">
        <f>'OPEN FOREIGN ORDER'!F1598</f>
        <v>0</v>
      </c>
      <c r="C1972">
        <f>'OPEN FOREIGN ORDER'!Z1598</f>
        <v>0</v>
      </c>
      <c r="D1972" s="123">
        <f>'OPEN FOREIGN ORDER'!AA1598</f>
        <v>0</v>
      </c>
      <c r="E1972" s="112">
        <f>'OPEN FOREIGN ORDER'!AB1598</f>
        <v>0</v>
      </c>
      <c r="F1972" s="112">
        <f>'OPEN FOREIGN ORDER'!AC1598</f>
        <v>0</v>
      </c>
      <c r="G1972" s="112">
        <f>'OPEN FOREIGN ORDER'!AD1598</f>
        <v>0</v>
      </c>
      <c r="H1972" s="112">
        <f>'OPEN FOREIGN ORDER'!AE1598</f>
        <v>0</v>
      </c>
      <c r="I1972" s="112">
        <f>'OPEN FOREIGN ORDER'!AF1598</f>
        <v>0</v>
      </c>
      <c r="J1972" s="112">
        <f>'OPEN FOREIGN ORDER'!AG1598</f>
        <v>0</v>
      </c>
    </row>
    <row r="1973" spans="1:10">
      <c r="A1973">
        <f>'OPEN FOREIGN ORDER'!D1599</f>
        <v>0</v>
      </c>
      <c r="B1973">
        <f>'OPEN FOREIGN ORDER'!F1599</f>
        <v>0</v>
      </c>
      <c r="C1973">
        <f>'OPEN FOREIGN ORDER'!Z1599</f>
        <v>0</v>
      </c>
      <c r="D1973" s="123">
        <f>'OPEN FOREIGN ORDER'!AA1599</f>
        <v>0</v>
      </c>
      <c r="E1973" s="112">
        <f>'OPEN FOREIGN ORDER'!AB1599</f>
        <v>0</v>
      </c>
      <c r="F1973" s="112">
        <f>'OPEN FOREIGN ORDER'!AC1599</f>
        <v>0</v>
      </c>
      <c r="G1973" s="112">
        <f>'OPEN FOREIGN ORDER'!AD1599</f>
        <v>0</v>
      </c>
      <c r="H1973" s="112">
        <f>'OPEN FOREIGN ORDER'!AE1599</f>
        <v>0</v>
      </c>
      <c r="I1973" s="112">
        <f>'OPEN FOREIGN ORDER'!AF1599</f>
        <v>0</v>
      </c>
      <c r="J1973" s="112">
        <f>'OPEN FOREIGN ORDER'!AG1599</f>
        <v>0</v>
      </c>
    </row>
    <row r="1974" spans="1:10">
      <c r="A1974">
        <f>'OPEN FOREIGN ORDER'!D1600</f>
        <v>0</v>
      </c>
      <c r="B1974">
        <f>'OPEN FOREIGN ORDER'!F1600</f>
        <v>0</v>
      </c>
      <c r="C1974">
        <f>'OPEN FOREIGN ORDER'!Z1600</f>
        <v>0</v>
      </c>
      <c r="D1974" s="123">
        <f>'OPEN FOREIGN ORDER'!AA1600</f>
        <v>0</v>
      </c>
      <c r="E1974" s="112">
        <f>'OPEN FOREIGN ORDER'!AB1600</f>
        <v>0</v>
      </c>
      <c r="F1974" s="112">
        <f>'OPEN FOREIGN ORDER'!AC1600</f>
        <v>0</v>
      </c>
      <c r="G1974" s="112">
        <f>'OPEN FOREIGN ORDER'!AD1600</f>
        <v>0</v>
      </c>
      <c r="H1974" s="112">
        <f>'OPEN FOREIGN ORDER'!AE1600</f>
        <v>0</v>
      </c>
      <c r="I1974" s="112">
        <f>'OPEN FOREIGN ORDER'!AF1600</f>
        <v>0</v>
      </c>
      <c r="J1974" s="112">
        <f>'OPEN FOREIGN ORDER'!AG1600</f>
        <v>0</v>
      </c>
    </row>
    <row r="1975" spans="1:10">
      <c r="A1975">
        <f>'OPEN FOREIGN ORDER'!D1601</f>
        <v>0</v>
      </c>
      <c r="B1975">
        <f>'OPEN FOREIGN ORDER'!F1601</f>
        <v>0</v>
      </c>
      <c r="C1975">
        <f>'OPEN FOREIGN ORDER'!Z1601</f>
        <v>0</v>
      </c>
      <c r="D1975" s="123">
        <f>'OPEN FOREIGN ORDER'!AA1601</f>
        <v>0</v>
      </c>
      <c r="E1975" s="112">
        <f>'OPEN FOREIGN ORDER'!AB1601</f>
        <v>0</v>
      </c>
      <c r="F1975" s="112">
        <f>'OPEN FOREIGN ORDER'!AC1601</f>
        <v>0</v>
      </c>
      <c r="G1975" s="112">
        <f>'OPEN FOREIGN ORDER'!AD1601</f>
        <v>0</v>
      </c>
      <c r="H1975" s="112">
        <f>'OPEN FOREIGN ORDER'!AE1601</f>
        <v>0</v>
      </c>
      <c r="I1975" s="112">
        <f>'OPEN FOREIGN ORDER'!AF1601</f>
        <v>0</v>
      </c>
      <c r="J1975" s="112">
        <f>'OPEN FOREIGN ORDER'!AG1601</f>
        <v>0</v>
      </c>
    </row>
    <row r="1976" spans="1:10">
      <c r="A1976">
        <f>'OPEN FOREIGN ORDER'!D1602</f>
        <v>0</v>
      </c>
      <c r="B1976">
        <f>'OPEN FOREIGN ORDER'!F1602</f>
        <v>0</v>
      </c>
      <c r="C1976">
        <f>'OPEN FOREIGN ORDER'!Z1602</f>
        <v>0</v>
      </c>
      <c r="D1976" s="123">
        <f>'OPEN FOREIGN ORDER'!AA1602</f>
        <v>0</v>
      </c>
      <c r="E1976" s="112">
        <f>'OPEN FOREIGN ORDER'!AB1602</f>
        <v>0</v>
      </c>
      <c r="F1976" s="112">
        <f>'OPEN FOREIGN ORDER'!AC1602</f>
        <v>0</v>
      </c>
      <c r="G1976" s="112">
        <f>'OPEN FOREIGN ORDER'!AD1602</f>
        <v>0</v>
      </c>
      <c r="H1976" s="112">
        <f>'OPEN FOREIGN ORDER'!AE1602</f>
        <v>0</v>
      </c>
      <c r="I1976" s="112">
        <f>'OPEN FOREIGN ORDER'!AF1602</f>
        <v>0</v>
      </c>
      <c r="J1976" s="112">
        <f>'OPEN FOREIGN ORDER'!AG1602</f>
        <v>0</v>
      </c>
    </row>
    <row r="1977" spans="1:10">
      <c r="A1977">
        <f>'OPEN FOREIGN ORDER'!D1603</f>
        <v>0</v>
      </c>
      <c r="B1977">
        <f>'OPEN FOREIGN ORDER'!F1603</f>
        <v>0</v>
      </c>
      <c r="C1977">
        <f>'OPEN FOREIGN ORDER'!Z1603</f>
        <v>0</v>
      </c>
      <c r="D1977" s="123">
        <f>'OPEN FOREIGN ORDER'!AA1603</f>
        <v>0</v>
      </c>
      <c r="E1977" s="112">
        <f>'OPEN FOREIGN ORDER'!AB1603</f>
        <v>0</v>
      </c>
      <c r="F1977" s="112">
        <f>'OPEN FOREIGN ORDER'!AC1603</f>
        <v>0</v>
      </c>
      <c r="G1977" s="112">
        <f>'OPEN FOREIGN ORDER'!AD1603</f>
        <v>0</v>
      </c>
      <c r="H1977" s="112">
        <f>'OPEN FOREIGN ORDER'!AE1603</f>
        <v>0</v>
      </c>
      <c r="I1977" s="112">
        <f>'OPEN FOREIGN ORDER'!AF1603</f>
        <v>0</v>
      </c>
      <c r="J1977" s="112">
        <f>'OPEN FOREIGN ORDER'!AG1603</f>
        <v>0</v>
      </c>
    </row>
    <row r="1978" spans="1:10">
      <c r="A1978">
        <f>'OPEN FOREIGN ORDER'!D1604</f>
        <v>0</v>
      </c>
      <c r="B1978">
        <f>'OPEN FOREIGN ORDER'!F1604</f>
        <v>0</v>
      </c>
      <c r="C1978">
        <f>'OPEN FOREIGN ORDER'!Z1604</f>
        <v>0</v>
      </c>
      <c r="D1978" s="123">
        <f>'OPEN FOREIGN ORDER'!AA1604</f>
        <v>0</v>
      </c>
      <c r="E1978" s="112">
        <f>'OPEN FOREIGN ORDER'!AB1604</f>
        <v>0</v>
      </c>
      <c r="F1978" s="112">
        <f>'OPEN FOREIGN ORDER'!AC1604</f>
        <v>0</v>
      </c>
      <c r="G1978" s="112">
        <f>'OPEN FOREIGN ORDER'!AD1604</f>
        <v>0</v>
      </c>
      <c r="H1978" s="112">
        <f>'OPEN FOREIGN ORDER'!AE1604</f>
        <v>0</v>
      </c>
      <c r="I1978" s="112">
        <f>'OPEN FOREIGN ORDER'!AF1604</f>
        <v>0</v>
      </c>
      <c r="J1978" s="112">
        <f>'OPEN FOREIGN ORDER'!AG1604</f>
        <v>0</v>
      </c>
    </row>
    <row r="1979" spans="1:10">
      <c r="A1979">
        <f>'OPEN FOREIGN ORDER'!D1605</f>
        <v>0</v>
      </c>
      <c r="B1979">
        <f>'OPEN FOREIGN ORDER'!F1605</f>
        <v>0</v>
      </c>
      <c r="C1979">
        <f>'OPEN FOREIGN ORDER'!Z1605</f>
        <v>0</v>
      </c>
      <c r="D1979" s="123">
        <f>'OPEN FOREIGN ORDER'!AA1605</f>
        <v>0</v>
      </c>
      <c r="E1979" s="112">
        <f>'OPEN FOREIGN ORDER'!AB1605</f>
        <v>0</v>
      </c>
      <c r="F1979" s="112">
        <f>'OPEN FOREIGN ORDER'!AC1605</f>
        <v>0</v>
      </c>
      <c r="G1979" s="112">
        <f>'OPEN FOREIGN ORDER'!AD1605</f>
        <v>0</v>
      </c>
      <c r="H1979" s="112">
        <f>'OPEN FOREIGN ORDER'!AE1605</f>
        <v>0</v>
      </c>
      <c r="I1979" s="112">
        <f>'OPEN FOREIGN ORDER'!AF1605</f>
        <v>0</v>
      </c>
      <c r="J1979" s="112">
        <f>'OPEN FOREIGN ORDER'!AG1605</f>
        <v>0</v>
      </c>
    </row>
    <row r="1980" spans="1:10">
      <c r="A1980">
        <f>'OPEN FOREIGN ORDER'!D1606</f>
        <v>0</v>
      </c>
      <c r="B1980">
        <f>'OPEN FOREIGN ORDER'!F1606</f>
        <v>0</v>
      </c>
      <c r="C1980">
        <f>'OPEN FOREIGN ORDER'!Z1606</f>
        <v>0</v>
      </c>
      <c r="D1980" s="123">
        <f>'OPEN FOREIGN ORDER'!AA1606</f>
        <v>0</v>
      </c>
      <c r="E1980" s="112">
        <f>'OPEN FOREIGN ORDER'!AB1606</f>
        <v>0</v>
      </c>
      <c r="F1980" s="112">
        <f>'OPEN FOREIGN ORDER'!AC1606</f>
        <v>0</v>
      </c>
      <c r="G1980" s="112">
        <f>'OPEN FOREIGN ORDER'!AD1606</f>
        <v>0</v>
      </c>
      <c r="H1980" s="112">
        <f>'OPEN FOREIGN ORDER'!AE1606</f>
        <v>0</v>
      </c>
      <c r="I1980" s="112">
        <f>'OPEN FOREIGN ORDER'!AF1606</f>
        <v>0</v>
      </c>
      <c r="J1980" s="112">
        <f>'OPEN FOREIGN ORDER'!AG1606</f>
        <v>0</v>
      </c>
    </row>
    <row r="1981" spans="1:10">
      <c r="A1981">
        <f>'OPEN FOREIGN ORDER'!D1607</f>
        <v>0</v>
      </c>
      <c r="B1981">
        <f>'OPEN FOREIGN ORDER'!F1607</f>
        <v>0</v>
      </c>
      <c r="C1981">
        <f>'OPEN FOREIGN ORDER'!Z1607</f>
        <v>0</v>
      </c>
      <c r="D1981" s="123">
        <f>'OPEN FOREIGN ORDER'!AA1607</f>
        <v>0</v>
      </c>
      <c r="E1981" s="112">
        <f>'OPEN FOREIGN ORDER'!AB1607</f>
        <v>0</v>
      </c>
      <c r="F1981" s="112">
        <f>'OPEN FOREIGN ORDER'!AC1607</f>
        <v>0</v>
      </c>
      <c r="G1981" s="112">
        <f>'OPEN FOREIGN ORDER'!AD1607</f>
        <v>0</v>
      </c>
      <c r="H1981" s="112">
        <f>'OPEN FOREIGN ORDER'!AE1607</f>
        <v>0</v>
      </c>
      <c r="I1981" s="112">
        <f>'OPEN FOREIGN ORDER'!AF1607</f>
        <v>0</v>
      </c>
      <c r="J1981" s="112">
        <f>'OPEN FOREIGN ORDER'!AG1607</f>
        <v>0</v>
      </c>
    </row>
    <row r="1982" spans="1:10">
      <c r="A1982">
        <f>'OPEN FOREIGN ORDER'!D1608</f>
        <v>0</v>
      </c>
      <c r="B1982">
        <f>'OPEN FOREIGN ORDER'!F1608</f>
        <v>0</v>
      </c>
      <c r="C1982">
        <f>'OPEN FOREIGN ORDER'!Z1608</f>
        <v>0</v>
      </c>
      <c r="D1982" s="123">
        <f>'OPEN FOREIGN ORDER'!AA1608</f>
        <v>0</v>
      </c>
      <c r="E1982" s="112">
        <f>'OPEN FOREIGN ORDER'!AB1608</f>
        <v>0</v>
      </c>
      <c r="F1982" s="112">
        <f>'OPEN FOREIGN ORDER'!AC1608</f>
        <v>0</v>
      </c>
      <c r="G1982" s="112">
        <f>'OPEN FOREIGN ORDER'!AD1608</f>
        <v>0</v>
      </c>
      <c r="H1982" s="112">
        <f>'OPEN FOREIGN ORDER'!AE1608</f>
        <v>0</v>
      </c>
      <c r="I1982" s="112">
        <f>'OPEN FOREIGN ORDER'!AF1608</f>
        <v>0</v>
      </c>
      <c r="J1982" s="112">
        <f>'OPEN FOREIGN ORDER'!AG1608</f>
        <v>0</v>
      </c>
    </row>
    <row r="1983" spans="1:10">
      <c r="A1983">
        <f>'OPEN FOREIGN ORDER'!D1609</f>
        <v>0</v>
      </c>
      <c r="B1983">
        <f>'OPEN FOREIGN ORDER'!F1609</f>
        <v>0</v>
      </c>
      <c r="C1983">
        <f>'OPEN FOREIGN ORDER'!Z1609</f>
        <v>0</v>
      </c>
      <c r="D1983" s="123">
        <f>'OPEN FOREIGN ORDER'!AA1609</f>
        <v>0</v>
      </c>
      <c r="E1983" s="112">
        <f>'OPEN FOREIGN ORDER'!AB1609</f>
        <v>0</v>
      </c>
      <c r="F1983" s="112">
        <f>'OPEN FOREIGN ORDER'!AC1609</f>
        <v>0</v>
      </c>
      <c r="G1983" s="112">
        <f>'OPEN FOREIGN ORDER'!AD1609</f>
        <v>0</v>
      </c>
      <c r="H1983" s="112">
        <f>'OPEN FOREIGN ORDER'!AE1609</f>
        <v>0</v>
      </c>
      <c r="I1983" s="112">
        <f>'OPEN FOREIGN ORDER'!AF1609</f>
        <v>0</v>
      </c>
      <c r="J1983" s="112">
        <f>'OPEN FOREIGN ORDER'!AG1609</f>
        <v>0</v>
      </c>
    </row>
    <row r="1984" spans="1:10">
      <c r="A1984">
        <f>'OPEN FOREIGN ORDER'!D1610</f>
        <v>0</v>
      </c>
      <c r="B1984">
        <f>'OPEN FOREIGN ORDER'!F1610</f>
        <v>0</v>
      </c>
      <c r="C1984">
        <f>'OPEN FOREIGN ORDER'!Z1610</f>
        <v>0</v>
      </c>
      <c r="D1984" s="123">
        <f>'OPEN FOREIGN ORDER'!AA1610</f>
        <v>0</v>
      </c>
      <c r="E1984" s="112">
        <f>'OPEN FOREIGN ORDER'!AB1610</f>
        <v>0</v>
      </c>
      <c r="F1984" s="112">
        <f>'OPEN FOREIGN ORDER'!AC1610</f>
        <v>0</v>
      </c>
      <c r="G1984" s="112">
        <f>'OPEN FOREIGN ORDER'!AD1610</f>
        <v>0</v>
      </c>
      <c r="H1984" s="112">
        <f>'OPEN FOREIGN ORDER'!AE1610</f>
        <v>0</v>
      </c>
      <c r="I1984" s="112">
        <f>'OPEN FOREIGN ORDER'!AF1610</f>
        <v>0</v>
      </c>
      <c r="J1984" s="112">
        <f>'OPEN FOREIGN ORDER'!AG1610</f>
        <v>0</v>
      </c>
    </row>
    <row r="1985" spans="1:10">
      <c r="A1985">
        <f>'OPEN FOREIGN ORDER'!D1611</f>
        <v>0</v>
      </c>
      <c r="B1985">
        <f>'OPEN FOREIGN ORDER'!F1611</f>
        <v>0</v>
      </c>
      <c r="C1985">
        <f>'OPEN FOREIGN ORDER'!Z1611</f>
        <v>0</v>
      </c>
      <c r="D1985" s="123">
        <f>'OPEN FOREIGN ORDER'!AA1611</f>
        <v>0</v>
      </c>
      <c r="E1985" s="112">
        <f>'OPEN FOREIGN ORDER'!AB1611</f>
        <v>0</v>
      </c>
      <c r="F1985" s="112">
        <f>'OPEN FOREIGN ORDER'!AC1611</f>
        <v>0</v>
      </c>
      <c r="G1985" s="112">
        <f>'OPEN FOREIGN ORDER'!AD1611</f>
        <v>0</v>
      </c>
      <c r="H1985" s="112">
        <f>'OPEN FOREIGN ORDER'!AE1611</f>
        <v>0</v>
      </c>
      <c r="I1985" s="112">
        <f>'OPEN FOREIGN ORDER'!AF1611</f>
        <v>0</v>
      </c>
      <c r="J1985" s="112">
        <f>'OPEN FOREIGN ORDER'!AG1611</f>
        <v>0</v>
      </c>
    </row>
    <row r="1986" spans="1:10">
      <c r="A1986">
        <f>'OPEN FOREIGN ORDER'!D1612</f>
        <v>0</v>
      </c>
      <c r="B1986">
        <f>'OPEN FOREIGN ORDER'!F1612</f>
        <v>0</v>
      </c>
      <c r="C1986">
        <f>'OPEN FOREIGN ORDER'!Z1612</f>
        <v>0</v>
      </c>
      <c r="D1986" s="123">
        <f>'OPEN FOREIGN ORDER'!AA1612</f>
        <v>0</v>
      </c>
      <c r="E1986" s="112">
        <f>'OPEN FOREIGN ORDER'!AB1612</f>
        <v>0</v>
      </c>
      <c r="F1986" s="112">
        <f>'OPEN FOREIGN ORDER'!AC1612</f>
        <v>0</v>
      </c>
      <c r="G1986" s="112">
        <f>'OPEN FOREIGN ORDER'!AD1612</f>
        <v>0</v>
      </c>
      <c r="H1986" s="112">
        <f>'OPEN FOREIGN ORDER'!AE1612</f>
        <v>0</v>
      </c>
      <c r="I1986" s="112">
        <f>'OPEN FOREIGN ORDER'!AF1612</f>
        <v>0</v>
      </c>
      <c r="J1986" s="112">
        <f>'OPEN FOREIGN ORDER'!AG1612</f>
        <v>0</v>
      </c>
    </row>
    <row r="1987" spans="1:10">
      <c r="A1987">
        <f>'OPEN FOREIGN ORDER'!D1613</f>
        <v>0</v>
      </c>
      <c r="B1987">
        <f>'OPEN FOREIGN ORDER'!F1613</f>
        <v>0</v>
      </c>
      <c r="C1987">
        <f>'OPEN FOREIGN ORDER'!Z1613</f>
        <v>0</v>
      </c>
      <c r="D1987" s="123">
        <f>'OPEN FOREIGN ORDER'!AA1613</f>
        <v>0</v>
      </c>
      <c r="E1987" s="112">
        <f>'OPEN FOREIGN ORDER'!AB1613</f>
        <v>0</v>
      </c>
      <c r="F1987" s="112">
        <f>'OPEN FOREIGN ORDER'!AC1613</f>
        <v>0</v>
      </c>
      <c r="G1987" s="112">
        <f>'OPEN FOREIGN ORDER'!AD1613</f>
        <v>0</v>
      </c>
      <c r="H1987" s="112">
        <f>'OPEN FOREIGN ORDER'!AE1613</f>
        <v>0</v>
      </c>
      <c r="I1987" s="112">
        <f>'OPEN FOREIGN ORDER'!AF1613</f>
        <v>0</v>
      </c>
      <c r="J1987" s="112">
        <f>'OPEN FOREIGN ORDER'!AG1613</f>
        <v>0</v>
      </c>
    </row>
    <row r="1988" spans="1:10">
      <c r="A1988">
        <f>'OPEN FOREIGN ORDER'!D1614</f>
        <v>0</v>
      </c>
      <c r="B1988">
        <f>'OPEN FOREIGN ORDER'!F1614</f>
        <v>0</v>
      </c>
      <c r="C1988">
        <f>'OPEN FOREIGN ORDER'!Z1614</f>
        <v>0</v>
      </c>
      <c r="D1988" s="123">
        <f>'OPEN FOREIGN ORDER'!AA1614</f>
        <v>0</v>
      </c>
      <c r="E1988" s="112">
        <f>'OPEN FOREIGN ORDER'!AB1614</f>
        <v>0</v>
      </c>
      <c r="F1988" s="112">
        <f>'OPEN FOREIGN ORDER'!AC1614</f>
        <v>0</v>
      </c>
      <c r="G1988" s="112">
        <f>'OPEN FOREIGN ORDER'!AD1614</f>
        <v>0</v>
      </c>
      <c r="H1988" s="112">
        <f>'OPEN FOREIGN ORDER'!AE1614</f>
        <v>0</v>
      </c>
      <c r="I1988" s="112">
        <f>'OPEN FOREIGN ORDER'!AF1614</f>
        <v>0</v>
      </c>
      <c r="J1988" s="112">
        <f>'OPEN FOREIGN ORDER'!AG1614</f>
        <v>0</v>
      </c>
    </row>
    <row r="1989" spans="1:10">
      <c r="A1989">
        <f>'OPEN FOREIGN ORDER'!D1615</f>
        <v>0</v>
      </c>
      <c r="B1989">
        <f>'OPEN FOREIGN ORDER'!F1615</f>
        <v>0</v>
      </c>
      <c r="C1989">
        <f>'OPEN FOREIGN ORDER'!Z1615</f>
        <v>0</v>
      </c>
      <c r="D1989" s="123">
        <f>'OPEN FOREIGN ORDER'!AA1615</f>
        <v>0</v>
      </c>
      <c r="E1989" s="112">
        <f>'OPEN FOREIGN ORDER'!AB1615</f>
        <v>0</v>
      </c>
      <c r="F1989" s="112">
        <f>'OPEN FOREIGN ORDER'!AC1615</f>
        <v>0</v>
      </c>
      <c r="G1989" s="112">
        <f>'OPEN FOREIGN ORDER'!AD1615</f>
        <v>0</v>
      </c>
      <c r="H1989" s="112">
        <f>'OPEN FOREIGN ORDER'!AE1615</f>
        <v>0</v>
      </c>
      <c r="I1989" s="112">
        <f>'OPEN FOREIGN ORDER'!AF1615</f>
        <v>0</v>
      </c>
      <c r="J1989" s="112">
        <f>'OPEN FOREIGN ORDER'!AG1615</f>
        <v>0</v>
      </c>
    </row>
    <row r="1990" spans="1:10">
      <c r="A1990">
        <f>'OPEN FOREIGN ORDER'!D1616</f>
        <v>0</v>
      </c>
      <c r="B1990">
        <f>'OPEN FOREIGN ORDER'!F1616</f>
        <v>0</v>
      </c>
      <c r="C1990">
        <f>'OPEN FOREIGN ORDER'!Z1616</f>
        <v>0</v>
      </c>
      <c r="D1990" s="123">
        <f>'OPEN FOREIGN ORDER'!AA1616</f>
        <v>0</v>
      </c>
      <c r="E1990" s="112">
        <f>'OPEN FOREIGN ORDER'!AB1616</f>
        <v>0</v>
      </c>
      <c r="F1990" s="112">
        <f>'OPEN FOREIGN ORDER'!AC1616</f>
        <v>0</v>
      </c>
      <c r="G1990" s="112">
        <f>'OPEN FOREIGN ORDER'!AD1616</f>
        <v>0</v>
      </c>
      <c r="H1990" s="112">
        <f>'OPEN FOREIGN ORDER'!AE1616</f>
        <v>0</v>
      </c>
      <c r="I1990" s="112">
        <f>'OPEN FOREIGN ORDER'!AF1616</f>
        <v>0</v>
      </c>
      <c r="J1990" s="112">
        <f>'OPEN FOREIGN ORDER'!AG1616</f>
        <v>0</v>
      </c>
    </row>
    <row r="1991" spans="1:10">
      <c r="A1991">
        <f>'OPEN FOREIGN ORDER'!D1617</f>
        <v>0</v>
      </c>
      <c r="B1991">
        <f>'OPEN FOREIGN ORDER'!F1617</f>
        <v>0</v>
      </c>
      <c r="C1991">
        <f>'OPEN FOREIGN ORDER'!Z1617</f>
        <v>0</v>
      </c>
      <c r="D1991" s="123">
        <f>'OPEN FOREIGN ORDER'!AA1617</f>
        <v>0</v>
      </c>
      <c r="E1991" s="112">
        <f>'OPEN FOREIGN ORDER'!AB1617</f>
        <v>0</v>
      </c>
      <c r="F1991" s="112">
        <f>'OPEN FOREIGN ORDER'!AC1617</f>
        <v>0</v>
      </c>
      <c r="G1991" s="112">
        <f>'OPEN FOREIGN ORDER'!AD1617</f>
        <v>0</v>
      </c>
      <c r="H1991" s="112">
        <f>'OPEN FOREIGN ORDER'!AE1617</f>
        <v>0</v>
      </c>
      <c r="I1991" s="112">
        <f>'OPEN FOREIGN ORDER'!AF1617</f>
        <v>0</v>
      </c>
      <c r="J1991" s="112">
        <f>'OPEN FOREIGN ORDER'!AG1617</f>
        <v>0</v>
      </c>
    </row>
    <row r="1992" spans="1:10">
      <c r="A1992">
        <f>'OPEN FOREIGN ORDER'!D1618</f>
        <v>0</v>
      </c>
      <c r="B1992">
        <f>'OPEN FOREIGN ORDER'!F1618</f>
        <v>0</v>
      </c>
      <c r="C1992">
        <f>'OPEN FOREIGN ORDER'!Z1618</f>
        <v>0</v>
      </c>
      <c r="D1992" s="123">
        <f>'OPEN FOREIGN ORDER'!AA1618</f>
        <v>0</v>
      </c>
      <c r="E1992" s="112">
        <f>'OPEN FOREIGN ORDER'!AB1618</f>
        <v>0</v>
      </c>
      <c r="F1992" s="112">
        <f>'OPEN FOREIGN ORDER'!AC1618</f>
        <v>0</v>
      </c>
      <c r="G1992" s="112">
        <f>'OPEN FOREIGN ORDER'!AD1618</f>
        <v>0</v>
      </c>
      <c r="H1992" s="112">
        <f>'OPEN FOREIGN ORDER'!AE1618</f>
        <v>0</v>
      </c>
      <c r="I1992" s="112">
        <f>'OPEN FOREIGN ORDER'!AF1618</f>
        <v>0</v>
      </c>
      <c r="J1992" s="112">
        <f>'OPEN FOREIGN ORDER'!AG1618</f>
        <v>0</v>
      </c>
    </row>
    <row r="1993" spans="1:10">
      <c r="A1993">
        <f>'OPEN FOREIGN ORDER'!D1619</f>
        <v>0</v>
      </c>
      <c r="B1993">
        <f>'OPEN FOREIGN ORDER'!F1619</f>
        <v>0</v>
      </c>
      <c r="C1993">
        <f>'OPEN FOREIGN ORDER'!Z1619</f>
        <v>0</v>
      </c>
      <c r="D1993" s="123">
        <f>'OPEN FOREIGN ORDER'!AA1619</f>
        <v>0</v>
      </c>
      <c r="E1993" s="112">
        <f>'OPEN FOREIGN ORDER'!AB1619</f>
        <v>0</v>
      </c>
      <c r="F1993" s="112">
        <f>'OPEN FOREIGN ORDER'!AC1619</f>
        <v>0</v>
      </c>
      <c r="G1993" s="112">
        <f>'OPEN FOREIGN ORDER'!AD1619</f>
        <v>0</v>
      </c>
      <c r="H1993" s="112">
        <f>'OPEN FOREIGN ORDER'!AE1619</f>
        <v>0</v>
      </c>
      <c r="I1993" s="112">
        <f>'OPEN FOREIGN ORDER'!AF1619</f>
        <v>0</v>
      </c>
      <c r="J1993" s="112">
        <f>'OPEN FOREIGN ORDER'!AG1619</f>
        <v>0</v>
      </c>
    </row>
    <row r="1994" spans="1:10">
      <c r="A1994">
        <f>'OPEN FOREIGN ORDER'!D1620</f>
        <v>0</v>
      </c>
      <c r="B1994">
        <f>'OPEN FOREIGN ORDER'!F1620</f>
        <v>0</v>
      </c>
      <c r="C1994">
        <f>'OPEN FOREIGN ORDER'!Z1620</f>
        <v>0</v>
      </c>
      <c r="D1994" s="123">
        <f>'OPEN FOREIGN ORDER'!AA1620</f>
        <v>0</v>
      </c>
      <c r="E1994" s="112">
        <f>'OPEN FOREIGN ORDER'!AB1620</f>
        <v>0</v>
      </c>
      <c r="F1994" s="112">
        <f>'OPEN FOREIGN ORDER'!AC1620</f>
        <v>0</v>
      </c>
      <c r="G1994" s="112">
        <f>'OPEN FOREIGN ORDER'!AD1620</f>
        <v>0</v>
      </c>
      <c r="H1994" s="112">
        <f>'OPEN FOREIGN ORDER'!AE1620</f>
        <v>0</v>
      </c>
      <c r="I1994" s="112">
        <f>'OPEN FOREIGN ORDER'!AF1620</f>
        <v>0</v>
      </c>
      <c r="J1994" s="112">
        <f>'OPEN FOREIGN ORDER'!AG1620</f>
        <v>0</v>
      </c>
    </row>
    <row r="1995" spans="1:10">
      <c r="A1995">
        <f>'OPEN FOREIGN ORDER'!D1621</f>
        <v>0</v>
      </c>
      <c r="B1995">
        <f>'OPEN FOREIGN ORDER'!F1621</f>
        <v>0</v>
      </c>
      <c r="C1995">
        <f>'OPEN FOREIGN ORDER'!Z1621</f>
        <v>0</v>
      </c>
      <c r="D1995" s="123">
        <f>'OPEN FOREIGN ORDER'!AA1621</f>
        <v>0</v>
      </c>
      <c r="E1995" s="112">
        <f>'OPEN FOREIGN ORDER'!AB1621</f>
        <v>0</v>
      </c>
      <c r="F1995" s="112">
        <f>'OPEN FOREIGN ORDER'!AC1621</f>
        <v>0</v>
      </c>
      <c r="G1995" s="112">
        <f>'OPEN FOREIGN ORDER'!AD1621</f>
        <v>0</v>
      </c>
      <c r="H1995" s="112">
        <f>'OPEN FOREIGN ORDER'!AE1621</f>
        <v>0</v>
      </c>
      <c r="I1995" s="112">
        <f>'OPEN FOREIGN ORDER'!AF1621</f>
        <v>0</v>
      </c>
      <c r="J1995" s="112">
        <f>'OPEN FOREIGN ORDER'!AG1621</f>
        <v>0</v>
      </c>
    </row>
    <row r="1996" spans="1:10">
      <c r="A1996">
        <f>'OPEN FOREIGN ORDER'!D1622</f>
        <v>0</v>
      </c>
      <c r="B1996">
        <f>'OPEN FOREIGN ORDER'!F1622</f>
        <v>0</v>
      </c>
      <c r="C1996">
        <f>'OPEN FOREIGN ORDER'!Z1622</f>
        <v>0</v>
      </c>
      <c r="D1996" s="123">
        <f>'OPEN FOREIGN ORDER'!AA1622</f>
        <v>0</v>
      </c>
      <c r="E1996" s="112">
        <f>'OPEN FOREIGN ORDER'!AB1622</f>
        <v>0</v>
      </c>
      <c r="F1996" s="112">
        <f>'OPEN FOREIGN ORDER'!AC1622</f>
        <v>0</v>
      </c>
      <c r="G1996" s="112">
        <f>'OPEN FOREIGN ORDER'!AD1622</f>
        <v>0</v>
      </c>
      <c r="H1996" s="112">
        <f>'OPEN FOREIGN ORDER'!AE1622</f>
        <v>0</v>
      </c>
      <c r="I1996" s="112">
        <f>'OPEN FOREIGN ORDER'!AF1622</f>
        <v>0</v>
      </c>
      <c r="J1996" s="112">
        <f>'OPEN FOREIGN ORDER'!AG1622</f>
        <v>0</v>
      </c>
    </row>
    <row r="1997" spans="1:10">
      <c r="A1997">
        <f>'OPEN FOREIGN ORDER'!D1623</f>
        <v>0</v>
      </c>
      <c r="B1997">
        <f>'OPEN FOREIGN ORDER'!F1623</f>
        <v>0</v>
      </c>
      <c r="C1997">
        <f>'OPEN FOREIGN ORDER'!Z1623</f>
        <v>0</v>
      </c>
      <c r="D1997" s="123">
        <f>'OPEN FOREIGN ORDER'!AA1623</f>
        <v>0</v>
      </c>
      <c r="E1997" s="112">
        <f>'OPEN FOREIGN ORDER'!AB1623</f>
        <v>0</v>
      </c>
      <c r="F1997" s="112">
        <f>'OPEN FOREIGN ORDER'!AC1623</f>
        <v>0</v>
      </c>
      <c r="G1997" s="112">
        <f>'OPEN FOREIGN ORDER'!AD1623</f>
        <v>0</v>
      </c>
      <c r="H1997" s="112">
        <f>'OPEN FOREIGN ORDER'!AE1623</f>
        <v>0</v>
      </c>
      <c r="I1997" s="112">
        <f>'OPEN FOREIGN ORDER'!AF1623</f>
        <v>0</v>
      </c>
      <c r="J1997" s="112">
        <f>'OPEN FOREIGN ORDER'!AG1623</f>
        <v>0</v>
      </c>
    </row>
    <row r="1998" spans="1:10">
      <c r="A1998">
        <f>'OPEN FOREIGN ORDER'!D1624</f>
        <v>0</v>
      </c>
      <c r="B1998">
        <f>'OPEN FOREIGN ORDER'!F1624</f>
        <v>0</v>
      </c>
      <c r="C1998">
        <f>'OPEN FOREIGN ORDER'!Z1624</f>
        <v>0</v>
      </c>
      <c r="D1998" s="123">
        <f>'OPEN FOREIGN ORDER'!AA1624</f>
        <v>0</v>
      </c>
      <c r="E1998" s="112">
        <f>'OPEN FOREIGN ORDER'!AB1624</f>
        <v>0</v>
      </c>
      <c r="F1998" s="112">
        <f>'OPEN FOREIGN ORDER'!AC1624</f>
        <v>0</v>
      </c>
      <c r="G1998" s="112">
        <f>'OPEN FOREIGN ORDER'!AD1624</f>
        <v>0</v>
      </c>
      <c r="H1998" s="112">
        <f>'OPEN FOREIGN ORDER'!AE1624</f>
        <v>0</v>
      </c>
      <c r="I1998" s="112">
        <f>'OPEN FOREIGN ORDER'!AF1624</f>
        <v>0</v>
      </c>
      <c r="J1998" s="112">
        <f>'OPEN FOREIGN ORDER'!AG1624</f>
        <v>0</v>
      </c>
    </row>
    <row r="1999" spans="1:10">
      <c r="A1999">
        <f>'OPEN FOREIGN ORDER'!D1625</f>
        <v>0</v>
      </c>
      <c r="B1999">
        <f>'OPEN FOREIGN ORDER'!F1625</f>
        <v>0</v>
      </c>
      <c r="C1999">
        <f>'OPEN FOREIGN ORDER'!Z1625</f>
        <v>0</v>
      </c>
      <c r="D1999" s="123">
        <f>'OPEN FOREIGN ORDER'!AA1625</f>
        <v>0</v>
      </c>
      <c r="E1999" s="112">
        <f>'OPEN FOREIGN ORDER'!AB1625</f>
        <v>0</v>
      </c>
      <c r="F1999" s="112">
        <f>'OPEN FOREIGN ORDER'!AC1625</f>
        <v>0</v>
      </c>
      <c r="G1999" s="112">
        <f>'OPEN FOREIGN ORDER'!AD1625</f>
        <v>0</v>
      </c>
      <c r="H1999" s="112">
        <f>'OPEN FOREIGN ORDER'!AE1625</f>
        <v>0</v>
      </c>
      <c r="I1999" s="112">
        <f>'OPEN FOREIGN ORDER'!AF1625</f>
        <v>0</v>
      </c>
      <c r="J1999" s="112">
        <f>'OPEN FOREIGN ORDER'!AG1625</f>
        <v>0</v>
      </c>
    </row>
    <row r="2000" spans="1:10">
      <c r="A2000">
        <f>'OPEN FOREIGN ORDER'!D1626</f>
        <v>0</v>
      </c>
      <c r="B2000">
        <f>'OPEN FOREIGN ORDER'!F1626</f>
        <v>0</v>
      </c>
      <c r="C2000">
        <f>'OPEN FOREIGN ORDER'!Z1626</f>
        <v>0</v>
      </c>
      <c r="D2000" s="123">
        <f>'OPEN FOREIGN ORDER'!AA1626</f>
        <v>0</v>
      </c>
      <c r="E2000" s="112">
        <f>'OPEN FOREIGN ORDER'!AB1626</f>
        <v>0</v>
      </c>
      <c r="F2000" s="112">
        <f>'OPEN FOREIGN ORDER'!AC1626</f>
        <v>0</v>
      </c>
      <c r="G2000" s="112">
        <f>'OPEN FOREIGN ORDER'!AD1626</f>
        <v>0</v>
      </c>
      <c r="H2000" s="112">
        <f>'OPEN FOREIGN ORDER'!AE1626</f>
        <v>0</v>
      </c>
      <c r="I2000" s="112">
        <f>'OPEN FOREIGN ORDER'!AF1626</f>
        <v>0</v>
      </c>
      <c r="J2000" s="112">
        <f>'OPEN FOREIGN ORDER'!AG1626</f>
        <v>0</v>
      </c>
    </row>
    <row r="2001" spans="1:10">
      <c r="A2001">
        <f>'OPEN FOREIGN ORDER'!D1627</f>
        <v>0</v>
      </c>
      <c r="B2001">
        <f>'OPEN FOREIGN ORDER'!F1627</f>
        <v>0</v>
      </c>
      <c r="C2001">
        <f>'OPEN FOREIGN ORDER'!Z1627</f>
        <v>0</v>
      </c>
      <c r="D2001" s="123">
        <f>'OPEN FOREIGN ORDER'!AA1627</f>
        <v>0</v>
      </c>
      <c r="E2001" s="112">
        <f>'OPEN FOREIGN ORDER'!AB1627</f>
        <v>0</v>
      </c>
      <c r="F2001" s="112">
        <f>'OPEN FOREIGN ORDER'!AC1627</f>
        <v>0</v>
      </c>
      <c r="G2001" s="112">
        <f>'OPEN FOREIGN ORDER'!AD1627</f>
        <v>0</v>
      </c>
      <c r="H2001" s="112">
        <f>'OPEN FOREIGN ORDER'!AE1627</f>
        <v>0</v>
      </c>
      <c r="I2001" s="112">
        <f>'OPEN FOREIGN ORDER'!AF1627</f>
        <v>0</v>
      </c>
      <c r="J2001" s="112">
        <f>'OPEN FOREIGN ORDER'!AG1627</f>
        <v>0</v>
      </c>
    </row>
    <row r="2002" spans="1:10">
      <c r="A2002">
        <f>'OPEN FOREIGN ORDER'!D1628</f>
        <v>0</v>
      </c>
      <c r="B2002">
        <f>'OPEN FOREIGN ORDER'!F1628</f>
        <v>0</v>
      </c>
      <c r="C2002">
        <f>'OPEN FOREIGN ORDER'!Z1628</f>
        <v>0</v>
      </c>
      <c r="D2002" s="123">
        <f>'OPEN FOREIGN ORDER'!AA1628</f>
        <v>0</v>
      </c>
      <c r="E2002" s="112">
        <f>'OPEN FOREIGN ORDER'!AB1628</f>
        <v>0</v>
      </c>
      <c r="F2002" s="112">
        <f>'OPEN FOREIGN ORDER'!AC1628</f>
        <v>0</v>
      </c>
      <c r="G2002" s="112">
        <f>'OPEN FOREIGN ORDER'!AD1628</f>
        <v>0</v>
      </c>
      <c r="H2002" s="112">
        <f>'OPEN FOREIGN ORDER'!AE1628</f>
        <v>0</v>
      </c>
      <c r="I2002" s="112">
        <f>'OPEN FOREIGN ORDER'!AF1628</f>
        <v>0</v>
      </c>
      <c r="J2002" s="112">
        <f>'OPEN FOREIGN ORDER'!AG1628</f>
        <v>0</v>
      </c>
    </row>
    <row r="2003" spans="1:10">
      <c r="A2003">
        <f>'OPEN FOREIGN ORDER'!D1629</f>
        <v>0</v>
      </c>
      <c r="B2003">
        <f>'OPEN FOREIGN ORDER'!F1629</f>
        <v>0</v>
      </c>
      <c r="C2003">
        <f>'OPEN FOREIGN ORDER'!Z1629</f>
        <v>0</v>
      </c>
      <c r="D2003" s="123">
        <f>'OPEN FOREIGN ORDER'!AA1629</f>
        <v>0</v>
      </c>
      <c r="E2003" s="112">
        <f>'OPEN FOREIGN ORDER'!AB1629</f>
        <v>0</v>
      </c>
      <c r="F2003" s="112">
        <f>'OPEN FOREIGN ORDER'!AC1629</f>
        <v>0</v>
      </c>
      <c r="G2003" s="112">
        <f>'OPEN FOREIGN ORDER'!AD1629</f>
        <v>0</v>
      </c>
      <c r="H2003" s="112">
        <f>'OPEN FOREIGN ORDER'!AE1629</f>
        <v>0</v>
      </c>
      <c r="I2003" s="112">
        <f>'OPEN FOREIGN ORDER'!AF1629</f>
        <v>0</v>
      </c>
      <c r="J2003" s="112">
        <f>'OPEN FOREIGN ORDER'!AG1629</f>
        <v>0</v>
      </c>
    </row>
    <row r="2004" spans="1:10">
      <c r="A2004">
        <f>'OPEN FOREIGN ORDER'!D1630</f>
        <v>0</v>
      </c>
      <c r="B2004">
        <f>'OPEN FOREIGN ORDER'!F1630</f>
        <v>0</v>
      </c>
      <c r="C2004">
        <f>'OPEN FOREIGN ORDER'!Z1630</f>
        <v>0</v>
      </c>
      <c r="D2004" s="123">
        <f>'OPEN FOREIGN ORDER'!AA1630</f>
        <v>0</v>
      </c>
      <c r="E2004" s="112">
        <f>'OPEN FOREIGN ORDER'!AB1630</f>
        <v>0</v>
      </c>
      <c r="F2004" s="112">
        <f>'OPEN FOREIGN ORDER'!AC1630</f>
        <v>0</v>
      </c>
      <c r="G2004" s="112">
        <f>'OPEN FOREIGN ORDER'!AD1630</f>
        <v>0</v>
      </c>
      <c r="H2004" s="112">
        <f>'OPEN FOREIGN ORDER'!AE1630</f>
        <v>0</v>
      </c>
      <c r="I2004" s="112">
        <f>'OPEN FOREIGN ORDER'!AF1630</f>
        <v>0</v>
      </c>
      <c r="J2004" s="112">
        <f>'OPEN FOREIGN ORDER'!AG1630</f>
        <v>0</v>
      </c>
    </row>
    <row r="2005" spans="1:10">
      <c r="A2005">
        <f>'OPEN FOREIGN ORDER'!D1631</f>
        <v>0</v>
      </c>
      <c r="B2005">
        <f>'OPEN FOREIGN ORDER'!F1631</f>
        <v>0</v>
      </c>
      <c r="C2005">
        <f>'OPEN FOREIGN ORDER'!Z1631</f>
        <v>0</v>
      </c>
      <c r="D2005" s="123">
        <f>'OPEN FOREIGN ORDER'!AA1631</f>
        <v>0</v>
      </c>
      <c r="E2005" s="112">
        <f>'OPEN FOREIGN ORDER'!AB1631</f>
        <v>0</v>
      </c>
      <c r="F2005" s="112">
        <f>'OPEN FOREIGN ORDER'!AC1631</f>
        <v>0</v>
      </c>
      <c r="G2005" s="112">
        <f>'OPEN FOREIGN ORDER'!AD1631</f>
        <v>0</v>
      </c>
      <c r="H2005" s="112">
        <f>'OPEN FOREIGN ORDER'!AE1631</f>
        <v>0</v>
      </c>
      <c r="I2005" s="112">
        <f>'OPEN FOREIGN ORDER'!AF1631</f>
        <v>0</v>
      </c>
      <c r="J2005" s="112">
        <f>'OPEN FOREIGN ORDER'!AG1631</f>
        <v>0</v>
      </c>
    </row>
    <row r="2006" spans="1:10">
      <c r="A2006">
        <f>'OPEN FOREIGN ORDER'!D1632</f>
        <v>0</v>
      </c>
      <c r="B2006">
        <f>'OPEN FOREIGN ORDER'!F1632</f>
        <v>0</v>
      </c>
      <c r="C2006">
        <f>'OPEN FOREIGN ORDER'!Z1632</f>
        <v>0</v>
      </c>
      <c r="D2006" s="123">
        <f>'OPEN FOREIGN ORDER'!AA1632</f>
        <v>0</v>
      </c>
      <c r="E2006" s="112">
        <f>'OPEN FOREIGN ORDER'!AB1632</f>
        <v>0</v>
      </c>
      <c r="F2006" s="112">
        <f>'OPEN FOREIGN ORDER'!AC1632</f>
        <v>0</v>
      </c>
      <c r="G2006" s="112">
        <f>'OPEN FOREIGN ORDER'!AD1632</f>
        <v>0</v>
      </c>
      <c r="H2006" s="112">
        <f>'OPEN FOREIGN ORDER'!AE1632</f>
        <v>0</v>
      </c>
      <c r="I2006" s="112">
        <f>'OPEN FOREIGN ORDER'!AF1632</f>
        <v>0</v>
      </c>
      <c r="J2006" s="112">
        <f>'OPEN FOREIGN ORDER'!AG1632</f>
        <v>0</v>
      </c>
    </row>
    <row r="2007" spans="1:10">
      <c r="A2007">
        <f>'OPEN FOREIGN ORDER'!D1633</f>
        <v>0</v>
      </c>
      <c r="B2007">
        <f>'OPEN FOREIGN ORDER'!F1633</f>
        <v>0</v>
      </c>
      <c r="C2007">
        <f>'OPEN FOREIGN ORDER'!Z1633</f>
        <v>0</v>
      </c>
      <c r="D2007" s="123">
        <f>'OPEN FOREIGN ORDER'!AA1633</f>
        <v>0</v>
      </c>
      <c r="E2007" s="112">
        <f>'OPEN FOREIGN ORDER'!AB1633</f>
        <v>0</v>
      </c>
      <c r="F2007" s="112">
        <f>'OPEN FOREIGN ORDER'!AC1633</f>
        <v>0</v>
      </c>
      <c r="G2007" s="112">
        <f>'OPEN FOREIGN ORDER'!AD1633</f>
        <v>0</v>
      </c>
      <c r="H2007" s="112">
        <f>'OPEN FOREIGN ORDER'!AE1633</f>
        <v>0</v>
      </c>
      <c r="I2007" s="112">
        <f>'OPEN FOREIGN ORDER'!AF1633</f>
        <v>0</v>
      </c>
      <c r="J2007" s="112">
        <f>'OPEN FOREIGN ORDER'!AG1633</f>
        <v>0</v>
      </c>
    </row>
    <row r="2008" spans="1:10">
      <c r="A2008">
        <f>'OPEN FOREIGN ORDER'!D1634</f>
        <v>0</v>
      </c>
      <c r="B2008">
        <f>'OPEN FOREIGN ORDER'!F1634</f>
        <v>0</v>
      </c>
      <c r="C2008">
        <f>'OPEN FOREIGN ORDER'!Z1634</f>
        <v>0</v>
      </c>
      <c r="D2008" s="123">
        <f>'OPEN FOREIGN ORDER'!AA1634</f>
        <v>0</v>
      </c>
      <c r="E2008" s="112">
        <f>'OPEN FOREIGN ORDER'!AB1634</f>
        <v>0</v>
      </c>
      <c r="F2008" s="112">
        <f>'OPEN FOREIGN ORDER'!AC1634</f>
        <v>0</v>
      </c>
      <c r="G2008" s="112">
        <f>'OPEN FOREIGN ORDER'!AD1634</f>
        <v>0</v>
      </c>
      <c r="H2008" s="112">
        <f>'OPEN FOREIGN ORDER'!AE1634</f>
        <v>0</v>
      </c>
      <c r="I2008" s="112">
        <f>'OPEN FOREIGN ORDER'!AF1634</f>
        <v>0</v>
      </c>
      <c r="J2008" s="112">
        <f>'OPEN FOREIGN ORDER'!AG1634</f>
        <v>0</v>
      </c>
    </row>
    <row r="2009" spans="1:10">
      <c r="A2009">
        <f>'OPEN FOREIGN ORDER'!D1635</f>
        <v>0</v>
      </c>
      <c r="B2009">
        <f>'OPEN FOREIGN ORDER'!F1635</f>
        <v>0</v>
      </c>
      <c r="C2009">
        <f>'OPEN FOREIGN ORDER'!Z1635</f>
        <v>0</v>
      </c>
      <c r="D2009" s="123">
        <f>'OPEN FOREIGN ORDER'!AA1635</f>
        <v>0</v>
      </c>
      <c r="E2009" s="112">
        <f>'OPEN FOREIGN ORDER'!AB1635</f>
        <v>0</v>
      </c>
      <c r="F2009" s="112">
        <f>'OPEN FOREIGN ORDER'!AC1635</f>
        <v>0</v>
      </c>
      <c r="G2009" s="112">
        <f>'OPEN FOREIGN ORDER'!AD1635</f>
        <v>0</v>
      </c>
      <c r="H2009" s="112">
        <f>'OPEN FOREIGN ORDER'!AE1635</f>
        <v>0</v>
      </c>
      <c r="I2009" s="112">
        <f>'OPEN FOREIGN ORDER'!AF1635</f>
        <v>0</v>
      </c>
      <c r="J2009" s="112">
        <f>'OPEN FOREIGN ORDER'!AG1635</f>
        <v>0</v>
      </c>
    </row>
    <row r="2010" spans="1:10">
      <c r="A2010">
        <f>'OPEN FOREIGN ORDER'!D1636</f>
        <v>0</v>
      </c>
      <c r="B2010">
        <f>'OPEN FOREIGN ORDER'!F1636</f>
        <v>0</v>
      </c>
      <c r="C2010">
        <f>'OPEN FOREIGN ORDER'!Z1636</f>
        <v>0</v>
      </c>
      <c r="D2010" s="123">
        <f>'OPEN FOREIGN ORDER'!AA1636</f>
        <v>0</v>
      </c>
      <c r="E2010" s="112">
        <f>'OPEN FOREIGN ORDER'!AB1636</f>
        <v>0</v>
      </c>
      <c r="F2010" s="112">
        <f>'OPEN FOREIGN ORDER'!AC1636</f>
        <v>0</v>
      </c>
      <c r="G2010" s="112">
        <f>'OPEN FOREIGN ORDER'!AD1636</f>
        <v>0</v>
      </c>
      <c r="H2010" s="112">
        <f>'OPEN FOREIGN ORDER'!AE1636</f>
        <v>0</v>
      </c>
      <c r="I2010" s="112">
        <f>'OPEN FOREIGN ORDER'!AF1636</f>
        <v>0</v>
      </c>
      <c r="J2010" s="112">
        <f>'OPEN FOREIGN ORDER'!AG1636</f>
        <v>0</v>
      </c>
    </row>
    <row r="2011" spans="1:10">
      <c r="A2011">
        <f>'OPEN FOREIGN ORDER'!D1637</f>
        <v>0</v>
      </c>
      <c r="B2011">
        <f>'OPEN FOREIGN ORDER'!F1637</f>
        <v>0</v>
      </c>
      <c r="C2011">
        <f>'OPEN FOREIGN ORDER'!Z1637</f>
        <v>0</v>
      </c>
      <c r="D2011" s="123">
        <f>'OPEN FOREIGN ORDER'!AA1637</f>
        <v>0</v>
      </c>
      <c r="E2011" s="112">
        <f>'OPEN FOREIGN ORDER'!AB1637</f>
        <v>0</v>
      </c>
      <c r="F2011" s="112">
        <f>'OPEN FOREIGN ORDER'!AC1637</f>
        <v>0</v>
      </c>
      <c r="G2011" s="112">
        <f>'OPEN FOREIGN ORDER'!AD1637</f>
        <v>0</v>
      </c>
      <c r="H2011" s="112">
        <f>'OPEN FOREIGN ORDER'!AE1637</f>
        <v>0</v>
      </c>
      <c r="I2011" s="112">
        <f>'OPEN FOREIGN ORDER'!AF1637</f>
        <v>0</v>
      </c>
      <c r="J2011" s="112">
        <f>'OPEN FOREIGN ORDER'!AG1637</f>
        <v>0</v>
      </c>
    </row>
    <row r="2012" spans="1:10">
      <c r="A2012">
        <f>'OPEN FOREIGN ORDER'!D1638</f>
        <v>0</v>
      </c>
      <c r="B2012">
        <f>'OPEN FOREIGN ORDER'!F1638</f>
        <v>0</v>
      </c>
      <c r="C2012">
        <f>'OPEN FOREIGN ORDER'!Z1638</f>
        <v>0</v>
      </c>
      <c r="D2012" s="123">
        <f>'OPEN FOREIGN ORDER'!AA1638</f>
        <v>0</v>
      </c>
      <c r="E2012" s="112">
        <f>'OPEN FOREIGN ORDER'!AB1638</f>
        <v>0</v>
      </c>
      <c r="F2012" s="112">
        <f>'OPEN FOREIGN ORDER'!AC1638</f>
        <v>0</v>
      </c>
      <c r="G2012" s="112">
        <f>'OPEN FOREIGN ORDER'!AD1638</f>
        <v>0</v>
      </c>
      <c r="H2012" s="112">
        <f>'OPEN FOREIGN ORDER'!AE1638</f>
        <v>0</v>
      </c>
      <c r="I2012" s="112">
        <f>'OPEN FOREIGN ORDER'!AF1638</f>
        <v>0</v>
      </c>
      <c r="J2012" s="112">
        <f>'OPEN FOREIGN ORDER'!AG1638</f>
        <v>0</v>
      </c>
    </row>
    <row r="2013" spans="1:10">
      <c r="A2013">
        <f>'OPEN FOREIGN ORDER'!D1639</f>
        <v>0</v>
      </c>
      <c r="B2013">
        <f>'OPEN FOREIGN ORDER'!F1639</f>
        <v>0</v>
      </c>
      <c r="C2013">
        <f>'OPEN FOREIGN ORDER'!Z1639</f>
        <v>0</v>
      </c>
      <c r="D2013" s="123">
        <f>'OPEN FOREIGN ORDER'!AA1639</f>
        <v>0</v>
      </c>
      <c r="E2013" s="112">
        <f>'OPEN FOREIGN ORDER'!AB1639</f>
        <v>0</v>
      </c>
      <c r="F2013" s="112">
        <f>'OPEN FOREIGN ORDER'!AC1639</f>
        <v>0</v>
      </c>
      <c r="G2013" s="112">
        <f>'OPEN FOREIGN ORDER'!AD1639</f>
        <v>0</v>
      </c>
      <c r="H2013" s="112">
        <f>'OPEN FOREIGN ORDER'!AE1639</f>
        <v>0</v>
      </c>
      <c r="I2013" s="112">
        <f>'OPEN FOREIGN ORDER'!AF1639</f>
        <v>0</v>
      </c>
      <c r="J2013" s="112">
        <f>'OPEN FOREIGN ORDER'!AG1639</f>
        <v>0</v>
      </c>
    </row>
    <row r="2014" spans="1:10">
      <c r="A2014">
        <f>'OPEN FOREIGN ORDER'!D1640</f>
        <v>0</v>
      </c>
      <c r="B2014">
        <f>'OPEN FOREIGN ORDER'!F1640</f>
        <v>0</v>
      </c>
      <c r="C2014">
        <f>'OPEN FOREIGN ORDER'!Z1640</f>
        <v>0</v>
      </c>
      <c r="D2014" s="123">
        <f>'OPEN FOREIGN ORDER'!AA1640</f>
        <v>0</v>
      </c>
      <c r="E2014" s="112">
        <f>'OPEN FOREIGN ORDER'!AB1640</f>
        <v>0</v>
      </c>
      <c r="F2014" s="112">
        <f>'OPEN FOREIGN ORDER'!AC1640</f>
        <v>0</v>
      </c>
      <c r="G2014" s="112">
        <f>'OPEN FOREIGN ORDER'!AD1640</f>
        <v>0</v>
      </c>
      <c r="H2014" s="112">
        <f>'OPEN FOREIGN ORDER'!AE1640</f>
        <v>0</v>
      </c>
      <c r="I2014" s="112">
        <f>'OPEN FOREIGN ORDER'!AF1640</f>
        <v>0</v>
      </c>
      <c r="J2014" s="112">
        <f>'OPEN FOREIGN ORDER'!AG1640</f>
        <v>0</v>
      </c>
    </row>
    <row r="2015" spans="1:10">
      <c r="A2015">
        <f>'OPEN FOREIGN ORDER'!D1641</f>
        <v>0</v>
      </c>
      <c r="B2015">
        <f>'OPEN FOREIGN ORDER'!F1641</f>
        <v>0</v>
      </c>
      <c r="C2015">
        <f>'OPEN FOREIGN ORDER'!Z1641</f>
        <v>0</v>
      </c>
      <c r="D2015" s="123">
        <f>'OPEN FOREIGN ORDER'!AA1641</f>
        <v>0</v>
      </c>
      <c r="E2015" s="112">
        <f>'OPEN FOREIGN ORDER'!AB1641</f>
        <v>0</v>
      </c>
      <c r="F2015" s="112">
        <f>'OPEN FOREIGN ORDER'!AC1641</f>
        <v>0</v>
      </c>
      <c r="G2015" s="112">
        <f>'OPEN FOREIGN ORDER'!AD1641</f>
        <v>0</v>
      </c>
      <c r="H2015" s="112">
        <f>'OPEN FOREIGN ORDER'!AE1641</f>
        <v>0</v>
      </c>
      <c r="I2015" s="112">
        <f>'OPEN FOREIGN ORDER'!AF1641</f>
        <v>0</v>
      </c>
      <c r="J2015" s="112">
        <f>'OPEN FOREIGN ORDER'!AG1641</f>
        <v>0</v>
      </c>
    </row>
    <row r="2016" spans="1:10">
      <c r="A2016">
        <f>'OPEN FOREIGN ORDER'!D1642</f>
        <v>0</v>
      </c>
      <c r="B2016">
        <f>'OPEN FOREIGN ORDER'!F1642</f>
        <v>0</v>
      </c>
      <c r="C2016">
        <f>'OPEN FOREIGN ORDER'!Z1642</f>
        <v>0</v>
      </c>
      <c r="D2016" s="123">
        <f>'OPEN FOREIGN ORDER'!AA1642</f>
        <v>0</v>
      </c>
      <c r="E2016" s="112">
        <f>'OPEN FOREIGN ORDER'!AB1642</f>
        <v>0</v>
      </c>
      <c r="F2016" s="112">
        <f>'OPEN FOREIGN ORDER'!AC1642</f>
        <v>0</v>
      </c>
      <c r="G2016" s="112">
        <f>'OPEN FOREIGN ORDER'!AD1642</f>
        <v>0</v>
      </c>
      <c r="H2016" s="112">
        <f>'OPEN FOREIGN ORDER'!AE1642</f>
        <v>0</v>
      </c>
      <c r="I2016" s="112">
        <f>'OPEN FOREIGN ORDER'!AF1642</f>
        <v>0</v>
      </c>
      <c r="J2016" s="112">
        <f>'OPEN FOREIGN ORDER'!AG1642</f>
        <v>0</v>
      </c>
    </row>
    <row r="2017" spans="1:10">
      <c r="A2017">
        <f>'OPEN FOREIGN ORDER'!D1643</f>
        <v>0</v>
      </c>
      <c r="B2017">
        <f>'OPEN FOREIGN ORDER'!F1643</f>
        <v>0</v>
      </c>
      <c r="C2017">
        <f>'OPEN FOREIGN ORDER'!Z1643</f>
        <v>0</v>
      </c>
      <c r="D2017" s="123">
        <f>'OPEN FOREIGN ORDER'!AA1643</f>
        <v>0</v>
      </c>
      <c r="E2017" s="112">
        <f>'OPEN FOREIGN ORDER'!AB1643</f>
        <v>0</v>
      </c>
      <c r="F2017" s="112">
        <f>'OPEN FOREIGN ORDER'!AC1643</f>
        <v>0</v>
      </c>
      <c r="G2017" s="112">
        <f>'OPEN FOREIGN ORDER'!AD1643</f>
        <v>0</v>
      </c>
      <c r="H2017" s="112">
        <f>'OPEN FOREIGN ORDER'!AE1643</f>
        <v>0</v>
      </c>
      <c r="I2017" s="112">
        <f>'OPEN FOREIGN ORDER'!AF1643</f>
        <v>0</v>
      </c>
      <c r="J2017" s="112">
        <f>'OPEN FOREIGN ORDER'!AG1643</f>
        <v>0</v>
      </c>
    </row>
    <row r="2018" spans="1:10">
      <c r="A2018">
        <f>'OPEN FOREIGN ORDER'!D1644</f>
        <v>0</v>
      </c>
      <c r="B2018">
        <f>'OPEN FOREIGN ORDER'!F1644</f>
        <v>0</v>
      </c>
      <c r="C2018">
        <f>'OPEN FOREIGN ORDER'!Z1644</f>
        <v>0</v>
      </c>
      <c r="D2018" s="123">
        <f>'OPEN FOREIGN ORDER'!AA1644</f>
        <v>0</v>
      </c>
      <c r="E2018" s="112">
        <f>'OPEN FOREIGN ORDER'!AB1644</f>
        <v>0</v>
      </c>
      <c r="F2018" s="112">
        <f>'OPEN FOREIGN ORDER'!AC1644</f>
        <v>0</v>
      </c>
      <c r="G2018" s="112">
        <f>'OPEN FOREIGN ORDER'!AD1644</f>
        <v>0</v>
      </c>
      <c r="H2018" s="112">
        <f>'OPEN FOREIGN ORDER'!AE1644</f>
        <v>0</v>
      </c>
      <c r="I2018" s="112">
        <f>'OPEN FOREIGN ORDER'!AF1644</f>
        <v>0</v>
      </c>
      <c r="J2018" s="112">
        <f>'OPEN FOREIGN ORDER'!AG1644</f>
        <v>0</v>
      </c>
    </row>
    <row r="2019" spans="1:10">
      <c r="A2019">
        <f>'OPEN FOREIGN ORDER'!D1645</f>
        <v>0</v>
      </c>
      <c r="B2019">
        <f>'OPEN FOREIGN ORDER'!F1645</f>
        <v>0</v>
      </c>
      <c r="C2019">
        <f>'OPEN FOREIGN ORDER'!Z1645</f>
        <v>0</v>
      </c>
      <c r="D2019" s="123">
        <f>'OPEN FOREIGN ORDER'!AA1645</f>
        <v>0</v>
      </c>
      <c r="E2019" s="112">
        <f>'OPEN FOREIGN ORDER'!AB1645</f>
        <v>0</v>
      </c>
      <c r="F2019" s="112">
        <f>'OPEN FOREIGN ORDER'!AC1645</f>
        <v>0</v>
      </c>
      <c r="G2019" s="112">
        <f>'OPEN FOREIGN ORDER'!AD1645</f>
        <v>0</v>
      </c>
      <c r="H2019" s="112">
        <f>'OPEN FOREIGN ORDER'!AE1645</f>
        <v>0</v>
      </c>
      <c r="I2019" s="112">
        <f>'OPEN FOREIGN ORDER'!AF1645</f>
        <v>0</v>
      </c>
      <c r="J2019" s="112">
        <f>'OPEN FOREIGN ORDER'!AG1645</f>
        <v>0</v>
      </c>
    </row>
    <row r="2020" spans="1:10">
      <c r="A2020">
        <f>'OPEN FOREIGN ORDER'!D1646</f>
        <v>0</v>
      </c>
      <c r="B2020">
        <f>'OPEN FOREIGN ORDER'!F1646</f>
        <v>0</v>
      </c>
      <c r="C2020">
        <f>'OPEN FOREIGN ORDER'!Z1646</f>
        <v>0</v>
      </c>
      <c r="D2020" s="123">
        <f>'OPEN FOREIGN ORDER'!AA1646</f>
        <v>0</v>
      </c>
      <c r="E2020" s="112">
        <f>'OPEN FOREIGN ORDER'!AB1646</f>
        <v>0</v>
      </c>
      <c r="F2020" s="112">
        <f>'OPEN FOREIGN ORDER'!AC1646</f>
        <v>0</v>
      </c>
      <c r="G2020" s="112">
        <f>'OPEN FOREIGN ORDER'!AD1646</f>
        <v>0</v>
      </c>
      <c r="H2020" s="112">
        <f>'OPEN FOREIGN ORDER'!AE1646</f>
        <v>0</v>
      </c>
      <c r="I2020" s="112">
        <f>'OPEN FOREIGN ORDER'!AF1646</f>
        <v>0</v>
      </c>
      <c r="J2020" s="112">
        <f>'OPEN FOREIGN ORDER'!AG1646</f>
        <v>0</v>
      </c>
    </row>
    <row r="2021" spans="1:10">
      <c r="A2021">
        <f>'OPEN FOREIGN ORDER'!D1647</f>
        <v>0</v>
      </c>
      <c r="B2021">
        <f>'OPEN FOREIGN ORDER'!F1647</f>
        <v>0</v>
      </c>
      <c r="C2021">
        <f>'OPEN FOREIGN ORDER'!Z1647</f>
        <v>0</v>
      </c>
      <c r="D2021" s="123">
        <f>'OPEN FOREIGN ORDER'!AA1647</f>
        <v>0</v>
      </c>
      <c r="E2021" s="112">
        <f>'OPEN FOREIGN ORDER'!AB1647</f>
        <v>0</v>
      </c>
      <c r="F2021" s="112">
        <f>'OPEN FOREIGN ORDER'!AC1647</f>
        <v>0</v>
      </c>
      <c r="G2021" s="112">
        <f>'OPEN FOREIGN ORDER'!AD1647</f>
        <v>0</v>
      </c>
      <c r="H2021" s="112">
        <f>'OPEN FOREIGN ORDER'!AE1647</f>
        <v>0</v>
      </c>
      <c r="I2021" s="112">
        <f>'OPEN FOREIGN ORDER'!AF1647</f>
        <v>0</v>
      </c>
      <c r="J2021" s="112">
        <f>'OPEN FOREIGN ORDER'!AG1647</f>
        <v>0</v>
      </c>
    </row>
    <row r="2022" spans="1:10">
      <c r="A2022">
        <f>'OPEN FOREIGN ORDER'!D1648</f>
        <v>0</v>
      </c>
      <c r="B2022">
        <f>'OPEN FOREIGN ORDER'!F1648</f>
        <v>0</v>
      </c>
      <c r="C2022">
        <f>'OPEN FOREIGN ORDER'!Z1648</f>
        <v>0</v>
      </c>
      <c r="D2022" s="123">
        <f>'OPEN FOREIGN ORDER'!AA1648</f>
        <v>0</v>
      </c>
      <c r="E2022" s="112">
        <f>'OPEN FOREIGN ORDER'!AB1648</f>
        <v>0</v>
      </c>
      <c r="F2022" s="112">
        <f>'OPEN FOREIGN ORDER'!AC1648</f>
        <v>0</v>
      </c>
      <c r="G2022" s="112">
        <f>'OPEN FOREIGN ORDER'!AD1648</f>
        <v>0</v>
      </c>
      <c r="H2022" s="112">
        <f>'OPEN FOREIGN ORDER'!AE1648</f>
        <v>0</v>
      </c>
      <c r="I2022" s="112">
        <f>'OPEN FOREIGN ORDER'!AF1648</f>
        <v>0</v>
      </c>
      <c r="J2022" s="112">
        <f>'OPEN FOREIGN ORDER'!AG1648</f>
        <v>0</v>
      </c>
    </row>
    <row r="2023" spans="1:10">
      <c r="A2023">
        <f>'OPEN FOREIGN ORDER'!D1649</f>
        <v>0</v>
      </c>
      <c r="B2023">
        <f>'OPEN FOREIGN ORDER'!F1649</f>
        <v>0</v>
      </c>
      <c r="C2023">
        <f>'OPEN FOREIGN ORDER'!Z1649</f>
        <v>0</v>
      </c>
      <c r="D2023" s="123">
        <f>'OPEN FOREIGN ORDER'!AA1649</f>
        <v>0</v>
      </c>
      <c r="E2023" s="112">
        <f>'OPEN FOREIGN ORDER'!AB1649</f>
        <v>0</v>
      </c>
      <c r="F2023" s="112">
        <f>'OPEN FOREIGN ORDER'!AC1649</f>
        <v>0</v>
      </c>
      <c r="G2023" s="112">
        <f>'OPEN FOREIGN ORDER'!AD1649</f>
        <v>0</v>
      </c>
      <c r="H2023" s="112">
        <f>'OPEN FOREIGN ORDER'!AE1649</f>
        <v>0</v>
      </c>
      <c r="I2023" s="112">
        <f>'OPEN FOREIGN ORDER'!AF1649</f>
        <v>0</v>
      </c>
      <c r="J2023" s="112">
        <f>'OPEN FOREIGN ORDER'!AG1649</f>
        <v>0</v>
      </c>
    </row>
    <row r="2024" spans="1:10">
      <c r="A2024">
        <f>'OPEN FOREIGN ORDER'!D1650</f>
        <v>0</v>
      </c>
      <c r="B2024">
        <f>'OPEN FOREIGN ORDER'!F1650</f>
        <v>0</v>
      </c>
      <c r="C2024">
        <f>'OPEN FOREIGN ORDER'!Z1650</f>
        <v>0</v>
      </c>
      <c r="D2024" s="123">
        <f>'OPEN FOREIGN ORDER'!AA1650</f>
        <v>0</v>
      </c>
      <c r="E2024" s="112">
        <f>'OPEN FOREIGN ORDER'!AB1650</f>
        <v>0</v>
      </c>
      <c r="F2024" s="112">
        <f>'OPEN FOREIGN ORDER'!AC1650</f>
        <v>0</v>
      </c>
      <c r="G2024" s="112">
        <f>'OPEN FOREIGN ORDER'!AD1650</f>
        <v>0</v>
      </c>
      <c r="H2024" s="112">
        <f>'OPEN FOREIGN ORDER'!AE1650</f>
        <v>0</v>
      </c>
      <c r="I2024" s="112">
        <f>'OPEN FOREIGN ORDER'!AF1650</f>
        <v>0</v>
      </c>
      <c r="J2024" s="112">
        <f>'OPEN FOREIGN ORDER'!AG1650</f>
        <v>0</v>
      </c>
    </row>
    <row r="2025" spans="1:10">
      <c r="A2025">
        <f>'OPEN FOREIGN ORDER'!D1651</f>
        <v>0</v>
      </c>
      <c r="B2025">
        <f>'OPEN FOREIGN ORDER'!F1651</f>
        <v>0</v>
      </c>
      <c r="C2025">
        <f>'OPEN FOREIGN ORDER'!Z1651</f>
        <v>0</v>
      </c>
      <c r="D2025" s="123">
        <f>'OPEN FOREIGN ORDER'!AA1651</f>
        <v>0</v>
      </c>
      <c r="E2025" s="112">
        <f>'OPEN FOREIGN ORDER'!AB1651</f>
        <v>0</v>
      </c>
      <c r="F2025" s="112">
        <f>'OPEN FOREIGN ORDER'!AC1651</f>
        <v>0</v>
      </c>
      <c r="G2025" s="112">
        <f>'OPEN FOREIGN ORDER'!AD1651</f>
        <v>0</v>
      </c>
      <c r="H2025" s="112">
        <f>'OPEN FOREIGN ORDER'!AE1651</f>
        <v>0</v>
      </c>
      <c r="I2025" s="112">
        <f>'OPEN FOREIGN ORDER'!AF1651</f>
        <v>0</v>
      </c>
      <c r="J2025" s="112">
        <f>'OPEN FOREIGN ORDER'!AG1651</f>
        <v>0</v>
      </c>
    </row>
    <row r="2026" spans="1:10">
      <c r="A2026">
        <f>'OPEN FOREIGN ORDER'!D1652</f>
        <v>0</v>
      </c>
      <c r="B2026">
        <f>'OPEN FOREIGN ORDER'!F1652</f>
        <v>0</v>
      </c>
      <c r="C2026">
        <f>'OPEN FOREIGN ORDER'!Z1652</f>
        <v>0</v>
      </c>
      <c r="D2026" s="123">
        <f>'OPEN FOREIGN ORDER'!AA1652</f>
        <v>0</v>
      </c>
      <c r="E2026" s="112">
        <f>'OPEN FOREIGN ORDER'!AB1652</f>
        <v>0</v>
      </c>
      <c r="F2026" s="112">
        <f>'OPEN FOREIGN ORDER'!AC1652</f>
        <v>0</v>
      </c>
      <c r="G2026" s="112">
        <f>'OPEN FOREIGN ORDER'!AD1652</f>
        <v>0</v>
      </c>
      <c r="H2026" s="112">
        <f>'OPEN FOREIGN ORDER'!AE1652</f>
        <v>0</v>
      </c>
      <c r="I2026" s="112">
        <f>'OPEN FOREIGN ORDER'!AF1652</f>
        <v>0</v>
      </c>
      <c r="J2026" s="112">
        <f>'OPEN FOREIGN ORDER'!AG1652</f>
        <v>0</v>
      </c>
    </row>
    <row r="2027" spans="1:10">
      <c r="A2027">
        <f>'OPEN FOREIGN ORDER'!D1653</f>
        <v>0</v>
      </c>
      <c r="B2027">
        <f>'OPEN FOREIGN ORDER'!F1653</f>
        <v>0</v>
      </c>
      <c r="C2027">
        <f>'OPEN FOREIGN ORDER'!Z1653</f>
        <v>0</v>
      </c>
      <c r="D2027" s="123">
        <f>'OPEN FOREIGN ORDER'!AA1653</f>
        <v>0</v>
      </c>
      <c r="E2027" s="112">
        <f>'OPEN FOREIGN ORDER'!AB1653</f>
        <v>0</v>
      </c>
      <c r="F2027" s="112">
        <f>'OPEN FOREIGN ORDER'!AC1653</f>
        <v>0</v>
      </c>
      <c r="G2027" s="112">
        <f>'OPEN FOREIGN ORDER'!AD1653</f>
        <v>0</v>
      </c>
      <c r="H2027" s="112">
        <f>'OPEN FOREIGN ORDER'!AE1653</f>
        <v>0</v>
      </c>
      <c r="I2027" s="112">
        <f>'OPEN FOREIGN ORDER'!AF1653</f>
        <v>0</v>
      </c>
      <c r="J2027" s="112">
        <f>'OPEN FOREIGN ORDER'!AG1653</f>
        <v>0</v>
      </c>
    </row>
    <row r="2028" spans="1:10">
      <c r="A2028">
        <f>'OPEN FOREIGN ORDER'!D1654</f>
        <v>0</v>
      </c>
      <c r="B2028">
        <f>'OPEN FOREIGN ORDER'!F1654</f>
        <v>0</v>
      </c>
      <c r="C2028">
        <f>'OPEN FOREIGN ORDER'!Z1654</f>
        <v>0</v>
      </c>
      <c r="D2028" s="123">
        <f>'OPEN FOREIGN ORDER'!AA1654</f>
        <v>0</v>
      </c>
      <c r="E2028" s="112">
        <f>'OPEN FOREIGN ORDER'!AB1654</f>
        <v>0</v>
      </c>
      <c r="F2028" s="112">
        <f>'OPEN FOREIGN ORDER'!AC1654</f>
        <v>0</v>
      </c>
      <c r="G2028" s="112">
        <f>'OPEN FOREIGN ORDER'!AD1654</f>
        <v>0</v>
      </c>
      <c r="H2028" s="112">
        <f>'OPEN FOREIGN ORDER'!AE1654</f>
        <v>0</v>
      </c>
      <c r="I2028" s="112">
        <f>'OPEN FOREIGN ORDER'!AF1654</f>
        <v>0</v>
      </c>
      <c r="J2028" s="112">
        <f>'OPEN FOREIGN ORDER'!AG1654</f>
        <v>0</v>
      </c>
    </row>
    <row r="2029" spans="1:10">
      <c r="A2029">
        <f>'OPEN FOREIGN ORDER'!D1655</f>
        <v>0</v>
      </c>
      <c r="B2029">
        <f>'OPEN FOREIGN ORDER'!F1655</f>
        <v>0</v>
      </c>
      <c r="C2029">
        <f>'OPEN FOREIGN ORDER'!Z1655</f>
        <v>0</v>
      </c>
      <c r="D2029" s="123">
        <f>'OPEN FOREIGN ORDER'!AA1655</f>
        <v>0</v>
      </c>
      <c r="E2029" s="112">
        <f>'OPEN FOREIGN ORDER'!AB1655</f>
        <v>0</v>
      </c>
      <c r="F2029" s="112">
        <f>'OPEN FOREIGN ORDER'!AC1655</f>
        <v>0</v>
      </c>
      <c r="G2029" s="112">
        <f>'OPEN FOREIGN ORDER'!AD1655</f>
        <v>0</v>
      </c>
      <c r="H2029" s="112">
        <f>'OPEN FOREIGN ORDER'!AE1655</f>
        <v>0</v>
      </c>
      <c r="I2029" s="112">
        <f>'OPEN FOREIGN ORDER'!AF1655</f>
        <v>0</v>
      </c>
      <c r="J2029" s="112">
        <f>'OPEN FOREIGN ORDER'!AG1655</f>
        <v>0</v>
      </c>
    </row>
    <row r="2030" spans="1:10">
      <c r="A2030">
        <f>'OPEN FOREIGN ORDER'!D1656</f>
        <v>0</v>
      </c>
      <c r="B2030">
        <f>'OPEN FOREIGN ORDER'!F1656</f>
        <v>0</v>
      </c>
      <c r="C2030">
        <f>'OPEN FOREIGN ORDER'!Z1656</f>
        <v>0</v>
      </c>
      <c r="D2030" s="123">
        <f>'OPEN FOREIGN ORDER'!AA1656</f>
        <v>0</v>
      </c>
      <c r="E2030" s="112">
        <f>'OPEN FOREIGN ORDER'!AB1656</f>
        <v>0</v>
      </c>
      <c r="F2030" s="112">
        <f>'OPEN FOREIGN ORDER'!AC1656</f>
        <v>0</v>
      </c>
      <c r="G2030" s="112">
        <f>'OPEN FOREIGN ORDER'!AD1656</f>
        <v>0</v>
      </c>
      <c r="H2030" s="112">
        <f>'OPEN FOREIGN ORDER'!AE1656</f>
        <v>0</v>
      </c>
      <c r="I2030" s="112">
        <f>'OPEN FOREIGN ORDER'!AF1656</f>
        <v>0</v>
      </c>
      <c r="J2030" s="112">
        <f>'OPEN FOREIGN ORDER'!AG1656</f>
        <v>0</v>
      </c>
    </row>
    <row r="2031" spans="1:10">
      <c r="A2031">
        <f>'OPEN FOREIGN ORDER'!D1657</f>
        <v>0</v>
      </c>
      <c r="B2031">
        <f>'OPEN FOREIGN ORDER'!F1657</f>
        <v>0</v>
      </c>
      <c r="C2031">
        <f>'OPEN FOREIGN ORDER'!Z1657</f>
        <v>0</v>
      </c>
      <c r="D2031" s="123">
        <f>'OPEN FOREIGN ORDER'!AA1657</f>
        <v>0</v>
      </c>
      <c r="E2031" s="112">
        <f>'OPEN FOREIGN ORDER'!AB1657</f>
        <v>0</v>
      </c>
      <c r="F2031" s="112">
        <f>'OPEN FOREIGN ORDER'!AC1657</f>
        <v>0</v>
      </c>
      <c r="G2031" s="112">
        <f>'OPEN FOREIGN ORDER'!AD1657</f>
        <v>0</v>
      </c>
      <c r="H2031" s="112">
        <f>'OPEN FOREIGN ORDER'!AE1657</f>
        <v>0</v>
      </c>
      <c r="I2031" s="112">
        <f>'OPEN FOREIGN ORDER'!AF1657</f>
        <v>0</v>
      </c>
      <c r="J2031" s="112">
        <f>'OPEN FOREIGN ORDER'!AG1657</f>
        <v>0</v>
      </c>
    </row>
    <row r="2032" spans="1:10">
      <c r="A2032">
        <f>'OPEN FOREIGN ORDER'!D1658</f>
        <v>0</v>
      </c>
      <c r="B2032">
        <f>'OPEN FOREIGN ORDER'!F1658</f>
        <v>0</v>
      </c>
      <c r="C2032">
        <f>'OPEN FOREIGN ORDER'!Z1658</f>
        <v>0</v>
      </c>
      <c r="D2032" s="123">
        <f>'OPEN FOREIGN ORDER'!AA1658</f>
        <v>0</v>
      </c>
      <c r="E2032" s="112">
        <f>'OPEN FOREIGN ORDER'!AB1658</f>
        <v>0</v>
      </c>
      <c r="F2032" s="112">
        <f>'OPEN FOREIGN ORDER'!AC1658</f>
        <v>0</v>
      </c>
      <c r="G2032" s="112">
        <f>'OPEN FOREIGN ORDER'!AD1658</f>
        <v>0</v>
      </c>
      <c r="H2032" s="112">
        <f>'OPEN FOREIGN ORDER'!AE1658</f>
        <v>0</v>
      </c>
      <c r="I2032" s="112">
        <f>'OPEN FOREIGN ORDER'!AF1658</f>
        <v>0</v>
      </c>
      <c r="J2032" s="112">
        <f>'OPEN FOREIGN ORDER'!AG1658</f>
        <v>0</v>
      </c>
    </row>
    <row r="2033" spans="1:10">
      <c r="A2033">
        <f>'OPEN FOREIGN ORDER'!D1659</f>
        <v>0</v>
      </c>
      <c r="B2033">
        <f>'OPEN FOREIGN ORDER'!F1659</f>
        <v>0</v>
      </c>
      <c r="C2033">
        <f>'OPEN FOREIGN ORDER'!Z1659</f>
        <v>0</v>
      </c>
      <c r="D2033" s="123">
        <f>'OPEN FOREIGN ORDER'!AA1659</f>
        <v>0</v>
      </c>
      <c r="E2033" s="112">
        <f>'OPEN FOREIGN ORDER'!AB1659</f>
        <v>0</v>
      </c>
      <c r="F2033" s="112">
        <f>'OPEN FOREIGN ORDER'!AC1659</f>
        <v>0</v>
      </c>
      <c r="G2033" s="112">
        <f>'OPEN FOREIGN ORDER'!AD1659</f>
        <v>0</v>
      </c>
      <c r="H2033" s="112">
        <f>'OPEN FOREIGN ORDER'!AE1659</f>
        <v>0</v>
      </c>
      <c r="I2033" s="112">
        <f>'OPEN FOREIGN ORDER'!AF1659</f>
        <v>0</v>
      </c>
      <c r="J2033" s="112">
        <f>'OPEN FOREIGN ORDER'!AG1659</f>
        <v>0</v>
      </c>
    </row>
    <row r="2034" spans="1:10">
      <c r="A2034">
        <f>'OPEN FOREIGN ORDER'!D1660</f>
        <v>0</v>
      </c>
      <c r="B2034">
        <f>'OPEN FOREIGN ORDER'!F1660</f>
        <v>0</v>
      </c>
      <c r="C2034">
        <f>'OPEN FOREIGN ORDER'!Z1660</f>
        <v>0</v>
      </c>
      <c r="D2034" s="123">
        <f>'OPEN FOREIGN ORDER'!AA1660</f>
        <v>0</v>
      </c>
      <c r="E2034" s="112">
        <f>'OPEN FOREIGN ORDER'!AB1660</f>
        <v>0</v>
      </c>
      <c r="F2034" s="112">
        <f>'OPEN FOREIGN ORDER'!AC1660</f>
        <v>0</v>
      </c>
      <c r="G2034" s="112">
        <f>'OPEN FOREIGN ORDER'!AD1660</f>
        <v>0</v>
      </c>
      <c r="H2034" s="112">
        <f>'OPEN FOREIGN ORDER'!AE1660</f>
        <v>0</v>
      </c>
      <c r="I2034" s="112">
        <f>'OPEN FOREIGN ORDER'!AF1660</f>
        <v>0</v>
      </c>
      <c r="J2034" s="112">
        <f>'OPEN FOREIGN ORDER'!AG1660</f>
        <v>0</v>
      </c>
    </row>
    <row r="2035" spans="1:10">
      <c r="A2035">
        <f>'OPEN FOREIGN ORDER'!D1661</f>
        <v>0</v>
      </c>
      <c r="B2035">
        <f>'OPEN FOREIGN ORDER'!F1661</f>
        <v>0</v>
      </c>
      <c r="C2035">
        <f>'OPEN FOREIGN ORDER'!Z1661</f>
        <v>0</v>
      </c>
      <c r="D2035" s="123">
        <f>'OPEN FOREIGN ORDER'!AA1661</f>
        <v>0</v>
      </c>
      <c r="E2035" s="112">
        <f>'OPEN FOREIGN ORDER'!AB1661</f>
        <v>0</v>
      </c>
      <c r="F2035" s="112">
        <f>'OPEN FOREIGN ORDER'!AC1661</f>
        <v>0</v>
      </c>
      <c r="G2035" s="112">
        <f>'OPEN FOREIGN ORDER'!AD1661</f>
        <v>0</v>
      </c>
      <c r="H2035" s="112">
        <f>'OPEN FOREIGN ORDER'!AE1661</f>
        <v>0</v>
      </c>
      <c r="I2035" s="112">
        <f>'OPEN FOREIGN ORDER'!AF1661</f>
        <v>0</v>
      </c>
      <c r="J2035" s="112">
        <f>'OPEN FOREIGN ORDER'!AG1661</f>
        <v>0</v>
      </c>
    </row>
    <row r="2036" spans="1:10">
      <c r="A2036">
        <f>'OPEN FOREIGN ORDER'!D1662</f>
        <v>0</v>
      </c>
      <c r="B2036">
        <f>'OPEN FOREIGN ORDER'!F1662</f>
        <v>0</v>
      </c>
      <c r="C2036">
        <f>'OPEN FOREIGN ORDER'!Z1662</f>
        <v>0</v>
      </c>
      <c r="D2036" s="123">
        <f>'OPEN FOREIGN ORDER'!AA1662</f>
        <v>0</v>
      </c>
      <c r="E2036" s="112">
        <f>'OPEN FOREIGN ORDER'!AB1662</f>
        <v>0</v>
      </c>
      <c r="F2036" s="112">
        <f>'OPEN FOREIGN ORDER'!AC1662</f>
        <v>0</v>
      </c>
      <c r="G2036" s="112">
        <f>'OPEN FOREIGN ORDER'!AD1662</f>
        <v>0</v>
      </c>
      <c r="H2036" s="112">
        <f>'OPEN FOREIGN ORDER'!AE1662</f>
        <v>0</v>
      </c>
      <c r="I2036" s="112">
        <f>'OPEN FOREIGN ORDER'!AF1662</f>
        <v>0</v>
      </c>
      <c r="J2036" s="112">
        <f>'OPEN FOREIGN ORDER'!AG1662</f>
        <v>0</v>
      </c>
    </row>
    <row r="2037" spans="1:10">
      <c r="A2037">
        <f>'OPEN FOREIGN ORDER'!D1663</f>
        <v>0</v>
      </c>
      <c r="B2037">
        <f>'OPEN FOREIGN ORDER'!F1663</f>
        <v>0</v>
      </c>
      <c r="C2037">
        <f>'OPEN FOREIGN ORDER'!Z1663</f>
        <v>0</v>
      </c>
      <c r="D2037" s="123">
        <f>'OPEN FOREIGN ORDER'!AA1663</f>
        <v>0</v>
      </c>
      <c r="E2037" s="112">
        <f>'OPEN FOREIGN ORDER'!AB1663</f>
        <v>0</v>
      </c>
      <c r="F2037" s="112">
        <f>'OPEN FOREIGN ORDER'!AC1663</f>
        <v>0</v>
      </c>
      <c r="G2037" s="112">
        <f>'OPEN FOREIGN ORDER'!AD1663</f>
        <v>0</v>
      </c>
      <c r="H2037" s="112">
        <f>'OPEN FOREIGN ORDER'!AE1663</f>
        <v>0</v>
      </c>
      <c r="I2037" s="112">
        <f>'OPEN FOREIGN ORDER'!AF1663</f>
        <v>0</v>
      </c>
      <c r="J2037" s="112">
        <f>'OPEN FOREIGN ORDER'!AG1663</f>
        <v>0</v>
      </c>
    </row>
    <row r="2038" spans="1:10">
      <c r="A2038">
        <f>'OPEN FOREIGN ORDER'!D1664</f>
        <v>0</v>
      </c>
      <c r="B2038">
        <f>'OPEN FOREIGN ORDER'!F1664</f>
        <v>0</v>
      </c>
      <c r="C2038">
        <f>'OPEN FOREIGN ORDER'!Z1664</f>
        <v>0</v>
      </c>
      <c r="D2038" s="123">
        <f>'OPEN FOREIGN ORDER'!AA1664</f>
        <v>0</v>
      </c>
      <c r="E2038" s="112">
        <f>'OPEN FOREIGN ORDER'!AB1664</f>
        <v>0</v>
      </c>
      <c r="F2038" s="112">
        <f>'OPEN FOREIGN ORDER'!AC1664</f>
        <v>0</v>
      </c>
      <c r="G2038" s="112">
        <f>'OPEN FOREIGN ORDER'!AD1664</f>
        <v>0</v>
      </c>
      <c r="H2038" s="112">
        <f>'OPEN FOREIGN ORDER'!AE1664</f>
        <v>0</v>
      </c>
      <c r="I2038" s="112">
        <f>'OPEN FOREIGN ORDER'!AF1664</f>
        <v>0</v>
      </c>
      <c r="J2038" s="112">
        <f>'OPEN FOREIGN ORDER'!AG1664</f>
        <v>0</v>
      </c>
    </row>
    <row r="2039" spans="1:10">
      <c r="A2039">
        <f>'OPEN FOREIGN ORDER'!D1665</f>
        <v>0</v>
      </c>
      <c r="B2039">
        <f>'OPEN FOREIGN ORDER'!F1665</f>
        <v>0</v>
      </c>
      <c r="C2039">
        <f>'OPEN FOREIGN ORDER'!Z1665</f>
        <v>0</v>
      </c>
      <c r="D2039" s="123">
        <f>'OPEN FOREIGN ORDER'!AA1665</f>
        <v>0</v>
      </c>
      <c r="E2039" s="112">
        <f>'OPEN FOREIGN ORDER'!AB1665</f>
        <v>0</v>
      </c>
      <c r="F2039" s="112">
        <f>'OPEN FOREIGN ORDER'!AC1665</f>
        <v>0</v>
      </c>
      <c r="G2039" s="112">
        <f>'OPEN FOREIGN ORDER'!AD1665</f>
        <v>0</v>
      </c>
      <c r="H2039" s="112">
        <f>'OPEN FOREIGN ORDER'!AE1665</f>
        <v>0</v>
      </c>
      <c r="I2039" s="112">
        <f>'OPEN FOREIGN ORDER'!AF1665</f>
        <v>0</v>
      </c>
      <c r="J2039" s="112">
        <f>'OPEN FOREIGN ORDER'!AG1665</f>
        <v>0</v>
      </c>
    </row>
    <row r="2040" spans="1:10">
      <c r="A2040">
        <f>'OPEN FOREIGN ORDER'!D1666</f>
        <v>0</v>
      </c>
      <c r="B2040">
        <f>'OPEN FOREIGN ORDER'!F1666</f>
        <v>0</v>
      </c>
      <c r="C2040">
        <f>'OPEN FOREIGN ORDER'!Z1666</f>
        <v>0</v>
      </c>
      <c r="D2040" s="123">
        <f>'OPEN FOREIGN ORDER'!AA1666</f>
        <v>0</v>
      </c>
      <c r="E2040" s="112">
        <f>'OPEN FOREIGN ORDER'!AB1666</f>
        <v>0</v>
      </c>
      <c r="F2040" s="112">
        <f>'OPEN FOREIGN ORDER'!AC1666</f>
        <v>0</v>
      </c>
      <c r="G2040" s="112">
        <f>'OPEN FOREIGN ORDER'!AD1666</f>
        <v>0</v>
      </c>
      <c r="H2040" s="112">
        <f>'OPEN FOREIGN ORDER'!AE1666</f>
        <v>0</v>
      </c>
      <c r="I2040" s="112">
        <f>'OPEN FOREIGN ORDER'!AF1666</f>
        <v>0</v>
      </c>
      <c r="J2040" s="112">
        <f>'OPEN FOREIGN ORDER'!AG1666</f>
        <v>0</v>
      </c>
    </row>
    <row r="2041" spans="1:10">
      <c r="A2041">
        <f>'OPEN FOREIGN ORDER'!D1667</f>
        <v>0</v>
      </c>
      <c r="B2041">
        <f>'OPEN FOREIGN ORDER'!F1667</f>
        <v>0</v>
      </c>
      <c r="C2041">
        <f>'OPEN FOREIGN ORDER'!Z1667</f>
        <v>0</v>
      </c>
      <c r="D2041" s="123">
        <f>'OPEN FOREIGN ORDER'!AA1667</f>
        <v>0</v>
      </c>
      <c r="E2041" s="112">
        <f>'OPEN FOREIGN ORDER'!AB1667</f>
        <v>0</v>
      </c>
      <c r="F2041" s="112">
        <f>'OPEN FOREIGN ORDER'!AC1667</f>
        <v>0</v>
      </c>
      <c r="G2041" s="112">
        <f>'OPEN FOREIGN ORDER'!AD1667</f>
        <v>0</v>
      </c>
      <c r="H2041" s="112">
        <f>'OPEN FOREIGN ORDER'!AE1667</f>
        <v>0</v>
      </c>
      <c r="I2041" s="112">
        <f>'OPEN FOREIGN ORDER'!AF1667</f>
        <v>0</v>
      </c>
      <c r="J2041" s="112">
        <f>'OPEN FOREIGN ORDER'!AG1667</f>
        <v>0</v>
      </c>
    </row>
    <row r="2042" spans="1:10">
      <c r="A2042">
        <f>'OPEN FOREIGN ORDER'!D1668</f>
        <v>0</v>
      </c>
      <c r="B2042">
        <f>'OPEN FOREIGN ORDER'!F1668</f>
        <v>0</v>
      </c>
      <c r="C2042">
        <f>'OPEN FOREIGN ORDER'!Z1668</f>
        <v>0</v>
      </c>
      <c r="D2042" s="123">
        <f>'OPEN FOREIGN ORDER'!AA1668</f>
        <v>0</v>
      </c>
      <c r="E2042" s="112">
        <f>'OPEN FOREIGN ORDER'!AB1668</f>
        <v>0</v>
      </c>
      <c r="F2042" s="112">
        <f>'OPEN FOREIGN ORDER'!AC1668</f>
        <v>0</v>
      </c>
      <c r="G2042" s="112">
        <f>'OPEN FOREIGN ORDER'!AD1668</f>
        <v>0</v>
      </c>
      <c r="H2042" s="112">
        <f>'OPEN FOREIGN ORDER'!AE1668</f>
        <v>0</v>
      </c>
      <c r="I2042" s="112">
        <f>'OPEN FOREIGN ORDER'!AF1668</f>
        <v>0</v>
      </c>
      <c r="J2042" s="112">
        <f>'OPEN FOREIGN ORDER'!AG1668</f>
        <v>0</v>
      </c>
    </row>
    <row r="2043" spans="1:10">
      <c r="A2043">
        <f>'OPEN FOREIGN ORDER'!D1669</f>
        <v>0</v>
      </c>
      <c r="B2043">
        <f>'OPEN FOREIGN ORDER'!F1669</f>
        <v>0</v>
      </c>
      <c r="C2043">
        <f>'OPEN FOREIGN ORDER'!Z1669</f>
        <v>0</v>
      </c>
      <c r="D2043" s="123">
        <f>'OPEN FOREIGN ORDER'!AA1669</f>
        <v>0</v>
      </c>
      <c r="E2043" s="112">
        <f>'OPEN FOREIGN ORDER'!AB1669</f>
        <v>0</v>
      </c>
      <c r="F2043" s="112">
        <f>'OPEN FOREIGN ORDER'!AC1669</f>
        <v>0</v>
      </c>
      <c r="G2043" s="112">
        <f>'OPEN FOREIGN ORDER'!AD1669</f>
        <v>0</v>
      </c>
      <c r="H2043" s="112">
        <f>'OPEN FOREIGN ORDER'!AE1669</f>
        <v>0</v>
      </c>
      <c r="I2043" s="112">
        <f>'OPEN FOREIGN ORDER'!AF1669</f>
        <v>0</v>
      </c>
      <c r="J2043" s="112">
        <f>'OPEN FOREIGN ORDER'!AG1669</f>
        <v>0</v>
      </c>
    </row>
    <row r="2044" spans="1:10">
      <c r="A2044">
        <f>'OPEN FOREIGN ORDER'!D1670</f>
        <v>0</v>
      </c>
      <c r="B2044">
        <f>'OPEN FOREIGN ORDER'!F1670</f>
        <v>0</v>
      </c>
      <c r="C2044">
        <f>'OPEN FOREIGN ORDER'!Z1670</f>
        <v>0</v>
      </c>
      <c r="D2044" s="123">
        <f>'OPEN FOREIGN ORDER'!AA1670</f>
        <v>0</v>
      </c>
      <c r="E2044" s="112">
        <f>'OPEN FOREIGN ORDER'!AB1670</f>
        <v>0</v>
      </c>
      <c r="F2044" s="112">
        <f>'OPEN FOREIGN ORDER'!AC1670</f>
        <v>0</v>
      </c>
      <c r="G2044" s="112">
        <f>'OPEN FOREIGN ORDER'!AD1670</f>
        <v>0</v>
      </c>
      <c r="H2044" s="112">
        <f>'OPEN FOREIGN ORDER'!AE1670</f>
        <v>0</v>
      </c>
      <c r="I2044" s="112">
        <f>'OPEN FOREIGN ORDER'!AF1670</f>
        <v>0</v>
      </c>
      <c r="J2044" s="112">
        <f>'OPEN FOREIGN ORDER'!AG1670</f>
        <v>0</v>
      </c>
    </row>
    <row r="2045" spans="1:10">
      <c r="A2045">
        <f>'OPEN FOREIGN ORDER'!D1671</f>
        <v>0</v>
      </c>
      <c r="B2045">
        <f>'OPEN FOREIGN ORDER'!F1671</f>
        <v>0</v>
      </c>
      <c r="C2045">
        <f>'OPEN FOREIGN ORDER'!Z1671</f>
        <v>0</v>
      </c>
      <c r="D2045" s="123">
        <f>'OPEN FOREIGN ORDER'!AA1671</f>
        <v>0</v>
      </c>
      <c r="E2045" s="112">
        <f>'OPEN FOREIGN ORDER'!AB1671</f>
        <v>0</v>
      </c>
      <c r="F2045" s="112">
        <f>'OPEN FOREIGN ORDER'!AC1671</f>
        <v>0</v>
      </c>
      <c r="G2045" s="112">
        <f>'OPEN FOREIGN ORDER'!AD1671</f>
        <v>0</v>
      </c>
      <c r="H2045" s="112">
        <f>'OPEN FOREIGN ORDER'!AE1671</f>
        <v>0</v>
      </c>
      <c r="I2045" s="112">
        <f>'OPEN FOREIGN ORDER'!AF1671</f>
        <v>0</v>
      </c>
      <c r="J2045" s="112">
        <f>'OPEN FOREIGN ORDER'!AG1671</f>
        <v>0</v>
      </c>
    </row>
    <row r="2046" spans="1:10">
      <c r="A2046">
        <f>'OPEN FOREIGN ORDER'!D1672</f>
        <v>0</v>
      </c>
      <c r="B2046">
        <f>'OPEN FOREIGN ORDER'!F1672</f>
        <v>0</v>
      </c>
      <c r="C2046">
        <f>'OPEN FOREIGN ORDER'!Z1672</f>
        <v>0</v>
      </c>
      <c r="D2046" s="123">
        <f>'OPEN FOREIGN ORDER'!AA1672</f>
        <v>0</v>
      </c>
      <c r="E2046" s="112">
        <f>'OPEN FOREIGN ORDER'!AB1672</f>
        <v>0</v>
      </c>
      <c r="F2046" s="112">
        <f>'OPEN FOREIGN ORDER'!AC1672</f>
        <v>0</v>
      </c>
      <c r="G2046" s="112">
        <f>'OPEN FOREIGN ORDER'!AD1672</f>
        <v>0</v>
      </c>
      <c r="H2046" s="112">
        <f>'OPEN FOREIGN ORDER'!AE1672</f>
        <v>0</v>
      </c>
      <c r="I2046" s="112">
        <f>'OPEN FOREIGN ORDER'!AF1672</f>
        <v>0</v>
      </c>
      <c r="J2046" s="112">
        <f>'OPEN FOREIGN ORDER'!AG1672</f>
        <v>0</v>
      </c>
    </row>
    <row r="2047" spans="1:10">
      <c r="A2047">
        <f>'OPEN FOREIGN ORDER'!D1673</f>
        <v>0</v>
      </c>
      <c r="B2047">
        <f>'OPEN FOREIGN ORDER'!F1673</f>
        <v>0</v>
      </c>
      <c r="C2047">
        <f>'OPEN FOREIGN ORDER'!Z1673</f>
        <v>0</v>
      </c>
      <c r="D2047" s="123">
        <f>'OPEN FOREIGN ORDER'!AA1673</f>
        <v>0</v>
      </c>
      <c r="E2047" s="112">
        <f>'OPEN FOREIGN ORDER'!AB1673</f>
        <v>0</v>
      </c>
      <c r="F2047" s="112">
        <f>'OPEN FOREIGN ORDER'!AC1673</f>
        <v>0</v>
      </c>
      <c r="G2047" s="112">
        <f>'OPEN FOREIGN ORDER'!AD1673</f>
        <v>0</v>
      </c>
      <c r="H2047" s="112">
        <f>'OPEN FOREIGN ORDER'!AE1673</f>
        <v>0</v>
      </c>
      <c r="I2047" s="112">
        <f>'OPEN FOREIGN ORDER'!AF1673</f>
        <v>0</v>
      </c>
      <c r="J2047" s="112">
        <f>'OPEN FOREIGN ORDER'!AG1673</f>
        <v>0</v>
      </c>
    </row>
    <row r="2048" spans="1:10">
      <c r="A2048">
        <f>'OPEN FOREIGN ORDER'!D1674</f>
        <v>0</v>
      </c>
      <c r="B2048">
        <f>'OPEN FOREIGN ORDER'!F1674</f>
        <v>0</v>
      </c>
      <c r="C2048">
        <f>'OPEN FOREIGN ORDER'!Z1674</f>
        <v>0</v>
      </c>
      <c r="D2048" s="123">
        <f>'OPEN FOREIGN ORDER'!AA1674</f>
        <v>0</v>
      </c>
      <c r="E2048" s="112">
        <f>'OPEN FOREIGN ORDER'!AB1674</f>
        <v>0</v>
      </c>
      <c r="F2048" s="112">
        <f>'OPEN FOREIGN ORDER'!AC1674</f>
        <v>0</v>
      </c>
      <c r="G2048" s="112">
        <f>'OPEN FOREIGN ORDER'!AD1674</f>
        <v>0</v>
      </c>
      <c r="H2048" s="112">
        <f>'OPEN FOREIGN ORDER'!AE1674</f>
        <v>0</v>
      </c>
      <c r="I2048" s="112">
        <f>'OPEN FOREIGN ORDER'!AF1674</f>
        <v>0</v>
      </c>
      <c r="J2048" s="112">
        <f>'OPEN FOREIGN ORDER'!AG1674</f>
        <v>0</v>
      </c>
    </row>
    <row r="2049" spans="1:10">
      <c r="A2049">
        <f>'OPEN FOREIGN ORDER'!D1675</f>
        <v>0</v>
      </c>
      <c r="B2049">
        <f>'OPEN FOREIGN ORDER'!F1675</f>
        <v>0</v>
      </c>
      <c r="C2049">
        <f>'OPEN FOREIGN ORDER'!Z1675</f>
        <v>0</v>
      </c>
      <c r="D2049" s="123">
        <f>'OPEN FOREIGN ORDER'!AA1675</f>
        <v>0</v>
      </c>
      <c r="E2049" s="112">
        <f>'OPEN FOREIGN ORDER'!AB1675</f>
        <v>0</v>
      </c>
      <c r="F2049" s="112">
        <f>'OPEN FOREIGN ORDER'!AC1675</f>
        <v>0</v>
      </c>
      <c r="G2049" s="112">
        <f>'OPEN FOREIGN ORDER'!AD1675</f>
        <v>0</v>
      </c>
      <c r="H2049" s="112">
        <f>'OPEN FOREIGN ORDER'!AE1675</f>
        <v>0</v>
      </c>
      <c r="I2049" s="112">
        <f>'OPEN FOREIGN ORDER'!AF1675</f>
        <v>0</v>
      </c>
      <c r="J2049" s="112">
        <f>'OPEN FOREIGN ORDER'!AG1675</f>
        <v>0</v>
      </c>
    </row>
    <row r="2050" spans="1:10">
      <c r="A2050">
        <f>'OPEN FOREIGN ORDER'!D1676</f>
        <v>0</v>
      </c>
      <c r="B2050">
        <f>'OPEN FOREIGN ORDER'!F1676</f>
        <v>0</v>
      </c>
      <c r="C2050">
        <f>'OPEN FOREIGN ORDER'!Z1676</f>
        <v>0</v>
      </c>
      <c r="D2050" s="123">
        <f>'OPEN FOREIGN ORDER'!AA1676</f>
        <v>0</v>
      </c>
      <c r="E2050" s="112">
        <f>'OPEN FOREIGN ORDER'!AB1676</f>
        <v>0</v>
      </c>
      <c r="F2050" s="112">
        <f>'OPEN FOREIGN ORDER'!AC1676</f>
        <v>0</v>
      </c>
      <c r="G2050" s="112">
        <f>'OPEN FOREIGN ORDER'!AD1676</f>
        <v>0</v>
      </c>
      <c r="H2050" s="112">
        <f>'OPEN FOREIGN ORDER'!AE1676</f>
        <v>0</v>
      </c>
      <c r="I2050" s="112">
        <f>'OPEN FOREIGN ORDER'!AF1676</f>
        <v>0</v>
      </c>
      <c r="J2050" s="112">
        <f>'OPEN FOREIGN ORDER'!AG1676</f>
        <v>0</v>
      </c>
    </row>
    <row r="2051" spans="1:10">
      <c r="A2051">
        <f>'OPEN FOREIGN ORDER'!D1677</f>
        <v>0</v>
      </c>
      <c r="B2051">
        <f>'OPEN FOREIGN ORDER'!F1677</f>
        <v>0</v>
      </c>
      <c r="C2051">
        <f>'OPEN FOREIGN ORDER'!Z1677</f>
        <v>0</v>
      </c>
      <c r="D2051" s="123">
        <f>'OPEN FOREIGN ORDER'!AA1677</f>
        <v>0</v>
      </c>
      <c r="E2051" s="112">
        <f>'OPEN FOREIGN ORDER'!AB1677</f>
        <v>0</v>
      </c>
      <c r="F2051" s="112">
        <f>'OPEN FOREIGN ORDER'!AC1677</f>
        <v>0</v>
      </c>
      <c r="G2051" s="112">
        <f>'OPEN FOREIGN ORDER'!AD1677</f>
        <v>0</v>
      </c>
      <c r="H2051" s="112">
        <f>'OPEN FOREIGN ORDER'!AE1677</f>
        <v>0</v>
      </c>
      <c r="I2051" s="112">
        <f>'OPEN FOREIGN ORDER'!AF1677</f>
        <v>0</v>
      </c>
      <c r="J2051" s="112">
        <f>'OPEN FOREIGN ORDER'!AG1677</f>
        <v>0</v>
      </c>
    </row>
    <row r="2052" spans="1:10">
      <c r="A2052">
        <f>'OPEN FOREIGN ORDER'!D1678</f>
        <v>0</v>
      </c>
      <c r="B2052">
        <f>'OPEN FOREIGN ORDER'!F1678</f>
        <v>0</v>
      </c>
      <c r="C2052">
        <f>'OPEN FOREIGN ORDER'!Z1678</f>
        <v>0</v>
      </c>
      <c r="D2052" s="123">
        <f>'OPEN FOREIGN ORDER'!AA1678</f>
        <v>0</v>
      </c>
      <c r="E2052" s="112">
        <f>'OPEN FOREIGN ORDER'!AB1678</f>
        <v>0</v>
      </c>
      <c r="F2052" s="112">
        <f>'OPEN FOREIGN ORDER'!AC1678</f>
        <v>0</v>
      </c>
      <c r="G2052" s="112">
        <f>'OPEN FOREIGN ORDER'!AD1678</f>
        <v>0</v>
      </c>
      <c r="H2052" s="112">
        <f>'OPEN FOREIGN ORDER'!AE1678</f>
        <v>0</v>
      </c>
      <c r="I2052" s="112">
        <f>'OPEN FOREIGN ORDER'!AF1678</f>
        <v>0</v>
      </c>
      <c r="J2052" s="112">
        <f>'OPEN FOREIGN ORDER'!AG1678</f>
        <v>0</v>
      </c>
    </row>
    <row r="2053" spans="1:10">
      <c r="A2053">
        <f>'OPEN FOREIGN ORDER'!D1679</f>
        <v>0</v>
      </c>
      <c r="B2053">
        <f>'OPEN FOREIGN ORDER'!F1679</f>
        <v>0</v>
      </c>
      <c r="C2053">
        <f>'OPEN FOREIGN ORDER'!Z1679</f>
        <v>0</v>
      </c>
      <c r="D2053" s="123">
        <f>'OPEN FOREIGN ORDER'!AA1679</f>
        <v>0</v>
      </c>
      <c r="E2053" s="112">
        <f>'OPEN FOREIGN ORDER'!AB1679</f>
        <v>0</v>
      </c>
      <c r="F2053" s="112">
        <f>'OPEN FOREIGN ORDER'!AC1679</f>
        <v>0</v>
      </c>
      <c r="G2053" s="112">
        <f>'OPEN FOREIGN ORDER'!AD1679</f>
        <v>0</v>
      </c>
      <c r="H2053" s="112">
        <f>'OPEN FOREIGN ORDER'!AE1679</f>
        <v>0</v>
      </c>
      <c r="I2053" s="112">
        <f>'OPEN FOREIGN ORDER'!AF1679</f>
        <v>0</v>
      </c>
      <c r="J2053" s="112">
        <f>'OPEN FOREIGN ORDER'!AG1679</f>
        <v>0</v>
      </c>
    </row>
    <row r="2054" spans="1:10">
      <c r="A2054">
        <f>'OPEN FOREIGN ORDER'!D1680</f>
        <v>0</v>
      </c>
      <c r="B2054">
        <f>'OPEN FOREIGN ORDER'!F1680</f>
        <v>0</v>
      </c>
      <c r="C2054">
        <f>'OPEN FOREIGN ORDER'!Z1680</f>
        <v>0</v>
      </c>
      <c r="D2054" s="123">
        <f>'OPEN FOREIGN ORDER'!AA1680</f>
        <v>0</v>
      </c>
      <c r="E2054" s="112">
        <f>'OPEN FOREIGN ORDER'!AB1680</f>
        <v>0</v>
      </c>
      <c r="F2054" s="112">
        <f>'OPEN FOREIGN ORDER'!AC1680</f>
        <v>0</v>
      </c>
      <c r="G2054" s="112">
        <f>'OPEN FOREIGN ORDER'!AD1680</f>
        <v>0</v>
      </c>
      <c r="H2054" s="112">
        <f>'OPEN FOREIGN ORDER'!AE1680</f>
        <v>0</v>
      </c>
      <c r="I2054" s="112">
        <f>'OPEN FOREIGN ORDER'!AF1680</f>
        <v>0</v>
      </c>
      <c r="J2054" s="112">
        <f>'OPEN FOREIGN ORDER'!AG1680</f>
        <v>0</v>
      </c>
    </row>
    <row r="2055" spans="1:10">
      <c r="A2055">
        <f>'OPEN FOREIGN ORDER'!D1681</f>
        <v>0</v>
      </c>
      <c r="B2055">
        <f>'OPEN FOREIGN ORDER'!F1681</f>
        <v>0</v>
      </c>
      <c r="C2055">
        <f>'OPEN FOREIGN ORDER'!Z1681</f>
        <v>0</v>
      </c>
      <c r="D2055" s="123">
        <f>'OPEN FOREIGN ORDER'!AA1681</f>
        <v>0</v>
      </c>
      <c r="E2055" s="112">
        <f>'OPEN FOREIGN ORDER'!AB1681</f>
        <v>0</v>
      </c>
      <c r="F2055" s="112">
        <f>'OPEN FOREIGN ORDER'!AC1681</f>
        <v>0</v>
      </c>
      <c r="G2055" s="112">
        <f>'OPEN FOREIGN ORDER'!AD1681</f>
        <v>0</v>
      </c>
      <c r="H2055" s="112">
        <f>'OPEN FOREIGN ORDER'!AE1681</f>
        <v>0</v>
      </c>
      <c r="I2055" s="112">
        <f>'OPEN FOREIGN ORDER'!AF1681</f>
        <v>0</v>
      </c>
      <c r="J2055" s="112">
        <f>'OPEN FOREIGN ORDER'!AG1681</f>
        <v>0</v>
      </c>
    </row>
    <row r="2056" spans="1:10">
      <c r="A2056">
        <f>'OPEN FOREIGN ORDER'!D1682</f>
        <v>0</v>
      </c>
      <c r="B2056">
        <f>'OPEN FOREIGN ORDER'!F1682</f>
        <v>0</v>
      </c>
      <c r="C2056">
        <f>'OPEN FOREIGN ORDER'!Z1682</f>
        <v>0</v>
      </c>
      <c r="D2056" s="123">
        <f>'OPEN FOREIGN ORDER'!AA1682</f>
        <v>0</v>
      </c>
      <c r="E2056" s="112">
        <f>'OPEN FOREIGN ORDER'!AB1682</f>
        <v>0</v>
      </c>
      <c r="F2056" s="112">
        <f>'OPEN FOREIGN ORDER'!AC1682</f>
        <v>0</v>
      </c>
      <c r="G2056" s="112">
        <f>'OPEN FOREIGN ORDER'!AD1682</f>
        <v>0</v>
      </c>
      <c r="H2056" s="112">
        <f>'OPEN FOREIGN ORDER'!AE1682</f>
        <v>0</v>
      </c>
      <c r="I2056" s="112">
        <f>'OPEN FOREIGN ORDER'!AF1682</f>
        <v>0</v>
      </c>
      <c r="J2056" s="112">
        <f>'OPEN FOREIGN ORDER'!AG1682</f>
        <v>0</v>
      </c>
    </row>
    <row r="2057" spans="1:10">
      <c r="A2057">
        <f>'OPEN FOREIGN ORDER'!D1683</f>
        <v>0</v>
      </c>
      <c r="B2057">
        <f>'OPEN FOREIGN ORDER'!F1683</f>
        <v>0</v>
      </c>
      <c r="C2057">
        <f>'OPEN FOREIGN ORDER'!Z1683</f>
        <v>0</v>
      </c>
      <c r="D2057" s="123">
        <f>'OPEN FOREIGN ORDER'!AA1683</f>
        <v>0</v>
      </c>
      <c r="E2057" s="112">
        <f>'OPEN FOREIGN ORDER'!AB1683</f>
        <v>0</v>
      </c>
      <c r="F2057" s="112">
        <f>'OPEN FOREIGN ORDER'!AC1683</f>
        <v>0</v>
      </c>
      <c r="G2057" s="112">
        <f>'OPEN FOREIGN ORDER'!AD1683</f>
        <v>0</v>
      </c>
      <c r="H2057" s="112">
        <f>'OPEN FOREIGN ORDER'!AE1683</f>
        <v>0</v>
      </c>
      <c r="I2057" s="112">
        <f>'OPEN FOREIGN ORDER'!AF1683</f>
        <v>0</v>
      </c>
      <c r="J2057" s="112">
        <f>'OPEN FOREIGN ORDER'!AG1683</f>
        <v>0</v>
      </c>
    </row>
    <row r="2058" spans="1:10">
      <c r="A2058">
        <f>'OPEN FOREIGN ORDER'!D1684</f>
        <v>0</v>
      </c>
      <c r="B2058">
        <f>'OPEN FOREIGN ORDER'!F1684</f>
        <v>0</v>
      </c>
      <c r="C2058">
        <f>'OPEN FOREIGN ORDER'!Z1684</f>
        <v>0</v>
      </c>
      <c r="D2058" s="123">
        <f>'OPEN FOREIGN ORDER'!AA1684</f>
        <v>0</v>
      </c>
      <c r="E2058" s="112">
        <f>'OPEN FOREIGN ORDER'!AB1684</f>
        <v>0</v>
      </c>
      <c r="F2058" s="112">
        <f>'OPEN FOREIGN ORDER'!AC1684</f>
        <v>0</v>
      </c>
      <c r="G2058" s="112">
        <f>'OPEN FOREIGN ORDER'!AD1684</f>
        <v>0</v>
      </c>
      <c r="H2058" s="112">
        <f>'OPEN FOREIGN ORDER'!AE1684</f>
        <v>0</v>
      </c>
      <c r="I2058" s="112">
        <f>'OPEN FOREIGN ORDER'!AF1684</f>
        <v>0</v>
      </c>
      <c r="J2058" s="112">
        <f>'OPEN FOREIGN ORDER'!AG1684</f>
        <v>0</v>
      </c>
    </row>
    <row r="2059" spans="1:10">
      <c r="A2059">
        <f>'OPEN FOREIGN ORDER'!D1685</f>
        <v>0</v>
      </c>
      <c r="B2059">
        <f>'OPEN FOREIGN ORDER'!F1685</f>
        <v>0</v>
      </c>
      <c r="C2059">
        <f>'OPEN FOREIGN ORDER'!Z1685</f>
        <v>0</v>
      </c>
      <c r="D2059" s="123">
        <f>'OPEN FOREIGN ORDER'!AA1685</f>
        <v>0</v>
      </c>
      <c r="E2059" s="112">
        <f>'OPEN FOREIGN ORDER'!AB1685</f>
        <v>0</v>
      </c>
      <c r="F2059" s="112">
        <f>'OPEN FOREIGN ORDER'!AC1685</f>
        <v>0</v>
      </c>
      <c r="G2059" s="112">
        <f>'OPEN FOREIGN ORDER'!AD1685</f>
        <v>0</v>
      </c>
      <c r="H2059" s="112">
        <f>'OPEN FOREIGN ORDER'!AE1685</f>
        <v>0</v>
      </c>
      <c r="I2059" s="112">
        <f>'OPEN FOREIGN ORDER'!AF1685</f>
        <v>0</v>
      </c>
      <c r="J2059" s="112">
        <f>'OPEN FOREIGN ORDER'!AG1685</f>
        <v>0</v>
      </c>
    </row>
    <row r="2060" spans="1:10">
      <c r="A2060">
        <f>'OPEN FOREIGN ORDER'!D1686</f>
        <v>0</v>
      </c>
      <c r="B2060">
        <f>'OPEN FOREIGN ORDER'!F1686</f>
        <v>0</v>
      </c>
      <c r="C2060">
        <f>'OPEN FOREIGN ORDER'!Z1686</f>
        <v>0</v>
      </c>
      <c r="D2060" s="123">
        <f>'OPEN FOREIGN ORDER'!AA1686</f>
        <v>0</v>
      </c>
      <c r="E2060" s="112">
        <f>'OPEN FOREIGN ORDER'!AB1686</f>
        <v>0</v>
      </c>
      <c r="F2060" s="112">
        <f>'OPEN FOREIGN ORDER'!AC1686</f>
        <v>0</v>
      </c>
      <c r="G2060" s="112">
        <f>'OPEN FOREIGN ORDER'!AD1686</f>
        <v>0</v>
      </c>
      <c r="H2060" s="112">
        <f>'OPEN FOREIGN ORDER'!AE1686</f>
        <v>0</v>
      </c>
      <c r="I2060" s="112">
        <f>'OPEN FOREIGN ORDER'!AF1686</f>
        <v>0</v>
      </c>
      <c r="J2060" s="112">
        <f>'OPEN FOREIGN ORDER'!AG1686</f>
        <v>0</v>
      </c>
    </row>
    <row r="2061" spans="1:10">
      <c r="A2061">
        <f>'OPEN FOREIGN ORDER'!D1687</f>
        <v>0</v>
      </c>
      <c r="B2061">
        <f>'OPEN FOREIGN ORDER'!F1687</f>
        <v>0</v>
      </c>
      <c r="C2061">
        <f>'OPEN FOREIGN ORDER'!Z1687</f>
        <v>0</v>
      </c>
      <c r="D2061" s="123">
        <f>'OPEN FOREIGN ORDER'!AA1687</f>
        <v>0</v>
      </c>
      <c r="E2061" s="112">
        <f>'OPEN FOREIGN ORDER'!AB1687</f>
        <v>0</v>
      </c>
      <c r="F2061" s="112">
        <f>'OPEN FOREIGN ORDER'!AC1687</f>
        <v>0</v>
      </c>
      <c r="G2061" s="112">
        <f>'OPEN FOREIGN ORDER'!AD1687</f>
        <v>0</v>
      </c>
      <c r="H2061" s="112">
        <f>'OPEN FOREIGN ORDER'!AE1687</f>
        <v>0</v>
      </c>
      <c r="I2061" s="112">
        <f>'OPEN FOREIGN ORDER'!AF1687</f>
        <v>0</v>
      </c>
      <c r="J2061" s="112">
        <f>'OPEN FOREIGN ORDER'!AG1687</f>
        <v>0</v>
      </c>
    </row>
    <row r="2062" spans="1:10">
      <c r="A2062">
        <f>'OPEN FOREIGN ORDER'!D1688</f>
        <v>0</v>
      </c>
      <c r="B2062">
        <f>'OPEN FOREIGN ORDER'!F1688</f>
        <v>0</v>
      </c>
      <c r="C2062">
        <f>'OPEN FOREIGN ORDER'!Z1688</f>
        <v>0</v>
      </c>
      <c r="D2062" s="123">
        <f>'OPEN FOREIGN ORDER'!AA1688</f>
        <v>0</v>
      </c>
      <c r="E2062" s="112">
        <f>'OPEN FOREIGN ORDER'!AB1688</f>
        <v>0</v>
      </c>
      <c r="F2062" s="112">
        <f>'OPEN FOREIGN ORDER'!AC1688</f>
        <v>0</v>
      </c>
      <c r="G2062" s="112">
        <f>'OPEN FOREIGN ORDER'!AD1688</f>
        <v>0</v>
      </c>
      <c r="H2062" s="112">
        <f>'OPEN FOREIGN ORDER'!AE1688</f>
        <v>0</v>
      </c>
      <c r="I2062" s="112">
        <f>'OPEN FOREIGN ORDER'!AF1688</f>
        <v>0</v>
      </c>
      <c r="J2062" s="112">
        <f>'OPEN FOREIGN ORDER'!AG1688</f>
        <v>0</v>
      </c>
    </row>
    <row r="2063" spans="1:10">
      <c r="A2063">
        <f>'OPEN FOREIGN ORDER'!D1689</f>
        <v>0</v>
      </c>
      <c r="B2063">
        <f>'OPEN FOREIGN ORDER'!F1689</f>
        <v>0</v>
      </c>
      <c r="C2063">
        <f>'OPEN FOREIGN ORDER'!Z1689</f>
        <v>0</v>
      </c>
      <c r="D2063" s="123">
        <f>'OPEN FOREIGN ORDER'!AA1689</f>
        <v>0</v>
      </c>
      <c r="E2063" s="112">
        <f>'OPEN FOREIGN ORDER'!AB1689</f>
        <v>0</v>
      </c>
      <c r="F2063" s="112">
        <f>'OPEN FOREIGN ORDER'!AC1689</f>
        <v>0</v>
      </c>
      <c r="G2063" s="112">
        <f>'OPEN FOREIGN ORDER'!AD1689</f>
        <v>0</v>
      </c>
      <c r="H2063" s="112">
        <f>'OPEN FOREIGN ORDER'!AE1689</f>
        <v>0</v>
      </c>
      <c r="I2063" s="112">
        <f>'OPEN FOREIGN ORDER'!AF1689</f>
        <v>0</v>
      </c>
      <c r="J2063" s="112">
        <f>'OPEN FOREIGN ORDER'!AG1689</f>
        <v>0</v>
      </c>
    </row>
    <row r="2064" spans="1:10">
      <c r="A2064">
        <f>'OPEN FOREIGN ORDER'!D1690</f>
        <v>0</v>
      </c>
      <c r="B2064">
        <f>'OPEN FOREIGN ORDER'!F1690</f>
        <v>0</v>
      </c>
      <c r="C2064">
        <f>'OPEN FOREIGN ORDER'!Z1690</f>
        <v>0</v>
      </c>
      <c r="D2064" s="123">
        <f>'OPEN FOREIGN ORDER'!AA1690</f>
        <v>0</v>
      </c>
      <c r="E2064" s="112">
        <f>'OPEN FOREIGN ORDER'!AB1690</f>
        <v>0</v>
      </c>
      <c r="F2064" s="112">
        <f>'OPEN FOREIGN ORDER'!AC1690</f>
        <v>0</v>
      </c>
      <c r="G2064" s="112">
        <f>'OPEN FOREIGN ORDER'!AD1690</f>
        <v>0</v>
      </c>
      <c r="H2064" s="112">
        <f>'OPEN FOREIGN ORDER'!AE1690</f>
        <v>0</v>
      </c>
      <c r="I2064" s="112">
        <f>'OPEN FOREIGN ORDER'!AF1690</f>
        <v>0</v>
      </c>
      <c r="J2064" s="112">
        <f>'OPEN FOREIGN ORDER'!AG1690</f>
        <v>0</v>
      </c>
    </row>
    <row r="2065" spans="1:10">
      <c r="A2065">
        <f>'OPEN FOREIGN ORDER'!D1691</f>
        <v>0</v>
      </c>
      <c r="B2065">
        <f>'OPEN FOREIGN ORDER'!F1691</f>
        <v>0</v>
      </c>
      <c r="C2065">
        <f>'OPEN FOREIGN ORDER'!Z1691</f>
        <v>0</v>
      </c>
      <c r="D2065" s="123">
        <f>'OPEN FOREIGN ORDER'!AA1691</f>
        <v>0</v>
      </c>
      <c r="E2065" s="112">
        <f>'OPEN FOREIGN ORDER'!AB1691</f>
        <v>0</v>
      </c>
      <c r="F2065" s="112">
        <f>'OPEN FOREIGN ORDER'!AC1691</f>
        <v>0</v>
      </c>
      <c r="G2065" s="112">
        <f>'OPEN FOREIGN ORDER'!AD1691</f>
        <v>0</v>
      </c>
      <c r="H2065" s="112">
        <f>'OPEN FOREIGN ORDER'!AE1691</f>
        <v>0</v>
      </c>
      <c r="I2065" s="112">
        <f>'OPEN FOREIGN ORDER'!AF1691</f>
        <v>0</v>
      </c>
      <c r="J2065" s="112">
        <f>'OPEN FOREIGN ORDER'!AG1691</f>
        <v>0</v>
      </c>
    </row>
    <row r="2066" spans="1:10">
      <c r="A2066">
        <f>'OPEN FOREIGN ORDER'!D1692</f>
        <v>0</v>
      </c>
      <c r="B2066">
        <f>'OPEN FOREIGN ORDER'!F1692</f>
        <v>0</v>
      </c>
      <c r="C2066">
        <f>'OPEN FOREIGN ORDER'!Z1692</f>
        <v>0</v>
      </c>
      <c r="D2066" s="123">
        <f>'OPEN FOREIGN ORDER'!AA1692</f>
        <v>0</v>
      </c>
      <c r="E2066" s="112">
        <f>'OPEN FOREIGN ORDER'!AB1692</f>
        <v>0</v>
      </c>
      <c r="F2066" s="112">
        <f>'OPEN FOREIGN ORDER'!AC1692</f>
        <v>0</v>
      </c>
      <c r="G2066" s="112">
        <f>'OPEN FOREIGN ORDER'!AD1692</f>
        <v>0</v>
      </c>
      <c r="H2066" s="112">
        <f>'OPEN FOREIGN ORDER'!AE1692</f>
        <v>0</v>
      </c>
      <c r="I2066" s="112">
        <f>'OPEN FOREIGN ORDER'!AF1692</f>
        <v>0</v>
      </c>
      <c r="J2066" s="112">
        <f>'OPEN FOREIGN ORDER'!AG1692</f>
        <v>0</v>
      </c>
    </row>
    <row r="2067" spans="1:10">
      <c r="A2067">
        <f>'OPEN FOREIGN ORDER'!D1693</f>
        <v>0</v>
      </c>
      <c r="B2067">
        <f>'OPEN FOREIGN ORDER'!F1693</f>
        <v>0</v>
      </c>
      <c r="C2067">
        <f>'OPEN FOREIGN ORDER'!Z1693</f>
        <v>0</v>
      </c>
      <c r="D2067" s="123">
        <f>'OPEN FOREIGN ORDER'!AA1693</f>
        <v>0</v>
      </c>
      <c r="E2067" s="112">
        <f>'OPEN FOREIGN ORDER'!AB1693</f>
        <v>0</v>
      </c>
      <c r="F2067" s="112">
        <f>'OPEN FOREIGN ORDER'!AC1693</f>
        <v>0</v>
      </c>
      <c r="G2067" s="112">
        <f>'OPEN FOREIGN ORDER'!AD1693</f>
        <v>0</v>
      </c>
      <c r="H2067" s="112">
        <f>'OPEN FOREIGN ORDER'!AE1693</f>
        <v>0</v>
      </c>
      <c r="I2067" s="112">
        <f>'OPEN FOREIGN ORDER'!AF1693</f>
        <v>0</v>
      </c>
      <c r="J2067" s="112">
        <f>'OPEN FOREIGN ORDER'!AG1693</f>
        <v>0</v>
      </c>
    </row>
    <row r="2068" spans="1:10">
      <c r="A2068">
        <f>'OPEN FOREIGN ORDER'!D1694</f>
        <v>0</v>
      </c>
      <c r="B2068">
        <f>'OPEN FOREIGN ORDER'!F1694</f>
        <v>0</v>
      </c>
      <c r="C2068">
        <f>'OPEN FOREIGN ORDER'!Z1694</f>
        <v>0</v>
      </c>
      <c r="D2068" s="123">
        <f>'OPEN FOREIGN ORDER'!AA1694</f>
        <v>0</v>
      </c>
      <c r="E2068" s="112">
        <f>'OPEN FOREIGN ORDER'!AB1694</f>
        <v>0</v>
      </c>
      <c r="F2068" s="112">
        <f>'OPEN FOREIGN ORDER'!AC1694</f>
        <v>0</v>
      </c>
      <c r="G2068" s="112">
        <f>'OPEN FOREIGN ORDER'!AD1694</f>
        <v>0</v>
      </c>
      <c r="H2068" s="112">
        <f>'OPEN FOREIGN ORDER'!AE1694</f>
        <v>0</v>
      </c>
      <c r="I2068" s="112">
        <f>'OPEN FOREIGN ORDER'!AF1694</f>
        <v>0</v>
      </c>
      <c r="J2068" s="112">
        <f>'OPEN FOREIGN ORDER'!AG1694</f>
        <v>0</v>
      </c>
    </row>
    <row r="2069" spans="1:10">
      <c r="A2069">
        <f>'OPEN FOREIGN ORDER'!D1695</f>
        <v>0</v>
      </c>
      <c r="B2069">
        <f>'OPEN FOREIGN ORDER'!F1695</f>
        <v>0</v>
      </c>
      <c r="C2069">
        <f>'OPEN FOREIGN ORDER'!Z1695</f>
        <v>0</v>
      </c>
      <c r="D2069" s="123">
        <f>'OPEN FOREIGN ORDER'!AA1695</f>
        <v>0</v>
      </c>
      <c r="E2069" s="112">
        <f>'OPEN FOREIGN ORDER'!AB1695</f>
        <v>0</v>
      </c>
      <c r="F2069" s="112">
        <f>'OPEN FOREIGN ORDER'!AC1695</f>
        <v>0</v>
      </c>
      <c r="G2069" s="112">
        <f>'OPEN FOREIGN ORDER'!AD1695</f>
        <v>0</v>
      </c>
      <c r="H2069" s="112">
        <f>'OPEN FOREIGN ORDER'!AE1695</f>
        <v>0</v>
      </c>
      <c r="I2069" s="112">
        <f>'OPEN FOREIGN ORDER'!AF1695</f>
        <v>0</v>
      </c>
      <c r="J2069" s="112">
        <f>'OPEN FOREIGN ORDER'!AG1695</f>
        <v>0</v>
      </c>
    </row>
    <row r="2070" spans="1:10">
      <c r="A2070">
        <f>'OPEN FOREIGN ORDER'!D1696</f>
        <v>0</v>
      </c>
      <c r="B2070">
        <f>'OPEN FOREIGN ORDER'!F1696</f>
        <v>0</v>
      </c>
      <c r="C2070">
        <f>'OPEN FOREIGN ORDER'!Z1696</f>
        <v>0</v>
      </c>
      <c r="D2070" s="123">
        <f>'OPEN FOREIGN ORDER'!AA1696</f>
        <v>0</v>
      </c>
      <c r="E2070" s="112">
        <f>'OPEN FOREIGN ORDER'!AB1696</f>
        <v>0</v>
      </c>
      <c r="F2070" s="112">
        <f>'OPEN FOREIGN ORDER'!AC1696</f>
        <v>0</v>
      </c>
      <c r="G2070" s="112">
        <f>'OPEN FOREIGN ORDER'!AD1696</f>
        <v>0</v>
      </c>
      <c r="H2070" s="112">
        <f>'OPEN FOREIGN ORDER'!AE1696</f>
        <v>0</v>
      </c>
      <c r="I2070" s="112">
        <f>'OPEN FOREIGN ORDER'!AF1696</f>
        <v>0</v>
      </c>
      <c r="J2070" s="112">
        <f>'OPEN FOREIGN ORDER'!AG1696</f>
        <v>0</v>
      </c>
    </row>
    <row r="2071" spans="1:10">
      <c r="A2071">
        <f>'OPEN FOREIGN ORDER'!D1697</f>
        <v>0</v>
      </c>
      <c r="B2071">
        <f>'OPEN FOREIGN ORDER'!F1697</f>
        <v>0</v>
      </c>
      <c r="C2071">
        <f>'OPEN FOREIGN ORDER'!Z1697</f>
        <v>0</v>
      </c>
      <c r="D2071" s="123">
        <f>'OPEN FOREIGN ORDER'!AA1697</f>
        <v>0</v>
      </c>
      <c r="E2071" s="112">
        <f>'OPEN FOREIGN ORDER'!AB1697</f>
        <v>0</v>
      </c>
      <c r="F2071" s="112">
        <f>'OPEN FOREIGN ORDER'!AC1697</f>
        <v>0</v>
      </c>
      <c r="G2071" s="112">
        <f>'OPEN FOREIGN ORDER'!AD1697</f>
        <v>0</v>
      </c>
      <c r="H2071" s="112">
        <f>'OPEN FOREIGN ORDER'!AE1697</f>
        <v>0</v>
      </c>
      <c r="I2071" s="112">
        <f>'OPEN FOREIGN ORDER'!AF1697</f>
        <v>0</v>
      </c>
      <c r="J2071" s="112">
        <f>'OPEN FOREIGN ORDER'!AG1697</f>
        <v>0</v>
      </c>
    </row>
    <row r="2072" spans="1:10">
      <c r="A2072">
        <f>'OPEN FOREIGN ORDER'!D1698</f>
        <v>0</v>
      </c>
      <c r="B2072">
        <f>'OPEN FOREIGN ORDER'!F1698</f>
        <v>0</v>
      </c>
      <c r="C2072">
        <f>'OPEN FOREIGN ORDER'!Z1698</f>
        <v>0</v>
      </c>
      <c r="D2072" s="123">
        <f>'OPEN FOREIGN ORDER'!AA1698</f>
        <v>0</v>
      </c>
      <c r="E2072" s="112">
        <f>'OPEN FOREIGN ORDER'!AB1698</f>
        <v>0</v>
      </c>
      <c r="F2072" s="112">
        <f>'OPEN FOREIGN ORDER'!AC1698</f>
        <v>0</v>
      </c>
      <c r="G2072" s="112">
        <f>'OPEN FOREIGN ORDER'!AD1698</f>
        <v>0</v>
      </c>
      <c r="H2072" s="112">
        <f>'OPEN FOREIGN ORDER'!AE1698</f>
        <v>0</v>
      </c>
      <c r="I2072" s="112">
        <f>'OPEN FOREIGN ORDER'!AF1698</f>
        <v>0</v>
      </c>
      <c r="J2072" s="112">
        <f>'OPEN FOREIGN ORDER'!AG1698</f>
        <v>0</v>
      </c>
    </row>
    <row r="2073" spans="1:10">
      <c r="A2073">
        <f>'OPEN FOREIGN ORDER'!D1699</f>
        <v>0</v>
      </c>
      <c r="B2073">
        <f>'OPEN FOREIGN ORDER'!F1699</f>
        <v>0</v>
      </c>
      <c r="C2073">
        <f>'OPEN FOREIGN ORDER'!Z1699</f>
        <v>0</v>
      </c>
      <c r="D2073" s="123">
        <f>'OPEN FOREIGN ORDER'!AA1699</f>
        <v>0</v>
      </c>
      <c r="E2073" s="112">
        <f>'OPEN FOREIGN ORDER'!AB1699</f>
        <v>0</v>
      </c>
      <c r="F2073" s="112">
        <f>'OPEN FOREIGN ORDER'!AC1699</f>
        <v>0</v>
      </c>
      <c r="G2073" s="112">
        <f>'OPEN FOREIGN ORDER'!AD1699</f>
        <v>0</v>
      </c>
      <c r="H2073" s="112">
        <f>'OPEN FOREIGN ORDER'!AE1699</f>
        <v>0</v>
      </c>
      <c r="I2073" s="112">
        <f>'OPEN FOREIGN ORDER'!AF1699</f>
        <v>0</v>
      </c>
      <c r="J2073" s="112">
        <f>'OPEN FOREIGN ORDER'!AG1699</f>
        <v>0</v>
      </c>
    </row>
    <row r="2074" spans="1:10">
      <c r="A2074">
        <f>'OPEN FOREIGN ORDER'!D1700</f>
        <v>0</v>
      </c>
      <c r="B2074">
        <f>'OPEN FOREIGN ORDER'!F1700</f>
        <v>0</v>
      </c>
      <c r="C2074">
        <f>'OPEN FOREIGN ORDER'!Z1700</f>
        <v>0</v>
      </c>
      <c r="D2074" s="123">
        <f>'OPEN FOREIGN ORDER'!AA1700</f>
        <v>0</v>
      </c>
      <c r="E2074" s="112">
        <f>'OPEN FOREIGN ORDER'!AB1700</f>
        <v>0</v>
      </c>
      <c r="F2074" s="112">
        <f>'OPEN FOREIGN ORDER'!AC1700</f>
        <v>0</v>
      </c>
      <c r="G2074" s="112">
        <f>'OPEN FOREIGN ORDER'!AD1700</f>
        <v>0</v>
      </c>
      <c r="H2074" s="112">
        <f>'OPEN FOREIGN ORDER'!AE1700</f>
        <v>0</v>
      </c>
      <c r="I2074" s="112">
        <f>'OPEN FOREIGN ORDER'!AF1700</f>
        <v>0</v>
      </c>
      <c r="J2074" s="112">
        <f>'OPEN FOREIGN ORDER'!AG1700</f>
        <v>0</v>
      </c>
    </row>
    <row r="2075" spans="1:10">
      <c r="A2075">
        <f>'OPEN FOREIGN ORDER'!D1701</f>
        <v>0</v>
      </c>
      <c r="B2075">
        <f>'OPEN FOREIGN ORDER'!F1701</f>
        <v>0</v>
      </c>
      <c r="C2075">
        <f>'OPEN FOREIGN ORDER'!Z1701</f>
        <v>0</v>
      </c>
      <c r="D2075" s="123">
        <f>'OPEN FOREIGN ORDER'!AA1701</f>
        <v>0</v>
      </c>
      <c r="E2075" s="112">
        <f>'OPEN FOREIGN ORDER'!AB1701</f>
        <v>0</v>
      </c>
      <c r="F2075" s="112">
        <f>'OPEN FOREIGN ORDER'!AC1701</f>
        <v>0</v>
      </c>
      <c r="G2075" s="112">
        <f>'OPEN FOREIGN ORDER'!AD1701</f>
        <v>0</v>
      </c>
      <c r="H2075" s="112">
        <f>'OPEN FOREIGN ORDER'!AE1701</f>
        <v>0</v>
      </c>
      <c r="I2075" s="112">
        <f>'OPEN FOREIGN ORDER'!AF1701</f>
        <v>0</v>
      </c>
      <c r="J2075" s="112">
        <f>'OPEN FOREIGN ORDER'!AG1701</f>
        <v>0</v>
      </c>
    </row>
    <row r="2076" spans="1:10">
      <c r="A2076">
        <f>'OPEN FOREIGN ORDER'!D1702</f>
        <v>0</v>
      </c>
      <c r="B2076">
        <f>'OPEN FOREIGN ORDER'!F1702</f>
        <v>0</v>
      </c>
      <c r="C2076">
        <f>'OPEN FOREIGN ORDER'!Z1702</f>
        <v>0</v>
      </c>
      <c r="D2076" s="123">
        <f>'OPEN FOREIGN ORDER'!AA1702</f>
        <v>0</v>
      </c>
      <c r="E2076" s="112">
        <f>'OPEN FOREIGN ORDER'!AB1702</f>
        <v>0</v>
      </c>
      <c r="F2076" s="112">
        <f>'OPEN FOREIGN ORDER'!AC1702</f>
        <v>0</v>
      </c>
      <c r="G2076" s="112">
        <f>'OPEN FOREIGN ORDER'!AD1702</f>
        <v>0</v>
      </c>
      <c r="H2076" s="112">
        <f>'OPEN FOREIGN ORDER'!AE1702</f>
        <v>0</v>
      </c>
      <c r="I2076" s="112">
        <f>'OPEN FOREIGN ORDER'!AF1702</f>
        <v>0</v>
      </c>
      <c r="J2076" s="112">
        <f>'OPEN FOREIGN ORDER'!AG1702</f>
        <v>0</v>
      </c>
    </row>
    <row r="2077" spans="1:10">
      <c r="A2077">
        <f>'OPEN FOREIGN ORDER'!D1703</f>
        <v>0</v>
      </c>
      <c r="B2077">
        <f>'OPEN FOREIGN ORDER'!F1703</f>
        <v>0</v>
      </c>
      <c r="C2077">
        <f>'OPEN FOREIGN ORDER'!Z1703</f>
        <v>0</v>
      </c>
      <c r="D2077" s="123">
        <f>'OPEN FOREIGN ORDER'!AA1703</f>
        <v>0</v>
      </c>
      <c r="E2077" s="112">
        <f>'OPEN FOREIGN ORDER'!AB1703</f>
        <v>0</v>
      </c>
      <c r="F2077" s="112">
        <f>'OPEN FOREIGN ORDER'!AC1703</f>
        <v>0</v>
      </c>
      <c r="G2077" s="112">
        <f>'OPEN FOREIGN ORDER'!AD1703</f>
        <v>0</v>
      </c>
      <c r="H2077" s="112">
        <f>'OPEN FOREIGN ORDER'!AE1703</f>
        <v>0</v>
      </c>
      <c r="I2077" s="112">
        <f>'OPEN FOREIGN ORDER'!AF1703</f>
        <v>0</v>
      </c>
      <c r="J2077" s="112">
        <f>'OPEN FOREIGN ORDER'!AG1703</f>
        <v>0</v>
      </c>
    </row>
    <row r="2078" spans="1:10">
      <c r="A2078">
        <f>'OPEN FOREIGN ORDER'!D1704</f>
        <v>0</v>
      </c>
      <c r="B2078">
        <f>'OPEN FOREIGN ORDER'!F1704</f>
        <v>0</v>
      </c>
      <c r="C2078">
        <f>'OPEN FOREIGN ORDER'!Z1704</f>
        <v>0</v>
      </c>
      <c r="D2078" s="123">
        <f>'OPEN FOREIGN ORDER'!AA1704</f>
        <v>0</v>
      </c>
      <c r="E2078" s="112">
        <f>'OPEN FOREIGN ORDER'!AB1704</f>
        <v>0</v>
      </c>
      <c r="F2078" s="112">
        <f>'OPEN FOREIGN ORDER'!AC1704</f>
        <v>0</v>
      </c>
      <c r="G2078" s="112">
        <f>'OPEN FOREIGN ORDER'!AD1704</f>
        <v>0</v>
      </c>
      <c r="H2078" s="112">
        <f>'OPEN FOREIGN ORDER'!AE1704</f>
        <v>0</v>
      </c>
      <c r="I2078" s="112">
        <f>'OPEN FOREIGN ORDER'!AF1704</f>
        <v>0</v>
      </c>
      <c r="J2078" s="112">
        <f>'OPEN FOREIGN ORDER'!AG1704</f>
        <v>0</v>
      </c>
    </row>
    <row r="2079" spans="1:10">
      <c r="A2079">
        <f>'OPEN FOREIGN ORDER'!D1705</f>
        <v>0</v>
      </c>
      <c r="B2079">
        <f>'OPEN FOREIGN ORDER'!F1705</f>
        <v>0</v>
      </c>
      <c r="C2079">
        <f>'OPEN FOREIGN ORDER'!Z1705</f>
        <v>0</v>
      </c>
      <c r="D2079" s="123">
        <f>'OPEN FOREIGN ORDER'!AA1705</f>
        <v>0</v>
      </c>
      <c r="E2079" s="112">
        <f>'OPEN FOREIGN ORDER'!AB1705</f>
        <v>0</v>
      </c>
      <c r="F2079" s="112">
        <f>'OPEN FOREIGN ORDER'!AC1705</f>
        <v>0</v>
      </c>
      <c r="G2079" s="112">
        <f>'OPEN FOREIGN ORDER'!AD1705</f>
        <v>0</v>
      </c>
      <c r="H2079" s="112">
        <f>'OPEN FOREIGN ORDER'!AE1705</f>
        <v>0</v>
      </c>
      <c r="I2079" s="112">
        <f>'OPEN FOREIGN ORDER'!AF1705</f>
        <v>0</v>
      </c>
      <c r="J2079" s="112">
        <f>'OPEN FOREIGN ORDER'!AG1705</f>
        <v>0</v>
      </c>
    </row>
    <row r="2080" spans="1:10">
      <c r="A2080">
        <f>'OPEN FOREIGN ORDER'!D1706</f>
        <v>0</v>
      </c>
      <c r="B2080">
        <f>'OPEN FOREIGN ORDER'!F1706</f>
        <v>0</v>
      </c>
      <c r="C2080">
        <f>'OPEN FOREIGN ORDER'!Z1706</f>
        <v>0</v>
      </c>
      <c r="D2080" s="123">
        <f>'OPEN FOREIGN ORDER'!AA1706</f>
        <v>0</v>
      </c>
      <c r="E2080" s="112">
        <f>'OPEN FOREIGN ORDER'!AB1706</f>
        <v>0</v>
      </c>
      <c r="F2080" s="112">
        <f>'OPEN FOREIGN ORDER'!AC1706</f>
        <v>0</v>
      </c>
      <c r="G2080" s="112">
        <f>'OPEN FOREIGN ORDER'!AD1706</f>
        <v>0</v>
      </c>
      <c r="H2080" s="112">
        <f>'OPEN FOREIGN ORDER'!AE1706</f>
        <v>0</v>
      </c>
      <c r="I2080" s="112">
        <f>'OPEN FOREIGN ORDER'!AF1706</f>
        <v>0</v>
      </c>
      <c r="J2080" s="112">
        <f>'OPEN FOREIGN ORDER'!AG1706</f>
        <v>0</v>
      </c>
    </row>
    <row r="2081" spans="1:10">
      <c r="A2081">
        <f>'OPEN FOREIGN ORDER'!D1707</f>
        <v>0</v>
      </c>
      <c r="B2081">
        <f>'OPEN FOREIGN ORDER'!F1707</f>
        <v>0</v>
      </c>
      <c r="C2081">
        <f>'OPEN FOREIGN ORDER'!Z1707</f>
        <v>0</v>
      </c>
      <c r="D2081" s="123">
        <f>'OPEN FOREIGN ORDER'!AA1707</f>
        <v>0</v>
      </c>
      <c r="E2081" s="112">
        <f>'OPEN FOREIGN ORDER'!AB1707</f>
        <v>0</v>
      </c>
      <c r="F2081" s="112">
        <f>'OPEN FOREIGN ORDER'!AC1707</f>
        <v>0</v>
      </c>
      <c r="G2081" s="112">
        <f>'OPEN FOREIGN ORDER'!AD1707</f>
        <v>0</v>
      </c>
      <c r="H2081" s="112">
        <f>'OPEN FOREIGN ORDER'!AE1707</f>
        <v>0</v>
      </c>
      <c r="I2081" s="112">
        <f>'OPEN FOREIGN ORDER'!AF1707</f>
        <v>0</v>
      </c>
      <c r="J2081" s="112">
        <f>'OPEN FOREIGN ORDER'!AG1707</f>
        <v>0</v>
      </c>
    </row>
    <row r="2082" spans="1:10">
      <c r="A2082">
        <f>'OPEN FOREIGN ORDER'!D1708</f>
        <v>0</v>
      </c>
      <c r="B2082">
        <f>'OPEN FOREIGN ORDER'!F1708</f>
        <v>0</v>
      </c>
      <c r="C2082">
        <f>'OPEN FOREIGN ORDER'!Z1708</f>
        <v>0</v>
      </c>
      <c r="D2082" s="123">
        <f>'OPEN FOREIGN ORDER'!AA1708</f>
        <v>0</v>
      </c>
      <c r="E2082" s="112">
        <f>'OPEN FOREIGN ORDER'!AB1708</f>
        <v>0</v>
      </c>
      <c r="F2082" s="112">
        <f>'OPEN FOREIGN ORDER'!AC1708</f>
        <v>0</v>
      </c>
      <c r="G2082" s="112">
        <f>'OPEN FOREIGN ORDER'!AD1708</f>
        <v>0</v>
      </c>
      <c r="H2082" s="112">
        <f>'OPEN FOREIGN ORDER'!AE1708</f>
        <v>0</v>
      </c>
      <c r="I2082" s="112">
        <f>'OPEN FOREIGN ORDER'!AF1708</f>
        <v>0</v>
      </c>
      <c r="J2082" s="112">
        <f>'OPEN FOREIGN ORDER'!AG1708</f>
        <v>0</v>
      </c>
    </row>
    <row r="2083" spans="1:10">
      <c r="A2083">
        <f>'OPEN FOREIGN ORDER'!D1709</f>
        <v>0</v>
      </c>
      <c r="B2083">
        <f>'OPEN FOREIGN ORDER'!F1709</f>
        <v>0</v>
      </c>
      <c r="C2083">
        <f>'OPEN FOREIGN ORDER'!Z1709</f>
        <v>0</v>
      </c>
      <c r="D2083" s="123">
        <f>'OPEN FOREIGN ORDER'!AA1709</f>
        <v>0</v>
      </c>
      <c r="E2083" s="112">
        <f>'OPEN FOREIGN ORDER'!AB1709</f>
        <v>0</v>
      </c>
      <c r="F2083" s="112">
        <f>'OPEN FOREIGN ORDER'!AC1709</f>
        <v>0</v>
      </c>
      <c r="G2083" s="112">
        <f>'OPEN FOREIGN ORDER'!AD1709</f>
        <v>0</v>
      </c>
      <c r="H2083" s="112">
        <f>'OPEN FOREIGN ORDER'!AE1709</f>
        <v>0</v>
      </c>
      <c r="I2083" s="112">
        <f>'OPEN FOREIGN ORDER'!AF1709</f>
        <v>0</v>
      </c>
      <c r="J2083" s="112">
        <f>'OPEN FOREIGN ORDER'!AG1709</f>
        <v>0</v>
      </c>
    </row>
    <row r="2084" spans="1:10">
      <c r="A2084">
        <f>'OPEN FOREIGN ORDER'!D1710</f>
        <v>0</v>
      </c>
      <c r="B2084">
        <f>'OPEN FOREIGN ORDER'!F1710</f>
        <v>0</v>
      </c>
      <c r="C2084">
        <f>'OPEN FOREIGN ORDER'!Z1710</f>
        <v>0</v>
      </c>
      <c r="D2084" s="123">
        <f>'OPEN FOREIGN ORDER'!AA1710</f>
        <v>0</v>
      </c>
      <c r="E2084" s="112">
        <f>'OPEN FOREIGN ORDER'!AB1710</f>
        <v>0</v>
      </c>
      <c r="F2084" s="112">
        <f>'OPEN FOREIGN ORDER'!AC1710</f>
        <v>0</v>
      </c>
      <c r="G2084" s="112">
        <f>'OPEN FOREIGN ORDER'!AD1710</f>
        <v>0</v>
      </c>
      <c r="H2084" s="112">
        <f>'OPEN FOREIGN ORDER'!AE1710</f>
        <v>0</v>
      </c>
      <c r="I2084" s="112">
        <f>'OPEN FOREIGN ORDER'!AF1710</f>
        <v>0</v>
      </c>
      <c r="J2084" s="112">
        <f>'OPEN FOREIGN ORDER'!AG1710</f>
        <v>0</v>
      </c>
    </row>
    <row r="2085" spans="1:10">
      <c r="A2085">
        <f>'OPEN FOREIGN ORDER'!D1711</f>
        <v>0</v>
      </c>
      <c r="B2085">
        <f>'OPEN FOREIGN ORDER'!F1711</f>
        <v>0</v>
      </c>
      <c r="C2085">
        <f>'OPEN FOREIGN ORDER'!Z1711</f>
        <v>0</v>
      </c>
      <c r="D2085" s="123">
        <f>'OPEN FOREIGN ORDER'!AA1711</f>
        <v>0</v>
      </c>
      <c r="E2085" s="112">
        <f>'OPEN FOREIGN ORDER'!AB1711</f>
        <v>0</v>
      </c>
      <c r="F2085" s="112">
        <f>'OPEN FOREIGN ORDER'!AC1711</f>
        <v>0</v>
      </c>
      <c r="G2085" s="112">
        <f>'OPEN FOREIGN ORDER'!AD1711</f>
        <v>0</v>
      </c>
      <c r="H2085" s="112">
        <f>'OPEN FOREIGN ORDER'!AE1711</f>
        <v>0</v>
      </c>
      <c r="I2085" s="112">
        <f>'OPEN FOREIGN ORDER'!AF1711</f>
        <v>0</v>
      </c>
      <c r="J2085" s="112">
        <f>'OPEN FOREIGN ORDER'!AG1711</f>
        <v>0</v>
      </c>
    </row>
    <row r="2086" spans="1:10">
      <c r="A2086">
        <f>'OPEN FOREIGN ORDER'!D1712</f>
        <v>0</v>
      </c>
      <c r="B2086">
        <f>'OPEN FOREIGN ORDER'!F1712</f>
        <v>0</v>
      </c>
      <c r="C2086">
        <f>'OPEN FOREIGN ORDER'!Z1712</f>
        <v>0</v>
      </c>
      <c r="D2086" s="123">
        <f>'OPEN FOREIGN ORDER'!AA1712</f>
        <v>0</v>
      </c>
      <c r="E2086" s="112">
        <f>'OPEN FOREIGN ORDER'!AB1712</f>
        <v>0</v>
      </c>
      <c r="F2086" s="112">
        <f>'OPEN FOREIGN ORDER'!AC1712</f>
        <v>0</v>
      </c>
      <c r="G2086" s="112">
        <f>'OPEN FOREIGN ORDER'!AD1712</f>
        <v>0</v>
      </c>
      <c r="H2086" s="112">
        <f>'OPEN FOREIGN ORDER'!AE1712</f>
        <v>0</v>
      </c>
      <c r="I2086" s="112">
        <f>'OPEN FOREIGN ORDER'!AF1712</f>
        <v>0</v>
      </c>
      <c r="J2086" s="112">
        <f>'OPEN FOREIGN ORDER'!AG1712</f>
        <v>0</v>
      </c>
    </row>
    <row r="2087" spans="1:10">
      <c r="A2087">
        <f>'OPEN FOREIGN ORDER'!D1713</f>
        <v>0</v>
      </c>
      <c r="B2087">
        <f>'OPEN FOREIGN ORDER'!F1713</f>
        <v>0</v>
      </c>
      <c r="C2087">
        <f>'OPEN FOREIGN ORDER'!Z1713</f>
        <v>0</v>
      </c>
      <c r="D2087" s="123">
        <f>'OPEN FOREIGN ORDER'!AA1713</f>
        <v>0</v>
      </c>
      <c r="E2087" s="112">
        <f>'OPEN FOREIGN ORDER'!AB1713</f>
        <v>0</v>
      </c>
      <c r="F2087" s="112">
        <f>'OPEN FOREIGN ORDER'!AC1713</f>
        <v>0</v>
      </c>
      <c r="G2087" s="112">
        <f>'OPEN FOREIGN ORDER'!AD1713</f>
        <v>0</v>
      </c>
      <c r="H2087" s="112">
        <f>'OPEN FOREIGN ORDER'!AE1713</f>
        <v>0</v>
      </c>
      <c r="I2087" s="112">
        <f>'OPEN FOREIGN ORDER'!AF1713</f>
        <v>0</v>
      </c>
      <c r="J2087" s="112">
        <f>'OPEN FOREIGN ORDER'!AG1713</f>
        <v>0</v>
      </c>
    </row>
    <row r="2088" spans="1:10">
      <c r="A2088">
        <f>'OPEN FOREIGN ORDER'!D1714</f>
        <v>0</v>
      </c>
      <c r="B2088">
        <f>'OPEN FOREIGN ORDER'!F1714</f>
        <v>0</v>
      </c>
      <c r="C2088">
        <f>'OPEN FOREIGN ORDER'!Z1714</f>
        <v>0</v>
      </c>
      <c r="D2088" s="123">
        <f>'OPEN FOREIGN ORDER'!AA1714</f>
        <v>0</v>
      </c>
      <c r="E2088" s="112">
        <f>'OPEN FOREIGN ORDER'!AB1714</f>
        <v>0</v>
      </c>
      <c r="F2088" s="112">
        <f>'OPEN FOREIGN ORDER'!AC1714</f>
        <v>0</v>
      </c>
      <c r="G2088" s="112">
        <f>'OPEN FOREIGN ORDER'!AD1714</f>
        <v>0</v>
      </c>
      <c r="H2088" s="112">
        <f>'OPEN FOREIGN ORDER'!AE1714</f>
        <v>0</v>
      </c>
      <c r="I2088" s="112">
        <f>'OPEN FOREIGN ORDER'!AF1714</f>
        <v>0</v>
      </c>
      <c r="J2088" s="112">
        <f>'OPEN FOREIGN ORDER'!AG1714</f>
        <v>0</v>
      </c>
    </row>
    <row r="2089" spans="1:10">
      <c r="A2089">
        <f>'OPEN FOREIGN ORDER'!D1715</f>
        <v>0</v>
      </c>
      <c r="B2089">
        <f>'OPEN FOREIGN ORDER'!F1715</f>
        <v>0</v>
      </c>
      <c r="C2089">
        <f>'OPEN FOREIGN ORDER'!Z1715</f>
        <v>0</v>
      </c>
      <c r="D2089" s="123">
        <f>'OPEN FOREIGN ORDER'!AA1715</f>
        <v>0</v>
      </c>
      <c r="E2089" s="112">
        <f>'OPEN FOREIGN ORDER'!AB1715</f>
        <v>0</v>
      </c>
      <c r="F2089" s="112">
        <f>'OPEN FOREIGN ORDER'!AC1715</f>
        <v>0</v>
      </c>
      <c r="G2089" s="112">
        <f>'OPEN FOREIGN ORDER'!AD1715</f>
        <v>0</v>
      </c>
      <c r="H2089" s="112">
        <f>'OPEN FOREIGN ORDER'!AE1715</f>
        <v>0</v>
      </c>
      <c r="I2089" s="112">
        <f>'OPEN FOREIGN ORDER'!AF1715</f>
        <v>0</v>
      </c>
      <c r="J2089" s="112">
        <f>'OPEN FOREIGN ORDER'!AG1715</f>
        <v>0</v>
      </c>
    </row>
    <row r="2090" spans="1:10">
      <c r="A2090">
        <f>'OPEN FOREIGN ORDER'!D1716</f>
        <v>0</v>
      </c>
      <c r="B2090">
        <f>'OPEN FOREIGN ORDER'!F1716</f>
        <v>0</v>
      </c>
      <c r="C2090">
        <f>'OPEN FOREIGN ORDER'!Z1716</f>
        <v>0</v>
      </c>
      <c r="D2090" s="123">
        <f>'OPEN FOREIGN ORDER'!AA1716</f>
        <v>0</v>
      </c>
      <c r="E2090" s="112">
        <f>'OPEN FOREIGN ORDER'!AB1716</f>
        <v>0</v>
      </c>
      <c r="F2090" s="112">
        <f>'OPEN FOREIGN ORDER'!AC1716</f>
        <v>0</v>
      </c>
      <c r="G2090" s="112">
        <f>'OPEN FOREIGN ORDER'!AD1716</f>
        <v>0</v>
      </c>
      <c r="H2090" s="112">
        <f>'OPEN FOREIGN ORDER'!AE1716</f>
        <v>0</v>
      </c>
      <c r="I2090" s="112">
        <f>'OPEN FOREIGN ORDER'!AF1716</f>
        <v>0</v>
      </c>
      <c r="J2090" s="112">
        <f>'OPEN FOREIGN ORDER'!AG1716</f>
        <v>0</v>
      </c>
    </row>
    <row r="2091" spans="1:10">
      <c r="A2091">
        <f>'OPEN FOREIGN ORDER'!D1717</f>
        <v>0</v>
      </c>
      <c r="B2091">
        <f>'OPEN FOREIGN ORDER'!F1717</f>
        <v>0</v>
      </c>
      <c r="C2091">
        <f>'OPEN FOREIGN ORDER'!Z1717</f>
        <v>0</v>
      </c>
      <c r="D2091" s="123">
        <f>'OPEN FOREIGN ORDER'!AA1717</f>
        <v>0</v>
      </c>
      <c r="E2091" s="112">
        <f>'OPEN FOREIGN ORDER'!AB1717</f>
        <v>0</v>
      </c>
      <c r="F2091" s="112">
        <f>'OPEN FOREIGN ORDER'!AC1717</f>
        <v>0</v>
      </c>
      <c r="G2091" s="112">
        <f>'OPEN FOREIGN ORDER'!AD1717</f>
        <v>0</v>
      </c>
      <c r="H2091" s="112">
        <f>'OPEN FOREIGN ORDER'!AE1717</f>
        <v>0</v>
      </c>
      <c r="I2091" s="112">
        <f>'OPEN FOREIGN ORDER'!AF1717</f>
        <v>0</v>
      </c>
      <c r="J2091" s="112">
        <f>'OPEN FOREIGN ORDER'!AG1717</f>
        <v>0</v>
      </c>
    </row>
    <row r="2092" spans="1:10">
      <c r="A2092">
        <f>'OPEN FOREIGN ORDER'!D1718</f>
        <v>0</v>
      </c>
      <c r="B2092">
        <f>'OPEN FOREIGN ORDER'!F1718</f>
        <v>0</v>
      </c>
      <c r="C2092">
        <f>'OPEN FOREIGN ORDER'!Z1718</f>
        <v>0</v>
      </c>
      <c r="D2092" s="123">
        <f>'OPEN FOREIGN ORDER'!AA1718</f>
        <v>0</v>
      </c>
      <c r="E2092" s="112">
        <f>'OPEN FOREIGN ORDER'!AB1718</f>
        <v>0</v>
      </c>
      <c r="F2092" s="112">
        <f>'OPEN FOREIGN ORDER'!AC1718</f>
        <v>0</v>
      </c>
      <c r="G2092" s="112">
        <f>'OPEN FOREIGN ORDER'!AD1718</f>
        <v>0</v>
      </c>
      <c r="H2092" s="112">
        <f>'OPEN FOREIGN ORDER'!AE1718</f>
        <v>0</v>
      </c>
      <c r="I2092" s="112">
        <f>'OPEN FOREIGN ORDER'!AF1718</f>
        <v>0</v>
      </c>
      <c r="J2092" s="112">
        <f>'OPEN FOREIGN ORDER'!AG1718</f>
        <v>0</v>
      </c>
    </row>
    <row r="2093" spans="1:10">
      <c r="A2093">
        <f>'OPEN FOREIGN ORDER'!D1719</f>
        <v>0</v>
      </c>
      <c r="B2093">
        <f>'OPEN FOREIGN ORDER'!F1719</f>
        <v>0</v>
      </c>
      <c r="C2093">
        <f>'OPEN FOREIGN ORDER'!Z1719</f>
        <v>0</v>
      </c>
      <c r="D2093" s="123">
        <f>'OPEN FOREIGN ORDER'!AA1719</f>
        <v>0</v>
      </c>
      <c r="E2093" s="112">
        <f>'OPEN FOREIGN ORDER'!AB1719</f>
        <v>0</v>
      </c>
      <c r="F2093" s="112">
        <f>'OPEN FOREIGN ORDER'!AC1719</f>
        <v>0</v>
      </c>
      <c r="G2093" s="112">
        <f>'OPEN FOREIGN ORDER'!AD1719</f>
        <v>0</v>
      </c>
      <c r="H2093" s="112">
        <f>'OPEN FOREIGN ORDER'!AE1719</f>
        <v>0</v>
      </c>
      <c r="I2093" s="112">
        <f>'OPEN FOREIGN ORDER'!AF1719</f>
        <v>0</v>
      </c>
      <c r="J2093" s="112">
        <f>'OPEN FOREIGN ORDER'!AG1719</f>
        <v>0</v>
      </c>
    </row>
    <row r="2094" spans="1:10">
      <c r="A2094">
        <f>'OPEN FOREIGN ORDER'!D1720</f>
        <v>0</v>
      </c>
      <c r="B2094">
        <f>'OPEN FOREIGN ORDER'!F1720</f>
        <v>0</v>
      </c>
      <c r="C2094">
        <f>'OPEN FOREIGN ORDER'!Z1720</f>
        <v>0</v>
      </c>
      <c r="D2094" s="123">
        <f>'OPEN FOREIGN ORDER'!AA1720</f>
        <v>0</v>
      </c>
      <c r="E2094" s="112">
        <f>'OPEN FOREIGN ORDER'!AB1720</f>
        <v>0</v>
      </c>
      <c r="F2094" s="112">
        <f>'OPEN FOREIGN ORDER'!AC1720</f>
        <v>0</v>
      </c>
      <c r="G2094" s="112">
        <f>'OPEN FOREIGN ORDER'!AD1720</f>
        <v>0</v>
      </c>
      <c r="H2094" s="112">
        <f>'OPEN FOREIGN ORDER'!AE1720</f>
        <v>0</v>
      </c>
      <c r="I2094" s="112">
        <f>'OPEN FOREIGN ORDER'!AF1720</f>
        <v>0</v>
      </c>
      <c r="J2094" s="112">
        <f>'OPEN FOREIGN ORDER'!AG1720</f>
        <v>0</v>
      </c>
    </row>
    <row r="2095" spans="1:10">
      <c r="A2095">
        <f>'OPEN FOREIGN ORDER'!D1721</f>
        <v>0</v>
      </c>
      <c r="B2095">
        <f>'OPEN FOREIGN ORDER'!F1721</f>
        <v>0</v>
      </c>
      <c r="C2095">
        <f>'OPEN FOREIGN ORDER'!Z1721</f>
        <v>0</v>
      </c>
      <c r="D2095" s="123">
        <f>'OPEN FOREIGN ORDER'!AA1721</f>
        <v>0</v>
      </c>
      <c r="E2095" s="112">
        <f>'OPEN FOREIGN ORDER'!AB1721</f>
        <v>0</v>
      </c>
      <c r="F2095" s="112">
        <f>'OPEN FOREIGN ORDER'!AC1721</f>
        <v>0</v>
      </c>
      <c r="G2095" s="112">
        <f>'OPEN FOREIGN ORDER'!AD1721</f>
        <v>0</v>
      </c>
      <c r="H2095" s="112">
        <f>'OPEN FOREIGN ORDER'!AE1721</f>
        <v>0</v>
      </c>
      <c r="I2095" s="112">
        <f>'OPEN FOREIGN ORDER'!AF1721</f>
        <v>0</v>
      </c>
      <c r="J2095" s="112">
        <f>'OPEN FOREIGN ORDER'!AG1721</f>
        <v>0</v>
      </c>
    </row>
    <row r="2096" spans="1:10">
      <c r="A2096">
        <f>'OPEN FOREIGN ORDER'!D1722</f>
        <v>0</v>
      </c>
      <c r="B2096">
        <f>'OPEN FOREIGN ORDER'!F1722</f>
        <v>0</v>
      </c>
      <c r="C2096">
        <f>'OPEN FOREIGN ORDER'!Z1722</f>
        <v>0</v>
      </c>
      <c r="D2096" s="123">
        <f>'OPEN FOREIGN ORDER'!AA1722</f>
        <v>0</v>
      </c>
      <c r="E2096" s="112">
        <f>'OPEN FOREIGN ORDER'!AB1722</f>
        <v>0</v>
      </c>
      <c r="F2096" s="112">
        <f>'OPEN FOREIGN ORDER'!AC1722</f>
        <v>0</v>
      </c>
      <c r="G2096" s="112">
        <f>'OPEN FOREIGN ORDER'!AD1722</f>
        <v>0</v>
      </c>
      <c r="H2096" s="112">
        <f>'OPEN FOREIGN ORDER'!AE1722</f>
        <v>0</v>
      </c>
      <c r="I2096" s="112">
        <f>'OPEN FOREIGN ORDER'!AF1722</f>
        <v>0</v>
      </c>
      <c r="J2096" s="112">
        <f>'OPEN FOREIGN ORDER'!AG1722</f>
        <v>0</v>
      </c>
    </row>
    <row r="2097" spans="1:10">
      <c r="A2097">
        <f>'OPEN FOREIGN ORDER'!D1723</f>
        <v>0</v>
      </c>
      <c r="B2097">
        <f>'OPEN FOREIGN ORDER'!F1723</f>
        <v>0</v>
      </c>
      <c r="C2097">
        <f>'OPEN FOREIGN ORDER'!Z1723</f>
        <v>0</v>
      </c>
      <c r="D2097" s="123">
        <f>'OPEN FOREIGN ORDER'!AA1723</f>
        <v>0</v>
      </c>
      <c r="E2097" s="112">
        <f>'OPEN FOREIGN ORDER'!AB1723</f>
        <v>0</v>
      </c>
      <c r="F2097" s="112">
        <f>'OPEN FOREIGN ORDER'!AC1723</f>
        <v>0</v>
      </c>
      <c r="G2097" s="112">
        <f>'OPEN FOREIGN ORDER'!AD1723</f>
        <v>0</v>
      </c>
      <c r="H2097" s="112">
        <f>'OPEN FOREIGN ORDER'!AE1723</f>
        <v>0</v>
      </c>
      <c r="I2097" s="112">
        <f>'OPEN FOREIGN ORDER'!AF1723</f>
        <v>0</v>
      </c>
      <c r="J2097" s="112">
        <f>'OPEN FOREIGN ORDER'!AG1723</f>
        <v>0</v>
      </c>
    </row>
    <row r="2098" spans="1:10">
      <c r="A2098">
        <f>'OPEN FOREIGN ORDER'!D1724</f>
        <v>0</v>
      </c>
      <c r="B2098">
        <f>'OPEN FOREIGN ORDER'!F1724</f>
        <v>0</v>
      </c>
      <c r="C2098">
        <f>'OPEN FOREIGN ORDER'!Z1724</f>
        <v>0</v>
      </c>
      <c r="D2098" s="123">
        <f>'OPEN FOREIGN ORDER'!AA1724</f>
        <v>0</v>
      </c>
      <c r="E2098" s="112">
        <f>'OPEN FOREIGN ORDER'!AB1724</f>
        <v>0</v>
      </c>
      <c r="F2098" s="112">
        <f>'OPEN FOREIGN ORDER'!AC1724</f>
        <v>0</v>
      </c>
      <c r="G2098" s="112">
        <f>'OPEN FOREIGN ORDER'!AD1724</f>
        <v>0</v>
      </c>
      <c r="H2098" s="112">
        <f>'OPEN FOREIGN ORDER'!AE1724</f>
        <v>0</v>
      </c>
      <c r="I2098" s="112">
        <f>'OPEN FOREIGN ORDER'!AF1724</f>
        <v>0</v>
      </c>
      <c r="J2098" s="112">
        <f>'OPEN FOREIGN ORDER'!AG1724</f>
        <v>0</v>
      </c>
    </row>
    <row r="2099" spans="1:10">
      <c r="A2099">
        <f>'OPEN FOREIGN ORDER'!D1725</f>
        <v>0</v>
      </c>
      <c r="B2099">
        <f>'OPEN FOREIGN ORDER'!F1725</f>
        <v>0</v>
      </c>
      <c r="C2099">
        <f>'OPEN FOREIGN ORDER'!Z1725</f>
        <v>0</v>
      </c>
      <c r="D2099" s="123">
        <f>'OPEN FOREIGN ORDER'!AA1725</f>
        <v>0</v>
      </c>
      <c r="E2099" s="112">
        <f>'OPEN FOREIGN ORDER'!AB1725</f>
        <v>0</v>
      </c>
      <c r="F2099" s="112">
        <f>'OPEN FOREIGN ORDER'!AC1725</f>
        <v>0</v>
      </c>
      <c r="G2099" s="112">
        <f>'OPEN FOREIGN ORDER'!AD1725</f>
        <v>0</v>
      </c>
      <c r="H2099" s="112">
        <f>'OPEN FOREIGN ORDER'!AE1725</f>
        <v>0</v>
      </c>
      <c r="I2099" s="112">
        <f>'OPEN FOREIGN ORDER'!AF1725</f>
        <v>0</v>
      </c>
      <c r="J2099" s="112">
        <f>'OPEN FOREIGN ORDER'!AG1725</f>
        <v>0</v>
      </c>
    </row>
    <row r="2100" spans="1:10">
      <c r="A2100">
        <f>'OPEN FOREIGN ORDER'!D1726</f>
        <v>0</v>
      </c>
      <c r="B2100">
        <f>'OPEN FOREIGN ORDER'!F1726</f>
        <v>0</v>
      </c>
      <c r="C2100">
        <f>'OPEN FOREIGN ORDER'!Z1726</f>
        <v>0</v>
      </c>
      <c r="D2100" s="123">
        <f>'OPEN FOREIGN ORDER'!AA1726</f>
        <v>0</v>
      </c>
      <c r="E2100" s="112">
        <f>'OPEN FOREIGN ORDER'!AB1726</f>
        <v>0</v>
      </c>
      <c r="F2100" s="112">
        <f>'OPEN FOREIGN ORDER'!AC1726</f>
        <v>0</v>
      </c>
      <c r="G2100" s="112">
        <f>'OPEN FOREIGN ORDER'!AD1726</f>
        <v>0</v>
      </c>
      <c r="H2100" s="112">
        <f>'OPEN FOREIGN ORDER'!AE1726</f>
        <v>0</v>
      </c>
      <c r="I2100" s="112">
        <f>'OPEN FOREIGN ORDER'!AF1726</f>
        <v>0</v>
      </c>
      <c r="J2100" s="112">
        <f>'OPEN FOREIGN ORDER'!AG1726</f>
        <v>0</v>
      </c>
    </row>
    <row r="2101" spans="1:10">
      <c r="A2101">
        <f>'OPEN FOREIGN ORDER'!D1727</f>
        <v>0</v>
      </c>
      <c r="B2101">
        <f>'OPEN FOREIGN ORDER'!F1727</f>
        <v>0</v>
      </c>
      <c r="C2101">
        <f>'OPEN FOREIGN ORDER'!Z1727</f>
        <v>0</v>
      </c>
      <c r="D2101" s="123">
        <f>'OPEN FOREIGN ORDER'!AA1727</f>
        <v>0</v>
      </c>
      <c r="E2101" s="112">
        <f>'OPEN FOREIGN ORDER'!AB1727</f>
        <v>0</v>
      </c>
      <c r="F2101" s="112">
        <f>'OPEN FOREIGN ORDER'!AC1727</f>
        <v>0</v>
      </c>
      <c r="G2101" s="112">
        <f>'OPEN FOREIGN ORDER'!AD1727</f>
        <v>0</v>
      </c>
      <c r="H2101" s="112">
        <f>'OPEN FOREIGN ORDER'!AE1727</f>
        <v>0</v>
      </c>
      <c r="I2101" s="112">
        <f>'OPEN FOREIGN ORDER'!AF1727</f>
        <v>0</v>
      </c>
      <c r="J2101" s="112">
        <f>'OPEN FOREIGN ORDER'!AG1727</f>
        <v>0</v>
      </c>
    </row>
    <row r="2102" spans="1:10">
      <c r="A2102">
        <f>'OPEN FOREIGN ORDER'!D1728</f>
        <v>0</v>
      </c>
      <c r="B2102">
        <f>'OPEN FOREIGN ORDER'!F1728</f>
        <v>0</v>
      </c>
      <c r="C2102">
        <f>'OPEN FOREIGN ORDER'!Z1728</f>
        <v>0</v>
      </c>
      <c r="D2102" s="123">
        <f>'OPEN FOREIGN ORDER'!AA1728</f>
        <v>0</v>
      </c>
      <c r="E2102" s="112">
        <f>'OPEN FOREIGN ORDER'!AB1728</f>
        <v>0</v>
      </c>
      <c r="F2102" s="112">
        <f>'OPEN FOREIGN ORDER'!AC1728</f>
        <v>0</v>
      </c>
      <c r="G2102" s="112">
        <f>'OPEN FOREIGN ORDER'!AD1728</f>
        <v>0</v>
      </c>
      <c r="H2102" s="112">
        <f>'OPEN FOREIGN ORDER'!AE1728</f>
        <v>0</v>
      </c>
      <c r="I2102" s="112">
        <f>'OPEN FOREIGN ORDER'!AF1728</f>
        <v>0</v>
      </c>
      <c r="J2102" s="112">
        <f>'OPEN FOREIGN ORDER'!AG1728</f>
        <v>0</v>
      </c>
    </row>
    <row r="2103" spans="1:10">
      <c r="A2103">
        <f>'OPEN FOREIGN ORDER'!D1729</f>
        <v>0</v>
      </c>
      <c r="B2103">
        <f>'OPEN FOREIGN ORDER'!F1729</f>
        <v>0</v>
      </c>
      <c r="C2103">
        <f>'OPEN FOREIGN ORDER'!Z1729</f>
        <v>0</v>
      </c>
      <c r="D2103" s="123">
        <f>'OPEN FOREIGN ORDER'!AA1729</f>
        <v>0</v>
      </c>
      <c r="E2103" s="112">
        <f>'OPEN FOREIGN ORDER'!AB1729</f>
        <v>0</v>
      </c>
      <c r="F2103" s="112">
        <f>'OPEN FOREIGN ORDER'!AC1729</f>
        <v>0</v>
      </c>
      <c r="G2103" s="112">
        <f>'OPEN FOREIGN ORDER'!AD1729</f>
        <v>0</v>
      </c>
      <c r="H2103" s="112">
        <f>'OPEN FOREIGN ORDER'!AE1729</f>
        <v>0</v>
      </c>
      <c r="I2103" s="112">
        <f>'OPEN FOREIGN ORDER'!AF1729</f>
        <v>0</v>
      </c>
      <c r="J2103" s="112">
        <f>'OPEN FOREIGN ORDER'!AG1729</f>
        <v>0</v>
      </c>
    </row>
    <row r="2104" spans="1:10">
      <c r="A2104">
        <f>'OPEN FOREIGN ORDER'!D1730</f>
        <v>0</v>
      </c>
      <c r="B2104">
        <f>'OPEN FOREIGN ORDER'!F1730</f>
        <v>0</v>
      </c>
      <c r="C2104">
        <f>'OPEN FOREIGN ORDER'!Z1730</f>
        <v>0</v>
      </c>
      <c r="D2104" s="123">
        <f>'OPEN FOREIGN ORDER'!AA1730</f>
        <v>0</v>
      </c>
      <c r="E2104" s="112">
        <f>'OPEN FOREIGN ORDER'!AB1730</f>
        <v>0</v>
      </c>
      <c r="F2104" s="112">
        <f>'OPEN FOREIGN ORDER'!AC1730</f>
        <v>0</v>
      </c>
      <c r="G2104" s="112">
        <f>'OPEN FOREIGN ORDER'!AD1730</f>
        <v>0</v>
      </c>
      <c r="H2104" s="112">
        <f>'OPEN FOREIGN ORDER'!AE1730</f>
        <v>0</v>
      </c>
      <c r="I2104" s="112">
        <f>'OPEN FOREIGN ORDER'!AF1730</f>
        <v>0</v>
      </c>
      <c r="J2104" s="112">
        <f>'OPEN FOREIGN ORDER'!AG1730</f>
        <v>0</v>
      </c>
    </row>
    <row r="2105" spans="1:10">
      <c r="A2105">
        <f>'OPEN FOREIGN ORDER'!D1731</f>
        <v>0</v>
      </c>
      <c r="B2105">
        <f>'OPEN FOREIGN ORDER'!F1731</f>
        <v>0</v>
      </c>
      <c r="C2105">
        <f>'OPEN FOREIGN ORDER'!Z1731</f>
        <v>0</v>
      </c>
      <c r="D2105" s="123">
        <f>'OPEN FOREIGN ORDER'!AA1731</f>
        <v>0</v>
      </c>
      <c r="E2105" s="112">
        <f>'OPEN FOREIGN ORDER'!AB1731</f>
        <v>0</v>
      </c>
      <c r="F2105" s="112">
        <f>'OPEN FOREIGN ORDER'!AC1731</f>
        <v>0</v>
      </c>
      <c r="G2105" s="112">
        <f>'OPEN FOREIGN ORDER'!AD1731</f>
        <v>0</v>
      </c>
      <c r="H2105" s="112">
        <f>'OPEN FOREIGN ORDER'!AE1731</f>
        <v>0</v>
      </c>
      <c r="I2105" s="112">
        <f>'OPEN FOREIGN ORDER'!AF1731</f>
        <v>0</v>
      </c>
      <c r="J2105" s="112">
        <f>'OPEN FOREIGN ORDER'!AG1731</f>
        <v>0</v>
      </c>
    </row>
    <row r="2106" spans="1:10">
      <c r="A2106">
        <f>'OPEN FOREIGN ORDER'!D1732</f>
        <v>0</v>
      </c>
      <c r="B2106">
        <f>'OPEN FOREIGN ORDER'!F1732</f>
        <v>0</v>
      </c>
      <c r="C2106">
        <f>'OPEN FOREIGN ORDER'!Z1732</f>
        <v>0</v>
      </c>
      <c r="D2106" s="123">
        <f>'OPEN FOREIGN ORDER'!AA1732</f>
        <v>0</v>
      </c>
      <c r="E2106" s="112">
        <f>'OPEN FOREIGN ORDER'!AB1732</f>
        <v>0</v>
      </c>
      <c r="F2106" s="112">
        <f>'OPEN FOREIGN ORDER'!AC1732</f>
        <v>0</v>
      </c>
      <c r="G2106" s="112">
        <f>'OPEN FOREIGN ORDER'!AD1732</f>
        <v>0</v>
      </c>
      <c r="H2106" s="112">
        <f>'OPEN FOREIGN ORDER'!AE1732</f>
        <v>0</v>
      </c>
      <c r="I2106" s="112">
        <f>'OPEN FOREIGN ORDER'!AF1732</f>
        <v>0</v>
      </c>
      <c r="J2106" s="112">
        <f>'OPEN FOREIGN ORDER'!AG1732</f>
        <v>0</v>
      </c>
    </row>
    <row r="2107" spans="1:10">
      <c r="A2107">
        <f>'OPEN FOREIGN ORDER'!D1733</f>
        <v>0</v>
      </c>
      <c r="B2107">
        <f>'OPEN FOREIGN ORDER'!F1733</f>
        <v>0</v>
      </c>
      <c r="C2107">
        <f>'OPEN FOREIGN ORDER'!Z1733</f>
        <v>0</v>
      </c>
      <c r="D2107" s="123">
        <f>'OPEN FOREIGN ORDER'!AA1733</f>
        <v>0</v>
      </c>
      <c r="E2107" s="112">
        <f>'OPEN FOREIGN ORDER'!AB1733</f>
        <v>0</v>
      </c>
      <c r="F2107" s="112">
        <f>'OPEN FOREIGN ORDER'!AC1733</f>
        <v>0</v>
      </c>
      <c r="G2107" s="112">
        <f>'OPEN FOREIGN ORDER'!AD1733</f>
        <v>0</v>
      </c>
      <c r="H2107" s="112">
        <f>'OPEN FOREIGN ORDER'!AE1733</f>
        <v>0</v>
      </c>
      <c r="I2107" s="112">
        <f>'OPEN FOREIGN ORDER'!AF1733</f>
        <v>0</v>
      </c>
      <c r="J2107" s="112">
        <f>'OPEN FOREIGN ORDER'!AG1733</f>
        <v>0</v>
      </c>
    </row>
    <row r="2108" spans="1:10">
      <c r="A2108">
        <f>'OPEN FOREIGN ORDER'!D1734</f>
        <v>0</v>
      </c>
      <c r="B2108">
        <f>'OPEN FOREIGN ORDER'!F1734</f>
        <v>0</v>
      </c>
      <c r="C2108">
        <f>'OPEN FOREIGN ORDER'!Z1734</f>
        <v>0</v>
      </c>
      <c r="D2108" s="123">
        <f>'OPEN FOREIGN ORDER'!AA1734</f>
        <v>0</v>
      </c>
      <c r="E2108" s="112">
        <f>'OPEN FOREIGN ORDER'!AB1734</f>
        <v>0</v>
      </c>
      <c r="F2108" s="112">
        <f>'OPEN FOREIGN ORDER'!AC1734</f>
        <v>0</v>
      </c>
      <c r="G2108" s="112">
        <f>'OPEN FOREIGN ORDER'!AD1734</f>
        <v>0</v>
      </c>
      <c r="H2108" s="112">
        <f>'OPEN FOREIGN ORDER'!AE1734</f>
        <v>0</v>
      </c>
      <c r="I2108" s="112">
        <f>'OPEN FOREIGN ORDER'!AF1734</f>
        <v>0</v>
      </c>
      <c r="J2108" s="112">
        <f>'OPEN FOREIGN ORDER'!AG1734</f>
        <v>0</v>
      </c>
    </row>
    <row r="2109" spans="1:10">
      <c r="A2109">
        <f>'OPEN FOREIGN ORDER'!D1735</f>
        <v>0</v>
      </c>
      <c r="B2109">
        <f>'OPEN FOREIGN ORDER'!F1735</f>
        <v>0</v>
      </c>
      <c r="C2109">
        <f>'OPEN FOREIGN ORDER'!Z1735</f>
        <v>0</v>
      </c>
      <c r="D2109" s="123">
        <f>'OPEN FOREIGN ORDER'!AA1735</f>
        <v>0</v>
      </c>
      <c r="E2109" s="112">
        <f>'OPEN FOREIGN ORDER'!AB1735</f>
        <v>0</v>
      </c>
      <c r="F2109" s="112">
        <f>'OPEN FOREIGN ORDER'!AC1735</f>
        <v>0</v>
      </c>
      <c r="G2109" s="112">
        <f>'OPEN FOREIGN ORDER'!AD1735</f>
        <v>0</v>
      </c>
      <c r="H2109" s="112">
        <f>'OPEN FOREIGN ORDER'!AE1735</f>
        <v>0</v>
      </c>
      <c r="I2109" s="112">
        <f>'OPEN FOREIGN ORDER'!AF1735</f>
        <v>0</v>
      </c>
      <c r="J2109" s="112">
        <f>'OPEN FOREIGN ORDER'!AG1735</f>
        <v>0</v>
      </c>
    </row>
    <row r="2110" spans="1:10">
      <c r="A2110">
        <f>'OPEN FOREIGN ORDER'!D1736</f>
        <v>0</v>
      </c>
      <c r="B2110">
        <f>'OPEN FOREIGN ORDER'!F1736</f>
        <v>0</v>
      </c>
      <c r="C2110">
        <f>'OPEN FOREIGN ORDER'!Z1736</f>
        <v>0</v>
      </c>
      <c r="D2110" s="123">
        <f>'OPEN FOREIGN ORDER'!AA1736</f>
        <v>0</v>
      </c>
      <c r="E2110" s="112">
        <f>'OPEN FOREIGN ORDER'!AB1736</f>
        <v>0</v>
      </c>
      <c r="F2110" s="112">
        <f>'OPEN FOREIGN ORDER'!AC1736</f>
        <v>0</v>
      </c>
      <c r="G2110" s="112">
        <f>'OPEN FOREIGN ORDER'!AD1736</f>
        <v>0</v>
      </c>
      <c r="H2110" s="112">
        <f>'OPEN FOREIGN ORDER'!AE1736</f>
        <v>0</v>
      </c>
      <c r="I2110" s="112">
        <f>'OPEN FOREIGN ORDER'!AF1736</f>
        <v>0</v>
      </c>
      <c r="J2110" s="112">
        <f>'OPEN FOREIGN ORDER'!AG1736</f>
        <v>0</v>
      </c>
    </row>
    <row r="2111" spans="1:10">
      <c r="A2111">
        <f>'OPEN FOREIGN ORDER'!D1737</f>
        <v>0</v>
      </c>
      <c r="B2111">
        <f>'OPEN FOREIGN ORDER'!F1737</f>
        <v>0</v>
      </c>
      <c r="C2111">
        <f>'OPEN FOREIGN ORDER'!Z1737</f>
        <v>0</v>
      </c>
      <c r="D2111" s="123">
        <f>'OPEN FOREIGN ORDER'!AA1737</f>
        <v>0</v>
      </c>
      <c r="E2111" s="112">
        <f>'OPEN FOREIGN ORDER'!AB1737</f>
        <v>0</v>
      </c>
      <c r="F2111" s="112">
        <f>'OPEN FOREIGN ORDER'!AC1737</f>
        <v>0</v>
      </c>
      <c r="G2111" s="112">
        <f>'OPEN FOREIGN ORDER'!AD1737</f>
        <v>0</v>
      </c>
      <c r="H2111" s="112">
        <f>'OPEN FOREIGN ORDER'!AE1737</f>
        <v>0</v>
      </c>
      <c r="I2111" s="112">
        <f>'OPEN FOREIGN ORDER'!AF1737</f>
        <v>0</v>
      </c>
      <c r="J2111" s="112">
        <f>'OPEN FOREIGN ORDER'!AG1737</f>
        <v>0</v>
      </c>
    </row>
    <row r="2112" spans="1:10">
      <c r="A2112">
        <f>'OPEN FOREIGN ORDER'!D1738</f>
        <v>0</v>
      </c>
      <c r="B2112">
        <f>'OPEN FOREIGN ORDER'!F1738</f>
        <v>0</v>
      </c>
      <c r="C2112">
        <f>'OPEN FOREIGN ORDER'!Z1738</f>
        <v>0</v>
      </c>
      <c r="D2112" s="123">
        <f>'OPEN FOREIGN ORDER'!AA1738</f>
        <v>0</v>
      </c>
      <c r="E2112" s="112">
        <f>'OPEN FOREIGN ORDER'!AB1738</f>
        <v>0</v>
      </c>
      <c r="F2112" s="112">
        <f>'OPEN FOREIGN ORDER'!AC1738</f>
        <v>0</v>
      </c>
      <c r="G2112" s="112">
        <f>'OPEN FOREIGN ORDER'!AD1738</f>
        <v>0</v>
      </c>
      <c r="H2112" s="112">
        <f>'OPEN FOREIGN ORDER'!AE1738</f>
        <v>0</v>
      </c>
      <c r="I2112" s="112">
        <f>'OPEN FOREIGN ORDER'!AF1738</f>
        <v>0</v>
      </c>
      <c r="J2112" s="112">
        <f>'OPEN FOREIGN ORDER'!AG1738</f>
        <v>0</v>
      </c>
    </row>
    <row r="2113" spans="1:10">
      <c r="A2113">
        <f>'OPEN FOREIGN ORDER'!D1739</f>
        <v>0</v>
      </c>
      <c r="B2113">
        <f>'OPEN FOREIGN ORDER'!F1739</f>
        <v>0</v>
      </c>
      <c r="C2113">
        <f>'OPEN FOREIGN ORDER'!Z1739</f>
        <v>0</v>
      </c>
      <c r="D2113" s="123">
        <f>'OPEN FOREIGN ORDER'!AA1739</f>
        <v>0</v>
      </c>
      <c r="E2113" s="112">
        <f>'OPEN FOREIGN ORDER'!AB1739</f>
        <v>0</v>
      </c>
      <c r="F2113" s="112">
        <f>'OPEN FOREIGN ORDER'!AC1739</f>
        <v>0</v>
      </c>
      <c r="G2113" s="112">
        <f>'OPEN FOREIGN ORDER'!AD1739</f>
        <v>0</v>
      </c>
      <c r="H2113" s="112">
        <f>'OPEN FOREIGN ORDER'!AE1739</f>
        <v>0</v>
      </c>
      <c r="I2113" s="112">
        <f>'OPEN FOREIGN ORDER'!AF1739</f>
        <v>0</v>
      </c>
      <c r="J2113" s="112">
        <f>'OPEN FOREIGN ORDER'!AG1739</f>
        <v>0</v>
      </c>
    </row>
    <row r="2114" spans="1:10">
      <c r="A2114">
        <f>'OPEN FOREIGN ORDER'!D1740</f>
        <v>0</v>
      </c>
      <c r="B2114">
        <f>'OPEN FOREIGN ORDER'!F1740</f>
        <v>0</v>
      </c>
      <c r="C2114">
        <f>'OPEN FOREIGN ORDER'!Z1740</f>
        <v>0</v>
      </c>
      <c r="D2114" s="123">
        <f>'OPEN FOREIGN ORDER'!AA1740</f>
        <v>0</v>
      </c>
      <c r="E2114" s="112">
        <f>'OPEN FOREIGN ORDER'!AB1740</f>
        <v>0</v>
      </c>
      <c r="F2114" s="112">
        <f>'OPEN FOREIGN ORDER'!AC1740</f>
        <v>0</v>
      </c>
      <c r="G2114" s="112">
        <f>'OPEN FOREIGN ORDER'!AD1740</f>
        <v>0</v>
      </c>
      <c r="H2114" s="112">
        <f>'OPEN FOREIGN ORDER'!AE1740</f>
        <v>0</v>
      </c>
      <c r="I2114" s="112">
        <f>'OPEN FOREIGN ORDER'!AF1740</f>
        <v>0</v>
      </c>
      <c r="J2114" s="112">
        <f>'OPEN FOREIGN ORDER'!AG1740</f>
        <v>0</v>
      </c>
    </row>
    <row r="2115" spans="1:10">
      <c r="A2115">
        <f>'OPEN FOREIGN ORDER'!D1741</f>
        <v>0</v>
      </c>
      <c r="B2115">
        <f>'OPEN FOREIGN ORDER'!F1741</f>
        <v>0</v>
      </c>
      <c r="C2115">
        <f>'OPEN FOREIGN ORDER'!Z1741</f>
        <v>0</v>
      </c>
      <c r="D2115" s="123">
        <f>'OPEN FOREIGN ORDER'!AA1741</f>
        <v>0</v>
      </c>
      <c r="E2115" s="112">
        <f>'OPEN FOREIGN ORDER'!AB1741</f>
        <v>0</v>
      </c>
      <c r="F2115" s="112">
        <f>'OPEN FOREIGN ORDER'!AC1741</f>
        <v>0</v>
      </c>
      <c r="G2115" s="112">
        <f>'OPEN FOREIGN ORDER'!AD1741</f>
        <v>0</v>
      </c>
      <c r="H2115" s="112">
        <f>'OPEN FOREIGN ORDER'!AE1741</f>
        <v>0</v>
      </c>
      <c r="I2115" s="112">
        <f>'OPEN FOREIGN ORDER'!AF1741</f>
        <v>0</v>
      </c>
      <c r="J2115" s="112">
        <f>'OPEN FOREIGN ORDER'!AG1741</f>
        <v>0</v>
      </c>
    </row>
    <row r="2116" spans="1:10">
      <c r="A2116">
        <f>'OPEN FOREIGN ORDER'!D1742</f>
        <v>0</v>
      </c>
      <c r="B2116">
        <f>'OPEN FOREIGN ORDER'!F1742</f>
        <v>0</v>
      </c>
      <c r="C2116">
        <f>'OPEN FOREIGN ORDER'!Z1742</f>
        <v>0</v>
      </c>
      <c r="D2116" s="123">
        <f>'OPEN FOREIGN ORDER'!AA1742</f>
        <v>0</v>
      </c>
      <c r="E2116" s="112">
        <f>'OPEN FOREIGN ORDER'!AB1742</f>
        <v>0</v>
      </c>
      <c r="F2116" s="112">
        <f>'OPEN FOREIGN ORDER'!AC1742</f>
        <v>0</v>
      </c>
      <c r="G2116" s="112">
        <f>'OPEN FOREIGN ORDER'!AD1742</f>
        <v>0</v>
      </c>
      <c r="H2116" s="112">
        <f>'OPEN FOREIGN ORDER'!AE1742</f>
        <v>0</v>
      </c>
      <c r="I2116" s="112">
        <f>'OPEN FOREIGN ORDER'!AF1742</f>
        <v>0</v>
      </c>
      <c r="J2116" s="112">
        <f>'OPEN FOREIGN ORDER'!AG1742</f>
        <v>0</v>
      </c>
    </row>
    <row r="2117" spans="1:10">
      <c r="A2117">
        <f>'OPEN FOREIGN ORDER'!D1743</f>
        <v>0</v>
      </c>
      <c r="B2117">
        <f>'OPEN FOREIGN ORDER'!F1743</f>
        <v>0</v>
      </c>
      <c r="C2117">
        <f>'OPEN FOREIGN ORDER'!Z1743</f>
        <v>0</v>
      </c>
      <c r="D2117" s="123">
        <f>'OPEN FOREIGN ORDER'!AA1743</f>
        <v>0</v>
      </c>
      <c r="E2117" s="112">
        <f>'OPEN FOREIGN ORDER'!AB1743</f>
        <v>0</v>
      </c>
      <c r="F2117" s="112">
        <f>'OPEN FOREIGN ORDER'!AC1743</f>
        <v>0</v>
      </c>
      <c r="G2117" s="112">
        <f>'OPEN FOREIGN ORDER'!AD1743</f>
        <v>0</v>
      </c>
      <c r="H2117" s="112">
        <f>'OPEN FOREIGN ORDER'!AE1743</f>
        <v>0</v>
      </c>
      <c r="I2117" s="112">
        <f>'OPEN FOREIGN ORDER'!AF1743</f>
        <v>0</v>
      </c>
      <c r="J2117" s="112">
        <f>'OPEN FOREIGN ORDER'!AG1743</f>
        <v>0</v>
      </c>
    </row>
    <row r="2118" spans="1:10">
      <c r="A2118">
        <f>'OPEN FOREIGN ORDER'!D1744</f>
        <v>0</v>
      </c>
      <c r="B2118">
        <f>'OPEN FOREIGN ORDER'!F1744</f>
        <v>0</v>
      </c>
      <c r="C2118">
        <f>'OPEN FOREIGN ORDER'!Z1744</f>
        <v>0</v>
      </c>
      <c r="D2118" s="123">
        <f>'OPEN FOREIGN ORDER'!AA1744</f>
        <v>0</v>
      </c>
      <c r="E2118" s="112">
        <f>'OPEN FOREIGN ORDER'!AB1744</f>
        <v>0</v>
      </c>
      <c r="F2118" s="112">
        <f>'OPEN FOREIGN ORDER'!AC1744</f>
        <v>0</v>
      </c>
      <c r="G2118" s="112">
        <f>'OPEN FOREIGN ORDER'!AD1744</f>
        <v>0</v>
      </c>
      <c r="H2118" s="112">
        <f>'OPEN FOREIGN ORDER'!AE1744</f>
        <v>0</v>
      </c>
      <c r="I2118" s="112">
        <f>'OPEN FOREIGN ORDER'!AF1744</f>
        <v>0</v>
      </c>
      <c r="J2118" s="112">
        <f>'OPEN FOREIGN ORDER'!AG1744</f>
        <v>0</v>
      </c>
    </row>
    <row r="2119" spans="1:10">
      <c r="A2119">
        <f>'OPEN FOREIGN ORDER'!D1745</f>
        <v>0</v>
      </c>
      <c r="B2119">
        <f>'OPEN FOREIGN ORDER'!F1745</f>
        <v>0</v>
      </c>
      <c r="C2119">
        <f>'OPEN FOREIGN ORDER'!Z1745</f>
        <v>0</v>
      </c>
      <c r="D2119" s="123">
        <f>'OPEN FOREIGN ORDER'!AA1745</f>
        <v>0</v>
      </c>
      <c r="E2119" s="112">
        <f>'OPEN FOREIGN ORDER'!AB1745</f>
        <v>0</v>
      </c>
      <c r="F2119" s="112">
        <f>'OPEN FOREIGN ORDER'!AC1745</f>
        <v>0</v>
      </c>
      <c r="G2119" s="112">
        <f>'OPEN FOREIGN ORDER'!AD1745</f>
        <v>0</v>
      </c>
      <c r="H2119" s="112">
        <f>'OPEN FOREIGN ORDER'!AE1745</f>
        <v>0</v>
      </c>
      <c r="I2119" s="112">
        <f>'OPEN FOREIGN ORDER'!AF1745</f>
        <v>0</v>
      </c>
      <c r="J2119" s="112">
        <f>'OPEN FOREIGN ORDER'!AG1745</f>
        <v>0</v>
      </c>
    </row>
    <row r="2120" spans="1:10">
      <c r="A2120">
        <f>'OPEN FOREIGN ORDER'!D1746</f>
        <v>0</v>
      </c>
      <c r="B2120">
        <f>'OPEN FOREIGN ORDER'!F1746</f>
        <v>0</v>
      </c>
      <c r="C2120">
        <f>'OPEN FOREIGN ORDER'!Z1746</f>
        <v>0</v>
      </c>
      <c r="D2120" s="123">
        <f>'OPEN FOREIGN ORDER'!AA1746</f>
        <v>0</v>
      </c>
      <c r="E2120" s="112">
        <f>'OPEN FOREIGN ORDER'!AB1746</f>
        <v>0</v>
      </c>
      <c r="F2120" s="112">
        <f>'OPEN FOREIGN ORDER'!AC1746</f>
        <v>0</v>
      </c>
      <c r="G2120" s="112">
        <f>'OPEN FOREIGN ORDER'!AD1746</f>
        <v>0</v>
      </c>
      <c r="H2120" s="112">
        <f>'OPEN FOREIGN ORDER'!AE1746</f>
        <v>0</v>
      </c>
      <c r="I2120" s="112">
        <f>'OPEN FOREIGN ORDER'!AF1746</f>
        <v>0</v>
      </c>
      <c r="J2120" s="112">
        <f>'OPEN FOREIGN ORDER'!AG1746</f>
        <v>0</v>
      </c>
    </row>
    <row r="2121" spans="1:10">
      <c r="A2121">
        <f>'OPEN FOREIGN ORDER'!D1747</f>
        <v>0</v>
      </c>
      <c r="B2121">
        <f>'OPEN FOREIGN ORDER'!F1747</f>
        <v>0</v>
      </c>
      <c r="C2121">
        <f>'OPEN FOREIGN ORDER'!Z1747</f>
        <v>0</v>
      </c>
      <c r="D2121" s="123">
        <f>'OPEN FOREIGN ORDER'!AA1747</f>
        <v>0</v>
      </c>
      <c r="E2121" s="112">
        <f>'OPEN FOREIGN ORDER'!AB1747</f>
        <v>0</v>
      </c>
      <c r="F2121" s="112">
        <f>'OPEN FOREIGN ORDER'!AC1747</f>
        <v>0</v>
      </c>
      <c r="G2121" s="112">
        <f>'OPEN FOREIGN ORDER'!AD1747</f>
        <v>0</v>
      </c>
      <c r="H2121" s="112">
        <f>'OPEN FOREIGN ORDER'!AE1747</f>
        <v>0</v>
      </c>
      <c r="I2121" s="112">
        <f>'OPEN FOREIGN ORDER'!AF1747</f>
        <v>0</v>
      </c>
      <c r="J2121" s="112">
        <f>'OPEN FOREIGN ORDER'!AG1747</f>
        <v>0</v>
      </c>
    </row>
    <row r="2122" spans="1:10">
      <c r="A2122">
        <f>'OPEN FOREIGN ORDER'!D1748</f>
        <v>0</v>
      </c>
      <c r="B2122">
        <f>'OPEN FOREIGN ORDER'!F1748</f>
        <v>0</v>
      </c>
      <c r="C2122">
        <f>'OPEN FOREIGN ORDER'!Z1748</f>
        <v>0</v>
      </c>
      <c r="D2122" s="123">
        <f>'OPEN FOREIGN ORDER'!AA1748</f>
        <v>0</v>
      </c>
      <c r="E2122" s="112">
        <f>'OPEN FOREIGN ORDER'!AB1748</f>
        <v>0</v>
      </c>
      <c r="F2122" s="112">
        <f>'OPEN FOREIGN ORDER'!AC1748</f>
        <v>0</v>
      </c>
      <c r="G2122" s="112">
        <f>'OPEN FOREIGN ORDER'!AD1748</f>
        <v>0</v>
      </c>
      <c r="H2122" s="112">
        <f>'OPEN FOREIGN ORDER'!AE1748</f>
        <v>0</v>
      </c>
      <c r="I2122" s="112">
        <f>'OPEN FOREIGN ORDER'!AF1748</f>
        <v>0</v>
      </c>
      <c r="J2122" s="112">
        <f>'OPEN FOREIGN ORDER'!AG1748</f>
        <v>0</v>
      </c>
    </row>
    <row r="2123" spans="1:10">
      <c r="A2123">
        <f>'OPEN FOREIGN ORDER'!D1749</f>
        <v>0</v>
      </c>
      <c r="B2123">
        <f>'OPEN FOREIGN ORDER'!F1749</f>
        <v>0</v>
      </c>
      <c r="C2123">
        <f>'OPEN FOREIGN ORDER'!Z1749</f>
        <v>0</v>
      </c>
      <c r="D2123" s="123">
        <f>'OPEN FOREIGN ORDER'!AA1749</f>
        <v>0</v>
      </c>
      <c r="E2123" s="112">
        <f>'OPEN FOREIGN ORDER'!AB1749</f>
        <v>0</v>
      </c>
      <c r="F2123" s="112">
        <f>'OPEN FOREIGN ORDER'!AC1749</f>
        <v>0</v>
      </c>
      <c r="G2123" s="112">
        <f>'OPEN FOREIGN ORDER'!AD1749</f>
        <v>0</v>
      </c>
      <c r="H2123" s="112">
        <f>'OPEN FOREIGN ORDER'!AE1749</f>
        <v>0</v>
      </c>
      <c r="I2123" s="112">
        <f>'OPEN FOREIGN ORDER'!AF1749</f>
        <v>0</v>
      </c>
      <c r="J2123" s="112">
        <f>'OPEN FOREIGN ORDER'!AG1749</f>
        <v>0</v>
      </c>
    </row>
    <row r="2124" spans="1:10">
      <c r="A2124">
        <f>'OPEN FOREIGN ORDER'!D1750</f>
        <v>0</v>
      </c>
      <c r="B2124">
        <f>'OPEN FOREIGN ORDER'!F1750</f>
        <v>0</v>
      </c>
      <c r="C2124">
        <f>'OPEN FOREIGN ORDER'!Z1750</f>
        <v>0</v>
      </c>
      <c r="D2124" s="123">
        <f>'OPEN FOREIGN ORDER'!AA1750</f>
        <v>0</v>
      </c>
      <c r="E2124" s="112">
        <f>'OPEN FOREIGN ORDER'!AB1750</f>
        <v>0</v>
      </c>
      <c r="F2124" s="112">
        <f>'OPEN FOREIGN ORDER'!AC1750</f>
        <v>0</v>
      </c>
      <c r="G2124" s="112">
        <f>'OPEN FOREIGN ORDER'!AD1750</f>
        <v>0</v>
      </c>
      <c r="H2124" s="112">
        <f>'OPEN FOREIGN ORDER'!AE1750</f>
        <v>0</v>
      </c>
      <c r="I2124" s="112">
        <f>'OPEN FOREIGN ORDER'!AF1750</f>
        <v>0</v>
      </c>
      <c r="J2124" s="112">
        <f>'OPEN FOREIGN ORDER'!AG1750</f>
        <v>0</v>
      </c>
    </row>
    <row r="2125" spans="1:10">
      <c r="A2125">
        <f>'OPEN FOREIGN ORDER'!D1751</f>
        <v>0</v>
      </c>
      <c r="B2125">
        <f>'OPEN FOREIGN ORDER'!F1751</f>
        <v>0</v>
      </c>
      <c r="C2125">
        <f>'OPEN FOREIGN ORDER'!Z1751</f>
        <v>0</v>
      </c>
      <c r="D2125" s="123">
        <f>'OPEN FOREIGN ORDER'!AA1751</f>
        <v>0</v>
      </c>
      <c r="E2125" s="112">
        <f>'OPEN FOREIGN ORDER'!AB1751</f>
        <v>0</v>
      </c>
      <c r="F2125" s="112">
        <f>'OPEN FOREIGN ORDER'!AC1751</f>
        <v>0</v>
      </c>
      <c r="G2125" s="112">
        <f>'OPEN FOREIGN ORDER'!AD1751</f>
        <v>0</v>
      </c>
      <c r="H2125" s="112">
        <f>'OPEN FOREIGN ORDER'!AE1751</f>
        <v>0</v>
      </c>
      <c r="I2125" s="112">
        <f>'OPEN FOREIGN ORDER'!AF1751</f>
        <v>0</v>
      </c>
      <c r="J2125" s="112">
        <f>'OPEN FOREIGN ORDER'!AG1751</f>
        <v>0</v>
      </c>
    </row>
    <row r="2126" spans="1:10">
      <c r="A2126">
        <f>'OPEN FOREIGN ORDER'!D1752</f>
        <v>0</v>
      </c>
      <c r="B2126">
        <f>'OPEN FOREIGN ORDER'!F1752</f>
        <v>0</v>
      </c>
      <c r="C2126">
        <f>'OPEN FOREIGN ORDER'!Z1752</f>
        <v>0</v>
      </c>
      <c r="D2126" s="123">
        <f>'OPEN FOREIGN ORDER'!AA1752</f>
        <v>0</v>
      </c>
      <c r="E2126" s="112">
        <f>'OPEN FOREIGN ORDER'!AB1752</f>
        <v>0</v>
      </c>
      <c r="F2126" s="112">
        <f>'OPEN FOREIGN ORDER'!AC1752</f>
        <v>0</v>
      </c>
      <c r="G2126" s="112">
        <f>'OPEN FOREIGN ORDER'!AD1752</f>
        <v>0</v>
      </c>
      <c r="H2126" s="112">
        <f>'OPEN FOREIGN ORDER'!AE1752</f>
        <v>0</v>
      </c>
      <c r="I2126" s="112">
        <f>'OPEN FOREIGN ORDER'!AF1752</f>
        <v>0</v>
      </c>
      <c r="J2126" s="112">
        <f>'OPEN FOREIGN ORDER'!AG1752</f>
        <v>0</v>
      </c>
    </row>
    <row r="2127" spans="1:10">
      <c r="A2127">
        <f>'OPEN FOREIGN ORDER'!D1753</f>
        <v>0</v>
      </c>
      <c r="B2127">
        <f>'OPEN FOREIGN ORDER'!F1753</f>
        <v>0</v>
      </c>
      <c r="C2127">
        <f>'OPEN FOREIGN ORDER'!Z1753</f>
        <v>0</v>
      </c>
      <c r="D2127" s="123">
        <f>'OPEN FOREIGN ORDER'!AA1753</f>
        <v>0</v>
      </c>
      <c r="E2127" s="112">
        <f>'OPEN FOREIGN ORDER'!AB1753</f>
        <v>0</v>
      </c>
      <c r="F2127" s="112">
        <f>'OPEN FOREIGN ORDER'!AC1753</f>
        <v>0</v>
      </c>
      <c r="G2127" s="112">
        <f>'OPEN FOREIGN ORDER'!AD1753</f>
        <v>0</v>
      </c>
      <c r="H2127" s="112">
        <f>'OPEN FOREIGN ORDER'!AE1753</f>
        <v>0</v>
      </c>
      <c r="I2127" s="112">
        <f>'OPEN FOREIGN ORDER'!AF1753</f>
        <v>0</v>
      </c>
      <c r="J2127" s="112">
        <f>'OPEN FOREIGN ORDER'!AG1753</f>
        <v>0</v>
      </c>
    </row>
    <row r="2128" spans="1:10">
      <c r="A2128">
        <f>'OPEN FOREIGN ORDER'!D1754</f>
        <v>0</v>
      </c>
      <c r="B2128">
        <f>'OPEN FOREIGN ORDER'!F1754</f>
        <v>0</v>
      </c>
      <c r="C2128">
        <f>'OPEN FOREIGN ORDER'!Z1754</f>
        <v>0</v>
      </c>
      <c r="D2128" s="123">
        <f>'OPEN FOREIGN ORDER'!AA1754</f>
        <v>0</v>
      </c>
      <c r="E2128" s="112">
        <f>'OPEN FOREIGN ORDER'!AB1754</f>
        <v>0</v>
      </c>
      <c r="F2128" s="112">
        <f>'OPEN FOREIGN ORDER'!AC1754</f>
        <v>0</v>
      </c>
      <c r="G2128" s="112">
        <f>'OPEN FOREIGN ORDER'!AD1754</f>
        <v>0</v>
      </c>
      <c r="H2128" s="112">
        <f>'OPEN FOREIGN ORDER'!AE1754</f>
        <v>0</v>
      </c>
      <c r="I2128" s="112">
        <f>'OPEN FOREIGN ORDER'!AF1754</f>
        <v>0</v>
      </c>
      <c r="J2128" s="112">
        <f>'OPEN FOREIGN ORDER'!AG1754</f>
        <v>0</v>
      </c>
    </row>
    <row r="2129" spans="1:10">
      <c r="A2129">
        <f>'OPEN FOREIGN ORDER'!D1755</f>
        <v>0</v>
      </c>
      <c r="B2129">
        <f>'OPEN FOREIGN ORDER'!F1755</f>
        <v>0</v>
      </c>
      <c r="C2129">
        <f>'OPEN FOREIGN ORDER'!Z1755</f>
        <v>0</v>
      </c>
      <c r="D2129" s="123">
        <f>'OPEN FOREIGN ORDER'!AA1755</f>
        <v>0</v>
      </c>
      <c r="E2129" s="112">
        <f>'OPEN FOREIGN ORDER'!AB1755</f>
        <v>0</v>
      </c>
      <c r="F2129" s="112">
        <f>'OPEN FOREIGN ORDER'!AC1755</f>
        <v>0</v>
      </c>
      <c r="G2129" s="112">
        <f>'OPEN FOREIGN ORDER'!AD1755</f>
        <v>0</v>
      </c>
      <c r="H2129" s="112">
        <f>'OPEN FOREIGN ORDER'!AE1755</f>
        <v>0</v>
      </c>
      <c r="I2129" s="112">
        <f>'OPEN FOREIGN ORDER'!AF1755</f>
        <v>0</v>
      </c>
      <c r="J2129" s="112">
        <f>'OPEN FOREIGN ORDER'!AG1755</f>
        <v>0</v>
      </c>
    </row>
    <row r="2130" spans="1:10">
      <c r="A2130">
        <f>'OPEN FOREIGN ORDER'!D1756</f>
        <v>0</v>
      </c>
      <c r="B2130">
        <f>'OPEN FOREIGN ORDER'!F1756</f>
        <v>0</v>
      </c>
      <c r="C2130">
        <f>'OPEN FOREIGN ORDER'!Z1756</f>
        <v>0</v>
      </c>
      <c r="D2130" s="123">
        <f>'OPEN FOREIGN ORDER'!AA1756</f>
        <v>0</v>
      </c>
      <c r="E2130" s="112">
        <f>'OPEN FOREIGN ORDER'!AB1756</f>
        <v>0</v>
      </c>
      <c r="F2130" s="112">
        <f>'OPEN FOREIGN ORDER'!AC1756</f>
        <v>0</v>
      </c>
      <c r="G2130" s="112">
        <f>'OPEN FOREIGN ORDER'!AD1756</f>
        <v>0</v>
      </c>
      <c r="H2130" s="112">
        <f>'OPEN FOREIGN ORDER'!AE1756</f>
        <v>0</v>
      </c>
      <c r="I2130" s="112">
        <f>'OPEN FOREIGN ORDER'!AF1756</f>
        <v>0</v>
      </c>
      <c r="J2130" s="112">
        <f>'OPEN FOREIGN ORDER'!AG1756</f>
        <v>0</v>
      </c>
    </row>
    <row r="2131" spans="1:10">
      <c r="A2131">
        <f>'OPEN FOREIGN ORDER'!D1757</f>
        <v>0</v>
      </c>
      <c r="B2131">
        <f>'OPEN FOREIGN ORDER'!F1757</f>
        <v>0</v>
      </c>
      <c r="C2131">
        <f>'OPEN FOREIGN ORDER'!Z1757</f>
        <v>0</v>
      </c>
      <c r="D2131" s="123">
        <f>'OPEN FOREIGN ORDER'!AA1757</f>
        <v>0</v>
      </c>
      <c r="E2131" s="112">
        <f>'OPEN FOREIGN ORDER'!AB1757</f>
        <v>0</v>
      </c>
      <c r="F2131" s="112">
        <f>'OPEN FOREIGN ORDER'!AC1757</f>
        <v>0</v>
      </c>
      <c r="G2131" s="112">
        <f>'OPEN FOREIGN ORDER'!AD1757</f>
        <v>0</v>
      </c>
      <c r="H2131" s="112">
        <f>'OPEN FOREIGN ORDER'!AE1757</f>
        <v>0</v>
      </c>
      <c r="I2131" s="112">
        <f>'OPEN FOREIGN ORDER'!AF1757</f>
        <v>0</v>
      </c>
      <c r="J2131" s="112">
        <f>'OPEN FOREIGN ORDER'!AG1757</f>
        <v>0</v>
      </c>
    </row>
    <row r="2132" spans="1:10">
      <c r="A2132">
        <f>'OPEN FOREIGN ORDER'!D1758</f>
        <v>0</v>
      </c>
      <c r="B2132">
        <f>'OPEN FOREIGN ORDER'!F1758</f>
        <v>0</v>
      </c>
      <c r="C2132">
        <f>'OPEN FOREIGN ORDER'!Z1758</f>
        <v>0</v>
      </c>
      <c r="D2132" s="123">
        <f>'OPEN FOREIGN ORDER'!AA1758</f>
        <v>0</v>
      </c>
      <c r="E2132" s="112">
        <f>'OPEN FOREIGN ORDER'!AB1758</f>
        <v>0</v>
      </c>
      <c r="F2132" s="112">
        <f>'OPEN FOREIGN ORDER'!AC1758</f>
        <v>0</v>
      </c>
      <c r="G2132" s="112">
        <f>'OPEN FOREIGN ORDER'!AD1758</f>
        <v>0</v>
      </c>
      <c r="H2132" s="112">
        <f>'OPEN FOREIGN ORDER'!AE1758</f>
        <v>0</v>
      </c>
      <c r="I2132" s="112">
        <f>'OPEN FOREIGN ORDER'!AF1758</f>
        <v>0</v>
      </c>
      <c r="J2132" s="112">
        <f>'OPEN FOREIGN ORDER'!AG1758</f>
        <v>0</v>
      </c>
    </row>
    <row r="2133" spans="1:10">
      <c r="A2133">
        <f>'OPEN FOREIGN ORDER'!D1759</f>
        <v>0</v>
      </c>
      <c r="B2133">
        <f>'OPEN FOREIGN ORDER'!F1759</f>
        <v>0</v>
      </c>
      <c r="C2133">
        <f>'OPEN FOREIGN ORDER'!Z1759</f>
        <v>0</v>
      </c>
      <c r="D2133" s="123">
        <f>'OPEN FOREIGN ORDER'!AA1759</f>
        <v>0</v>
      </c>
      <c r="E2133" s="112">
        <f>'OPEN FOREIGN ORDER'!AB1759</f>
        <v>0</v>
      </c>
      <c r="F2133" s="112">
        <f>'OPEN FOREIGN ORDER'!AC1759</f>
        <v>0</v>
      </c>
      <c r="G2133" s="112">
        <f>'OPEN FOREIGN ORDER'!AD1759</f>
        <v>0</v>
      </c>
      <c r="H2133" s="112">
        <f>'OPEN FOREIGN ORDER'!AE1759</f>
        <v>0</v>
      </c>
      <c r="I2133" s="112">
        <f>'OPEN FOREIGN ORDER'!AF1759</f>
        <v>0</v>
      </c>
      <c r="J2133" s="112">
        <f>'OPEN FOREIGN ORDER'!AG1759</f>
        <v>0</v>
      </c>
    </row>
    <row r="2134" spans="1:10">
      <c r="A2134">
        <f>'OPEN FOREIGN ORDER'!D1760</f>
        <v>0</v>
      </c>
      <c r="B2134">
        <f>'OPEN FOREIGN ORDER'!F1760</f>
        <v>0</v>
      </c>
      <c r="C2134">
        <f>'OPEN FOREIGN ORDER'!Z1760</f>
        <v>0</v>
      </c>
      <c r="D2134" s="123">
        <f>'OPEN FOREIGN ORDER'!AA1760</f>
        <v>0</v>
      </c>
      <c r="E2134" s="112">
        <f>'OPEN FOREIGN ORDER'!AB1760</f>
        <v>0</v>
      </c>
      <c r="F2134" s="112">
        <f>'OPEN FOREIGN ORDER'!AC1760</f>
        <v>0</v>
      </c>
      <c r="G2134" s="112">
        <f>'OPEN FOREIGN ORDER'!AD1760</f>
        <v>0</v>
      </c>
      <c r="H2134" s="112">
        <f>'OPEN FOREIGN ORDER'!AE1760</f>
        <v>0</v>
      </c>
      <c r="I2134" s="112">
        <f>'OPEN FOREIGN ORDER'!AF1760</f>
        <v>0</v>
      </c>
      <c r="J2134" s="112">
        <f>'OPEN FOREIGN ORDER'!AG1760</f>
        <v>0</v>
      </c>
    </row>
    <row r="2135" spans="1:10">
      <c r="A2135">
        <f>'OPEN FOREIGN ORDER'!D1761</f>
        <v>0</v>
      </c>
      <c r="B2135">
        <f>'OPEN FOREIGN ORDER'!F1761</f>
        <v>0</v>
      </c>
      <c r="C2135">
        <f>'OPEN FOREIGN ORDER'!Z1761</f>
        <v>0</v>
      </c>
      <c r="D2135" s="123">
        <f>'OPEN FOREIGN ORDER'!AA1761</f>
        <v>0</v>
      </c>
      <c r="E2135" s="112">
        <f>'OPEN FOREIGN ORDER'!AB1761</f>
        <v>0</v>
      </c>
      <c r="F2135" s="112">
        <f>'OPEN FOREIGN ORDER'!AC1761</f>
        <v>0</v>
      </c>
      <c r="G2135" s="112">
        <f>'OPEN FOREIGN ORDER'!AD1761</f>
        <v>0</v>
      </c>
      <c r="H2135" s="112">
        <f>'OPEN FOREIGN ORDER'!AE1761</f>
        <v>0</v>
      </c>
      <c r="I2135" s="112">
        <f>'OPEN FOREIGN ORDER'!AF1761</f>
        <v>0</v>
      </c>
      <c r="J2135" s="112">
        <f>'OPEN FOREIGN ORDER'!AG1761</f>
        <v>0</v>
      </c>
    </row>
    <row r="2136" spans="1:10">
      <c r="A2136">
        <f>'OPEN FOREIGN ORDER'!D1762</f>
        <v>0</v>
      </c>
      <c r="B2136">
        <f>'OPEN FOREIGN ORDER'!F1762</f>
        <v>0</v>
      </c>
      <c r="C2136">
        <f>'OPEN FOREIGN ORDER'!Z1762</f>
        <v>0</v>
      </c>
      <c r="D2136" s="123">
        <f>'OPEN FOREIGN ORDER'!AA1762</f>
        <v>0</v>
      </c>
      <c r="E2136" s="112">
        <f>'OPEN FOREIGN ORDER'!AB1762</f>
        <v>0</v>
      </c>
      <c r="F2136" s="112">
        <f>'OPEN FOREIGN ORDER'!AC1762</f>
        <v>0</v>
      </c>
      <c r="G2136" s="112">
        <f>'OPEN FOREIGN ORDER'!AD1762</f>
        <v>0</v>
      </c>
      <c r="H2136" s="112">
        <f>'OPEN FOREIGN ORDER'!AE1762</f>
        <v>0</v>
      </c>
      <c r="I2136" s="112">
        <f>'OPEN FOREIGN ORDER'!AF1762</f>
        <v>0</v>
      </c>
      <c r="J2136" s="112">
        <f>'OPEN FOREIGN ORDER'!AG1762</f>
        <v>0</v>
      </c>
    </row>
    <row r="2137" spans="1:10">
      <c r="A2137">
        <f>'OPEN FOREIGN ORDER'!D1763</f>
        <v>0</v>
      </c>
      <c r="B2137">
        <f>'OPEN FOREIGN ORDER'!F1763</f>
        <v>0</v>
      </c>
      <c r="C2137">
        <f>'OPEN FOREIGN ORDER'!Z1763</f>
        <v>0</v>
      </c>
      <c r="D2137" s="123">
        <f>'OPEN FOREIGN ORDER'!AA1763</f>
        <v>0</v>
      </c>
      <c r="E2137" s="112">
        <f>'OPEN FOREIGN ORDER'!AB1763</f>
        <v>0</v>
      </c>
      <c r="F2137" s="112">
        <f>'OPEN FOREIGN ORDER'!AC1763</f>
        <v>0</v>
      </c>
      <c r="G2137" s="112">
        <f>'OPEN FOREIGN ORDER'!AD1763</f>
        <v>0</v>
      </c>
      <c r="H2137" s="112">
        <f>'OPEN FOREIGN ORDER'!AE1763</f>
        <v>0</v>
      </c>
      <c r="I2137" s="112">
        <f>'OPEN FOREIGN ORDER'!AF1763</f>
        <v>0</v>
      </c>
      <c r="J2137" s="112">
        <f>'OPEN FOREIGN ORDER'!AG1763</f>
        <v>0</v>
      </c>
    </row>
    <row r="2138" spans="1:10">
      <c r="A2138">
        <f>'OPEN FOREIGN ORDER'!D1764</f>
        <v>0</v>
      </c>
      <c r="B2138">
        <f>'OPEN FOREIGN ORDER'!F1764</f>
        <v>0</v>
      </c>
      <c r="C2138">
        <f>'OPEN FOREIGN ORDER'!Z1764</f>
        <v>0</v>
      </c>
      <c r="D2138" s="123">
        <f>'OPEN FOREIGN ORDER'!AA1764</f>
        <v>0</v>
      </c>
      <c r="E2138" s="112">
        <f>'OPEN FOREIGN ORDER'!AB1764</f>
        <v>0</v>
      </c>
      <c r="F2138" s="112">
        <f>'OPEN FOREIGN ORDER'!AC1764</f>
        <v>0</v>
      </c>
      <c r="G2138" s="112">
        <f>'OPEN FOREIGN ORDER'!AD1764</f>
        <v>0</v>
      </c>
      <c r="H2138" s="112">
        <f>'OPEN FOREIGN ORDER'!AE1764</f>
        <v>0</v>
      </c>
      <c r="I2138" s="112">
        <f>'OPEN FOREIGN ORDER'!AF1764</f>
        <v>0</v>
      </c>
      <c r="J2138" s="112">
        <f>'OPEN FOREIGN ORDER'!AG1764</f>
        <v>0</v>
      </c>
    </row>
    <row r="2139" spans="1:10">
      <c r="A2139">
        <f>'OPEN FOREIGN ORDER'!D1765</f>
        <v>0</v>
      </c>
      <c r="B2139">
        <f>'OPEN FOREIGN ORDER'!F1765</f>
        <v>0</v>
      </c>
      <c r="C2139">
        <f>'OPEN FOREIGN ORDER'!Z1765</f>
        <v>0</v>
      </c>
      <c r="D2139" s="123">
        <f>'OPEN FOREIGN ORDER'!AA1765</f>
        <v>0</v>
      </c>
      <c r="E2139" s="112">
        <f>'OPEN FOREIGN ORDER'!AB1765</f>
        <v>0</v>
      </c>
      <c r="F2139" s="112">
        <f>'OPEN FOREIGN ORDER'!AC1765</f>
        <v>0</v>
      </c>
      <c r="G2139" s="112">
        <f>'OPEN FOREIGN ORDER'!AD1765</f>
        <v>0</v>
      </c>
      <c r="H2139" s="112">
        <f>'OPEN FOREIGN ORDER'!AE1765</f>
        <v>0</v>
      </c>
      <c r="I2139" s="112">
        <f>'OPEN FOREIGN ORDER'!AF1765</f>
        <v>0</v>
      </c>
      <c r="J2139" s="112">
        <f>'OPEN FOREIGN ORDER'!AG1765</f>
        <v>0</v>
      </c>
    </row>
    <row r="2140" spans="1:10">
      <c r="A2140">
        <f>'OPEN FOREIGN ORDER'!D1766</f>
        <v>0</v>
      </c>
      <c r="B2140">
        <f>'OPEN FOREIGN ORDER'!F1766</f>
        <v>0</v>
      </c>
      <c r="C2140">
        <f>'OPEN FOREIGN ORDER'!Z1766</f>
        <v>0</v>
      </c>
      <c r="D2140" s="123">
        <f>'OPEN FOREIGN ORDER'!AA1766</f>
        <v>0</v>
      </c>
      <c r="E2140" s="112">
        <f>'OPEN FOREIGN ORDER'!AB1766</f>
        <v>0</v>
      </c>
      <c r="F2140" s="112">
        <f>'OPEN FOREIGN ORDER'!AC1766</f>
        <v>0</v>
      </c>
      <c r="G2140" s="112">
        <f>'OPEN FOREIGN ORDER'!AD1766</f>
        <v>0</v>
      </c>
      <c r="H2140" s="112">
        <f>'OPEN FOREIGN ORDER'!AE1766</f>
        <v>0</v>
      </c>
      <c r="I2140" s="112">
        <f>'OPEN FOREIGN ORDER'!AF1766</f>
        <v>0</v>
      </c>
      <c r="J2140" s="112">
        <f>'OPEN FOREIGN ORDER'!AG1766</f>
        <v>0</v>
      </c>
    </row>
    <row r="2141" spans="1:10">
      <c r="A2141">
        <f>'OPEN FOREIGN ORDER'!D1767</f>
        <v>0</v>
      </c>
      <c r="B2141">
        <f>'OPEN FOREIGN ORDER'!F1767</f>
        <v>0</v>
      </c>
      <c r="C2141">
        <f>'OPEN FOREIGN ORDER'!Z1767</f>
        <v>0</v>
      </c>
      <c r="D2141" s="123">
        <f>'OPEN FOREIGN ORDER'!AA1767</f>
        <v>0</v>
      </c>
      <c r="E2141" s="112">
        <f>'OPEN FOREIGN ORDER'!AB1767</f>
        <v>0</v>
      </c>
      <c r="F2141" s="112">
        <f>'OPEN FOREIGN ORDER'!AC1767</f>
        <v>0</v>
      </c>
      <c r="G2141" s="112">
        <f>'OPEN FOREIGN ORDER'!AD1767</f>
        <v>0</v>
      </c>
      <c r="H2141" s="112">
        <f>'OPEN FOREIGN ORDER'!AE1767</f>
        <v>0</v>
      </c>
      <c r="I2141" s="112">
        <f>'OPEN FOREIGN ORDER'!AF1767</f>
        <v>0</v>
      </c>
      <c r="J2141" s="112">
        <f>'OPEN FOREIGN ORDER'!AG1767</f>
        <v>0</v>
      </c>
    </row>
    <row r="2142" spans="1:10">
      <c r="A2142">
        <f>'OPEN FOREIGN ORDER'!D1768</f>
        <v>0</v>
      </c>
      <c r="B2142">
        <f>'OPEN FOREIGN ORDER'!F1768</f>
        <v>0</v>
      </c>
      <c r="C2142">
        <f>'OPEN FOREIGN ORDER'!Z1768</f>
        <v>0</v>
      </c>
      <c r="D2142" s="123">
        <f>'OPEN FOREIGN ORDER'!AA1768</f>
        <v>0</v>
      </c>
      <c r="E2142" s="112">
        <f>'OPEN FOREIGN ORDER'!AB1768</f>
        <v>0</v>
      </c>
      <c r="F2142" s="112">
        <f>'OPEN FOREIGN ORDER'!AC1768</f>
        <v>0</v>
      </c>
      <c r="G2142" s="112">
        <f>'OPEN FOREIGN ORDER'!AD1768</f>
        <v>0</v>
      </c>
      <c r="H2142" s="112">
        <f>'OPEN FOREIGN ORDER'!AE1768</f>
        <v>0</v>
      </c>
      <c r="I2142" s="112">
        <f>'OPEN FOREIGN ORDER'!AF1768</f>
        <v>0</v>
      </c>
      <c r="J2142" s="112">
        <f>'OPEN FOREIGN ORDER'!AG1768</f>
        <v>0</v>
      </c>
    </row>
    <row r="2143" spans="1:10">
      <c r="A2143">
        <f>'OPEN FOREIGN ORDER'!D1769</f>
        <v>0</v>
      </c>
      <c r="B2143">
        <f>'OPEN FOREIGN ORDER'!F1769</f>
        <v>0</v>
      </c>
      <c r="C2143">
        <f>'OPEN FOREIGN ORDER'!Z1769</f>
        <v>0</v>
      </c>
      <c r="D2143" s="123">
        <f>'OPEN FOREIGN ORDER'!AA1769</f>
        <v>0</v>
      </c>
      <c r="E2143" s="112">
        <f>'OPEN FOREIGN ORDER'!AB1769</f>
        <v>0</v>
      </c>
      <c r="F2143" s="112">
        <f>'OPEN FOREIGN ORDER'!AC1769</f>
        <v>0</v>
      </c>
      <c r="G2143" s="112">
        <f>'OPEN FOREIGN ORDER'!AD1769</f>
        <v>0</v>
      </c>
      <c r="H2143" s="112">
        <f>'OPEN FOREIGN ORDER'!AE1769</f>
        <v>0</v>
      </c>
      <c r="I2143" s="112">
        <f>'OPEN FOREIGN ORDER'!AF1769</f>
        <v>0</v>
      </c>
      <c r="J2143" s="112">
        <f>'OPEN FOREIGN ORDER'!AG1769</f>
        <v>0</v>
      </c>
    </row>
    <row r="2144" spans="1:10">
      <c r="A2144">
        <f>'OPEN FOREIGN ORDER'!D1770</f>
        <v>0</v>
      </c>
      <c r="B2144">
        <f>'OPEN FOREIGN ORDER'!F1770</f>
        <v>0</v>
      </c>
      <c r="C2144">
        <f>'OPEN FOREIGN ORDER'!Z1770</f>
        <v>0</v>
      </c>
      <c r="D2144" s="123">
        <f>'OPEN FOREIGN ORDER'!AA1770</f>
        <v>0</v>
      </c>
      <c r="E2144" s="112">
        <f>'OPEN FOREIGN ORDER'!AB1770</f>
        <v>0</v>
      </c>
      <c r="F2144" s="112">
        <f>'OPEN FOREIGN ORDER'!AC1770</f>
        <v>0</v>
      </c>
      <c r="G2144" s="112">
        <f>'OPEN FOREIGN ORDER'!AD1770</f>
        <v>0</v>
      </c>
      <c r="H2144" s="112">
        <f>'OPEN FOREIGN ORDER'!AE1770</f>
        <v>0</v>
      </c>
      <c r="I2144" s="112">
        <f>'OPEN FOREIGN ORDER'!AF1770</f>
        <v>0</v>
      </c>
      <c r="J2144" s="112">
        <f>'OPEN FOREIGN ORDER'!AG1770</f>
        <v>0</v>
      </c>
    </row>
    <row r="2145" spans="1:10">
      <c r="A2145">
        <f>'OPEN FOREIGN ORDER'!D1771</f>
        <v>0</v>
      </c>
      <c r="B2145">
        <f>'OPEN FOREIGN ORDER'!F1771</f>
        <v>0</v>
      </c>
      <c r="C2145">
        <f>'OPEN FOREIGN ORDER'!Z1771</f>
        <v>0</v>
      </c>
      <c r="D2145" s="123">
        <f>'OPEN FOREIGN ORDER'!AA1771</f>
        <v>0</v>
      </c>
      <c r="E2145" s="112">
        <f>'OPEN FOREIGN ORDER'!AB1771</f>
        <v>0</v>
      </c>
      <c r="F2145" s="112">
        <f>'OPEN FOREIGN ORDER'!AC1771</f>
        <v>0</v>
      </c>
      <c r="G2145" s="112">
        <f>'OPEN FOREIGN ORDER'!AD1771</f>
        <v>0</v>
      </c>
      <c r="H2145" s="112">
        <f>'OPEN FOREIGN ORDER'!AE1771</f>
        <v>0</v>
      </c>
      <c r="I2145" s="112">
        <f>'OPEN FOREIGN ORDER'!AF1771</f>
        <v>0</v>
      </c>
      <c r="J2145" s="112">
        <f>'OPEN FOREIGN ORDER'!AG1771</f>
        <v>0</v>
      </c>
    </row>
    <row r="2146" spans="1:10">
      <c r="A2146">
        <f>'OPEN FOREIGN ORDER'!D1772</f>
        <v>0</v>
      </c>
      <c r="B2146">
        <f>'OPEN FOREIGN ORDER'!F1772</f>
        <v>0</v>
      </c>
      <c r="C2146">
        <f>'OPEN FOREIGN ORDER'!Z1772</f>
        <v>0</v>
      </c>
      <c r="D2146" s="123">
        <f>'OPEN FOREIGN ORDER'!AA1772</f>
        <v>0</v>
      </c>
      <c r="E2146" s="112">
        <f>'OPEN FOREIGN ORDER'!AB1772</f>
        <v>0</v>
      </c>
      <c r="F2146" s="112">
        <f>'OPEN FOREIGN ORDER'!AC1772</f>
        <v>0</v>
      </c>
      <c r="G2146" s="112">
        <f>'OPEN FOREIGN ORDER'!AD1772</f>
        <v>0</v>
      </c>
      <c r="H2146" s="112">
        <f>'OPEN FOREIGN ORDER'!AE1772</f>
        <v>0</v>
      </c>
      <c r="I2146" s="112">
        <f>'OPEN FOREIGN ORDER'!AF1772</f>
        <v>0</v>
      </c>
      <c r="J2146" s="112">
        <f>'OPEN FOREIGN ORDER'!AG1772</f>
        <v>0</v>
      </c>
    </row>
    <row r="2147" spans="1:10">
      <c r="A2147">
        <f>'OPEN FOREIGN ORDER'!D1773</f>
        <v>0</v>
      </c>
      <c r="B2147">
        <f>'OPEN FOREIGN ORDER'!F1773</f>
        <v>0</v>
      </c>
      <c r="C2147">
        <f>'OPEN FOREIGN ORDER'!Z1773</f>
        <v>0</v>
      </c>
      <c r="D2147" s="123">
        <f>'OPEN FOREIGN ORDER'!AA1773</f>
        <v>0</v>
      </c>
      <c r="E2147" s="112">
        <f>'OPEN FOREIGN ORDER'!AB1773</f>
        <v>0</v>
      </c>
      <c r="F2147" s="112">
        <f>'OPEN FOREIGN ORDER'!AC1773</f>
        <v>0</v>
      </c>
      <c r="G2147" s="112">
        <f>'OPEN FOREIGN ORDER'!AD1773</f>
        <v>0</v>
      </c>
      <c r="H2147" s="112">
        <f>'OPEN FOREIGN ORDER'!AE1773</f>
        <v>0</v>
      </c>
      <c r="I2147" s="112">
        <f>'OPEN FOREIGN ORDER'!AF1773</f>
        <v>0</v>
      </c>
      <c r="J2147" s="112">
        <f>'OPEN FOREIGN ORDER'!AG1773</f>
        <v>0</v>
      </c>
    </row>
    <row r="2148" spans="1:10">
      <c r="A2148">
        <f>'OPEN FOREIGN ORDER'!D1774</f>
        <v>0</v>
      </c>
      <c r="B2148">
        <f>'OPEN FOREIGN ORDER'!F1774</f>
        <v>0</v>
      </c>
      <c r="C2148">
        <f>'OPEN FOREIGN ORDER'!Z1774</f>
        <v>0</v>
      </c>
      <c r="D2148" s="123">
        <f>'OPEN FOREIGN ORDER'!AA1774</f>
        <v>0</v>
      </c>
      <c r="E2148" s="112">
        <f>'OPEN FOREIGN ORDER'!AB1774</f>
        <v>0</v>
      </c>
      <c r="F2148" s="112">
        <f>'OPEN FOREIGN ORDER'!AC1774</f>
        <v>0</v>
      </c>
      <c r="G2148" s="112">
        <f>'OPEN FOREIGN ORDER'!AD1774</f>
        <v>0</v>
      </c>
      <c r="H2148" s="112">
        <f>'OPEN FOREIGN ORDER'!AE1774</f>
        <v>0</v>
      </c>
      <c r="I2148" s="112">
        <f>'OPEN FOREIGN ORDER'!AF1774</f>
        <v>0</v>
      </c>
      <c r="J2148" s="112">
        <f>'OPEN FOREIGN ORDER'!AG1774</f>
        <v>0</v>
      </c>
    </row>
    <row r="2149" spans="1:10">
      <c r="A2149">
        <f>'OPEN FOREIGN ORDER'!D1775</f>
        <v>0</v>
      </c>
      <c r="B2149">
        <f>'OPEN FOREIGN ORDER'!F1775</f>
        <v>0</v>
      </c>
      <c r="C2149">
        <f>'OPEN FOREIGN ORDER'!Z1775</f>
        <v>0</v>
      </c>
      <c r="D2149" s="123">
        <f>'OPEN FOREIGN ORDER'!AA1775</f>
        <v>0</v>
      </c>
      <c r="E2149" s="112">
        <f>'OPEN FOREIGN ORDER'!AB1775</f>
        <v>0</v>
      </c>
      <c r="F2149" s="112">
        <f>'OPEN FOREIGN ORDER'!AC1775</f>
        <v>0</v>
      </c>
      <c r="G2149" s="112">
        <f>'OPEN FOREIGN ORDER'!AD1775</f>
        <v>0</v>
      </c>
      <c r="H2149" s="112">
        <f>'OPEN FOREIGN ORDER'!AE1775</f>
        <v>0</v>
      </c>
      <c r="I2149" s="112">
        <f>'OPEN FOREIGN ORDER'!AF1775</f>
        <v>0</v>
      </c>
      <c r="J2149" s="112">
        <f>'OPEN FOREIGN ORDER'!AG1775</f>
        <v>0</v>
      </c>
    </row>
    <row r="2150" spans="1:10">
      <c r="A2150">
        <f>'OPEN FOREIGN ORDER'!D1776</f>
        <v>0</v>
      </c>
      <c r="B2150">
        <f>'OPEN FOREIGN ORDER'!F1776</f>
        <v>0</v>
      </c>
      <c r="C2150">
        <f>'OPEN FOREIGN ORDER'!Z1776</f>
        <v>0</v>
      </c>
      <c r="D2150" s="123">
        <f>'OPEN FOREIGN ORDER'!AA1776</f>
        <v>0</v>
      </c>
      <c r="E2150" s="112">
        <f>'OPEN FOREIGN ORDER'!AB1776</f>
        <v>0</v>
      </c>
      <c r="F2150" s="112">
        <f>'OPEN FOREIGN ORDER'!AC1776</f>
        <v>0</v>
      </c>
      <c r="G2150" s="112">
        <f>'OPEN FOREIGN ORDER'!AD1776</f>
        <v>0</v>
      </c>
      <c r="H2150" s="112">
        <f>'OPEN FOREIGN ORDER'!AE1776</f>
        <v>0</v>
      </c>
      <c r="I2150" s="112">
        <f>'OPEN FOREIGN ORDER'!AF1776</f>
        <v>0</v>
      </c>
      <c r="J2150" s="112">
        <f>'OPEN FOREIGN ORDER'!AG1776</f>
        <v>0</v>
      </c>
    </row>
    <row r="2151" spans="1:10">
      <c r="A2151">
        <f>'OPEN FOREIGN ORDER'!D1777</f>
        <v>0</v>
      </c>
      <c r="B2151">
        <f>'OPEN FOREIGN ORDER'!F1777</f>
        <v>0</v>
      </c>
      <c r="C2151">
        <f>'OPEN FOREIGN ORDER'!Z1777</f>
        <v>0</v>
      </c>
      <c r="D2151" s="123">
        <f>'OPEN FOREIGN ORDER'!AA1777</f>
        <v>0</v>
      </c>
      <c r="E2151" s="112">
        <f>'OPEN FOREIGN ORDER'!AB1777</f>
        <v>0</v>
      </c>
      <c r="F2151" s="112">
        <f>'OPEN FOREIGN ORDER'!AC1777</f>
        <v>0</v>
      </c>
      <c r="G2151" s="112">
        <f>'OPEN FOREIGN ORDER'!AD1777</f>
        <v>0</v>
      </c>
      <c r="H2151" s="112">
        <f>'OPEN FOREIGN ORDER'!AE1777</f>
        <v>0</v>
      </c>
      <c r="I2151" s="112">
        <f>'OPEN FOREIGN ORDER'!AF1777</f>
        <v>0</v>
      </c>
      <c r="J2151" s="112">
        <f>'OPEN FOREIGN ORDER'!AG1777</f>
        <v>0</v>
      </c>
    </row>
    <row r="2152" spans="1:10">
      <c r="A2152">
        <f>'OPEN FOREIGN ORDER'!D1778</f>
        <v>0</v>
      </c>
      <c r="B2152">
        <f>'OPEN FOREIGN ORDER'!F1778</f>
        <v>0</v>
      </c>
      <c r="C2152">
        <f>'OPEN FOREIGN ORDER'!Z1778</f>
        <v>0</v>
      </c>
      <c r="D2152" s="123">
        <f>'OPEN FOREIGN ORDER'!AA1778</f>
        <v>0</v>
      </c>
      <c r="E2152" s="112">
        <f>'OPEN FOREIGN ORDER'!AB1778</f>
        <v>0</v>
      </c>
      <c r="F2152" s="112">
        <f>'OPEN FOREIGN ORDER'!AC1778</f>
        <v>0</v>
      </c>
      <c r="G2152" s="112">
        <f>'OPEN FOREIGN ORDER'!AD1778</f>
        <v>0</v>
      </c>
      <c r="H2152" s="112">
        <f>'OPEN FOREIGN ORDER'!AE1778</f>
        <v>0</v>
      </c>
      <c r="I2152" s="112">
        <f>'OPEN FOREIGN ORDER'!AF1778</f>
        <v>0</v>
      </c>
      <c r="J2152" s="112">
        <f>'OPEN FOREIGN ORDER'!AG1778</f>
        <v>0</v>
      </c>
    </row>
    <row r="2153" spans="1:10">
      <c r="A2153">
        <f>'OPEN FOREIGN ORDER'!D1779</f>
        <v>0</v>
      </c>
      <c r="B2153">
        <f>'OPEN FOREIGN ORDER'!F1779</f>
        <v>0</v>
      </c>
      <c r="C2153">
        <f>'OPEN FOREIGN ORDER'!Z1779</f>
        <v>0</v>
      </c>
      <c r="D2153" s="123">
        <f>'OPEN FOREIGN ORDER'!AA1779</f>
        <v>0</v>
      </c>
      <c r="E2153" s="112">
        <f>'OPEN FOREIGN ORDER'!AB1779</f>
        <v>0</v>
      </c>
      <c r="F2153" s="112">
        <f>'OPEN FOREIGN ORDER'!AC1779</f>
        <v>0</v>
      </c>
      <c r="G2153" s="112">
        <f>'OPEN FOREIGN ORDER'!AD1779</f>
        <v>0</v>
      </c>
      <c r="H2153" s="112">
        <f>'OPEN FOREIGN ORDER'!AE1779</f>
        <v>0</v>
      </c>
      <c r="I2153" s="112">
        <f>'OPEN FOREIGN ORDER'!AF1779</f>
        <v>0</v>
      </c>
      <c r="J2153" s="112">
        <f>'OPEN FOREIGN ORDER'!AG1779</f>
        <v>0</v>
      </c>
    </row>
    <row r="2154" spans="1:10">
      <c r="A2154">
        <f>'OPEN FOREIGN ORDER'!D1780</f>
        <v>0</v>
      </c>
      <c r="B2154">
        <f>'OPEN FOREIGN ORDER'!F1780</f>
        <v>0</v>
      </c>
      <c r="C2154">
        <f>'OPEN FOREIGN ORDER'!Z1780</f>
        <v>0</v>
      </c>
      <c r="D2154" s="123">
        <f>'OPEN FOREIGN ORDER'!AA1780</f>
        <v>0</v>
      </c>
      <c r="E2154" s="112">
        <f>'OPEN FOREIGN ORDER'!AB1780</f>
        <v>0</v>
      </c>
      <c r="F2154" s="112">
        <f>'OPEN FOREIGN ORDER'!AC1780</f>
        <v>0</v>
      </c>
      <c r="G2154" s="112">
        <f>'OPEN FOREIGN ORDER'!AD1780</f>
        <v>0</v>
      </c>
      <c r="H2154" s="112">
        <f>'OPEN FOREIGN ORDER'!AE1780</f>
        <v>0</v>
      </c>
      <c r="I2154" s="112">
        <f>'OPEN FOREIGN ORDER'!AF1780</f>
        <v>0</v>
      </c>
      <c r="J2154" s="112">
        <f>'OPEN FOREIGN ORDER'!AG1780</f>
        <v>0</v>
      </c>
    </row>
    <row r="2155" spans="1:10">
      <c r="A2155">
        <f>'OPEN FOREIGN ORDER'!D1781</f>
        <v>0</v>
      </c>
      <c r="B2155">
        <f>'OPEN FOREIGN ORDER'!F1781</f>
        <v>0</v>
      </c>
      <c r="C2155">
        <f>'OPEN FOREIGN ORDER'!Z1781</f>
        <v>0</v>
      </c>
      <c r="D2155" s="123">
        <f>'OPEN FOREIGN ORDER'!AA1781</f>
        <v>0</v>
      </c>
      <c r="E2155" s="112">
        <f>'OPEN FOREIGN ORDER'!AB1781</f>
        <v>0</v>
      </c>
      <c r="F2155" s="112">
        <f>'OPEN FOREIGN ORDER'!AC1781</f>
        <v>0</v>
      </c>
      <c r="G2155" s="112">
        <f>'OPEN FOREIGN ORDER'!AD1781</f>
        <v>0</v>
      </c>
      <c r="H2155" s="112">
        <f>'OPEN FOREIGN ORDER'!AE1781</f>
        <v>0</v>
      </c>
      <c r="I2155" s="112">
        <f>'OPEN FOREIGN ORDER'!AF1781</f>
        <v>0</v>
      </c>
      <c r="J2155" s="112">
        <f>'OPEN FOREIGN ORDER'!AG1781</f>
        <v>0</v>
      </c>
    </row>
    <row r="2156" spans="1:10">
      <c r="A2156">
        <f>'OPEN FOREIGN ORDER'!D1782</f>
        <v>0</v>
      </c>
      <c r="B2156">
        <f>'OPEN FOREIGN ORDER'!F1782</f>
        <v>0</v>
      </c>
      <c r="C2156">
        <f>'OPEN FOREIGN ORDER'!Z1782</f>
        <v>0</v>
      </c>
      <c r="D2156" s="123">
        <f>'OPEN FOREIGN ORDER'!AA1782</f>
        <v>0</v>
      </c>
      <c r="E2156" s="112">
        <f>'OPEN FOREIGN ORDER'!AB1782</f>
        <v>0</v>
      </c>
      <c r="F2156" s="112">
        <f>'OPEN FOREIGN ORDER'!AC1782</f>
        <v>0</v>
      </c>
      <c r="G2156" s="112">
        <f>'OPEN FOREIGN ORDER'!AD1782</f>
        <v>0</v>
      </c>
      <c r="H2156" s="112">
        <f>'OPEN FOREIGN ORDER'!AE1782</f>
        <v>0</v>
      </c>
      <c r="I2156" s="112">
        <f>'OPEN FOREIGN ORDER'!AF1782</f>
        <v>0</v>
      </c>
      <c r="J2156" s="112">
        <f>'OPEN FOREIGN ORDER'!AG1782</f>
        <v>0</v>
      </c>
    </row>
    <row r="2157" spans="1:10">
      <c r="A2157">
        <f>'OPEN FOREIGN ORDER'!D1783</f>
        <v>0</v>
      </c>
      <c r="B2157">
        <f>'OPEN FOREIGN ORDER'!F1783</f>
        <v>0</v>
      </c>
      <c r="C2157">
        <f>'OPEN FOREIGN ORDER'!Z1783</f>
        <v>0</v>
      </c>
      <c r="D2157" s="123">
        <f>'OPEN FOREIGN ORDER'!AA1783</f>
        <v>0</v>
      </c>
      <c r="E2157" s="112">
        <f>'OPEN FOREIGN ORDER'!AB1783</f>
        <v>0</v>
      </c>
      <c r="F2157" s="112">
        <f>'OPEN FOREIGN ORDER'!AC1783</f>
        <v>0</v>
      </c>
      <c r="G2157" s="112">
        <f>'OPEN FOREIGN ORDER'!AD1783</f>
        <v>0</v>
      </c>
      <c r="H2157" s="112">
        <f>'OPEN FOREIGN ORDER'!AE1783</f>
        <v>0</v>
      </c>
      <c r="I2157" s="112">
        <f>'OPEN FOREIGN ORDER'!AF1783</f>
        <v>0</v>
      </c>
      <c r="J2157" s="112">
        <f>'OPEN FOREIGN ORDER'!AG1783</f>
        <v>0</v>
      </c>
    </row>
    <row r="2158" spans="1:10">
      <c r="A2158">
        <f>'OPEN FOREIGN ORDER'!D1784</f>
        <v>0</v>
      </c>
      <c r="B2158">
        <f>'OPEN FOREIGN ORDER'!F1784</f>
        <v>0</v>
      </c>
      <c r="C2158">
        <f>'OPEN FOREIGN ORDER'!Z1784</f>
        <v>0</v>
      </c>
      <c r="D2158" s="123">
        <f>'OPEN FOREIGN ORDER'!AA1784</f>
        <v>0</v>
      </c>
      <c r="E2158" s="112">
        <f>'OPEN FOREIGN ORDER'!AB1784</f>
        <v>0</v>
      </c>
      <c r="F2158" s="112">
        <f>'OPEN FOREIGN ORDER'!AC1784</f>
        <v>0</v>
      </c>
      <c r="G2158" s="112">
        <f>'OPEN FOREIGN ORDER'!AD1784</f>
        <v>0</v>
      </c>
      <c r="H2158" s="112">
        <f>'OPEN FOREIGN ORDER'!AE1784</f>
        <v>0</v>
      </c>
      <c r="I2158" s="112">
        <f>'OPEN FOREIGN ORDER'!AF1784</f>
        <v>0</v>
      </c>
      <c r="J2158" s="112">
        <f>'OPEN FOREIGN ORDER'!AG1784</f>
        <v>0</v>
      </c>
    </row>
    <row r="2159" spans="1:10">
      <c r="A2159">
        <f>'OPEN FOREIGN ORDER'!D1785</f>
        <v>0</v>
      </c>
      <c r="B2159">
        <f>'OPEN FOREIGN ORDER'!F1785</f>
        <v>0</v>
      </c>
      <c r="C2159">
        <f>'OPEN FOREIGN ORDER'!Z1785</f>
        <v>0</v>
      </c>
      <c r="D2159" s="123">
        <f>'OPEN FOREIGN ORDER'!AA1785</f>
        <v>0</v>
      </c>
      <c r="E2159" s="112">
        <f>'OPEN FOREIGN ORDER'!AB1785</f>
        <v>0</v>
      </c>
      <c r="F2159" s="112">
        <f>'OPEN FOREIGN ORDER'!AC1785</f>
        <v>0</v>
      </c>
      <c r="G2159" s="112">
        <f>'OPEN FOREIGN ORDER'!AD1785</f>
        <v>0</v>
      </c>
      <c r="H2159" s="112">
        <f>'OPEN FOREIGN ORDER'!AE1785</f>
        <v>0</v>
      </c>
      <c r="I2159" s="112">
        <f>'OPEN FOREIGN ORDER'!AF1785</f>
        <v>0</v>
      </c>
      <c r="J2159" s="112">
        <f>'OPEN FOREIGN ORDER'!AG1785</f>
        <v>0</v>
      </c>
    </row>
    <row r="2160" spans="1:10">
      <c r="A2160">
        <f>'OPEN FOREIGN ORDER'!D1786</f>
        <v>0</v>
      </c>
      <c r="B2160">
        <f>'OPEN FOREIGN ORDER'!F1786</f>
        <v>0</v>
      </c>
      <c r="C2160">
        <f>'OPEN FOREIGN ORDER'!Z1786</f>
        <v>0</v>
      </c>
      <c r="D2160" s="123">
        <f>'OPEN FOREIGN ORDER'!AA1786</f>
        <v>0</v>
      </c>
      <c r="E2160" s="112">
        <f>'OPEN FOREIGN ORDER'!AB1786</f>
        <v>0</v>
      </c>
      <c r="F2160" s="112">
        <f>'OPEN FOREIGN ORDER'!AC1786</f>
        <v>0</v>
      </c>
      <c r="G2160" s="112">
        <f>'OPEN FOREIGN ORDER'!AD1786</f>
        <v>0</v>
      </c>
      <c r="H2160" s="112">
        <f>'OPEN FOREIGN ORDER'!AE1786</f>
        <v>0</v>
      </c>
      <c r="I2160" s="112">
        <f>'OPEN FOREIGN ORDER'!AF1786</f>
        <v>0</v>
      </c>
      <c r="J2160" s="112">
        <f>'OPEN FOREIGN ORDER'!AG1786</f>
        <v>0</v>
      </c>
    </row>
    <row r="2161" spans="1:10">
      <c r="A2161">
        <f>'OPEN FOREIGN ORDER'!D1787</f>
        <v>0</v>
      </c>
      <c r="B2161">
        <f>'OPEN FOREIGN ORDER'!F1787</f>
        <v>0</v>
      </c>
      <c r="C2161">
        <f>'OPEN FOREIGN ORDER'!Z1787</f>
        <v>0</v>
      </c>
      <c r="D2161" s="123">
        <f>'OPEN FOREIGN ORDER'!AA1787</f>
        <v>0</v>
      </c>
      <c r="E2161" s="112">
        <f>'OPEN FOREIGN ORDER'!AB1787</f>
        <v>0</v>
      </c>
      <c r="F2161" s="112">
        <f>'OPEN FOREIGN ORDER'!AC1787</f>
        <v>0</v>
      </c>
      <c r="G2161" s="112">
        <f>'OPEN FOREIGN ORDER'!AD1787</f>
        <v>0</v>
      </c>
      <c r="H2161" s="112">
        <f>'OPEN FOREIGN ORDER'!AE1787</f>
        <v>0</v>
      </c>
      <c r="I2161" s="112">
        <f>'OPEN FOREIGN ORDER'!AF1787</f>
        <v>0</v>
      </c>
      <c r="J2161" s="112">
        <f>'OPEN FOREIGN ORDER'!AG1787</f>
        <v>0</v>
      </c>
    </row>
    <row r="2162" spans="1:10">
      <c r="A2162">
        <f>'OPEN FOREIGN ORDER'!D1788</f>
        <v>0</v>
      </c>
      <c r="B2162">
        <f>'OPEN FOREIGN ORDER'!F1788</f>
        <v>0</v>
      </c>
      <c r="C2162">
        <f>'OPEN FOREIGN ORDER'!Z1788</f>
        <v>0</v>
      </c>
      <c r="D2162" s="123">
        <f>'OPEN FOREIGN ORDER'!AA1788</f>
        <v>0</v>
      </c>
      <c r="E2162" s="112">
        <f>'OPEN FOREIGN ORDER'!AB1788</f>
        <v>0</v>
      </c>
      <c r="F2162" s="112">
        <f>'OPEN FOREIGN ORDER'!AC1788</f>
        <v>0</v>
      </c>
      <c r="G2162" s="112">
        <f>'OPEN FOREIGN ORDER'!AD1788</f>
        <v>0</v>
      </c>
      <c r="H2162" s="112">
        <f>'OPEN FOREIGN ORDER'!AE1788</f>
        <v>0</v>
      </c>
      <c r="I2162" s="112">
        <f>'OPEN FOREIGN ORDER'!AF1788</f>
        <v>0</v>
      </c>
      <c r="J2162" s="112">
        <f>'OPEN FOREIGN ORDER'!AG1788</f>
        <v>0</v>
      </c>
    </row>
    <row r="2163" spans="1:10">
      <c r="A2163">
        <f>'OPEN FOREIGN ORDER'!D1789</f>
        <v>0</v>
      </c>
      <c r="B2163">
        <f>'OPEN FOREIGN ORDER'!F1789</f>
        <v>0</v>
      </c>
      <c r="C2163">
        <f>'OPEN FOREIGN ORDER'!Z1789</f>
        <v>0</v>
      </c>
      <c r="D2163" s="123">
        <f>'OPEN FOREIGN ORDER'!AA1789</f>
        <v>0</v>
      </c>
      <c r="E2163" s="112">
        <f>'OPEN FOREIGN ORDER'!AB1789</f>
        <v>0</v>
      </c>
      <c r="F2163" s="112">
        <f>'OPEN FOREIGN ORDER'!AC1789</f>
        <v>0</v>
      </c>
      <c r="G2163" s="112">
        <f>'OPEN FOREIGN ORDER'!AD1789</f>
        <v>0</v>
      </c>
      <c r="H2163" s="112">
        <f>'OPEN FOREIGN ORDER'!AE1789</f>
        <v>0</v>
      </c>
      <c r="I2163" s="112">
        <f>'OPEN FOREIGN ORDER'!AF1789</f>
        <v>0</v>
      </c>
      <c r="J2163" s="112">
        <f>'OPEN FOREIGN ORDER'!AG1789</f>
        <v>0</v>
      </c>
    </row>
    <row r="2164" spans="1:10">
      <c r="A2164">
        <f>'OPEN FOREIGN ORDER'!D1790</f>
        <v>0</v>
      </c>
      <c r="B2164">
        <f>'OPEN FOREIGN ORDER'!F1790</f>
        <v>0</v>
      </c>
      <c r="C2164">
        <f>'OPEN FOREIGN ORDER'!Z1790</f>
        <v>0</v>
      </c>
      <c r="D2164" s="123">
        <f>'OPEN FOREIGN ORDER'!AA1790</f>
        <v>0</v>
      </c>
      <c r="E2164" s="112">
        <f>'OPEN FOREIGN ORDER'!AB1790</f>
        <v>0</v>
      </c>
      <c r="F2164" s="112">
        <f>'OPEN FOREIGN ORDER'!AC1790</f>
        <v>0</v>
      </c>
      <c r="G2164" s="112">
        <f>'OPEN FOREIGN ORDER'!AD1790</f>
        <v>0</v>
      </c>
      <c r="H2164" s="112">
        <f>'OPEN FOREIGN ORDER'!AE1790</f>
        <v>0</v>
      </c>
      <c r="I2164" s="112">
        <f>'OPEN FOREIGN ORDER'!AF1790</f>
        <v>0</v>
      </c>
      <c r="J2164" s="112">
        <f>'OPEN FOREIGN ORDER'!AG1790</f>
        <v>0</v>
      </c>
    </row>
    <row r="2165" spans="1:10">
      <c r="A2165">
        <f>'OPEN FOREIGN ORDER'!D1791</f>
        <v>0</v>
      </c>
      <c r="B2165">
        <f>'OPEN FOREIGN ORDER'!F1791</f>
        <v>0</v>
      </c>
      <c r="C2165">
        <f>'OPEN FOREIGN ORDER'!Z1791</f>
        <v>0</v>
      </c>
      <c r="D2165" s="123">
        <f>'OPEN FOREIGN ORDER'!AA1791</f>
        <v>0</v>
      </c>
      <c r="E2165" s="112">
        <f>'OPEN FOREIGN ORDER'!AB1791</f>
        <v>0</v>
      </c>
      <c r="F2165" s="112">
        <f>'OPEN FOREIGN ORDER'!AC1791</f>
        <v>0</v>
      </c>
      <c r="G2165" s="112">
        <f>'OPEN FOREIGN ORDER'!AD1791</f>
        <v>0</v>
      </c>
      <c r="H2165" s="112">
        <f>'OPEN FOREIGN ORDER'!AE1791</f>
        <v>0</v>
      </c>
      <c r="I2165" s="112">
        <f>'OPEN FOREIGN ORDER'!AF1791</f>
        <v>0</v>
      </c>
      <c r="J2165" s="112">
        <f>'OPEN FOREIGN ORDER'!AG1791</f>
        <v>0</v>
      </c>
    </row>
    <row r="2166" spans="1:10">
      <c r="A2166">
        <f>'OPEN FOREIGN ORDER'!D1792</f>
        <v>0</v>
      </c>
      <c r="B2166">
        <f>'OPEN FOREIGN ORDER'!F1792</f>
        <v>0</v>
      </c>
      <c r="C2166">
        <f>'OPEN FOREIGN ORDER'!Z1792</f>
        <v>0</v>
      </c>
      <c r="D2166" s="123">
        <f>'OPEN FOREIGN ORDER'!AA1792</f>
        <v>0</v>
      </c>
      <c r="E2166" s="112">
        <f>'OPEN FOREIGN ORDER'!AB1792</f>
        <v>0</v>
      </c>
      <c r="F2166" s="112">
        <f>'OPEN FOREIGN ORDER'!AC1792</f>
        <v>0</v>
      </c>
      <c r="G2166" s="112">
        <f>'OPEN FOREIGN ORDER'!AD1792</f>
        <v>0</v>
      </c>
      <c r="H2166" s="112">
        <f>'OPEN FOREIGN ORDER'!AE1792</f>
        <v>0</v>
      </c>
      <c r="I2166" s="112">
        <f>'OPEN FOREIGN ORDER'!AF1792</f>
        <v>0</v>
      </c>
      <c r="J2166" s="112">
        <f>'OPEN FOREIGN ORDER'!AG1792</f>
        <v>0</v>
      </c>
    </row>
    <row r="2167" spans="1:10">
      <c r="A2167">
        <f>'OPEN FOREIGN ORDER'!D1793</f>
        <v>0</v>
      </c>
      <c r="B2167">
        <f>'OPEN FOREIGN ORDER'!F1793</f>
        <v>0</v>
      </c>
      <c r="C2167">
        <f>'OPEN FOREIGN ORDER'!Z1793</f>
        <v>0</v>
      </c>
      <c r="D2167" s="123">
        <f>'OPEN FOREIGN ORDER'!AA1793</f>
        <v>0</v>
      </c>
      <c r="E2167" s="112">
        <f>'OPEN FOREIGN ORDER'!AB1793</f>
        <v>0</v>
      </c>
      <c r="F2167" s="112">
        <f>'OPEN FOREIGN ORDER'!AC1793</f>
        <v>0</v>
      </c>
      <c r="G2167" s="112">
        <f>'OPEN FOREIGN ORDER'!AD1793</f>
        <v>0</v>
      </c>
      <c r="H2167" s="112">
        <f>'OPEN FOREIGN ORDER'!AE1793</f>
        <v>0</v>
      </c>
      <c r="I2167" s="112">
        <f>'OPEN FOREIGN ORDER'!AF1793</f>
        <v>0</v>
      </c>
      <c r="J2167" s="112">
        <f>'OPEN FOREIGN ORDER'!AG1793</f>
        <v>0</v>
      </c>
    </row>
    <row r="2168" spans="1:10">
      <c r="A2168">
        <f>'OPEN FOREIGN ORDER'!D1794</f>
        <v>0</v>
      </c>
      <c r="B2168">
        <f>'OPEN FOREIGN ORDER'!F1794</f>
        <v>0</v>
      </c>
      <c r="C2168">
        <f>'OPEN FOREIGN ORDER'!Z1794</f>
        <v>0</v>
      </c>
      <c r="D2168" s="123">
        <f>'OPEN FOREIGN ORDER'!AA1794</f>
        <v>0</v>
      </c>
      <c r="E2168" s="112">
        <f>'OPEN FOREIGN ORDER'!AB1794</f>
        <v>0</v>
      </c>
      <c r="F2168" s="112">
        <f>'OPEN FOREIGN ORDER'!AC1794</f>
        <v>0</v>
      </c>
      <c r="G2168" s="112">
        <f>'OPEN FOREIGN ORDER'!AD1794</f>
        <v>0</v>
      </c>
      <c r="H2168" s="112">
        <f>'OPEN FOREIGN ORDER'!AE1794</f>
        <v>0</v>
      </c>
      <c r="I2168" s="112">
        <f>'OPEN FOREIGN ORDER'!AF1794</f>
        <v>0</v>
      </c>
      <c r="J2168" s="112">
        <f>'OPEN FOREIGN ORDER'!AG1794</f>
        <v>0</v>
      </c>
    </row>
    <row r="2169" spans="1:10">
      <c r="A2169">
        <f>'OPEN FOREIGN ORDER'!D1795</f>
        <v>0</v>
      </c>
      <c r="B2169">
        <f>'OPEN FOREIGN ORDER'!F1795</f>
        <v>0</v>
      </c>
      <c r="C2169">
        <f>'OPEN FOREIGN ORDER'!Z1795</f>
        <v>0</v>
      </c>
      <c r="D2169" s="123">
        <f>'OPEN FOREIGN ORDER'!AA1795</f>
        <v>0</v>
      </c>
      <c r="E2169" s="112">
        <f>'OPEN FOREIGN ORDER'!AB1795</f>
        <v>0</v>
      </c>
      <c r="F2169" s="112">
        <f>'OPEN FOREIGN ORDER'!AC1795</f>
        <v>0</v>
      </c>
      <c r="G2169" s="112">
        <f>'OPEN FOREIGN ORDER'!AD1795</f>
        <v>0</v>
      </c>
      <c r="H2169" s="112">
        <f>'OPEN FOREIGN ORDER'!AE1795</f>
        <v>0</v>
      </c>
      <c r="I2169" s="112">
        <f>'OPEN FOREIGN ORDER'!AF1795</f>
        <v>0</v>
      </c>
      <c r="J2169" s="112">
        <f>'OPEN FOREIGN ORDER'!AG1795</f>
        <v>0</v>
      </c>
    </row>
    <row r="2170" spans="1:10">
      <c r="A2170">
        <f>'OPEN FOREIGN ORDER'!D1796</f>
        <v>0</v>
      </c>
      <c r="B2170">
        <f>'OPEN FOREIGN ORDER'!F1796</f>
        <v>0</v>
      </c>
      <c r="C2170">
        <f>'OPEN FOREIGN ORDER'!Z1796</f>
        <v>0</v>
      </c>
      <c r="D2170" s="123">
        <f>'OPEN FOREIGN ORDER'!AA1796</f>
        <v>0</v>
      </c>
      <c r="E2170" s="112">
        <f>'OPEN FOREIGN ORDER'!AB1796</f>
        <v>0</v>
      </c>
      <c r="F2170" s="112">
        <f>'OPEN FOREIGN ORDER'!AC1796</f>
        <v>0</v>
      </c>
      <c r="G2170" s="112">
        <f>'OPEN FOREIGN ORDER'!AD1796</f>
        <v>0</v>
      </c>
      <c r="H2170" s="112">
        <f>'OPEN FOREIGN ORDER'!AE1796</f>
        <v>0</v>
      </c>
      <c r="I2170" s="112">
        <f>'OPEN FOREIGN ORDER'!AF1796</f>
        <v>0</v>
      </c>
      <c r="J2170" s="112">
        <f>'OPEN FOREIGN ORDER'!AG1796</f>
        <v>0</v>
      </c>
    </row>
    <row r="2171" spans="1:10">
      <c r="A2171">
        <f>'OPEN FOREIGN ORDER'!D1797</f>
        <v>0</v>
      </c>
      <c r="B2171">
        <f>'OPEN FOREIGN ORDER'!F1797</f>
        <v>0</v>
      </c>
      <c r="C2171">
        <f>'OPEN FOREIGN ORDER'!Z1797</f>
        <v>0</v>
      </c>
      <c r="D2171" s="123">
        <f>'OPEN FOREIGN ORDER'!AA1797</f>
        <v>0</v>
      </c>
      <c r="E2171" s="112">
        <f>'OPEN FOREIGN ORDER'!AB1797</f>
        <v>0</v>
      </c>
      <c r="F2171" s="112">
        <f>'OPEN FOREIGN ORDER'!AC1797</f>
        <v>0</v>
      </c>
      <c r="G2171" s="112">
        <f>'OPEN FOREIGN ORDER'!AD1797</f>
        <v>0</v>
      </c>
      <c r="H2171" s="112">
        <f>'OPEN FOREIGN ORDER'!AE1797</f>
        <v>0</v>
      </c>
      <c r="I2171" s="112">
        <f>'OPEN FOREIGN ORDER'!AF1797</f>
        <v>0</v>
      </c>
      <c r="J2171" s="112">
        <f>'OPEN FOREIGN ORDER'!AG1797</f>
        <v>0</v>
      </c>
    </row>
    <row r="2172" spans="1:10">
      <c r="A2172">
        <f>'OPEN FOREIGN ORDER'!D1798</f>
        <v>0</v>
      </c>
      <c r="B2172">
        <f>'OPEN FOREIGN ORDER'!F1798</f>
        <v>0</v>
      </c>
      <c r="C2172">
        <f>'OPEN FOREIGN ORDER'!Z1798</f>
        <v>0</v>
      </c>
      <c r="D2172" s="123">
        <f>'OPEN FOREIGN ORDER'!AA1798</f>
        <v>0</v>
      </c>
      <c r="E2172" s="112">
        <f>'OPEN FOREIGN ORDER'!AB1798</f>
        <v>0</v>
      </c>
      <c r="F2172" s="112">
        <f>'OPEN FOREIGN ORDER'!AC1798</f>
        <v>0</v>
      </c>
      <c r="G2172" s="112">
        <f>'OPEN FOREIGN ORDER'!AD1798</f>
        <v>0</v>
      </c>
      <c r="H2172" s="112">
        <f>'OPEN FOREIGN ORDER'!AE1798</f>
        <v>0</v>
      </c>
      <c r="I2172" s="112">
        <f>'OPEN FOREIGN ORDER'!AF1798</f>
        <v>0</v>
      </c>
      <c r="J2172" s="112">
        <f>'OPEN FOREIGN ORDER'!AG1798</f>
        <v>0</v>
      </c>
    </row>
    <row r="2173" spans="1:10">
      <c r="A2173">
        <f>'OPEN FOREIGN ORDER'!D1799</f>
        <v>0</v>
      </c>
      <c r="B2173">
        <f>'OPEN FOREIGN ORDER'!F1799</f>
        <v>0</v>
      </c>
      <c r="C2173">
        <f>'OPEN FOREIGN ORDER'!Z1799</f>
        <v>0</v>
      </c>
      <c r="D2173" s="123">
        <f>'OPEN FOREIGN ORDER'!AA1799</f>
        <v>0</v>
      </c>
      <c r="E2173" s="112">
        <f>'OPEN FOREIGN ORDER'!AB1799</f>
        <v>0</v>
      </c>
      <c r="F2173" s="112">
        <f>'OPEN FOREIGN ORDER'!AC1799</f>
        <v>0</v>
      </c>
      <c r="G2173" s="112">
        <f>'OPEN FOREIGN ORDER'!AD1799</f>
        <v>0</v>
      </c>
      <c r="H2173" s="112">
        <f>'OPEN FOREIGN ORDER'!AE1799</f>
        <v>0</v>
      </c>
      <c r="I2173" s="112">
        <f>'OPEN FOREIGN ORDER'!AF1799</f>
        <v>0</v>
      </c>
      <c r="J2173" s="112">
        <f>'OPEN FOREIGN ORDER'!AG1799</f>
        <v>0</v>
      </c>
    </row>
    <row r="2174" spans="1:10">
      <c r="A2174">
        <f>'OPEN FOREIGN ORDER'!D1800</f>
        <v>0</v>
      </c>
      <c r="B2174">
        <f>'OPEN FOREIGN ORDER'!F1800</f>
        <v>0</v>
      </c>
      <c r="C2174">
        <f>'OPEN FOREIGN ORDER'!Z1800</f>
        <v>0</v>
      </c>
      <c r="D2174" s="123">
        <f>'OPEN FOREIGN ORDER'!AA1800</f>
        <v>0</v>
      </c>
      <c r="E2174" s="112">
        <f>'OPEN FOREIGN ORDER'!AB1800</f>
        <v>0</v>
      </c>
      <c r="F2174" s="112">
        <f>'OPEN FOREIGN ORDER'!AC1800</f>
        <v>0</v>
      </c>
      <c r="G2174" s="112">
        <f>'OPEN FOREIGN ORDER'!AD1800</f>
        <v>0</v>
      </c>
      <c r="H2174" s="112">
        <f>'OPEN FOREIGN ORDER'!AE1800</f>
        <v>0</v>
      </c>
      <c r="I2174" s="112">
        <f>'OPEN FOREIGN ORDER'!AF1800</f>
        <v>0</v>
      </c>
      <c r="J2174" s="112">
        <f>'OPEN FOREIGN ORDER'!AG1800</f>
        <v>0</v>
      </c>
    </row>
    <row r="2175" spans="1:10">
      <c r="A2175">
        <f>'OPEN FOREIGN ORDER'!D1801</f>
        <v>0</v>
      </c>
      <c r="B2175">
        <f>'OPEN FOREIGN ORDER'!F1801</f>
        <v>0</v>
      </c>
      <c r="C2175">
        <f>'OPEN FOREIGN ORDER'!Z1801</f>
        <v>0</v>
      </c>
      <c r="D2175" s="123">
        <f>'OPEN FOREIGN ORDER'!AA1801</f>
        <v>0</v>
      </c>
      <c r="E2175" s="112">
        <f>'OPEN FOREIGN ORDER'!AB1801</f>
        <v>0</v>
      </c>
      <c r="F2175" s="112">
        <f>'OPEN FOREIGN ORDER'!AC1801</f>
        <v>0</v>
      </c>
      <c r="G2175" s="112">
        <f>'OPEN FOREIGN ORDER'!AD1801</f>
        <v>0</v>
      </c>
      <c r="H2175" s="112">
        <f>'OPEN FOREIGN ORDER'!AE1801</f>
        <v>0</v>
      </c>
      <c r="I2175" s="112">
        <f>'OPEN FOREIGN ORDER'!AF1801</f>
        <v>0</v>
      </c>
      <c r="J2175" s="112">
        <f>'OPEN FOREIGN ORDER'!AG1801</f>
        <v>0</v>
      </c>
    </row>
    <row r="2176" spans="1:10">
      <c r="A2176">
        <f>'OPEN FOREIGN ORDER'!D1802</f>
        <v>0</v>
      </c>
      <c r="B2176">
        <f>'OPEN FOREIGN ORDER'!F1802</f>
        <v>0</v>
      </c>
      <c r="C2176">
        <f>'OPEN FOREIGN ORDER'!Z1802</f>
        <v>0</v>
      </c>
      <c r="D2176" s="123">
        <f>'OPEN FOREIGN ORDER'!AA1802</f>
        <v>0</v>
      </c>
      <c r="E2176" s="112">
        <f>'OPEN FOREIGN ORDER'!AB1802</f>
        <v>0</v>
      </c>
      <c r="F2176" s="112">
        <f>'OPEN FOREIGN ORDER'!AC1802</f>
        <v>0</v>
      </c>
      <c r="G2176" s="112">
        <f>'OPEN FOREIGN ORDER'!AD1802</f>
        <v>0</v>
      </c>
      <c r="H2176" s="112">
        <f>'OPEN FOREIGN ORDER'!AE1802</f>
        <v>0</v>
      </c>
      <c r="I2176" s="112">
        <f>'OPEN FOREIGN ORDER'!AF1802</f>
        <v>0</v>
      </c>
      <c r="J2176" s="112">
        <f>'OPEN FOREIGN ORDER'!AG1802</f>
        <v>0</v>
      </c>
    </row>
    <row r="2177" spans="1:10">
      <c r="A2177">
        <f>'OPEN FOREIGN ORDER'!D1803</f>
        <v>0</v>
      </c>
      <c r="B2177">
        <f>'OPEN FOREIGN ORDER'!F1803</f>
        <v>0</v>
      </c>
      <c r="C2177">
        <f>'OPEN FOREIGN ORDER'!Z1803</f>
        <v>0</v>
      </c>
      <c r="D2177" s="123">
        <f>'OPEN FOREIGN ORDER'!AA1803</f>
        <v>0</v>
      </c>
      <c r="E2177" s="112">
        <f>'OPEN FOREIGN ORDER'!AB1803</f>
        <v>0</v>
      </c>
      <c r="F2177" s="112">
        <f>'OPEN FOREIGN ORDER'!AC1803</f>
        <v>0</v>
      </c>
      <c r="G2177" s="112">
        <f>'OPEN FOREIGN ORDER'!AD1803</f>
        <v>0</v>
      </c>
      <c r="H2177" s="112">
        <f>'OPEN FOREIGN ORDER'!AE1803</f>
        <v>0</v>
      </c>
      <c r="I2177" s="112">
        <f>'OPEN FOREIGN ORDER'!AF1803</f>
        <v>0</v>
      </c>
      <c r="J2177" s="112">
        <f>'OPEN FOREIGN ORDER'!AG1803</f>
        <v>0</v>
      </c>
    </row>
    <row r="2178" spans="1:10">
      <c r="A2178">
        <f>'OPEN FOREIGN ORDER'!D1804</f>
        <v>0</v>
      </c>
      <c r="B2178">
        <f>'OPEN FOREIGN ORDER'!F1804</f>
        <v>0</v>
      </c>
      <c r="C2178">
        <f>'OPEN FOREIGN ORDER'!Z1804</f>
        <v>0</v>
      </c>
      <c r="D2178" s="123">
        <f>'OPEN FOREIGN ORDER'!AA1804</f>
        <v>0</v>
      </c>
      <c r="E2178" s="112">
        <f>'OPEN FOREIGN ORDER'!AB1804</f>
        <v>0</v>
      </c>
      <c r="F2178" s="112">
        <f>'OPEN FOREIGN ORDER'!AC1804</f>
        <v>0</v>
      </c>
      <c r="G2178" s="112">
        <f>'OPEN FOREIGN ORDER'!AD1804</f>
        <v>0</v>
      </c>
      <c r="H2178" s="112">
        <f>'OPEN FOREIGN ORDER'!AE1804</f>
        <v>0</v>
      </c>
      <c r="I2178" s="112">
        <f>'OPEN FOREIGN ORDER'!AF1804</f>
        <v>0</v>
      </c>
      <c r="J2178" s="112">
        <f>'OPEN FOREIGN ORDER'!AG1804</f>
        <v>0</v>
      </c>
    </row>
    <row r="2179" spans="1:10">
      <c r="A2179">
        <f>'OPEN FOREIGN ORDER'!D1805</f>
        <v>0</v>
      </c>
      <c r="B2179">
        <f>'OPEN FOREIGN ORDER'!F1805</f>
        <v>0</v>
      </c>
      <c r="C2179">
        <f>'OPEN FOREIGN ORDER'!Z1805</f>
        <v>0</v>
      </c>
      <c r="D2179" s="123">
        <f>'OPEN FOREIGN ORDER'!AA1805</f>
        <v>0</v>
      </c>
      <c r="E2179" s="112">
        <f>'OPEN FOREIGN ORDER'!AB1805</f>
        <v>0</v>
      </c>
      <c r="F2179" s="112">
        <f>'OPEN FOREIGN ORDER'!AC1805</f>
        <v>0</v>
      </c>
      <c r="G2179" s="112">
        <f>'OPEN FOREIGN ORDER'!AD1805</f>
        <v>0</v>
      </c>
      <c r="H2179" s="112">
        <f>'OPEN FOREIGN ORDER'!AE1805</f>
        <v>0</v>
      </c>
      <c r="I2179" s="112">
        <f>'OPEN FOREIGN ORDER'!AF1805</f>
        <v>0</v>
      </c>
      <c r="J2179" s="112">
        <f>'OPEN FOREIGN ORDER'!AG1805</f>
        <v>0</v>
      </c>
    </row>
    <row r="2180" spans="1:10">
      <c r="A2180">
        <f>'OPEN FOREIGN ORDER'!D1806</f>
        <v>0</v>
      </c>
      <c r="B2180">
        <f>'OPEN FOREIGN ORDER'!F1806</f>
        <v>0</v>
      </c>
      <c r="C2180">
        <f>'OPEN FOREIGN ORDER'!Z1806</f>
        <v>0</v>
      </c>
      <c r="D2180" s="123">
        <f>'OPEN FOREIGN ORDER'!AA1806</f>
        <v>0</v>
      </c>
      <c r="E2180" s="112">
        <f>'OPEN FOREIGN ORDER'!AB1806</f>
        <v>0</v>
      </c>
      <c r="F2180" s="112">
        <f>'OPEN FOREIGN ORDER'!AC1806</f>
        <v>0</v>
      </c>
      <c r="G2180" s="112">
        <f>'OPEN FOREIGN ORDER'!AD1806</f>
        <v>0</v>
      </c>
      <c r="H2180" s="112">
        <f>'OPEN FOREIGN ORDER'!AE1806</f>
        <v>0</v>
      </c>
      <c r="I2180" s="112">
        <f>'OPEN FOREIGN ORDER'!AF1806</f>
        <v>0</v>
      </c>
      <c r="J2180" s="112">
        <f>'OPEN FOREIGN ORDER'!AG1806</f>
        <v>0</v>
      </c>
    </row>
    <row r="2181" spans="1:10">
      <c r="A2181">
        <f>'OPEN FOREIGN ORDER'!D1807</f>
        <v>0</v>
      </c>
      <c r="B2181">
        <f>'OPEN FOREIGN ORDER'!F1807</f>
        <v>0</v>
      </c>
      <c r="C2181">
        <f>'OPEN FOREIGN ORDER'!Z1807</f>
        <v>0</v>
      </c>
      <c r="D2181" s="123">
        <f>'OPEN FOREIGN ORDER'!AA1807</f>
        <v>0</v>
      </c>
      <c r="E2181" s="112">
        <f>'OPEN FOREIGN ORDER'!AB1807</f>
        <v>0</v>
      </c>
      <c r="F2181" s="112">
        <f>'OPEN FOREIGN ORDER'!AC1807</f>
        <v>0</v>
      </c>
      <c r="G2181" s="112">
        <f>'OPEN FOREIGN ORDER'!AD1807</f>
        <v>0</v>
      </c>
      <c r="H2181" s="112">
        <f>'OPEN FOREIGN ORDER'!AE1807</f>
        <v>0</v>
      </c>
      <c r="I2181" s="112">
        <f>'OPEN FOREIGN ORDER'!AF1807</f>
        <v>0</v>
      </c>
      <c r="J2181" s="112">
        <f>'OPEN FOREIGN ORDER'!AG1807</f>
        <v>0</v>
      </c>
    </row>
    <row r="2182" spans="1:10">
      <c r="A2182">
        <f>'OPEN FOREIGN ORDER'!D1808</f>
        <v>0</v>
      </c>
      <c r="B2182">
        <f>'OPEN FOREIGN ORDER'!F1808</f>
        <v>0</v>
      </c>
      <c r="C2182">
        <f>'OPEN FOREIGN ORDER'!Z1808</f>
        <v>0</v>
      </c>
      <c r="D2182" s="123">
        <f>'OPEN FOREIGN ORDER'!AA1808</f>
        <v>0</v>
      </c>
      <c r="E2182" s="112">
        <f>'OPEN FOREIGN ORDER'!AB1808</f>
        <v>0</v>
      </c>
      <c r="F2182" s="112">
        <f>'OPEN FOREIGN ORDER'!AC1808</f>
        <v>0</v>
      </c>
      <c r="G2182" s="112">
        <f>'OPEN FOREIGN ORDER'!AD1808</f>
        <v>0</v>
      </c>
      <c r="H2182" s="112">
        <f>'OPEN FOREIGN ORDER'!AE1808</f>
        <v>0</v>
      </c>
      <c r="I2182" s="112">
        <f>'OPEN FOREIGN ORDER'!AF1808</f>
        <v>0</v>
      </c>
      <c r="J2182" s="112">
        <f>'OPEN FOREIGN ORDER'!AG1808</f>
        <v>0</v>
      </c>
    </row>
    <row r="2183" spans="1:10">
      <c r="A2183">
        <f>'OPEN FOREIGN ORDER'!D1809</f>
        <v>0</v>
      </c>
      <c r="B2183">
        <f>'OPEN FOREIGN ORDER'!F1809</f>
        <v>0</v>
      </c>
      <c r="C2183">
        <f>'OPEN FOREIGN ORDER'!Z1809</f>
        <v>0</v>
      </c>
      <c r="D2183" s="123">
        <f>'OPEN FOREIGN ORDER'!AA1809</f>
        <v>0</v>
      </c>
      <c r="E2183" s="112">
        <f>'OPEN FOREIGN ORDER'!AB1809</f>
        <v>0</v>
      </c>
      <c r="F2183" s="112">
        <f>'OPEN FOREIGN ORDER'!AC1809</f>
        <v>0</v>
      </c>
      <c r="G2183" s="112">
        <f>'OPEN FOREIGN ORDER'!AD1809</f>
        <v>0</v>
      </c>
      <c r="H2183" s="112">
        <f>'OPEN FOREIGN ORDER'!AE1809</f>
        <v>0</v>
      </c>
      <c r="I2183" s="112">
        <f>'OPEN FOREIGN ORDER'!AF1809</f>
        <v>0</v>
      </c>
      <c r="J2183" s="112">
        <f>'OPEN FOREIGN ORDER'!AG1809</f>
        <v>0</v>
      </c>
    </row>
    <row r="2184" spans="1:10">
      <c r="A2184">
        <f>'OPEN FOREIGN ORDER'!D1810</f>
        <v>0</v>
      </c>
      <c r="B2184">
        <f>'OPEN FOREIGN ORDER'!F1810</f>
        <v>0</v>
      </c>
      <c r="C2184">
        <f>'OPEN FOREIGN ORDER'!Z1810</f>
        <v>0</v>
      </c>
      <c r="D2184" s="123">
        <f>'OPEN FOREIGN ORDER'!AA1810</f>
        <v>0</v>
      </c>
      <c r="E2184" s="112">
        <f>'OPEN FOREIGN ORDER'!AB1810</f>
        <v>0</v>
      </c>
      <c r="F2184" s="112">
        <f>'OPEN FOREIGN ORDER'!AC1810</f>
        <v>0</v>
      </c>
      <c r="G2184" s="112">
        <f>'OPEN FOREIGN ORDER'!AD1810</f>
        <v>0</v>
      </c>
      <c r="H2184" s="112">
        <f>'OPEN FOREIGN ORDER'!AE1810</f>
        <v>0</v>
      </c>
      <c r="I2184" s="112">
        <f>'OPEN FOREIGN ORDER'!AF1810</f>
        <v>0</v>
      </c>
      <c r="J2184" s="112">
        <f>'OPEN FOREIGN ORDER'!AG1810</f>
        <v>0</v>
      </c>
    </row>
    <row r="2185" spans="1:10">
      <c r="A2185">
        <f>'OPEN FOREIGN ORDER'!D1811</f>
        <v>0</v>
      </c>
      <c r="B2185">
        <f>'OPEN FOREIGN ORDER'!F1811</f>
        <v>0</v>
      </c>
      <c r="C2185">
        <f>'OPEN FOREIGN ORDER'!Z1811</f>
        <v>0</v>
      </c>
      <c r="D2185" s="123">
        <f>'OPEN FOREIGN ORDER'!AA1811</f>
        <v>0</v>
      </c>
      <c r="E2185" s="112">
        <f>'OPEN FOREIGN ORDER'!AB1811</f>
        <v>0</v>
      </c>
      <c r="F2185" s="112">
        <f>'OPEN FOREIGN ORDER'!AC1811</f>
        <v>0</v>
      </c>
      <c r="G2185" s="112">
        <f>'OPEN FOREIGN ORDER'!AD1811</f>
        <v>0</v>
      </c>
      <c r="H2185" s="112">
        <f>'OPEN FOREIGN ORDER'!AE1811</f>
        <v>0</v>
      </c>
      <c r="I2185" s="112">
        <f>'OPEN FOREIGN ORDER'!AF1811</f>
        <v>0</v>
      </c>
      <c r="J2185" s="112">
        <f>'OPEN FOREIGN ORDER'!AG1811</f>
        <v>0</v>
      </c>
    </row>
    <row r="2186" spans="1:10">
      <c r="A2186">
        <f>'OPEN FOREIGN ORDER'!D1812</f>
        <v>0</v>
      </c>
      <c r="B2186">
        <f>'OPEN FOREIGN ORDER'!F1812</f>
        <v>0</v>
      </c>
      <c r="C2186">
        <f>'OPEN FOREIGN ORDER'!Z1812</f>
        <v>0</v>
      </c>
      <c r="D2186" s="123">
        <f>'OPEN FOREIGN ORDER'!AA1812</f>
        <v>0</v>
      </c>
      <c r="E2186" s="112">
        <f>'OPEN FOREIGN ORDER'!AB1812</f>
        <v>0</v>
      </c>
      <c r="F2186" s="112">
        <f>'OPEN FOREIGN ORDER'!AC1812</f>
        <v>0</v>
      </c>
      <c r="G2186" s="112">
        <f>'OPEN FOREIGN ORDER'!AD1812</f>
        <v>0</v>
      </c>
      <c r="H2186" s="112">
        <f>'OPEN FOREIGN ORDER'!AE1812</f>
        <v>0</v>
      </c>
      <c r="I2186" s="112">
        <f>'OPEN FOREIGN ORDER'!AF1812</f>
        <v>0</v>
      </c>
      <c r="J2186" s="112">
        <f>'OPEN FOREIGN ORDER'!AG1812</f>
        <v>0</v>
      </c>
    </row>
    <row r="2187" spans="1:10">
      <c r="A2187">
        <f>'OPEN FOREIGN ORDER'!D1813</f>
        <v>0</v>
      </c>
      <c r="B2187">
        <f>'OPEN FOREIGN ORDER'!F1813</f>
        <v>0</v>
      </c>
      <c r="C2187">
        <f>'OPEN FOREIGN ORDER'!Z1813</f>
        <v>0</v>
      </c>
      <c r="D2187" s="123">
        <f>'OPEN FOREIGN ORDER'!AA1813</f>
        <v>0</v>
      </c>
      <c r="E2187" s="112">
        <f>'OPEN FOREIGN ORDER'!AB1813</f>
        <v>0</v>
      </c>
      <c r="F2187" s="112">
        <f>'OPEN FOREIGN ORDER'!AC1813</f>
        <v>0</v>
      </c>
      <c r="G2187" s="112">
        <f>'OPEN FOREIGN ORDER'!AD1813</f>
        <v>0</v>
      </c>
      <c r="H2187" s="112">
        <f>'OPEN FOREIGN ORDER'!AE1813</f>
        <v>0</v>
      </c>
      <c r="I2187" s="112">
        <f>'OPEN FOREIGN ORDER'!AF1813</f>
        <v>0</v>
      </c>
      <c r="J2187" s="112">
        <f>'OPEN FOREIGN ORDER'!AG1813</f>
        <v>0</v>
      </c>
    </row>
    <row r="2188" spans="1:10">
      <c r="A2188">
        <f>'OPEN FOREIGN ORDER'!D1814</f>
        <v>0</v>
      </c>
      <c r="B2188">
        <f>'OPEN FOREIGN ORDER'!F1814</f>
        <v>0</v>
      </c>
      <c r="C2188">
        <f>'OPEN FOREIGN ORDER'!Z1814</f>
        <v>0</v>
      </c>
      <c r="D2188" s="123">
        <f>'OPEN FOREIGN ORDER'!AA1814</f>
        <v>0</v>
      </c>
      <c r="E2188" s="112">
        <f>'OPEN FOREIGN ORDER'!AB1814</f>
        <v>0</v>
      </c>
      <c r="F2188" s="112">
        <f>'OPEN FOREIGN ORDER'!AC1814</f>
        <v>0</v>
      </c>
      <c r="G2188" s="112">
        <f>'OPEN FOREIGN ORDER'!AD1814</f>
        <v>0</v>
      </c>
      <c r="H2188" s="112">
        <f>'OPEN FOREIGN ORDER'!AE1814</f>
        <v>0</v>
      </c>
      <c r="I2188" s="112">
        <f>'OPEN FOREIGN ORDER'!AF1814</f>
        <v>0</v>
      </c>
      <c r="J2188" s="112">
        <f>'OPEN FOREIGN ORDER'!AG1814</f>
        <v>0</v>
      </c>
    </row>
    <row r="2189" spans="1:10">
      <c r="A2189">
        <f>'OPEN FOREIGN ORDER'!D1815</f>
        <v>0</v>
      </c>
      <c r="B2189">
        <f>'OPEN FOREIGN ORDER'!F1815</f>
        <v>0</v>
      </c>
      <c r="C2189">
        <f>'OPEN FOREIGN ORDER'!Z1815</f>
        <v>0</v>
      </c>
      <c r="D2189" s="123">
        <f>'OPEN FOREIGN ORDER'!AA1815</f>
        <v>0</v>
      </c>
      <c r="E2189" s="112">
        <f>'OPEN FOREIGN ORDER'!AB1815</f>
        <v>0</v>
      </c>
      <c r="F2189" s="112">
        <f>'OPEN FOREIGN ORDER'!AC1815</f>
        <v>0</v>
      </c>
      <c r="G2189" s="112">
        <f>'OPEN FOREIGN ORDER'!AD1815</f>
        <v>0</v>
      </c>
      <c r="H2189" s="112">
        <f>'OPEN FOREIGN ORDER'!AE1815</f>
        <v>0</v>
      </c>
      <c r="I2189" s="112">
        <f>'OPEN FOREIGN ORDER'!AF1815</f>
        <v>0</v>
      </c>
      <c r="J2189" s="112">
        <f>'OPEN FOREIGN ORDER'!AG1815</f>
        <v>0</v>
      </c>
    </row>
    <row r="2190" spans="1:10">
      <c r="A2190">
        <f>'OPEN FOREIGN ORDER'!D1816</f>
        <v>0</v>
      </c>
      <c r="B2190">
        <f>'OPEN FOREIGN ORDER'!F1816</f>
        <v>0</v>
      </c>
      <c r="C2190">
        <f>'OPEN FOREIGN ORDER'!Z1816</f>
        <v>0</v>
      </c>
      <c r="D2190" s="123">
        <f>'OPEN FOREIGN ORDER'!AA1816</f>
        <v>0</v>
      </c>
      <c r="E2190" s="112">
        <f>'OPEN FOREIGN ORDER'!AB1816</f>
        <v>0</v>
      </c>
      <c r="F2190" s="112">
        <f>'OPEN FOREIGN ORDER'!AC1816</f>
        <v>0</v>
      </c>
      <c r="G2190" s="112">
        <f>'OPEN FOREIGN ORDER'!AD1816</f>
        <v>0</v>
      </c>
      <c r="H2190" s="112">
        <f>'OPEN FOREIGN ORDER'!AE1816</f>
        <v>0</v>
      </c>
      <c r="I2190" s="112">
        <f>'OPEN FOREIGN ORDER'!AF1816</f>
        <v>0</v>
      </c>
      <c r="J2190" s="112">
        <f>'OPEN FOREIGN ORDER'!AG1816</f>
        <v>0</v>
      </c>
    </row>
    <row r="2191" spans="1:10">
      <c r="A2191">
        <f>'OPEN FOREIGN ORDER'!D1817</f>
        <v>0</v>
      </c>
      <c r="B2191">
        <f>'OPEN FOREIGN ORDER'!F1817</f>
        <v>0</v>
      </c>
      <c r="C2191">
        <f>'OPEN FOREIGN ORDER'!Z1817</f>
        <v>0</v>
      </c>
      <c r="D2191" s="123">
        <f>'OPEN FOREIGN ORDER'!AA1817</f>
        <v>0</v>
      </c>
      <c r="E2191" s="112">
        <f>'OPEN FOREIGN ORDER'!AB1817</f>
        <v>0</v>
      </c>
      <c r="F2191" s="112">
        <f>'OPEN FOREIGN ORDER'!AC1817</f>
        <v>0</v>
      </c>
      <c r="G2191" s="112">
        <f>'OPEN FOREIGN ORDER'!AD1817</f>
        <v>0</v>
      </c>
      <c r="H2191" s="112">
        <f>'OPEN FOREIGN ORDER'!AE1817</f>
        <v>0</v>
      </c>
      <c r="I2191" s="112">
        <f>'OPEN FOREIGN ORDER'!AF1817</f>
        <v>0</v>
      </c>
      <c r="J2191" s="112">
        <f>'OPEN FOREIGN ORDER'!AG1817</f>
        <v>0</v>
      </c>
    </row>
    <row r="2192" spans="1:10">
      <c r="A2192">
        <f>'OPEN FOREIGN ORDER'!D1818</f>
        <v>0</v>
      </c>
      <c r="B2192">
        <f>'OPEN FOREIGN ORDER'!F1818</f>
        <v>0</v>
      </c>
      <c r="C2192">
        <f>'OPEN FOREIGN ORDER'!Z1818</f>
        <v>0</v>
      </c>
      <c r="D2192" s="123">
        <f>'OPEN FOREIGN ORDER'!AA1818</f>
        <v>0</v>
      </c>
      <c r="E2192" s="112">
        <f>'OPEN FOREIGN ORDER'!AB1818</f>
        <v>0</v>
      </c>
      <c r="F2192" s="112">
        <f>'OPEN FOREIGN ORDER'!AC1818</f>
        <v>0</v>
      </c>
      <c r="G2192" s="112">
        <f>'OPEN FOREIGN ORDER'!AD1818</f>
        <v>0</v>
      </c>
      <c r="H2192" s="112">
        <f>'OPEN FOREIGN ORDER'!AE1818</f>
        <v>0</v>
      </c>
      <c r="I2192" s="112">
        <f>'OPEN FOREIGN ORDER'!AF1818</f>
        <v>0</v>
      </c>
      <c r="J2192" s="112">
        <f>'OPEN FOREIGN ORDER'!AG1818</f>
        <v>0</v>
      </c>
    </row>
    <row r="2193" spans="1:10">
      <c r="A2193">
        <f>'OPEN FOREIGN ORDER'!D1819</f>
        <v>0</v>
      </c>
      <c r="B2193">
        <f>'OPEN FOREIGN ORDER'!F1819</f>
        <v>0</v>
      </c>
      <c r="C2193">
        <f>'OPEN FOREIGN ORDER'!Z1819</f>
        <v>0</v>
      </c>
      <c r="D2193" s="123">
        <f>'OPEN FOREIGN ORDER'!AA1819</f>
        <v>0</v>
      </c>
      <c r="E2193" s="112">
        <f>'OPEN FOREIGN ORDER'!AB1819</f>
        <v>0</v>
      </c>
      <c r="F2193" s="112">
        <f>'OPEN FOREIGN ORDER'!AC1819</f>
        <v>0</v>
      </c>
      <c r="G2193" s="112">
        <f>'OPEN FOREIGN ORDER'!AD1819</f>
        <v>0</v>
      </c>
      <c r="H2193" s="112">
        <f>'OPEN FOREIGN ORDER'!AE1819</f>
        <v>0</v>
      </c>
      <c r="I2193" s="112">
        <f>'OPEN FOREIGN ORDER'!AF1819</f>
        <v>0</v>
      </c>
      <c r="J2193" s="112">
        <f>'OPEN FOREIGN ORDER'!AG1819</f>
        <v>0</v>
      </c>
    </row>
    <row r="2194" spans="1:10">
      <c r="A2194">
        <f>'OPEN FOREIGN ORDER'!D1820</f>
        <v>0</v>
      </c>
      <c r="B2194">
        <f>'OPEN FOREIGN ORDER'!F1820</f>
        <v>0</v>
      </c>
      <c r="C2194">
        <f>'OPEN FOREIGN ORDER'!Z1820</f>
        <v>0</v>
      </c>
      <c r="D2194" s="123">
        <f>'OPEN FOREIGN ORDER'!AA1820</f>
        <v>0</v>
      </c>
      <c r="E2194" s="112">
        <f>'OPEN FOREIGN ORDER'!AB1820</f>
        <v>0</v>
      </c>
      <c r="F2194" s="112">
        <f>'OPEN FOREIGN ORDER'!AC1820</f>
        <v>0</v>
      </c>
      <c r="G2194" s="112">
        <f>'OPEN FOREIGN ORDER'!AD1820</f>
        <v>0</v>
      </c>
      <c r="H2194" s="112">
        <f>'OPEN FOREIGN ORDER'!AE1820</f>
        <v>0</v>
      </c>
      <c r="I2194" s="112">
        <f>'OPEN FOREIGN ORDER'!AF1820</f>
        <v>0</v>
      </c>
      <c r="J2194" s="112">
        <f>'OPEN FOREIGN ORDER'!AG1820</f>
        <v>0</v>
      </c>
    </row>
    <row r="2195" spans="1:10">
      <c r="A2195">
        <f>'OPEN FOREIGN ORDER'!D1821</f>
        <v>0</v>
      </c>
      <c r="B2195">
        <f>'OPEN FOREIGN ORDER'!F1821</f>
        <v>0</v>
      </c>
      <c r="C2195">
        <f>'OPEN FOREIGN ORDER'!Z1821</f>
        <v>0</v>
      </c>
      <c r="D2195" s="123">
        <f>'OPEN FOREIGN ORDER'!AA1821</f>
        <v>0</v>
      </c>
      <c r="E2195" s="112">
        <f>'OPEN FOREIGN ORDER'!AB1821</f>
        <v>0</v>
      </c>
      <c r="F2195" s="112">
        <f>'OPEN FOREIGN ORDER'!AC1821</f>
        <v>0</v>
      </c>
      <c r="G2195" s="112">
        <f>'OPEN FOREIGN ORDER'!AD1821</f>
        <v>0</v>
      </c>
      <c r="H2195" s="112">
        <f>'OPEN FOREIGN ORDER'!AE1821</f>
        <v>0</v>
      </c>
      <c r="I2195" s="112">
        <f>'OPEN FOREIGN ORDER'!AF1821</f>
        <v>0</v>
      </c>
      <c r="J2195" s="112">
        <f>'OPEN FOREIGN ORDER'!AG1821</f>
        <v>0</v>
      </c>
    </row>
    <row r="2196" spans="1:10">
      <c r="A2196">
        <f>'OPEN FOREIGN ORDER'!D1822</f>
        <v>0</v>
      </c>
      <c r="B2196">
        <f>'OPEN FOREIGN ORDER'!F1822</f>
        <v>0</v>
      </c>
      <c r="C2196">
        <f>'OPEN FOREIGN ORDER'!Z1822</f>
        <v>0</v>
      </c>
      <c r="D2196" s="123">
        <f>'OPEN FOREIGN ORDER'!AA1822</f>
        <v>0</v>
      </c>
      <c r="E2196" s="112">
        <f>'OPEN FOREIGN ORDER'!AB1822</f>
        <v>0</v>
      </c>
      <c r="F2196" s="112">
        <f>'OPEN FOREIGN ORDER'!AC1822</f>
        <v>0</v>
      </c>
      <c r="G2196" s="112">
        <f>'OPEN FOREIGN ORDER'!AD1822</f>
        <v>0</v>
      </c>
      <c r="H2196" s="112">
        <f>'OPEN FOREIGN ORDER'!AE1822</f>
        <v>0</v>
      </c>
      <c r="I2196" s="112">
        <f>'OPEN FOREIGN ORDER'!AF1822</f>
        <v>0</v>
      </c>
      <c r="J2196" s="112">
        <f>'OPEN FOREIGN ORDER'!AG1822</f>
        <v>0</v>
      </c>
    </row>
    <row r="2197" spans="1:10">
      <c r="A2197">
        <f>'OPEN FOREIGN ORDER'!D1823</f>
        <v>0</v>
      </c>
      <c r="B2197">
        <f>'OPEN FOREIGN ORDER'!F1823</f>
        <v>0</v>
      </c>
      <c r="C2197">
        <f>'OPEN FOREIGN ORDER'!Z1823</f>
        <v>0</v>
      </c>
      <c r="D2197" s="123">
        <f>'OPEN FOREIGN ORDER'!AA1823</f>
        <v>0</v>
      </c>
      <c r="E2197" s="112">
        <f>'OPEN FOREIGN ORDER'!AB1823</f>
        <v>0</v>
      </c>
      <c r="F2197" s="112">
        <f>'OPEN FOREIGN ORDER'!AC1823</f>
        <v>0</v>
      </c>
      <c r="G2197" s="112">
        <f>'OPEN FOREIGN ORDER'!AD1823</f>
        <v>0</v>
      </c>
      <c r="H2197" s="112">
        <f>'OPEN FOREIGN ORDER'!AE1823</f>
        <v>0</v>
      </c>
      <c r="I2197" s="112">
        <f>'OPEN FOREIGN ORDER'!AF1823</f>
        <v>0</v>
      </c>
      <c r="J2197" s="112">
        <f>'OPEN FOREIGN ORDER'!AG1823</f>
        <v>0</v>
      </c>
    </row>
    <row r="2198" spans="1:10">
      <c r="A2198">
        <f>'OPEN FOREIGN ORDER'!D1824</f>
        <v>0</v>
      </c>
      <c r="B2198">
        <f>'OPEN FOREIGN ORDER'!F1824</f>
        <v>0</v>
      </c>
      <c r="C2198">
        <f>'OPEN FOREIGN ORDER'!Z1824</f>
        <v>0</v>
      </c>
      <c r="D2198" s="123">
        <f>'OPEN FOREIGN ORDER'!AA1824</f>
        <v>0</v>
      </c>
      <c r="E2198" s="112">
        <f>'OPEN FOREIGN ORDER'!AB1824</f>
        <v>0</v>
      </c>
      <c r="F2198" s="112">
        <f>'OPEN FOREIGN ORDER'!AC1824</f>
        <v>0</v>
      </c>
      <c r="G2198" s="112">
        <f>'OPEN FOREIGN ORDER'!AD1824</f>
        <v>0</v>
      </c>
      <c r="H2198" s="112">
        <f>'OPEN FOREIGN ORDER'!AE1824</f>
        <v>0</v>
      </c>
      <c r="I2198" s="112">
        <f>'OPEN FOREIGN ORDER'!AF1824</f>
        <v>0</v>
      </c>
      <c r="J2198" s="112">
        <f>'OPEN FOREIGN ORDER'!AG1824</f>
        <v>0</v>
      </c>
    </row>
    <row r="2199" spans="1:10">
      <c r="A2199">
        <f>'OPEN FOREIGN ORDER'!D1825</f>
        <v>0</v>
      </c>
      <c r="B2199">
        <f>'OPEN FOREIGN ORDER'!F1825</f>
        <v>0</v>
      </c>
      <c r="C2199">
        <f>'OPEN FOREIGN ORDER'!Z1825</f>
        <v>0</v>
      </c>
      <c r="D2199" s="123">
        <f>'OPEN FOREIGN ORDER'!AA1825</f>
        <v>0</v>
      </c>
      <c r="E2199" s="112">
        <f>'OPEN FOREIGN ORDER'!AB1825</f>
        <v>0</v>
      </c>
      <c r="F2199" s="112">
        <f>'OPEN FOREIGN ORDER'!AC1825</f>
        <v>0</v>
      </c>
      <c r="G2199" s="112">
        <f>'OPEN FOREIGN ORDER'!AD1825</f>
        <v>0</v>
      </c>
      <c r="H2199" s="112">
        <f>'OPEN FOREIGN ORDER'!AE1825</f>
        <v>0</v>
      </c>
      <c r="I2199" s="112">
        <f>'OPEN FOREIGN ORDER'!AF1825</f>
        <v>0</v>
      </c>
      <c r="J2199" s="112">
        <f>'OPEN FOREIGN ORDER'!AG1825</f>
        <v>0</v>
      </c>
    </row>
    <row r="2200" spans="1:10">
      <c r="A2200">
        <f>'OPEN FOREIGN ORDER'!D1826</f>
        <v>0</v>
      </c>
      <c r="B2200">
        <f>'OPEN FOREIGN ORDER'!F1826</f>
        <v>0</v>
      </c>
      <c r="C2200">
        <f>'OPEN FOREIGN ORDER'!Z1826</f>
        <v>0</v>
      </c>
      <c r="D2200" s="123">
        <f>'OPEN FOREIGN ORDER'!AA1826</f>
        <v>0</v>
      </c>
      <c r="E2200" s="112">
        <f>'OPEN FOREIGN ORDER'!AB1826</f>
        <v>0</v>
      </c>
      <c r="F2200" s="112">
        <f>'OPEN FOREIGN ORDER'!AC1826</f>
        <v>0</v>
      </c>
      <c r="G2200" s="112">
        <f>'OPEN FOREIGN ORDER'!AD1826</f>
        <v>0</v>
      </c>
      <c r="H2200" s="112">
        <f>'OPEN FOREIGN ORDER'!AE1826</f>
        <v>0</v>
      </c>
      <c r="I2200" s="112">
        <f>'OPEN FOREIGN ORDER'!AF1826</f>
        <v>0</v>
      </c>
      <c r="J2200" s="112">
        <f>'OPEN FOREIGN ORDER'!AG1826</f>
        <v>0</v>
      </c>
    </row>
    <row r="2201" spans="1:10">
      <c r="A2201">
        <f>'OPEN FOREIGN ORDER'!D1827</f>
        <v>0</v>
      </c>
      <c r="B2201">
        <f>'OPEN FOREIGN ORDER'!F1827</f>
        <v>0</v>
      </c>
      <c r="C2201">
        <f>'OPEN FOREIGN ORDER'!Z1827</f>
        <v>0</v>
      </c>
      <c r="D2201" s="123">
        <f>'OPEN FOREIGN ORDER'!AA1827</f>
        <v>0</v>
      </c>
      <c r="E2201" s="112">
        <f>'OPEN FOREIGN ORDER'!AB1827</f>
        <v>0</v>
      </c>
      <c r="F2201" s="112">
        <f>'OPEN FOREIGN ORDER'!AC1827</f>
        <v>0</v>
      </c>
      <c r="G2201" s="112">
        <f>'OPEN FOREIGN ORDER'!AD1827</f>
        <v>0</v>
      </c>
      <c r="H2201" s="112">
        <f>'OPEN FOREIGN ORDER'!AE1827</f>
        <v>0</v>
      </c>
      <c r="I2201" s="112">
        <f>'OPEN FOREIGN ORDER'!AF1827</f>
        <v>0</v>
      </c>
      <c r="J2201" s="112">
        <f>'OPEN FOREIGN ORDER'!AG1827</f>
        <v>0</v>
      </c>
    </row>
    <row r="2202" spans="1:10">
      <c r="A2202">
        <f>'OPEN FOREIGN ORDER'!D1828</f>
        <v>0</v>
      </c>
      <c r="B2202">
        <f>'OPEN FOREIGN ORDER'!F1828</f>
        <v>0</v>
      </c>
      <c r="C2202">
        <f>'OPEN FOREIGN ORDER'!Z1828</f>
        <v>0</v>
      </c>
      <c r="D2202" s="123">
        <f>'OPEN FOREIGN ORDER'!AA1828</f>
        <v>0</v>
      </c>
      <c r="E2202" s="112">
        <f>'OPEN FOREIGN ORDER'!AB1828</f>
        <v>0</v>
      </c>
      <c r="F2202" s="112">
        <f>'OPEN FOREIGN ORDER'!AC1828</f>
        <v>0</v>
      </c>
      <c r="G2202" s="112">
        <f>'OPEN FOREIGN ORDER'!AD1828</f>
        <v>0</v>
      </c>
      <c r="H2202" s="112">
        <f>'OPEN FOREIGN ORDER'!AE1828</f>
        <v>0</v>
      </c>
      <c r="I2202" s="112">
        <f>'OPEN FOREIGN ORDER'!AF1828</f>
        <v>0</v>
      </c>
      <c r="J2202" s="112">
        <f>'OPEN FOREIGN ORDER'!AG1828</f>
        <v>0</v>
      </c>
    </row>
    <row r="2203" spans="1:10">
      <c r="A2203">
        <f>'OPEN FOREIGN ORDER'!D1829</f>
        <v>0</v>
      </c>
      <c r="B2203">
        <f>'OPEN FOREIGN ORDER'!F1829</f>
        <v>0</v>
      </c>
      <c r="C2203">
        <f>'OPEN FOREIGN ORDER'!Z1829</f>
        <v>0</v>
      </c>
      <c r="D2203" s="123">
        <f>'OPEN FOREIGN ORDER'!AA1829</f>
        <v>0</v>
      </c>
      <c r="E2203" s="112">
        <f>'OPEN FOREIGN ORDER'!AB1829</f>
        <v>0</v>
      </c>
      <c r="F2203" s="112">
        <f>'OPEN FOREIGN ORDER'!AC1829</f>
        <v>0</v>
      </c>
      <c r="G2203" s="112">
        <f>'OPEN FOREIGN ORDER'!AD1829</f>
        <v>0</v>
      </c>
      <c r="H2203" s="112">
        <f>'OPEN FOREIGN ORDER'!AE1829</f>
        <v>0</v>
      </c>
      <c r="I2203" s="112">
        <f>'OPEN FOREIGN ORDER'!AF1829</f>
        <v>0</v>
      </c>
      <c r="J2203" s="112">
        <f>'OPEN FOREIGN ORDER'!AG1829</f>
        <v>0</v>
      </c>
    </row>
    <row r="2204" spans="1:10">
      <c r="A2204">
        <f>'OPEN FOREIGN ORDER'!D1830</f>
        <v>0</v>
      </c>
      <c r="B2204">
        <f>'OPEN FOREIGN ORDER'!F1830</f>
        <v>0</v>
      </c>
      <c r="C2204">
        <f>'OPEN FOREIGN ORDER'!Z1830</f>
        <v>0</v>
      </c>
      <c r="D2204" s="123">
        <f>'OPEN FOREIGN ORDER'!AA1830</f>
        <v>0</v>
      </c>
      <c r="E2204" s="112">
        <f>'OPEN FOREIGN ORDER'!AB1830</f>
        <v>0</v>
      </c>
      <c r="F2204" s="112">
        <f>'OPEN FOREIGN ORDER'!AC1830</f>
        <v>0</v>
      </c>
      <c r="G2204" s="112">
        <f>'OPEN FOREIGN ORDER'!AD1830</f>
        <v>0</v>
      </c>
      <c r="H2204" s="112">
        <f>'OPEN FOREIGN ORDER'!AE1830</f>
        <v>0</v>
      </c>
      <c r="I2204" s="112">
        <f>'OPEN FOREIGN ORDER'!AF1830</f>
        <v>0</v>
      </c>
      <c r="J2204" s="112">
        <f>'OPEN FOREIGN ORDER'!AG1830</f>
        <v>0</v>
      </c>
    </row>
    <row r="2205" spans="1:10">
      <c r="A2205">
        <f>'OPEN FOREIGN ORDER'!D1831</f>
        <v>0</v>
      </c>
      <c r="B2205">
        <f>'OPEN FOREIGN ORDER'!F1831</f>
        <v>0</v>
      </c>
      <c r="C2205">
        <f>'OPEN FOREIGN ORDER'!Z1831</f>
        <v>0</v>
      </c>
      <c r="D2205" s="123">
        <f>'OPEN FOREIGN ORDER'!AA1831</f>
        <v>0</v>
      </c>
      <c r="E2205" s="112">
        <f>'OPEN FOREIGN ORDER'!AB1831</f>
        <v>0</v>
      </c>
      <c r="F2205" s="112">
        <f>'OPEN FOREIGN ORDER'!AC1831</f>
        <v>0</v>
      </c>
      <c r="G2205" s="112">
        <f>'OPEN FOREIGN ORDER'!AD1831</f>
        <v>0</v>
      </c>
      <c r="H2205" s="112">
        <f>'OPEN FOREIGN ORDER'!AE1831</f>
        <v>0</v>
      </c>
      <c r="I2205" s="112">
        <f>'OPEN FOREIGN ORDER'!AF1831</f>
        <v>0</v>
      </c>
      <c r="J2205" s="112">
        <f>'OPEN FOREIGN ORDER'!AG1831</f>
        <v>0</v>
      </c>
    </row>
    <row r="2206" spans="1:10">
      <c r="A2206">
        <f>'OPEN FOREIGN ORDER'!D1832</f>
        <v>0</v>
      </c>
      <c r="B2206">
        <f>'OPEN FOREIGN ORDER'!F1832</f>
        <v>0</v>
      </c>
      <c r="C2206">
        <f>'OPEN FOREIGN ORDER'!Z1832</f>
        <v>0</v>
      </c>
      <c r="D2206" s="123">
        <f>'OPEN FOREIGN ORDER'!AA1832</f>
        <v>0</v>
      </c>
      <c r="E2206" s="112">
        <f>'OPEN FOREIGN ORDER'!AB1832</f>
        <v>0</v>
      </c>
      <c r="F2206" s="112">
        <f>'OPEN FOREIGN ORDER'!AC1832</f>
        <v>0</v>
      </c>
      <c r="G2206" s="112">
        <f>'OPEN FOREIGN ORDER'!AD1832</f>
        <v>0</v>
      </c>
      <c r="H2206" s="112">
        <f>'OPEN FOREIGN ORDER'!AE1832</f>
        <v>0</v>
      </c>
      <c r="I2206" s="112">
        <f>'OPEN FOREIGN ORDER'!AF1832</f>
        <v>0</v>
      </c>
      <c r="J2206" s="112">
        <f>'OPEN FOREIGN ORDER'!AG1832</f>
        <v>0</v>
      </c>
    </row>
    <row r="2207" spans="1:10">
      <c r="A2207">
        <f>'OPEN FOREIGN ORDER'!D1833</f>
        <v>0</v>
      </c>
      <c r="B2207">
        <f>'OPEN FOREIGN ORDER'!F1833</f>
        <v>0</v>
      </c>
      <c r="C2207">
        <f>'OPEN FOREIGN ORDER'!Z1833</f>
        <v>0</v>
      </c>
      <c r="D2207" s="123">
        <f>'OPEN FOREIGN ORDER'!AA1833</f>
        <v>0</v>
      </c>
      <c r="E2207" s="112">
        <f>'OPEN FOREIGN ORDER'!AB1833</f>
        <v>0</v>
      </c>
      <c r="F2207" s="112">
        <f>'OPEN FOREIGN ORDER'!AC1833</f>
        <v>0</v>
      </c>
      <c r="G2207" s="112">
        <f>'OPEN FOREIGN ORDER'!AD1833</f>
        <v>0</v>
      </c>
      <c r="H2207" s="112">
        <f>'OPEN FOREIGN ORDER'!AE1833</f>
        <v>0</v>
      </c>
      <c r="I2207" s="112">
        <f>'OPEN FOREIGN ORDER'!AF1833</f>
        <v>0</v>
      </c>
      <c r="J2207" s="112">
        <f>'OPEN FOREIGN ORDER'!AG1833</f>
        <v>0</v>
      </c>
    </row>
    <row r="2208" spans="1:10">
      <c r="A2208">
        <f>'OPEN FOREIGN ORDER'!D1834</f>
        <v>0</v>
      </c>
      <c r="B2208">
        <f>'OPEN FOREIGN ORDER'!F1834</f>
        <v>0</v>
      </c>
      <c r="C2208">
        <f>'OPEN FOREIGN ORDER'!Z1834</f>
        <v>0</v>
      </c>
      <c r="D2208" s="123">
        <f>'OPEN FOREIGN ORDER'!AA1834</f>
        <v>0</v>
      </c>
      <c r="E2208" s="112">
        <f>'OPEN FOREIGN ORDER'!AB1834</f>
        <v>0</v>
      </c>
      <c r="F2208" s="112">
        <f>'OPEN FOREIGN ORDER'!AC1834</f>
        <v>0</v>
      </c>
      <c r="G2208" s="112">
        <f>'OPEN FOREIGN ORDER'!AD1834</f>
        <v>0</v>
      </c>
      <c r="H2208" s="112">
        <f>'OPEN FOREIGN ORDER'!AE1834</f>
        <v>0</v>
      </c>
      <c r="I2208" s="112">
        <f>'OPEN FOREIGN ORDER'!AF1834</f>
        <v>0</v>
      </c>
      <c r="J2208" s="112">
        <f>'OPEN FOREIGN ORDER'!AG1834</f>
        <v>0</v>
      </c>
    </row>
    <row r="2209" spans="1:10">
      <c r="A2209">
        <f>'OPEN FOREIGN ORDER'!D1835</f>
        <v>0</v>
      </c>
      <c r="B2209">
        <f>'OPEN FOREIGN ORDER'!F1835</f>
        <v>0</v>
      </c>
      <c r="C2209">
        <f>'OPEN FOREIGN ORDER'!Z1835</f>
        <v>0</v>
      </c>
      <c r="D2209" s="123">
        <f>'OPEN FOREIGN ORDER'!AA1835</f>
        <v>0</v>
      </c>
      <c r="E2209" s="112">
        <f>'OPEN FOREIGN ORDER'!AB1835</f>
        <v>0</v>
      </c>
      <c r="F2209" s="112">
        <f>'OPEN FOREIGN ORDER'!AC1835</f>
        <v>0</v>
      </c>
      <c r="G2209" s="112">
        <f>'OPEN FOREIGN ORDER'!AD1835</f>
        <v>0</v>
      </c>
      <c r="H2209" s="112">
        <f>'OPEN FOREIGN ORDER'!AE1835</f>
        <v>0</v>
      </c>
      <c r="I2209" s="112">
        <f>'OPEN FOREIGN ORDER'!AF1835</f>
        <v>0</v>
      </c>
      <c r="J2209" s="112">
        <f>'OPEN FOREIGN ORDER'!AG1835</f>
        <v>0</v>
      </c>
    </row>
    <row r="2210" spans="1:10">
      <c r="A2210">
        <f>'OPEN FOREIGN ORDER'!D1836</f>
        <v>0</v>
      </c>
      <c r="B2210">
        <f>'OPEN FOREIGN ORDER'!F1836</f>
        <v>0</v>
      </c>
      <c r="C2210">
        <f>'OPEN FOREIGN ORDER'!Z1836</f>
        <v>0</v>
      </c>
      <c r="D2210" s="123">
        <f>'OPEN FOREIGN ORDER'!AA1836</f>
        <v>0</v>
      </c>
      <c r="E2210" s="112">
        <f>'OPEN FOREIGN ORDER'!AB1836</f>
        <v>0</v>
      </c>
      <c r="F2210" s="112">
        <f>'OPEN FOREIGN ORDER'!AC1836</f>
        <v>0</v>
      </c>
      <c r="G2210" s="112">
        <f>'OPEN FOREIGN ORDER'!AD1836</f>
        <v>0</v>
      </c>
      <c r="H2210" s="112">
        <f>'OPEN FOREIGN ORDER'!AE1836</f>
        <v>0</v>
      </c>
      <c r="I2210" s="112">
        <f>'OPEN FOREIGN ORDER'!AF1836</f>
        <v>0</v>
      </c>
      <c r="J2210" s="112">
        <f>'OPEN FOREIGN ORDER'!AG1836</f>
        <v>0</v>
      </c>
    </row>
    <row r="2211" spans="1:10">
      <c r="A2211">
        <f>'OPEN FOREIGN ORDER'!D1837</f>
        <v>0</v>
      </c>
      <c r="B2211">
        <f>'OPEN FOREIGN ORDER'!F1837</f>
        <v>0</v>
      </c>
      <c r="C2211">
        <f>'OPEN FOREIGN ORDER'!Z1837</f>
        <v>0</v>
      </c>
      <c r="D2211" s="123">
        <f>'OPEN FOREIGN ORDER'!AA1837</f>
        <v>0</v>
      </c>
      <c r="E2211" s="112">
        <f>'OPEN FOREIGN ORDER'!AB1837</f>
        <v>0</v>
      </c>
      <c r="F2211" s="112">
        <f>'OPEN FOREIGN ORDER'!AC1837</f>
        <v>0</v>
      </c>
      <c r="G2211" s="112">
        <f>'OPEN FOREIGN ORDER'!AD1837</f>
        <v>0</v>
      </c>
      <c r="H2211" s="112">
        <f>'OPEN FOREIGN ORDER'!AE1837</f>
        <v>0</v>
      </c>
      <c r="I2211" s="112">
        <f>'OPEN FOREIGN ORDER'!AF1837</f>
        <v>0</v>
      </c>
      <c r="J2211" s="112">
        <f>'OPEN FOREIGN ORDER'!AG1837</f>
        <v>0</v>
      </c>
    </row>
    <row r="2212" spans="1:10">
      <c r="A2212">
        <f>'OPEN FOREIGN ORDER'!D1838</f>
        <v>0</v>
      </c>
      <c r="B2212">
        <f>'OPEN FOREIGN ORDER'!F1838</f>
        <v>0</v>
      </c>
      <c r="C2212">
        <f>'OPEN FOREIGN ORDER'!Z1838</f>
        <v>0</v>
      </c>
      <c r="D2212" s="123">
        <f>'OPEN FOREIGN ORDER'!AA1838</f>
        <v>0</v>
      </c>
      <c r="E2212" s="112">
        <f>'OPEN FOREIGN ORDER'!AB1838</f>
        <v>0</v>
      </c>
      <c r="F2212" s="112">
        <f>'OPEN FOREIGN ORDER'!AC1838</f>
        <v>0</v>
      </c>
      <c r="G2212" s="112">
        <f>'OPEN FOREIGN ORDER'!AD1838</f>
        <v>0</v>
      </c>
      <c r="H2212" s="112">
        <f>'OPEN FOREIGN ORDER'!AE1838</f>
        <v>0</v>
      </c>
      <c r="I2212" s="112">
        <f>'OPEN FOREIGN ORDER'!AF1838</f>
        <v>0</v>
      </c>
      <c r="J2212" s="112">
        <f>'OPEN FOREIGN ORDER'!AG1838</f>
        <v>0</v>
      </c>
    </row>
    <row r="2213" spans="1:10">
      <c r="A2213">
        <f>'OPEN FOREIGN ORDER'!D1839</f>
        <v>0</v>
      </c>
      <c r="B2213">
        <f>'OPEN FOREIGN ORDER'!F1839</f>
        <v>0</v>
      </c>
      <c r="C2213">
        <f>'OPEN FOREIGN ORDER'!Z1839</f>
        <v>0</v>
      </c>
      <c r="D2213" s="123">
        <f>'OPEN FOREIGN ORDER'!AA1839</f>
        <v>0</v>
      </c>
      <c r="E2213" s="112">
        <f>'OPEN FOREIGN ORDER'!AB1839</f>
        <v>0</v>
      </c>
      <c r="F2213" s="112">
        <f>'OPEN FOREIGN ORDER'!AC1839</f>
        <v>0</v>
      </c>
      <c r="G2213" s="112">
        <f>'OPEN FOREIGN ORDER'!AD1839</f>
        <v>0</v>
      </c>
      <c r="H2213" s="112">
        <f>'OPEN FOREIGN ORDER'!AE1839</f>
        <v>0</v>
      </c>
      <c r="I2213" s="112">
        <f>'OPEN FOREIGN ORDER'!AF1839</f>
        <v>0</v>
      </c>
      <c r="J2213" s="112">
        <f>'OPEN FOREIGN ORDER'!AG1839</f>
        <v>0</v>
      </c>
    </row>
    <row r="2214" spans="1:10">
      <c r="A2214">
        <f>'OPEN FOREIGN ORDER'!D1840</f>
        <v>0</v>
      </c>
      <c r="B2214">
        <f>'OPEN FOREIGN ORDER'!F1840</f>
        <v>0</v>
      </c>
      <c r="C2214">
        <f>'OPEN FOREIGN ORDER'!Z1840</f>
        <v>0</v>
      </c>
      <c r="D2214" s="123">
        <f>'OPEN FOREIGN ORDER'!AA1840</f>
        <v>0</v>
      </c>
      <c r="E2214" s="112">
        <f>'OPEN FOREIGN ORDER'!AB1840</f>
        <v>0</v>
      </c>
      <c r="F2214" s="112">
        <f>'OPEN FOREIGN ORDER'!AC1840</f>
        <v>0</v>
      </c>
      <c r="G2214" s="112">
        <f>'OPEN FOREIGN ORDER'!AD1840</f>
        <v>0</v>
      </c>
      <c r="H2214" s="112">
        <f>'OPEN FOREIGN ORDER'!AE1840</f>
        <v>0</v>
      </c>
      <c r="I2214" s="112">
        <f>'OPEN FOREIGN ORDER'!AF1840</f>
        <v>0</v>
      </c>
      <c r="J2214" s="112">
        <f>'OPEN FOREIGN ORDER'!AG1840</f>
        <v>0</v>
      </c>
    </row>
    <row r="2215" spans="1:10">
      <c r="A2215">
        <f>'OPEN FOREIGN ORDER'!D1841</f>
        <v>0</v>
      </c>
      <c r="B2215">
        <f>'OPEN FOREIGN ORDER'!F1841</f>
        <v>0</v>
      </c>
      <c r="C2215">
        <f>'OPEN FOREIGN ORDER'!Z1841</f>
        <v>0</v>
      </c>
      <c r="D2215" s="123">
        <f>'OPEN FOREIGN ORDER'!AA1841</f>
        <v>0</v>
      </c>
      <c r="E2215" s="112">
        <f>'OPEN FOREIGN ORDER'!AB1841</f>
        <v>0</v>
      </c>
      <c r="F2215" s="112">
        <f>'OPEN FOREIGN ORDER'!AC1841</f>
        <v>0</v>
      </c>
      <c r="G2215" s="112">
        <f>'OPEN FOREIGN ORDER'!AD1841</f>
        <v>0</v>
      </c>
      <c r="H2215" s="112">
        <f>'OPEN FOREIGN ORDER'!AE1841</f>
        <v>0</v>
      </c>
      <c r="I2215" s="112">
        <f>'OPEN FOREIGN ORDER'!AF1841</f>
        <v>0</v>
      </c>
      <c r="J2215" s="112">
        <f>'OPEN FOREIGN ORDER'!AG1841</f>
        <v>0</v>
      </c>
    </row>
    <row r="2216" spans="1:10">
      <c r="A2216">
        <f>'OPEN FOREIGN ORDER'!D1842</f>
        <v>0</v>
      </c>
      <c r="B2216">
        <f>'OPEN FOREIGN ORDER'!F1842</f>
        <v>0</v>
      </c>
      <c r="C2216">
        <f>'OPEN FOREIGN ORDER'!Z1842</f>
        <v>0</v>
      </c>
      <c r="D2216" s="123">
        <f>'OPEN FOREIGN ORDER'!AA1842</f>
        <v>0</v>
      </c>
      <c r="E2216" s="112">
        <f>'OPEN FOREIGN ORDER'!AB1842</f>
        <v>0</v>
      </c>
      <c r="F2216" s="112">
        <f>'OPEN FOREIGN ORDER'!AC1842</f>
        <v>0</v>
      </c>
      <c r="G2216" s="112">
        <f>'OPEN FOREIGN ORDER'!AD1842</f>
        <v>0</v>
      </c>
      <c r="H2216" s="112">
        <f>'OPEN FOREIGN ORDER'!AE1842</f>
        <v>0</v>
      </c>
      <c r="I2216" s="112">
        <f>'OPEN FOREIGN ORDER'!AF1842</f>
        <v>0</v>
      </c>
      <c r="J2216" s="112">
        <f>'OPEN FOREIGN ORDER'!AG1842</f>
        <v>0</v>
      </c>
    </row>
    <row r="2217" spans="1:10">
      <c r="A2217">
        <f>'OPEN FOREIGN ORDER'!D1843</f>
        <v>0</v>
      </c>
      <c r="B2217">
        <f>'OPEN FOREIGN ORDER'!F1843</f>
        <v>0</v>
      </c>
      <c r="C2217">
        <f>'OPEN FOREIGN ORDER'!Z1843</f>
        <v>0</v>
      </c>
      <c r="D2217" s="123">
        <f>'OPEN FOREIGN ORDER'!AA1843</f>
        <v>0</v>
      </c>
      <c r="E2217" s="112">
        <f>'OPEN FOREIGN ORDER'!AB1843</f>
        <v>0</v>
      </c>
      <c r="F2217" s="112">
        <f>'OPEN FOREIGN ORDER'!AC1843</f>
        <v>0</v>
      </c>
      <c r="G2217" s="112">
        <f>'OPEN FOREIGN ORDER'!AD1843</f>
        <v>0</v>
      </c>
      <c r="H2217" s="112">
        <f>'OPEN FOREIGN ORDER'!AE1843</f>
        <v>0</v>
      </c>
      <c r="I2217" s="112">
        <f>'OPEN FOREIGN ORDER'!AF1843</f>
        <v>0</v>
      </c>
      <c r="J2217" s="112">
        <f>'OPEN FOREIGN ORDER'!AG1843</f>
        <v>0</v>
      </c>
    </row>
    <row r="2218" spans="1:10">
      <c r="A2218">
        <f>'OPEN FOREIGN ORDER'!D1844</f>
        <v>0</v>
      </c>
      <c r="B2218">
        <f>'OPEN FOREIGN ORDER'!F1844</f>
        <v>0</v>
      </c>
      <c r="C2218">
        <f>'OPEN FOREIGN ORDER'!Z1844</f>
        <v>0</v>
      </c>
      <c r="D2218" s="123">
        <f>'OPEN FOREIGN ORDER'!AA1844</f>
        <v>0</v>
      </c>
      <c r="E2218" s="112">
        <f>'OPEN FOREIGN ORDER'!AB1844</f>
        <v>0</v>
      </c>
      <c r="F2218" s="112">
        <f>'OPEN FOREIGN ORDER'!AC1844</f>
        <v>0</v>
      </c>
      <c r="G2218" s="112">
        <f>'OPEN FOREIGN ORDER'!AD1844</f>
        <v>0</v>
      </c>
      <c r="H2218" s="112">
        <f>'OPEN FOREIGN ORDER'!AE1844</f>
        <v>0</v>
      </c>
      <c r="I2218" s="112">
        <f>'OPEN FOREIGN ORDER'!AF1844</f>
        <v>0</v>
      </c>
      <c r="J2218" s="112">
        <f>'OPEN FOREIGN ORDER'!AG1844</f>
        <v>0</v>
      </c>
    </row>
    <row r="2219" spans="1:10">
      <c r="A2219">
        <f>'OPEN FOREIGN ORDER'!D1845</f>
        <v>0</v>
      </c>
      <c r="B2219">
        <f>'OPEN FOREIGN ORDER'!F1845</f>
        <v>0</v>
      </c>
      <c r="C2219">
        <f>'OPEN FOREIGN ORDER'!Z1845</f>
        <v>0</v>
      </c>
      <c r="D2219" s="123">
        <f>'OPEN FOREIGN ORDER'!AA1845</f>
        <v>0</v>
      </c>
      <c r="E2219" s="112">
        <f>'OPEN FOREIGN ORDER'!AB1845</f>
        <v>0</v>
      </c>
      <c r="F2219" s="112">
        <f>'OPEN FOREIGN ORDER'!AC1845</f>
        <v>0</v>
      </c>
      <c r="G2219" s="112">
        <f>'OPEN FOREIGN ORDER'!AD1845</f>
        <v>0</v>
      </c>
      <c r="H2219" s="112">
        <f>'OPEN FOREIGN ORDER'!AE1845</f>
        <v>0</v>
      </c>
      <c r="I2219" s="112">
        <f>'OPEN FOREIGN ORDER'!AF1845</f>
        <v>0</v>
      </c>
      <c r="J2219" s="112">
        <f>'OPEN FOREIGN ORDER'!AG1845</f>
        <v>0</v>
      </c>
    </row>
    <row r="2220" spans="1:10">
      <c r="A2220">
        <f>'OPEN FOREIGN ORDER'!D1846</f>
        <v>0</v>
      </c>
      <c r="B2220">
        <f>'OPEN FOREIGN ORDER'!F1846</f>
        <v>0</v>
      </c>
      <c r="C2220">
        <f>'OPEN FOREIGN ORDER'!Z1846</f>
        <v>0</v>
      </c>
      <c r="D2220" s="123">
        <f>'OPEN FOREIGN ORDER'!AA1846</f>
        <v>0</v>
      </c>
      <c r="E2220" s="112">
        <f>'OPEN FOREIGN ORDER'!AB1846</f>
        <v>0</v>
      </c>
      <c r="F2220" s="112">
        <f>'OPEN FOREIGN ORDER'!AC1846</f>
        <v>0</v>
      </c>
      <c r="G2220" s="112">
        <f>'OPEN FOREIGN ORDER'!AD1846</f>
        <v>0</v>
      </c>
      <c r="H2220" s="112">
        <f>'OPEN FOREIGN ORDER'!AE1846</f>
        <v>0</v>
      </c>
      <c r="I2220" s="112">
        <f>'OPEN FOREIGN ORDER'!AF1846</f>
        <v>0</v>
      </c>
      <c r="J2220" s="112">
        <f>'OPEN FOREIGN ORDER'!AG1846</f>
        <v>0</v>
      </c>
    </row>
    <row r="2221" spans="1:10">
      <c r="A2221">
        <f>'OPEN FOREIGN ORDER'!D1847</f>
        <v>0</v>
      </c>
      <c r="B2221">
        <f>'OPEN FOREIGN ORDER'!F1847</f>
        <v>0</v>
      </c>
      <c r="C2221">
        <f>'OPEN FOREIGN ORDER'!Z1847</f>
        <v>0</v>
      </c>
      <c r="D2221" s="123">
        <f>'OPEN FOREIGN ORDER'!AA1847</f>
        <v>0</v>
      </c>
      <c r="E2221" s="112">
        <f>'OPEN FOREIGN ORDER'!AB1847</f>
        <v>0</v>
      </c>
      <c r="F2221" s="112">
        <f>'OPEN FOREIGN ORDER'!AC1847</f>
        <v>0</v>
      </c>
      <c r="G2221" s="112">
        <f>'OPEN FOREIGN ORDER'!AD1847</f>
        <v>0</v>
      </c>
      <c r="H2221" s="112">
        <f>'OPEN FOREIGN ORDER'!AE1847</f>
        <v>0</v>
      </c>
      <c r="I2221" s="112">
        <f>'OPEN FOREIGN ORDER'!AF1847</f>
        <v>0</v>
      </c>
      <c r="J2221" s="112">
        <f>'OPEN FOREIGN ORDER'!AG1847</f>
        <v>0</v>
      </c>
    </row>
    <row r="2222" spans="1:10">
      <c r="A2222">
        <f>'OPEN FOREIGN ORDER'!D1848</f>
        <v>0</v>
      </c>
      <c r="B2222">
        <f>'OPEN FOREIGN ORDER'!F1848</f>
        <v>0</v>
      </c>
      <c r="C2222">
        <f>'OPEN FOREIGN ORDER'!Z1848</f>
        <v>0</v>
      </c>
      <c r="D2222" s="123">
        <f>'OPEN FOREIGN ORDER'!AA1848</f>
        <v>0</v>
      </c>
      <c r="E2222" s="112">
        <f>'OPEN FOREIGN ORDER'!AB1848</f>
        <v>0</v>
      </c>
      <c r="F2222" s="112">
        <f>'OPEN FOREIGN ORDER'!AC1848</f>
        <v>0</v>
      </c>
      <c r="G2222" s="112">
        <f>'OPEN FOREIGN ORDER'!AD1848</f>
        <v>0</v>
      </c>
      <c r="H2222" s="112">
        <f>'OPEN FOREIGN ORDER'!AE1848</f>
        <v>0</v>
      </c>
      <c r="I2222" s="112">
        <f>'OPEN FOREIGN ORDER'!AF1848</f>
        <v>0</v>
      </c>
      <c r="J2222" s="112">
        <f>'OPEN FOREIGN ORDER'!AG1848</f>
        <v>0</v>
      </c>
    </row>
    <row r="2223" spans="1:10">
      <c r="A2223">
        <f>'OPEN FOREIGN ORDER'!D1849</f>
        <v>0</v>
      </c>
      <c r="B2223">
        <f>'OPEN FOREIGN ORDER'!F1849</f>
        <v>0</v>
      </c>
      <c r="C2223">
        <f>'OPEN FOREIGN ORDER'!Z1849</f>
        <v>0</v>
      </c>
      <c r="D2223" s="123">
        <f>'OPEN FOREIGN ORDER'!AA1849</f>
        <v>0</v>
      </c>
      <c r="E2223" s="112">
        <f>'OPEN FOREIGN ORDER'!AB1849</f>
        <v>0</v>
      </c>
      <c r="F2223" s="112">
        <f>'OPEN FOREIGN ORDER'!AC1849</f>
        <v>0</v>
      </c>
      <c r="G2223" s="112">
        <f>'OPEN FOREIGN ORDER'!AD1849</f>
        <v>0</v>
      </c>
      <c r="H2223" s="112">
        <f>'OPEN FOREIGN ORDER'!AE1849</f>
        <v>0</v>
      </c>
      <c r="I2223" s="112">
        <f>'OPEN FOREIGN ORDER'!AF1849</f>
        <v>0</v>
      </c>
      <c r="J2223" s="112">
        <f>'OPEN FOREIGN ORDER'!AG1849</f>
        <v>0</v>
      </c>
    </row>
    <row r="2224" spans="1:10">
      <c r="A2224">
        <f>'OPEN FOREIGN ORDER'!D1850</f>
        <v>0</v>
      </c>
      <c r="B2224">
        <f>'OPEN FOREIGN ORDER'!F1850</f>
        <v>0</v>
      </c>
      <c r="C2224">
        <f>'OPEN FOREIGN ORDER'!Z1850</f>
        <v>0</v>
      </c>
      <c r="D2224" s="123">
        <f>'OPEN FOREIGN ORDER'!AA1850</f>
        <v>0</v>
      </c>
      <c r="E2224" s="112">
        <f>'OPEN FOREIGN ORDER'!AB1850</f>
        <v>0</v>
      </c>
      <c r="F2224" s="112">
        <f>'OPEN FOREIGN ORDER'!AC1850</f>
        <v>0</v>
      </c>
      <c r="G2224" s="112">
        <f>'OPEN FOREIGN ORDER'!AD1850</f>
        <v>0</v>
      </c>
      <c r="H2224" s="112">
        <f>'OPEN FOREIGN ORDER'!AE1850</f>
        <v>0</v>
      </c>
      <c r="I2224" s="112">
        <f>'OPEN FOREIGN ORDER'!AF1850</f>
        <v>0</v>
      </c>
      <c r="J2224" s="112">
        <f>'OPEN FOREIGN ORDER'!AG1850</f>
        <v>0</v>
      </c>
    </row>
    <row r="2225" spans="1:10">
      <c r="A2225">
        <f>'OPEN FOREIGN ORDER'!D1851</f>
        <v>0</v>
      </c>
      <c r="B2225">
        <f>'OPEN FOREIGN ORDER'!F1851</f>
        <v>0</v>
      </c>
      <c r="C2225">
        <f>'OPEN FOREIGN ORDER'!Z1851</f>
        <v>0</v>
      </c>
      <c r="D2225" s="123">
        <f>'OPEN FOREIGN ORDER'!AA1851</f>
        <v>0</v>
      </c>
      <c r="E2225" s="112">
        <f>'OPEN FOREIGN ORDER'!AB1851</f>
        <v>0</v>
      </c>
      <c r="F2225" s="112">
        <f>'OPEN FOREIGN ORDER'!AC1851</f>
        <v>0</v>
      </c>
      <c r="G2225" s="112">
        <f>'OPEN FOREIGN ORDER'!AD1851</f>
        <v>0</v>
      </c>
      <c r="H2225" s="112">
        <f>'OPEN FOREIGN ORDER'!AE1851</f>
        <v>0</v>
      </c>
      <c r="I2225" s="112">
        <f>'OPEN FOREIGN ORDER'!AF1851</f>
        <v>0</v>
      </c>
      <c r="J2225" s="112">
        <f>'OPEN FOREIGN ORDER'!AG1851</f>
        <v>0</v>
      </c>
    </row>
    <row r="2226" spans="1:10">
      <c r="A2226">
        <f>'OPEN FOREIGN ORDER'!D1852</f>
        <v>0</v>
      </c>
      <c r="B2226">
        <f>'OPEN FOREIGN ORDER'!F1852</f>
        <v>0</v>
      </c>
      <c r="C2226">
        <f>'OPEN FOREIGN ORDER'!Z1852</f>
        <v>0</v>
      </c>
      <c r="D2226" s="123">
        <f>'OPEN FOREIGN ORDER'!AA1852</f>
        <v>0</v>
      </c>
      <c r="E2226" s="112">
        <f>'OPEN FOREIGN ORDER'!AB1852</f>
        <v>0</v>
      </c>
      <c r="F2226" s="112">
        <f>'OPEN FOREIGN ORDER'!AC1852</f>
        <v>0</v>
      </c>
      <c r="G2226" s="112">
        <f>'OPEN FOREIGN ORDER'!AD1852</f>
        <v>0</v>
      </c>
      <c r="H2226" s="112">
        <f>'OPEN FOREIGN ORDER'!AE1852</f>
        <v>0</v>
      </c>
      <c r="I2226" s="112">
        <f>'OPEN FOREIGN ORDER'!AF1852</f>
        <v>0</v>
      </c>
      <c r="J2226" s="112">
        <f>'OPEN FOREIGN ORDER'!AG1852</f>
        <v>0</v>
      </c>
    </row>
    <row r="2227" spans="1:10">
      <c r="A2227">
        <f>'OPEN FOREIGN ORDER'!D1853</f>
        <v>0</v>
      </c>
      <c r="B2227">
        <f>'OPEN FOREIGN ORDER'!F1853</f>
        <v>0</v>
      </c>
      <c r="C2227">
        <f>'OPEN FOREIGN ORDER'!Z1853</f>
        <v>0</v>
      </c>
      <c r="D2227" s="123">
        <f>'OPEN FOREIGN ORDER'!AA1853</f>
        <v>0</v>
      </c>
      <c r="E2227" s="112">
        <f>'OPEN FOREIGN ORDER'!AB1853</f>
        <v>0</v>
      </c>
      <c r="F2227" s="112">
        <f>'OPEN FOREIGN ORDER'!AC1853</f>
        <v>0</v>
      </c>
      <c r="G2227" s="112">
        <f>'OPEN FOREIGN ORDER'!AD1853</f>
        <v>0</v>
      </c>
      <c r="H2227" s="112">
        <f>'OPEN FOREIGN ORDER'!AE1853</f>
        <v>0</v>
      </c>
      <c r="I2227" s="112">
        <f>'OPEN FOREIGN ORDER'!AF1853</f>
        <v>0</v>
      </c>
      <c r="J2227" s="112">
        <f>'OPEN FOREIGN ORDER'!AG1853</f>
        <v>0</v>
      </c>
    </row>
    <row r="2228" spans="1:10">
      <c r="A2228">
        <f>'OPEN FOREIGN ORDER'!D1854</f>
        <v>0</v>
      </c>
      <c r="B2228">
        <f>'OPEN FOREIGN ORDER'!F1854</f>
        <v>0</v>
      </c>
      <c r="C2228">
        <f>'OPEN FOREIGN ORDER'!Z1854</f>
        <v>0</v>
      </c>
      <c r="D2228" s="123">
        <f>'OPEN FOREIGN ORDER'!AA1854</f>
        <v>0</v>
      </c>
      <c r="E2228" s="112">
        <f>'OPEN FOREIGN ORDER'!AB1854</f>
        <v>0</v>
      </c>
      <c r="F2228" s="112">
        <f>'OPEN FOREIGN ORDER'!AC1854</f>
        <v>0</v>
      </c>
      <c r="G2228" s="112">
        <f>'OPEN FOREIGN ORDER'!AD1854</f>
        <v>0</v>
      </c>
      <c r="H2228" s="112">
        <f>'OPEN FOREIGN ORDER'!AE1854</f>
        <v>0</v>
      </c>
      <c r="I2228" s="112">
        <f>'OPEN FOREIGN ORDER'!AF1854</f>
        <v>0</v>
      </c>
      <c r="J2228" s="112">
        <f>'OPEN FOREIGN ORDER'!AG1854</f>
        <v>0</v>
      </c>
    </row>
    <row r="2229" spans="1:10">
      <c r="A2229">
        <f>'OPEN FOREIGN ORDER'!D1855</f>
        <v>0</v>
      </c>
      <c r="B2229">
        <f>'OPEN FOREIGN ORDER'!F1855</f>
        <v>0</v>
      </c>
      <c r="C2229">
        <f>'OPEN FOREIGN ORDER'!Z1855</f>
        <v>0</v>
      </c>
      <c r="D2229" s="123">
        <f>'OPEN FOREIGN ORDER'!AA1855</f>
        <v>0</v>
      </c>
      <c r="E2229" s="112">
        <f>'OPEN FOREIGN ORDER'!AB1855</f>
        <v>0</v>
      </c>
      <c r="F2229" s="112">
        <f>'OPEN FOREIGN ORDER'!AC1855</f>
        <v>0</v>
      </c>
      <c r="G2229" s="112">
        <f>'OPEN FOREIGN ORDER'!AD1855</f>
        <v>0</v>
      </c>
      <c r="H2229" s="112">
        <f>'OPEN FOREIGN ORDER'!AE1855</f>
        <v>0</v>
      </c>
      <c r="I2229" s="112">
        <f>'OPEN FOREIGN ORDER'!AF1855</f>
        <v>0</v>
      </c>
      <c r="J2229" s="112">
        <f>'OPEN FOREIGN ORDER'!AG1855</f>
        <v>0</v>
      </c>
    </row>
    <row r="2230" spans="1:10">
      <c r="A2230">
        <f>'OPEN FOREIGN ORDER'!D1856</f>
        <v>0</v>
      </c>
      <c r="B2230">
        <f>'OPEN FOREIGN ORDER'!F1856</f>
        <v>0</v>
      </c>
      <c r="C2230">
        <f>'OPEN FOREIGN ORDER'!Z1856</f>
        <v>0</v>
      </c>
      <c r="D2230" s="123">
        <f>'OPEN FOREIGN ORDER'!AA1856</f>
        <v>0</v>
      </c>
      <c r="E2230" s="112">
        <f>'OPEN FOREIGN ORDER'!AB1856</f>
        <v>0</v>
      </c>
      <c r="F2230" s="112">
        <f>'OPEN FOREIGN ORDER'!AC1856</f>
        <v>0</v>
      </c>
      <c r="G2230" s="112">
        <f>'OPEN FOREIGN ORDER'!AD1856</f>
        <v>0</v>
      </c>
      <c r="H2230" s="112">
        <f>'OPEN FOREIGN ORDER'!AE1856</f>
        <v>0</v>
      </c>
      <c r="I2230" s="112">
        <f>'OPEN FOREIGN ORDER'!AF1856</f>
        <v>0</v>
      </c>
      <c r="J2230" s="112">
        <f>'OPEN FOREIGN ORDER'!AG1856</f>
        <v>0</v>
      </c>
    </row>
    <row r="2231" spans="1:10">
      <c r="A2231">
        <f>'OPEN FOREIGN ORDER'!D1857</f>
        <v>0</v>
      </c>
      <c r="B2231">
        <f>'OPEN FOREIGN ORDER'!F1857</f>
        <v>0</v>
      </c>
      <c r="C2231">
        <f>'OPEN FOREIGN ORDER'!Z1857</f>
        <v>0</v>
      </c>
      <c r="D2231" s="123">
        <f>'OPEN FOREIGN ORDER'!AA1857</f>
        <v>0</v>
      </c>
      <c r="E2231" s="112">
        <f>'OPEN FOREIGN ORDER'!AB1857</f>
        <v>0</v>
      </c>
      <c r="F2231" s="112">
        <f>'OPEN FOREIGN ORDER'!AC1857</f>
        <v>0</v>
      </c>
      <c r="G2231" s="112">
        <f>'OPEN FOREIGN ORDER'!AD1857</f>
        <v>0</v>
      </c>
      <c r="H2231" s="112">
        <f>'OPEN FOREIGN ORDER'!AE1857</f>
        <v>0</v>
      </c>
      <c r="I2231" s="112">
        <f>'OPEN FOREIGN ORDER'!AF1857</f>
        <v>0</v>
      </c>
      <c r="J2231" s="112">
        <f>'OPEN FOREIGN ORDER'!AG1857</f>
        <v>0</v>
      </c>
    </row>
    <row r="2232" spans="1:10">
      <c r="A2232">
        <f>'OPEN FOREIGN ORDER'!D1858</f>
        <v>0</v>
      </c>
      <c r="B2232">
        <f>'OPEN FOREIGN ORDER'!F1858</f>
        <v>0</v>
      </c>
      <c r="C2232">
        <f>'OPEN FOREIGN ORDER'!Z1858</f>
        <v>0</v>
      </c>
      <c r="D2232" s="123">
        <f>'OPEN FOREIGN ORDER'!AA1858</f>
        <v>0</v>
      </c>
      <c r="E2232" s="112">
        <f>'OPEN FOREIGN ORDER'!AB1858</f>
        <v>0</v>
      </c>
      <c r="F2232" s="112">
        <f>'OPEN FOREIGN ORDER'!AC1858</f>
        <v>0</v>
      </c>
      <c r="G2232" s="112">
        <f>'OPEN FOREIGN ORDER'!AD1858</f>
        <v>0</v>
      </c>
      <c r="H2232" s="112">
        <f>'OPEN FOREIGN ORDER'!AE1858</f>
        <v>0</v>
      </c>
      <c r="I2232" s="112">
        <f>'OPEN FOREIGN ORDER'!AF1858</f>
        <v>0</v>
      </c>
      <c r="J2232" s="112">
        <f>'OPEN FOREIGN ORDER'!AG1858</f>
        <v>0</v>
      </c>
    </row>
    <row r="2233" spans="1:10">
      <c r="A2233">
        <f>'OPEN FOREIGN ORDER'!D1859</f>
        <v>0</v>
      </c>
      <c r="B2233">
        <f>'OPEN FOREIGN ORDER'!F1859</f>
        <v>0</v>
      </c>
      <c r="C2233">
        <f>'OPEN FOREIGN ORDER'!Z1859</f>
        <v>0</v>
      </c>
      <c r="D2233" s="123">
        <f>'OPEN FOREIGN ORDER'!AA1859</f>
        <v>0</v>
      </c>
      <c r="E2233" s="112">
        <f>'OPEN FOREIGN ORDER'!AB1859</f>
        <v>0</v>
      </c>
      <c r="F2233" s="112">
        <f>'OPEN FOREIGN ORDER'!AC1859</f>
        <v>0</v>
      </c>
      <c r="G2233" s="112">
        <f>'OPEN FOREIGN ORDER'!AD1859</f>
        <v>0</v>
      </c>
      <c r="H2233" s="112">
        <f>'OPEN FOREIGN ORDER'!AE1859</f>
        <v>0</v>
      </c>
      <c r="I2233" s="112">
        <f>'OPEN FOREIGN ORDER'!AF1859</f>
        <v>0</v>
      </c>
      <c r="J2233" s="112">
        <f>'OPEN FOREIGN ORDER'!AG1859</f>
        <v>0</v>
      </c>
    </row>
    <row r="2234" spans="1:10">
      <c r="A2234">
        <f>'OPEN FOREIGN ORDER'!D1860</f>
        <v>0</v>
      </c>
      <c r="B2234">
        <f>'OPEN FOREIGN ORDER'!F1860</f>
        <v>0</v>
      </c>
      <c r="C2234">
        <f>'OPEN FOREIGN ORDER'!Z1860</f>
        <v>0</v>
      </c>
      <c r="D2234" s="123">
        <f>'OPEN FOREIGN ORDER'!AA1860</f>
        <v>0</v>
      </c>
      <c r="E2234" s="112">
        <f>'OPEN FOREIGN ORDER'!AB1860</f>
        <v>0</v>
      </c>
      <c r="F2234" s="112">
        <f>'OPEN FOREIGN ORDER'!AC1860</f>
        <v>0</v>
      </c>
      <c r="G2234" s="112">
        <f>'OPEN FOREIGN ORDER'!AD1860</f>
        <v>0</v>
      </c>
      <c r="H2234" s="112">
        <f>'OPEN FOREIGN ORDER'!AE1860</f>
        <v>0</v>
      </c>
      <c r="I2234" s="112">
        <f>'OPEN FOREIGN ORDER'!AF1860</f>
        <v>0</v>
      </c>
      <c r="J2234" s="112">
        <f>'OPEN FOREIGN ORDER'!AG1860</f>
        <v>0</v>
      </c>
    </row>
    <row r="2235" spans="1:10">
      <c r="A2235">
        <f>'OPEN FOREIGN ORDER'!D1861</f>
        <v>0</v>
      </c>
      <c r="B2235">
        <f>'OPEN FOREIGN ORDER'!F1861</f>
        <v>0</v>
      </c>
      <c r="C2235">
        <f>'OPEN FOREIGN ORDER'!Z1861</f>
        <v>0</v>
      </c>
      <c r="D2235" s="123">
        <f>'OPEN FOREIGN ORDER'!AA1861</f>
        <v>0</v>
      </c>
      <c r="E2235" s="112">
        <f>'OPEN FOREIGN ORDER'!AB1861</f>
        <v>0</v>
      </c>
      <c r="F2235" s="112">
        <f>'OPEN FOREIGN ORDER'!AC1861</f>
        <v>0</v>
      </c>
      <c r="G2235" s="112">
        <f>'OPEN FOREIGN ORDER'!AD1861</f>
        <v>0</v>
      </c>
      <c r="H2235" s="112">
        <f>'OPEN FOREIGN ORDER'!AE1861</f>
        <v>0</v>
      </c>
      <c r="I2235" s="112">
        <f>'OPEN FOREIGN ORDER'!AF1861</f>
        <v>0</v>
      </c>
      <c r="J2235" s="112">
        <f>'OPEN FOREIGN ORDER'!AG1861</f>
        <v>0</v>
      </c>
    </row>
    <row r="2236" spans="1:10">
      <c r="A2236">
        <f>'OPEN FOREIGN ORDER'!D1862</f>
        <v>0</v>
      </c>
      <c r="B2236">
        <f>'OPEN FOREIGN ORDER'!F1862</f>
        <v>0</v>
      </c>
      <c r="C2236">
        <f>'OPEN FOREIGN ORDER'!Z1862</f>
        <v>0</v>
      </c>
      <c r="D2236" s="123">
        <f>'OPEN FOREIGN ORDER'!AA1862</f>
        <v>0</v>
      </c>
      <c r="E2236" s="112">
        <f>'OPEN FOREIGN ORDER'!AB1862</f>
        <v>0</v>
      </c>
      <c r="F2236" s="112">
        <f>'OPEN FOREIGN ORDER'!AC1862</f>
        <v>0</v>
      </c>
      <c r="G2236" s="112">
        <f>'OPEN FOREIGN ORDER'!AD1862</f>
        <v>0</v>
      </c>
      <c r="H2236" s="112">
        <f>'OPEN FOREIGN ORDER'!AE1862</f>
        <v>0</v>
      </c>
      <c r="I2236" s="112">
        <f>'OPEN FOREIGN ORDER'!AF1862</f>
        <v>0</v>
      </c>
      <c r="J2236" s="112">
        <f>'OPEN FOREIGN ORDER'!AG1862</f>
        <v>0</v>
      </c>
    </row>
    <row r="2237" spans="1:10">
      <c r="A2237">
        <f>'OPEN FOREIGN ORDER'!D1863</f>
        <v>0</v>
      </c>
      <c r="B2237">
        <f>'OPEN FOREIGN ORDER'!F1863</f>
        <v>0</v>
      </c>
      <c r="C2237">
        <f>'OPEN FOREIGN ORDER'!Z1863</f>
        <v>0</v>
      </c>
      <c r="D2237" s="123">
        <f>'OPEN FOREIGN ORDER'!AA1863</f>
        <v>0</v>
      </c>
      <c r="E2237" s="112">
        <f>'OPEN FOREIGN ORDER'!AB1863</f>
        <v>0</v>
      </c>
      <c r="F2237" s="112">
        <f>'OPEN FOREIGN ORDER'!AC1863</f>
        <v>0</v>
      </c>
      <c r="G2237" s="112">
        <f>'OPEN FOREIGN ORDER'!AD1863</f>
        <v>0</v>
      </c>
      <c r="H2237" s="112">
        <f>'OPEN FOREIGN ORDER'!AE1863</f>
        <v>0</v>
      </c>
      <c r="I2237" s="112">
        <f>'OPEN FOREIGN ORDER'!AF1863</f>
        <v>0</v>
      </c>
      <c r="J2237" s="112">
        <f>'OPEN FOREIGN ORDER'!AG1863</f>
        <v>0</v>
      </c>
    </row>
    <row r="2238" spans="1:10">
      <c r="A2238">
        <f>'OPEN FOREIGN ORDER'!D1864</f>
        <v>0</v>
      </c>
      <c r="B2238">
        <f>'OPEN FOREIGN ORDER'!F1864</f>
        <v>0</v>
      </c>
      <c r="C2238">
        <f>'OPEN FOREIGN ORDER'!Z1864</f>
        <v>0</v>
      </c>
      <c r="D2238" s="123">
        <f>'OPEN FOREIGN ORDER'!AA1864</f>
        <v>0</v>
      </c>
      <c r="E2238" s="112">
        <f>'OPEN FOREIGN ORDER'!AB1864</f>
        <v>0</v>
      </c>
      <c r="F2238" s="112">
        <f>'OPEN FOREIGN ORDER'!AC1864</f>
        <v>0</v>
      </c>
      <c r="G2238" s="112">
        <f>'OPEN FOREIGN ORDER'!AD1864</f>
        <v>0</v>
      </c>
      <c r="H2238" s="112">
        <f>'OPEN FOREIGN ORDER'!AE1864</f>
        <v>0</v>
      </c>
      <c r="I2238" s="112">
        <f>'OPEN FOREIGN ORDER'!AF1864</f>
        <v>0</v>
      </c>
      <c r="J2238" s="112">
        <f>'OPEN FOREIGN ORDER'!AG1864</f>
        <v>0</v>
      </c>
    </row>
    <row r="2239" spans="1:10">
      <c r="A2239">
        <f>'OPEN FOREIGN ORDER'!D1865</f>
        <v>0</v>
      </c>
      <c r="B2239">
        <f>'OPEN FOREIGN ORDER'!F1865</f>
        <v>0</v>
      </c>
      <c r="C2239">
        <f>'OPEN FOREIGN ORDER'!Z1865</f>
        <v>0</v>
      </c>
      <c r="D2239" s="123">
        <f>'OPEN FOREIGN ORDER'!AA1865</f>
        <v>0</v>
      </c>
      <c r="E2239" s="112">
        <f>'OPEN FOREIGN ORDER'!AB1865</f>
        <v>0</v>
      </c>
      <c r="F2239" s="112">
        <f>'OPEN FOREIGN ORDER'!AC1865</f>
        <v>0</v>
      </c>
      <c r="G2239" s="112">
        <f>'OPEN FOREIGN ORDER'!AD1865</f>
        <v>0</v>
      </c>
      <c r="H2239" s="112">
        <f>'OPEN FOREIGN ORDER'!AE1865</f>
        <v>0</v>
      </c>
      <c r="I2239" s="112">
        <f>'OPEN FOREIGN ORDER'!AF1865</f>
        <v>0</v>
      </c>
      <c r="J2239" s="112">
        <f>'OPEN FOREIGN ORDER'!AG1865</f>
        <v>0</v>
      </c>
    </row>
    <row r="2240" spans="1:10">
      <c r="A2240">
        <f>'OPEN FOREIGN ORDER'!D1866</f>
        <v>0</v>
      </c>
      <c r="B2240">
        <f>'OPEN FOREIGN ORDER'!F1866</f>
        <v>0</v>
      </c>
      <c r="C2240">
        <f>'OPEN FOREIGN ORDER'!Z1866</f>
        <v>0</v>
      </c>
      <c r="D2240" s="123">
        <f>'OPEN FOREIGN ORDER'!AA1866</f>
        <v>0</v>
      </c>
      <c r="E2240" s="112">
        <f>'OPEN FOREIGN ORDER'!AB1866</f>
        <v>0</v>
      </c>
      <c r="F2240" s="112">
        <f>'OPEN FOREIGN ORDER'!AC1866</f>
        <v>0</v>
      </c>
      <c r="G2240" s="112">
        <f>'OPEN FOREIGN ORDER'!AD1866</f>
        <v>0</v>
      </c>
      <c r="H2240" s="112">
        <f>'OPEN FOREIGN ORDER'!AE1866</f>
        <v>0</v>
      </c>
      <c r="I2240" s="112">
        <f>'OPEN FOREIGN ORDER'!AF1866</f>
        <v>0</v>
      </c>
      <c r="J2240" s="112">
        <f>'OPEN FOREIGN ORDER'!AG1866</f>
        <v>0</v>
      </c>
    </row>
    <row r="2241" spans="1:10">
      <c r="A2241">
        <f>'OPEN FOREIGN ORDER'!D1867</f>
        <v>0</v>
      </c>
      <c r="B2241">
        <f>'OPEN FOREIGN ORDER'!F1867</f>
        <v>0</v>
      </c>
      <c r="C2241">
        <f>'OPEN FOREIGN ORDER'!Z1867</f>
        <v>0</v>
      </c>
      <c r="D2241" s="123">
        <f>'OPEN FOREIGN ORDER'!AA1867</f>
        <v>0</v>
      </c>
      <c r="E2241" s="112">
        <f>'OPEN FOREIGN ORDER'!AB1867</f>
        <v>0</v>
      </c>
      <c r="F2241" s="112">
        <f>'OPEN FOREIGN ORDER'!AC1867</f>
        <v>0</v>
      </c>
      <c r="G2241" s="112">
        <f>'OPEN FOREIGN ORDER'!AD1867</f>
        <v>0</v>
      </c>
      <c r="H2241" s="112">
        <f>'OPEN FOREIGN ORDER'!AE1867</f>
        <v>0</v>
      </c>
      <c r="I2241" s="112">
        <f>'OPEN FOREIGN ORDER'!AF1867</f>
        <v>0</v>
      </c>
      <c r="J2241" s="112">
        <f>'OPEN FOREIGN ORDER'!AG1867</f>
        <v>0</v>
      </c>
    </row>
    <row r="2242" spans="1:10">
      <c r="A2242">
        <f>'OPEN FOREIGN ORDER'!D1868</f>
        <v>0</v>
      </c>
      <c r="B2242">
        <f>'OPEN FOREIGN ORDER'!F1868</f>
        <v>0</v>
      </c>
      <c r="C2242">
        <f>'OPEN FOREIGN ORDER'!Z1868</f>
        <v>0</v>
      </c>
      <c r="D2242" s="123">
        <f>'OPEN FOREIGN ORDER'!AA1868</f>
        <v>0</v>
      </c>
      <c r="E2242" s="112">
        <f>'OPEN FOREIGN ORDER'!AB1868</f>
        <v>0</v>
      </c>
      <c r="F2242" s="112">
        <f>'OPEN FOREIGN ORDER'!AC1868</f>
        <v>0</v>
      </c>
      <c r="G2242" s="112">
        <f>'OPEN FOREIGN ORDER'!AD1868</f>
        <v>0</v>
      </c>
      <c r="H2242" s="112">
        <f>'OPEN FOREIGN ORDER'!AE1868</f>
        <v>0</v>
      </c>
      <c r="I2242" s="112">
        <f>'OPEN FOREIGN ORDER'!AF1868</f>
        <v>0</v>
      </c>
      <c r="J2242" s="112">
        <f>'OPEN FOREIGN ORDER'!AG1868</f>
        <v>0</v>
      </c>
    </row>
    <row r="2243" spans="1:10">
      <c r="A2243">
        <f>'OPEN FOREIGN ORDER'!D1869</f>
        <v>0</v>
      </c>
      <c r="B2243">
        <f>'OPEN FOREIGN ORDER'!F1869</f>
        <v>0</v>
      </c>
      <c r="C2243">
        <f>'OPEN FOREIGN ORDER'!Z1869</f>
        <v>0</v>
      </c>
      <c r="D2243" s="123">
        <f>'OPEN FOREIGN ORDER'!AA1869</f>
        <v>0</v>
      </c>
      <c r="E2243" s="112">
        <f>'OPEN FOREIGN ORDER'!AB1869</f>
        <v>0</v>
      </c>
      <c r="F2243" s="112">
        <f>'OPEN FOREIGN ORDER'!AC1869</f>
        <v>0</v>
      </c>
      <c r="G2243" s="112">
        <f>'OPEN FOREIGN ORDER'!AD1869</f>
        <v>0</v>
      </c>
      <c r="H2243" s="112">
        <f>'OPEN FOREIGN ORDER'!AE1869</f>
        <v>0</v>
      </c>
      <c r="I2243" s="112">
        <f>'OPEN FOREIGN ORDER'!AF1869</f>
        <v>0</v>
      </c>
      <c r="J2243" s="112">
        <f>'OPEN FOREIGN ORDER'!AG1869</f>
        <v>0</v>
      </c>
    </row>
    <row r="2244" spans="1:10">
      <c r="A2244">
        <f>'OPEN FOREIGN ORDER'!D1870</f>
        <v>0</v>
      </c>
      <c r="B2244">
        <f>'OPEN FOREIGN ORDER'!F1870</f>
        <v>0</v>
      </c>
      <c r="C2244">
        <f>'OPEN FOREIGN ORDER'!Z1870</f>
        <v>0</v>
      </c>
      <c r="D2244" s="123">
        <f>'OPEN FOREIGN ORDER'!AA1870</f>
        <v>0</v>
      </c>
      <c r="E2244" s="112">
        <f>'OPEN FOREIGN ORDER'!AB1870</f>
        <v>0</v>
      </c>
      <c r="F2244" s="112">
        <f>'OPEN FOREIGN ORDER'!AC1870</f>
        <v>0</v>
      </c>
      <c r="G2244" s="112">
        <f>'OPEN FOREIGN ORDER'!AD1870</f>
        <v>0</v>
      </c>
      <c r="H2244" s="112">
        <f>'OPEN FOREIGN ORDER'!AE1870</f>
        <v>0</v>
      </c>
      <c r="I2244" s="112">
        <f>'OPEN FOREIGN ORDER'!AF1870</f>
        <v>0</v>
      </c>
      <c r="J2244" s="112">
        <f>'OPEN FOREIGN ORDER'!AG1870</f>
        <v>0</v>
      </c>
    </row>
    <row r="2245" spans="1:10">
      <c r="A2245">
        <f>'OPEN FOREIGN ORDER'!D1871</f>
        <v>0</v>
      </c>
      <c r="B2245">
        <f>'OPEN FOREIGN ORDER'!F1871</f>
        <v>0</v>
      </c>
      <c r="C2245">
        <f>'OPEN FOREIGN ORDER'!Z1871</f>
        <v>0</v>
      </c>
      <c r="D2245" s="123">
        <f>'OPEN FOREIGN ORDER'!AA1871</f>
        <v>0</v>
      </c>
      <c r="E2245" s="112">
        <f>'OPEN FOREIGN ORDER'!AB1871</f>
        <v>0</v>
      </c>
      <c r="F2245" s="112">
        <f>'OPEN FOREIGN ORDER'!AC1871</f>
        <v>0</v>
      </c>
      <c r="G2245" s="112">
        <f>'OPEN FOREIGN ORDER'!AD1871</f>
        <v>0</v>
      </c>
      <c r="H2245" s="112">
        <f>'OPEN FOREIGN ORDER'!AE1871</f>
        <v>0</v>
      </c>
      <c r="I2245" s="112">
        <f>'OPEN FOREIGN ORDER'!AF1871</f>
        <v>0</v>
      </c>
      <c r="J2245" s="112">
        <f>'OPEN FOREIGN ORDER'!AG1871</f>
        <v>0</v>
      </c>
    </row>
    <row r="2246" spans="1:10">
      <c r="A2246">
        <f>'OPEN FOREIGN ORDER'!D1872</f>
        <v>0</v>
      </c>
      <c r="B2246">
        <f>'OPEN FOREIGN ORDER'!F1872</f>
        <v>0</v>
      </c>
      <c r="C2246">
        <f>'OPEN FOREIGN ORDER'!Z1872</f>
        <v>0</v>
      </c>
      <c r="D2246" s="123">
        <f>'OPEN FOREIGN ORDER'!AA1872</f>
        <v>0</v>
      </c>
      <c r="E2246" s="112">
        <f>'OPEN FOREIGN ORDER'!AB1872</f>
        <v>0</v>
      </c>
      <c r="F2246" s="112">
        <f>'OPEN FOREIGN ORDER'!AC1872</f>
        <v>0</v>
      </c>
      <c r="G2246" s="112">
        <f>'OPEN FOREIGN ORDER'!AD1872</f>
        <v>0</v>
      </c>
      <c r="H2246" s="112">
        <f>'OPEN FOREIGN ORDER'!AE1872</f>
        <v>0</v>
      </c>
      <c r="I2246" s="112">
        <f>'OPEN FOREIGN ORDER'!AF1872</f>
        <v>0</v>
      </c>
      <c r="J2246" s="112">
        <f>'OPEN FOREIGN ORDER'!AG1872</f>
        <v>0</v>
      </c>
    </row>
    <row r="2247" spans="1:10">
      <c r="A2247">
        <f>'OPEN FOREIGN ORDER'!D1873</f>
        <v>0</v>
      </c>
      <c r="B2247">
        <f>'OPEN FOREIGN ORDER'!F1873</f>
        <v>0</v>
      </c>
      <c r="C2247">
        <f>'OPEN FOREIGN ORDER'!Z1873</f>
        <v>0</v>
      </c>
      <c r="D2247" s="123">
        <f>'OPEN FOREIGN ORDER'!AA1873</f>
        <v>0</v>
      </c>
      <c r="E2247" s="112">
        <f>'OPEN FOREIGN ORDER'!AB1873</f>
        <v>0</v>
      </c>
      <c r="F2247" s="112">
        <f>'OPEN FOREIGN ORDER'!AC1873</f>
        <v>0</v>
      </c>
      <c r="G2247" s="112">
        <f>'OPEN FOREIGN ORDER'!AD1873</f>
        <v>0</v>
      </c>
      <c r="H2247" s="112">
        <f>'OPEN FOREIGN ORDER'!AE1873</f>
        <v>0</v>
      </c>
      <c r="I2247" s="112">
        <f>'OPEN FOREIGN ORDER'!AF1873</f>
        <v>0</v>
      </c>
      <c r="J2247" s="112">
        <f>'OPEN FOREIGN ORDER'!AG1873</f>
        <v>0</v>
      </c>
    </row>
    <row r="2248" spans="1:10">
      <c r="A2248">
        <f>'OPEN FOREIGN ORDER'!D1874</f>
        <v>0</v>
      </c>
      <c r="B2248">
        <f>'OPEN FOREIGN ORDER'!F1874</f>
        <v>0</v>
      </c>
      <c r="C2248">
        <f>'OPEN FOREIGN ORDER'!Z1874</f>
        <v>0</v>
      </c>
      <c r="D2248" s="123">
        <f>'OPEN FOREIGN ORDER'!AA1874</f>
        <v>0</v>
      </c>
      <c r="E2248" s="112">
        <f>'OPEN FOREIGN ORDER'!AB1874</f>
        <v>0</v>
      </c>
      <c r="F2248" s="112">
        <f>'OPEN FOREIGN ORDER'!AC1874</f>
        <v>0</v>
      </c>
      <c r="G2248" s="112">
        <f>'OPEN FOREIGN ORDER'!AD1874</f>
        <v>0</v>
      </c>
      <c r="H2248" s="112">
        <f>'OPEN FOREIGN ORDER'!AE1874</f>
        <v>0</v>
      </c>
      <c r="I2248" s="112">
        <f>'OPEN FOREIGN ORDER'!AF1874</f>
        <v>0</v>
      </c>
      <c r="J2248" s="112">
        <f>'OPEN FOREIGN ORDER'!AG1874</f>
        <v>0</v>
      </c>
    </row>
    <row r="2249" spans="1:10">
      <c r="A2249">
        <f>'OPEN FOREIGN ORDER'!D1875</f>
        <v>0</v>
      </c>
      <c r="B2249">
        <f>'OPEN FOREIGN ORDER'!F1875</f>
        <v>0</v>
      </c>
      <c r="C2249">
        <f>'OPEN FOREIGN ORDER'!Z1875</f>
        <v>0</v>
      </c>
      <c r="D2249" s="123">
        <f>'OPEN FOREIGN ORDER'!AA1875</f>
        <v>0</v>
      </c>
      <c r="E2249" s="112">
        <f>'OPEN FOREIGN ORDER'!AB1875</f>
        <v>0</v>
      </c>
      <c r="F2249" s="112">
        <f>'OPEN FOREIGN ORDER'!AC1875</f>
        <v>0</v>
      </c>
      <c r="G2249" s="112">
        <f>'OPEN FOREIGN ORDER'!AD1875</f>
        <v>0</v>
      </c>
      <c r="H2249" s="112">
        <f>'OPEN FOREIGN ORDER'!AE1875</f>
        <v>0</v>
      </c>
      <c r="I2249" s="112">
        <f>'OPEN FOREIGN ORDER'!AF1875</f>
        <v>0</v>
      </c>
      <c r="J2249" s="112">
        <f>'OPEN FOREIGN ORDER'!AG1875</f>
        <v>0</v>
      </c>
    </row>
    <row r="2250" spans="1:10">
      <c r="A2250">
        <f>'OPEN FOREIGN ORDER'!D1876</f>
        <v>0</v>
      </c>
      <c r="B2250">
        <f>'OPEN FOREIGN ORDER'!F1876</f>
        <v>0</v>
      </c>
      <c r="C2250">
        <f>'OPEN FOREIGN ORDER'!Z1876</f>
        <v>0</v>
      </c>
      <c r="D2250" s="123">
        <f>'OPEN FOREIGN ORDER'!AA1876</f>
        <v>0</v>
      </c>
      <c r="E2250" s="112">
        <f>'OPEN FOREIGN ORDER'!AB1876</f>
        <v>0</v>
      </c>
      <c r="F2250" s="112">
        <f>'OPEN FOREIGN ORDER'!AC1876</f>
        <v>0</v>
      </c>
      <c r="G2250" s="112">
        <f>'OPEN FOREIGN ORDER'!AD1876</f>
        <v>0</v>
      </c>
      <c r="H2250" s="112">
        <f>'OPEN FOREIGN ORDER'!AE1876</f>
        <v>0</v>
      </c>
      <c r="I2250" s="112">
        <f>'OPEN FOREIGN ORDER'!AF1876</f>
        <v>0</v>
      </c>
      <c r="J2250" s="112">
        <f>'OPEN FOREIGN ORDER'!AG1876</f>
        <v>0</v>
      </c>
    </row>
    <row r="2251" spans="1:10">
      <c r="A2251">
        <f>'OPEN FOREIGN ORDER'!D1877</f>
        <v>0</v>
      </c>
      <c r="B2251">
        <f>'OPEN FOREIGN ORDER'!F1877</f>
        <v>0</v>
      </c>
      <c r="C2251">
        <f>'OPEN FOREIGN ORDER'!Z1877</f>
        <v>0</v>
      </c>
      <c r="D2251" s="123">
        <f>'OPEN FOREIGN ORDER'!AA1877</f>
        <v>0</v>
      </c>
      <c r="E2251" s="112">
        <f>'OPEN FOREIGN ORDER'!AB1877</f>
        <v>0</v>
      </c>
      <c r="F2251" s="112">
        <f>'OPEN FOREIGN ORDER'!AC1877</f>
        <v>0</v>
      </c>
      <c r="G2251" s="112">
        <f>'OPEN FOREIGN ORDER'!AD1877</f>
        <v>0</v>
      </c>
      <c r="H2251" s="112">
        <f>'OPEN FOREIGN ORDER'!AE1877</f>
        <v>0</v>
      </c>
      <c r="I2251" s="112">
        <f>'OPEN FOREIGN ORDER'!AF1877</f>
        <v>0</v>
      </c>
      <c r="J2251" s="112">
        <f>'OPEN FOREIGN ORDER'!AG1877</f>
        <v>0</v>
      </c>
    </row>
    <row r="2252" spans="1:10">
      <c r="A2252">
        <f>'OPEN FOREIGN ORDER'!D1878</f>
        <v>0</v>
      </c>
      <c r="B2252">
        <f>'OPEN FOREIGN ORDER'!F1878</f>
        <v>0</v>
      </c>
      <c r="C2252">
        <f>'OPEN FOREIGN ORDER'!Z1878</f>
        <v>0</v>
      </c>
      <c r="D2252" s="123">
        <f>'OPEN FOREIGN ORDER'!AA1878</f>
        <v>0</v>
      </c>
      <c r="E2252" s="112">
        <f>'OPEN FOREIGN ORDER'!AB1878</f>
        <v>0</v>
      </c>
      <c r="F2252" s="112">
        <f>'OPEN FOREIGN ORDER'!AC1878</f>
        <v>0</v>
      </c>
      <c r="G2252" s="112">
        <f>'OPEN FOREIGN ORDER'!AD1878</f>
        <v>0</v>
      </c>
      <c r="H2252" s="112">
        <f>'OPEN FOREIGN ORDER'!AE1878</f>
        <v>0</v>
      </c>
      <c r="I2252" s="112">
        <f>'OPEN FOREIGN ORDER'!AF1878</f>
        <v>0</v>
      </c>
      <c r="J2252" s="112">
        <f>'OPEN FOREIGN ORDER'!AG1878</f>
        <v>0</v>
      </c>
    </row>
    <row r="2253" spans="1:10">
      <c r="A2253">
        <f>'OPEN FOREIGN ORDER'!D1879</f>
        <v>0</v>
      </c>
      <c r="B2253">
        <f>'OPEN FOREIGN ORDER'!F1879</f>
        <v>0</v>
      </c>
      <c r="C2253">
        <f>'OPEN FOREIGN ORDER'!Z1879</f>
        <v>0</v>
      </c>
      <c r="D2253" s="123">
        <f>'OPEN FOREIGN ORDER'!AA1879</f>
        <v>0</v>
      </c>
      <c r="E2253" s="112">
        <f>'OPEN FOREIGN ORDER'!AB1879</f>
        <v>0</v>
      </c>
      <c r="F2253" s="112">
        <f>'OPEN FOREIGN ORDER'!AC1879</f>
        <v>0</v>
      </c>
      <c r="G2253" s="112">
        <f>'OPEN FOREIGN ORDER'!AD1879</f>
        <v>0</v>
      </c>
      <c r="H2253" s="112">
        <f>'OPEN FOREIGN ORDER'!AE1879</f>
        <v>0</v>
      </c>
      <c r="I2253" s="112">
        <f>'OPEN FOREIGN ORDER'!AF1879</f>
        <v>0</v>
      </c>
      <c r="J2253" s="112">
        <f>'OPEN FOREIGN ORDER'!AG1879</f>
        <v>0</v>
      </c>
    </row>
    <row r="2254" spans="1:10">
      <c r="A2254">
        <f>'OPEN FOREIGN ORDER'!D1880</f>
        <v>0</v>
      </c>
      <c r="B2254">
        <f>'OPEN FOREIGN ORDER'!F1880</f>
        <v>0</v>
      </c>
      <c r="C2254">
        <f>'OPEN FOREIGN ORDER'!Z1880</f>
        <v>0</v>
      </c>
      <c r="D2254" s="123">
        <f>'OPEN FOREIGN ORDER'!AA1880</f>
        <v>0</v>
      </c>
      <c r="E2254" s="112">
        <f>'OPEN FOREIGN ORDER'!AB1880</f>
        <v>0</v>
      </c>
      <c r="F2254" s="112">
        <f>'OPEN FOREIGN ORDER'!AC1880</f>
        <v>0</v>
      </c>
      <c r="G2254" s="112">
        <f>'OPEN FOREIGN ORDER'!AD1880</f>
        <v>0</v>
      </c>
      <c r="H2254" s="112">
        <f>'OPEN FOREIGN ORDER'!AE1880</f>
        <v>0</v>
      </c>
      <c r="I2254" s="112">
        <f>'OPEN FOREIGN ORDER'!AF1880</f>
        <v>0</v>
      </c>
      <c r="J2254" s="112">
        <f>'OPEN FOREIGN ORDER'!AG1880</f>
        <v>0</v>
      </c>
    </row>
    <row r="2255" spans="1:10">
      <c r="A2255">
        <f>'OPEN FOREIGN ORDER'!D1881</f>
        <v>0</v>
      </c>
      <c r="B2255">
        <f>'OPEN FOREIGN ORDER'!F1881</f>
        <v>0</v>
      </c>
      <c r="C2255">
        <f>'OPEN FOREIGN ORDER'!Z1881</f>
        <v>0</v>
      </c>
      <c r="D2255" s="123">
        <f>'OPEN FOREIGN ORDER'!AA1881</f>
        <v>0</v>
      </c>
      <c r="E2255" s="112">
        <f>'OPEN FOREIGN ORDER'!AB1881</f>
        <v>0</v>
      </c>
      <c r="F2255" s="112">
        <f>'OPEN FOREIGN ORDER'!AC1881</f>
        <v>0</v>
      </c>
      <c r="G2255" s="112">
        <f>'OPEN FOREIGN ORDER'!AD1881</f>
        <v>0</v>
      </c>
      <c r="H2255" s="112">
        <f>'OPEN FOREIGN ORDER'!AE1881</f>
        <v>0</v>
      </c>
      <c r="I2255" s="112">
        <f>'OPEN FOREIGN ORDER'!AF1881</f>
        <v>0</v>
      </c>
      <c r="J2255" s="112">
        <f>'OPEN FOREIGN ORDER'!AG1881</f>
        <v>0</v>
      </c>
    </row>
    <row r="2256" spans="1:10">
      <c r="A2256">
        <f>'OPEN FOREIGN ORDER'!D1882</f>
        <v>0</v>
      </c>
      <c r="B2256">
        <f>'OPEN FOREIGN ORDER'!F1882</f>
        <v>0</v>
      </c>
      <c r="C2256">
        <f>'OPEN FOREIGN ORDER'!Z1882</f>
        <v>0</v>
      </c>
      <c r="D2256" s="123">
        <f>'OPEN FOREIGN ORDER'!AA1882</f>
        <v>0</v>
      </c>
      <c r="E2256" s="112">
        <f>'OPEN FOREIGN ORDER'!AB1882</f>
        <v>0</v>
      </c>
      <c r="F2256" s="112">
        <f>'OPEN FOREIGN ORDER'!AC1882</f>
        <v>0</v>
      </c>
      <c r="G2256" s="112">
        <f>'OPEN FOREIGN ORDER'!AD1882</f>
        <v>0</v>
      </c>
      <c r="H2256" s="112">
        <f>'OPEN FOREIGN ORDER'!AE1882</f>
        <v>0</v>
      </c>
      <c r="I2256" s="112">
        <f>'OPEN FOREIGN ORDER'!AF1882</f>
        <v>0</v>
      </c>
      <c r="J2256" s="112">
        <f>'OPEN FOREIGN ORDER'!AG1882</f>
        <v>0</v>
      </c>
    </row>
    <row r="2257" spans="1:10">
      <c r="A2257">
        <f>'OPEN FOREIGN ORDER'!D1883</f>
        <v>0</v>
      </c>
      <c r="B2257">
        <f>'OPEN FOREIGN ORDER'!F1883</f>
        <v>0</v>
      </c>
      <c r="C2257">
        <f>'OPEN FOREIGN ORDER'!Z1883</f>
        <v>0</v>
      </c>
      <c r="D2257" s="123">
        <f>'OPEN FOREIGN ORDER'!AA1883</f>
        <v>0</v>
      </c>
      <c r="E2257" s="112">
        <f>'OPEN FOREIGN ORDER'!AB1883</f>
        <v>0</v>
      </c>
      <c r="F2257" s="112">
        <f>'OPEN FOREIGN ORDER'!AC1883</f>
        <v>0</v>
      </c>
      <c r="G2257" s="112">
        <f>'OPEN FOREIGN ORDER'!AD1883</f>
        <v>0</v>
      </c>
      <c r="H2257" s="112">
        <f>'OPEN FOREIGN ORDER'!AE1883</f>
        <v>0</v>
      </c>
      <c r="I2257" s="112">
        <f>'OPEN FOREIGN ORDER'!AF1883</f>
        <v>0</v>
      </c>
      <c r="J2257" s="112">
        <f>'OPEN FOREIGN ORDER'!AG1883</f>
        <v>0</v>
      </c>
    </row>
    <row r="2258" spans="1:10">
      <c r="A2258">
        <f>'OPEN FOREIGN ORDER'!D1884</f>
        <v>0</v>
      </c>
      <c r="B2258">
        <f>'OPEN FOREIGN ORDER'!F1884</f>
        <v>0</v>
      </c>
      <c r="C2258">
        <f>'OPEN FOREIGN ORDER'!Z1884</f>
        <v>0</v>
      </c>
      <c r="D2258" s="123">
        <f>'OPEN FOREIGN ORDER'!AA1884</f>
        <v>0</v>
      </c>
      <c r="E2258" s="112">
        <f>'OPEN FOREIGN ORDER'!AB1884</f>
        <v>0</v>
      </c>
      <c r="F2258" s="112">
        <f>'OPEN FOREIGN ORDER'!AC1884</f>
        <v>0</v>
      </c>
      <c r="G2258" s="112">
        <f>'OPEN FOREIGN ORDER'!AD1884</f>
        <v>0</v>
      </c>
      <c r="H2258" s="112">
        <f>'OPEN FOREIGN ORDER'!AE1884</f>
        <v>0</v>
      </c>
      <c r="I2258" s="112">
        <f>'OPEN FOREIGN ORDER'!AF1884</f>
        <v>0</v>
      </c>
      <c r="J2258" s="112">
        <f>'OPEN FOREIGN ORDER'!AG1884</f>
        <v>0</v>
      </c>
    </row>
    <row r="2259" spans="1:10">
      <c r="A2259">
        <f>'OPEN FOREIGN ORDER'!D1885</f>
        <v>0</v>
      </c>
      <c r="B2259">
        <f>'OPEN FOREIGN ORDER'!F1885</f>
        <v>0</v>
      </c>
      <c r="C2259">
        <f>'OPEN FOREIGN ORDER'!Z1885</f>
        <v>0</v>
      </c>
      <c r="D2259" s="123">
        <f>'OPEN FOREIGN ORDER'!AA1885</f>
        <v>0</v>
      </c>
      <c r="E2259" s="112">
        <f>'OPEN FOREIGN ORDER'!AB1885</f>
        <v>0</v>
      </c>
      <c r="F2259" s="112">
        <f>'OPEN FOREIGN ORDER'!AC1885</f>
        <v>0</v>
      </c>
      <c r="G2259" s="112">
        <f>'OPEN FOREIGN ORDER'!AD1885</f>
        <v>0</v>
      </c>
      <c r="H2259" s="112">
        <f>'OPEN FOREIGN ORDER'!AE1885</f>
        <v>0</v>
      </c>
      <c r="I2259" s="112">
        <f>'OPEN FOREIGN ORDER'!AF1885</f>
        <v>0</v>
      </c>
      <c r="J2259" s="112">
        <f>'OPEN FOREIGN ORDER'!AG1885</f>
        <v>0</v>
      </c>
    </row>
    <row r="2260" spans="1:10">
      <c r="A2260">
        <f>'OPEN FOREIGN ORDER'!D1886</f>
        <v>0</v>
      </c>
      <c r="B2260">
        <f>'OPEN FOREIGN ORDER'!F1886</f>
        <v>0</v>
      </c>
      <c r="C2260">
        <f>'OPEN FOREIGN ORDER'!Z1886</f>
        <v>0</v>
      </c>
      <c r="D2260" s="123">
        <f>'OPEN FOREIGN ORDER'!AA1886</f>
        <v>0</v>
      </c>
      <c r="E2260" s="112">
        <f>'OPEN FOREIGN ORDER'!AB1886</f>
        <v>0</v>
      </c>
      <c r="F2260" s="112">
        <f>'OPEN FOREIGN ORDER'!AC1886</f>
        <v>0</v>
      </c>
      <c r="G2260" s="112">
        <f>'OPEN FOREIGN ORDER'!AD1886</f>
        <v>0</v>
      </c>
      <c r="H2260" s="112">
        <f>'OPEN FOREIGN ORDER'!AE1886</f>
        <v>0</v>
      </c>
      <c r="I2260" s="112">
        <f>'OPEN FOREIGN ORDER'!AF1886</f>
        <v>0</v>
      </c>
      <c r="J2260" s="112">
        <f>'OPEN FOREIGN ORDER'!AG1886</f>
        <v>0</v>
      </c>
    </row>
    <row r="2261" spans="1:10">
      <c r="A2261">
        <f>'OPEN FOREIGN ORDER'!D1887</f>
        <v>0</v>
      </c>
      <c r="B2261">
        <f>'OPEN FOREIGN ORDER'!F1887</f>
        <v>0</v>
      </c>
      <c r="C2261">
        <f>'OPEN FOREIGN ORDER'!Z1887</f>
        <v>0</v>
      </c>
      <c r="D2261" s="123">
        <f>'OPEN FOREIGN ORDER'!AA1887</f>
        <v>0</v>
      </c>
      <c r="E2261" s="112">
        <f>'OPEN FOREIGN ORDER'!AB1887</f>
        <v>0</v>
      </c>
      <c r="F2261" s="112">
        <f>'OPEN FOREIGN ORDER'!AC1887</f>
        <v>0</v>
      </c>
      <c r="G2261" s="112">
        <f>'OPEN FOREIGN ORDER'!AD1887</f>
        <v>0</v>
      </c>
      <c r="H2261" s="112">
        <f>'OPEN FOREIGN ORDER'!AE1887</f>
        <v>0</v>
      </c>
      <c r="I2261" s="112">
        <f>'OPEN FOREIGN ORDER'!AF1887</f>
        <v>0</v>
      </c>
      <c r="J2261" s="112">
        <f>'OPEN FOREIGN ORDER'!AG1887</f>
        <v>0</v>
      </c>
    </row>
    <row r="2262" spans="1:10">
      <c r="A2262">
        <f>'OPEN FOREIGN ORDER'!D1888</f>
        <v>0</v>
      </c>
      <c r="B2262">
        <f>'OPEN FOREIGN ORDER'!F1888</f>
        <v>0</v>
      </c>
      <c r="C2262">
        <f>'OPEN FOREIGN ORDER'!Z1888</f>
        <v>0</v>
      </c>
      <c r="D2262" s="123">
        <f>'OPEN FOREIGN ORDER'!AA1888</f>
        <v>0</v>
      </c>
      <c r="E2262" s="112">
        <f>'OPEN FOREIGN ORDER'!AB1888</f>
        <v>0</v>
      </c>
      <c r="F2262" s="112">
        <f>'OPEN FOREIGN ORDER'!AC1888</f>
        <v>0</v>
      </c>
      <c r="G2262" s="112">
        <f>'OPEN FOREIGN ORDER'!AD1888</f>
        <v>0</v>
      </c>
      <c r="H2262" s="112">
        <f>'OPEN FOREIGN ORDER'!AE1888</f>
        <v>0</v>
      </c>
      <c r="I2262" s="112">
        <f>'OPEN FOREIGN ORDER'!AF1888</f>
        <v>0</v>
      </c>
      <c r="J2262" s="112">
        <f>'OPEN FOREIGN ORDER'!AG1888</f>
        <v>0</v>
      </c>
    </row>
    <row r="2263" spans="1:10">
      <c r="A2263">
        <f>'OPEN FOREIGN ORDER'!D1889</f>
        <v>0</v>
      </c>
      <c r="B2263">
        <f>'OPEN FOREIGN ORDER'!F1889</f>
        <v>0</v>
      </c>
      <c r="C2263">
        <f>'OPEN FOREIGN ORDER'!Z1889</f>
        <v>0</v>
      </c>
      <c r="D2263" s="123">
        <f>'OPEN FOREIGN ORDER'!AA1889</f>
        <v>0</v>
      </c>
      <c r="E2263" s="112">
        <f>'OPEN FOREIGN ORDER'!AB1889</f>
        <v>0</v>
      </c>
      <c r="F2263" s="112">
        <f>'OPEN FOREIGN ORDER'!AC1889</f>
        <v>0</v>
      </c>
      <c r="G2263" s="112">
        <f>'OPEN FOREIGN ORDER'!AD1889</f>
        <v>0</v>
      </c>
      <c r="H2263" s="112">
        <f>'OPEN FOREIGN ORDER'!AE1889</f>
        <v>0</v>
      </c>
      <c r="I2263" s="112">
        <f>'OPEN FOREIGN ORDER'!AF1889</f>
        <v>0</v>
      </c>
      <c r="J2263" s="112">
        <f>'OPEN FOREIGN ORDER'!AG1889</f>
        <v>0</v>
      </c>
    </row>
    <row r="2264" spans="1:10">
      <c r="A2264">
        <f>'OPEN FOREIGN ORDER'!D1890</f>
        <v>0</v>
      </c>
      <c r="B2264">
        <f>'OPEN FOREIGN ORDER'!F1890</f>
        <v>0</v>
      </c>
      <c r="C2264">
        <f>'OPEN FOREIGN ORDER'!Z1890</f>
        <v>0</v>
      </c>
      <c r="D2264" s="123">
        <f>'OPEN FOREIGN ORDER'!AA1890</f>
        <v>0</v>
      </c>
      <c r="E2264" s="112">
        <f>'OPEN FOREIGN ORDER'!AB1890</f>
        <v>0</v>
      </c>
      <c r="F2264" s="112">
        <f>'OPEN FOREIGN ORDER'!AC1890</f>
        <v>0</v>
      </c>
      <c r="G2264" s="112">
        <f>'OPEN FOREIGN ORDER'!AD1890</f>
        <v>0</v>
      </c>
      <c r="H2264" s="112">
        <f>'OPEN FOREIGN ORDER'!AE1890</f>
        <v>0</v>
      </c>
      <c r="I2264" s="112">
        <f>'OPEN FOREIGN ORDER'!AF1890</f>
        <v>0</v>
      </c>
      <c r="J2264" s="112">
        <f>'OPEN FOREIGN ORDER'!AG1890</f>
        <v>0</v>
      </c>
    </row>
    <row r="2265" spans="1:10">
      <c r="A2265">
        <f>'OPEN FOREIGN ORDER'!D1891</f>
        <v>0</v>
      </c>
      <c r="B2265">
        <f>'OPEN FOREIGN ORDER'!F1891</f>
        <v>0</v>
      </c>
      <c r="C2265">
        <f>'OPEN FOREIGN ORDER'!Z1891</f>
        <v>0</v>
      </c>
      <c r="D2265" s="123">
        <f>'OPEN FOREIGN ORDER'!AA1891</f>
        <v>0</v>
      </c>
      <c r="E2265" s="112">
        <f>'OPEN FOREIGN ORDER'!AB1891</f>
        <v>0</v>
      </c>
      <c r="F2265" s="112">
        <f>'OPEN FOREIGN ORDER'!AC1891</f>
        <v>0</v>
      </c>
      <c r="G2265" s="112">
        <f>'OPEN FOREIGN ORDER'!AD1891</f>
        <v>0</v>
      </c>
      <c r="H2265" s="112">
        <f>'OPEN FOREIGN ORDER'!AE1891</f>
        <v>0</v>
      </c>
      <c r="I2265" s="112">
        <f>'OPEN FOREIGN ORDER'!AF1891</f>
        <v>0</v>
      </c>
      <c r="J2265" s="112">
        <f>'OPEN FOREIGN ORDER'!AG1891</f>
        <v>0</v>
      </c>
    </row>
    <row r="2266" spans="1:10">
      <c r="A2266">
        <f>'OPEN FOREIGN ORDER'!D1892</f>
        <v>0</v>
      </c>
      <c r="B2266">
        <f>'OPEN FOREIGN ORDER'!F1892</f>
        <v>0</v>
      </c>
      <c r="C2266">
        <f>'OPEN FOREIGN ORDER'!Z1892</f>
        <v>0</v>
      </c>
      <c r="D2266" s="123">
        <f>'OPEN FOREIGN ORDER'!AA1892</f>
        <v>0</v>
      </c>
      <c r="E2266" s="112">
        <f>'OPEN FOREIGN ORDER'!AB1892</f>
        <v>0</v>
      </c>
      <c r="F2266" s="112">
        <f>'OPEN FOREIGN ORDER'!AC1892</f>
        <v>0</v>
      </c>
      <c r="G2266" s="112">
        <f>'OPEN FOREIGN ORDER'!AD1892</f>
        <v>0</v>
      </c>
      <c r="H2266" s="112">
        <f>'OPEN FOREIGN ORDER'!AE1892</f>
        <v>0</v>
      </c>
      <c r="I2266" s="112">
        <f>'OPEN FOREIGN ORDER'!AF1892</f>
        <v>0</v>
      </c>
      <c r="J2266" s="112">
        <f>'OPEN FOREIGN ORDER'!AG1892</f>
        <v>0</v>
      </c>
    </row>
    <row r="2267" spans="1:10">
      <c r="A2267">
        <f>'OPEN FOREIGN ORDER'!D1893</f>
        <v>0</v>
      </c>
      <c r="B2267">
        <f>'OPEN FOREIGN ORDER'!F1893</f>
        <v>0</v>
      </c>
      <c r="C2267">
        <f>'OPEN FOREIGN ORDER'!Z1893</f>
        <v>0</v>
      </c>
      <c r="D2267" s="123">
        <f>'OPEN FOREIGN ORDER'!AA1893</f>
        <v>0</v>
      </c>
      <c r="E2267" s="112">
        <f>'OPEN FOREIGN ORDER'!AB1893</f>
        <v>0</v>
      </c>
      <c r="F2267" s="112">
        <f>'OPEN FOREIGN ORDER'!AC1893</f>
        <v>0</v>
      </c>
      <c r="G2267" s="112">
        <f>'OPEN FOREIGN ORDER'!AD1893</f>
        <v>0</v>
      </c>
      <c r="H2267" s="112">
        <f>'OPEN FOREIGN ORDER'!AE1893</f>
        <v>0</v>
      </c>
      <c r="I2267" s="112">
        <f>'OPEN FOREIGN ORDER'!AF1893</f>
        <v>0</v>
      </c>
      <c r="J2267" s="112">
        <f>'OPEN FOREIGN ORDER'!AG1893</f>
        <v>0</v>
      </c>
    </row>
    <row r="2268" spans="1:10">
      <c r="A2268">
        <f>'OPEN FOREIGN ORDER'!D1894</f>
        <v>0</v>
      </c>
      <c r="B2268">
        <f>'OPEN FOREIGN ORDER'!F1894</f>
        <v>0</v>
      </c>
      <c r="C2268">
        <f>'OPEN FOREIGN ORDER'!Z1894</f>
        <v>0</v>
      </c>
      <c r="D2268" s="123">
        <f>'OPEN FOREIGN ORDER'!AA1894</f>
        <v>0</v>
      </c>
      <c r="E2268" s="112">
        <f>'OPEN FOREIGN ORDER'!AB1894</f>
        <v>0</v>
      </c>
      <c r="F2268" s="112">
        <f>'OPEN FOREIGN ORDER'!AC1894</f>
        <v>0</v>
      </c>
      <c r="G2268" s="112">
        <f>'OPEN FOREIGN ORDER'!AD1894</f>
        <v>0</v>
      </c>
      <c r="H2268" s="112">
        <f>'OPEN FOREIGN ORDER'!AE1894</f>
        <v>0</v>
      </c>
      <c r="I2268" s="112">
        <f>'OPEN FOREIGN ORDER'!AF1894</f>
        <v>0</v>
      </c>
      <c r="J2268" s="112">
        <f>'OPEN FOREIGN ORDER'!AG1894</f>
        <v>0</v>
      </c>
    </row>
    <row r="2269" spans="1:10">
      <c r="A2269">
        <f>'OPEN FOREIGN ORDER'!D1895</f>
        <v>0</v>
      </c>
      <c r="B2269">
        <f>'OPEN FOREIGN ORDER'!F1895</f>
        <v>0</v>
      </c>
      <c r="C2269">
        <f>'OPEN FOREIGN ORDER'!Z1895</f>
        <v>0</v>
      </c>
      <c r="D2269" s="123">
        <f>'OPEN FOREIGN ORDER'!AA1895</f>
        <v>0</v>
      </c>
      <c r="E2269" s="112">
        <f>'OPEN FOREIGN ORDER'!AB1895</f>
        <v>0</v>
      </c>
      <c r="F2269" s="112">
        <f>'OPEN FOREIGN ORDER'!AC1895</f>
        <v>0</v>
      </c>
      <c r="G2269" s="112">
        <f>'OPEN FOREIGN ORDER'!AD1895</f>
        <v>0</v>
      </c>
      <c r="H2269" s="112">
        <f>'OPEN FOREIGN ORDER'!AE1895</f>
        <v>0</v>
      </c>
      <c r="I2269" s="112">
        <f>'OPEN FOREIGN ORDER'!AF1895</f>
        <v>0</v>
      </c>
      <c r="J2269" s="112">
        <f>'OPEN FOREIGN ORDER'!AG1895</f>
        <v>0</v>
      </c>
    </row>
    <row r="2270" spans="1:10">
      <c r="A2270">
        <f>'OPEN FOREIGN ORDER'!D1896</f>
        <v>0</v>
      </c>
      <c r="B2270">
        <f>'OPEN FOREIGN ORDER'!F1896</f>
        <v>0</v>
      </c>
      <c r="C2270">
        <f>'OPEN FOREIGN ORDER'!Z1896</f>
        <v>0</v>
      </c>
      <c r="D2270" s="123">
        <f>'OPEN FOREIGN ORDER'!AA1896</f>
        <v>0</v>
      </c>
      <c r="E2270" s="112">
        <f>'OPEN FOREIGN ORDER'!AB1896</f>
        <v>0</v>
      </c>
      <c r="F2270" s="112">
        <f>'OPEN FOREIGN ORDER'!AC1896</f>
        <v>0</v>
      </c>
      <c r="G2270" s="112">
        <f>'OPEN FOREIGN ORDER'!AD1896</f>
        <v>0</v>
      </c>
      <c r="H2270" s="112">
        <f>'OPEN FOREIGN ORDER'!AE1896</f>
        <v>0</v>
      </c>
      <c r="I2270" s="112">
        <f>'OPEN FOREIGN ORDER'!AF1896</f>
        <v>0</v>
      </c>
      <c r="J2270" s="112">
        <f>'OPEN FOREIGN ORDER'!AG1896</f>
        <v>0</v>
      </c>
    </row>
    <row r="2271" spans="1:10">
      <c r="A2271">
        <f>'OPEN FOREIGN ORDER'!D1897</f>
        <v>0</v>
      </c>
      <c r="B2271">
        <f>'OPEN FOREIGN ORDER'!F1897</f>
        <v>0</v>
      </c>
      <c r="C2271">
        <f>'OPEN FOREIGN ORDER'!Z1897</f>
        <v>0</v>
      </c>
      <c r="D2271" s="123">
        <f>'OPEN FOREIGN ORDER'!AA1897</f>
        <v>0</v>
      </c>
      <c r="E2271" s="112">
        <f>'OPEN FOREIGN ORDER'!AB1897</f>
        <v>0</v>
      </c>
      <c r="F2271" s="112">
        <f>'OPEN FOREIGN ORDER'!AC1897</f>
        <v>0</v>
      </c>
      <c r="G2271" s="112">
        <f>'OPEN FOREIGN ORDER'!AD1897</f>
        <v>0</v>
      </c>
      <c r="H2271" s="112">
        <f>'OPEN FOREIGN ORDER'!AE1897</f>
        <v>0</v>
      </c>
      <c r="I2271" s="112">
        <f>'OPEN FOREIGN ORDER'!AF1897</f>
        <v>0</v>
      </c>
      <c r="J2271" s="112">
        <f>'OPEN FOREIGN ORDER'!AG1897</f>
        <v>0</v>
      </c>
    </row>
    <row r="2272" spans="1:10">
      <c r="A2272">
        <f>'OPEN FOREIGN ORDER'!D1898</f>
        <v>0</v>
      </c>
      <c r="B2272">
        <f>'OPEN FOREIGN ORDER'!F1898</f>
        <v>0</v>
      </c>
      <c r="C2272">
        <f>'OPEN FOREIGN ORDER'!Z1898</f>
        <v>0</v>
      </c>
      <c r="D2272" s="123">
        <f>'OPEN FOREIGN ORDER'!AA1898</f>
        <v>0</v>
      </c>
      <c r="E2272" s="112">
        <f>'OPEN FOREIGN ORDER'!AB1898</f>
        <v>0</v>
      </c>
      <c r="F2272" s="112">
        <f>'OPEN FOREIGN ORDER'!AC1898</f>
        <v>0</v>
      </c>
      <c r="G2272" s="112">
        <f>'OPEN FOREIGN ORDER'!AD1898</f>
        <v>0</v>
      </c>
      <c r="H2272" s="112">
        <f>'OPEN FOREIGN ORDER'!AE1898</f>
        <v>0</v>
      </c>
      <c r="I2272" s="112">
        <f>'OPEN FOREIGN ORDER'!AF1898</f>
        <v>0</v>
      </c>
      <c r="J2272" s="112">
        <f>'OPEN FOREIGN ORDER'!AG1898</f>
        <v>0</v>
      </c>
    </row>
    <row r="2273" spans="1:10">
      <c r="A2273">
        <f>'OPEN FOREIGN ORDER'!D1899</f>
        <v>0</v>
      </c>
      <c r="B2273">
        <f>'OPEN FOREIGN ORDER'!F1899</f>
        <v>0</v>
      </c>
      <c r="C2273">
        <f>'OPEN FOREIGN ORDER'!Z1899</f>
        <v>0</v>
      </c>
      <c r="D2273" s="123">
        <f>'OPEN FOREIGN ORDER'!AA1899</f>
        <v>0</v>
      </c>
      <c r="E2273" s="112">
        <f>'OPEN FOREIGN ORDER'!AB1899</f>
        <v>0</v>
      </c>
      <c r="F2273" s="112">
        <f>'OPEN FOREIGN ORDER'!AC1899</f>
        <v>0</v>
      </c>
      <c r="G2273" s="112">
        <f>'OPEN FOREIGN ORDER'!AD1899</f>
        <v>0</v>
      </c>
      <c r="H2273" s="112">
        <f>'OPEN FOREIGN ORDER'!AE1899</f>
        <v>0</v>
      </c>
      <c r="I2273" s="112">
        <f>'OPEN FOREIGN ORDER'!AF1899</f>
        <v>0</v>
      </c>
      <c r="J2273" s="112">
        <f>'OPEN FOREIGN ORDER'!AG1899</f>
        <v>0</v>
      </c>
    </row>
    <row r="2274" spans="1:10">
      <c r="A2274">
        <f>'OPEN FOREIGN ORDER'!D1900</f>
        <v>0</v>
      </c>
      <c r="B2274">
        <f>'OPEN FOREIGN ORDER'!F1900</f>
        <v>0</v>
      </c>
      <c r="C2274">
        <f>'OPEN FOREIGN ORDER'!Z1900</f>
        <v>0</v>
      </c>
      <c r="D2274" s="123">
        <f>'OPEN FOREIGN ORDER'!AA1900</f>
        <v>0</v>
      </c>
      <c r="E2274" s="112">
        <f>'OPEN FOREIGN ORDER'!AB1900</f>
        <v>0</v>
      </c>
      <c r="F2274" s="112">
        <f>'OPEN FOREIGN ORDER'!AC1900</f>
        <v>0</v>
      </c>
      <c r="G2274" s="112">
        <f>'OPEN FOREIGN ORDER'!AD1900</f>
        <v>0</v>
      </c>
      <c r="H2274" s="112">
        <f>'OPEN FOREIGN ORDER'!AE1900</f>
        <v>0</v>
      </c>
      <c r="I2274" s="112">
        <f>'OPEN FOREIGN ORDER'!AF1900</f>
        <v>0</v>
      </c>
      <c r="J2274" s="112">
        <f>'OPEN FOREIGN ORDER'!AG1900</f>
        <v>0</v>
      </c>
    </row>
    <row r="2275" spans="1:10">
      <c r="A2275">
        <f>'OPEN FOREIGN ORDER'!D1901</f>
        <v>0</v>
      </c>
      <c r="B2275">
        <f>'OPEN FOREIGN ORDER'!F1901</f>
        <v>0</v>
      </c>
      <c r="C2275">
        <f>'OPEN FOREIGN ORDER'!Z1901</f>
        <v>0</v>
      </c>
      <c r="D2275" s="123">
        <f>'OPEN FOREIGN ORDER'!AA1901</f>
        <v>0</v>
      </c>
      <c r="E2275" s="112">
        <f>'OPEN FOREIGN ORDER'!AB1901</f>
        <v>0</v>
      </c>
      <c r="F2275" s="112">
        <f>'OPEN FOREIGN ORDER'!AC1901</f>
        <v>0</v>
      </c>
      <c r="G2275" s="112">
        <f>'OPEN FOREIGN ORDER'!AD1901</f>
        <v>0</v>
      </c>
      <c r="H2275" s="112">
        <f>'OPEN FOREIGN ORDER'!AE1901</f>
        <v>0</v>
      </c>
      <c r="I2275" s="112">
        <f>'OPEN FOREIGN ORDER'!AF1901</f>
        <v>0</v>
      </c>
      <c r="J2275" s="112">
        <f>'OPEN FOREIGN ORDER'!AG1901</f>
        <v>0</v>
      </c>
    </row>
    <row r="2276" spans="1:10">
      <c r="A2276">
        <f>'OPEN FOREIGN ORDER'!D1902</f>
        <v>0</v>
      </c>
      <c r="B2276">
        <f>'OPEN FOREIGN ORDER'!F1902</f>
        <v>0</v>
      </c>
      <c r="C2276">
        <f>'OPEN FOREIGN ORDER'!Z1902</f>
        <v>0</v>
      </c>
      <c r="D2276" s="123">
        <f>'OPEN FOREIGN ORDER'!AA1902</f>
        <v>0</v>
      </c>
      <c r="E2276" s="112">
        <f>'OPEN FOREIGN ORDER'!AB1902</f>
        <v>0</v>
      </c>
      <c r="F2276" s="112">
        <f>'OPEN FOREIGN ORDER'!AC1902</f>
        <v>0</v>
      </c>
      <c r="G2276" s="112">
        <f>'OPEN FOREIGN ORDER'!AD1902</f>
        <v>0</v>
      </c>
      <c r="H2276" s="112">
        <f>'OPEN FOREIGN ORDER'!AE1902</f>
        <v>0</v>
      </c>
      <c r="I2276" s="112">
        <f>'OPEN FOREIGN ORDER'!AF1902</f>
        <v>0</v>
      </c>
      <c r="J2276" s="112">
        <f>'OPEN FOREIGN ORDER'!AG1902</f>
        <v>0</v>
      </c>
    </row>
    <row r="2277" spans="1:10">
      <c r="A2277">
        <f>'OPEN FOREIGN ORDER'!D1903</f>
        <v>0</v>
      </c>
      <c r="B2277">
        <f>'OPEN FOREIGN ORDER'!F1903</f>
        <v>0</v>
      </c>
      <c r="C2277">
        <f>'OPEN FOREIGN ORDER'!Z1903</f>
        <v>0</v>
      </c>
      <c r="D2277" s="123">
        <f>'OPEN FOREIGN ORDER'!AA1903</f>
        <v>0</v>
      </c>
      <c r="E2277" s="112">
        <f>'OPEN FOREIGN ORDER'!AB1903</f>
        <v>0</v>
      </c>
      <c r="F2277" s="112">
        <f>'OPEN FOREIGN ORDER'!AC1903</f>
        <v>0</v>
      </c>
      <c r="G2277" s="112">
        <f>'OPEN FOREIGN ORDER'!AD1903</f>
        <v>0</v>
      </c>
      <c r="H2277" s="112">
        <f>'OPEN FOREIGN ORDER'!AE1903</f>
        <v>0</v>
      </c>
      <c r="I2277" s="112">
        <f>'OPEN FOREIGN ORDER'!AF1903</f>
        <v>0</v>
      </c>
      <c r="J2277" s="112">
        <f>'OPEN FOREIGN ORDER'!AG1903</f>
        <v>0</v>
      </c>
    </row>
    <row r="2278" spans="1:10">
      <c r="A2278">
        <f>'OPEN FOREIGN ORDER'!D1904</f>
        <v>0</v>
      </c>
      <c r="B2278">
        <f>'OPEN FOREIGN ORDER'!F1904</f>
        <v>0</v>
      </c>
      <c r="C2278">
        <f>'OPEN FOREIGN ORDER'!Z1904</f>
        <v>0</v>
      </c>
      <c r="D2278" s="123">
        <f>'OPEN FOREIGN ORDER'!AA1904</f>
        <v>0</v>
      </c>
      <c r="E2278" s="112">
        <f>'OPEN FOREIGN ORDER'!AB1904</f>
        <v>0</v>
      </c>
      <c r="F2278" s="112">
        <f>'OPEN FOREIGN ORDER'!AC1904</f>
        <v>0</v>
      </c>
      <c r="G2278" s="112">
        <f>'OPEN FOREIGN ORDER'!AD1904</f>
        <v>0</v>
      </c>
      <c r="H2278" s="112">
        <f>'OPEN FOREIGN ORDER'!AE1904</f>
        <v>0</v>
      </c>
      <c r="I2278" s="112">
        <f>'OPEN FOREIGN ORDER'!AF1904</f>
        <v>0</v>
      </c>
      <c r="J2278" s="112">
        <f>'OPEN FOREIGN ORDER'!AG1904</f>
        <v>0</v>
      </c>
    </row>
    <row r="2279" spans="1:10">
      <c r="A2279">
        <f>'OPEN FOREIGN ORDER'!D1905</f>
        <v>0</v>
      </c>
      <c r="B2279">
        <f>'OPEN FOREIGN ORDER'!F1905</f>
        <v>0</v>
      </c>
      <c r="C2279">
        <f>'OPEN FOREIGN ORDER'!Z1905</f>
        <v>0</v>
      </c>
      <c r="D2279" s="123">
        <f>'OPEN FOREIGN ORDER'!AA1905</f>
        <v>0</v>
      </c>
      <c r="E2279" s="112">
        <f>'OPEN FOREIGN ORDER'!AB1905</f>
        <v>0</v>
      </c>
      <c r="F2279" s="112">
        <f>'OPEN FOREIGN ORDER'!AC1905</f>
        <v>0</v>
      </c>
      <c r="G2279" s="112">
        <f>'OPEN FOREIGN ORDER'!AD1905</f>
        <v>0</v>
      </c>
      <c r="H2279" s="112">
        <f>'OPEN FOREIGN ORDER'!AE1905</f>
        <v>0</v>
      </c>
      <c r="I2279" s="112">
        <f>'OPEN FOREIGN ORDER'!AF1905</f>
        <v>0</v>
      </c>
      <c r="J2279" s="112">
        <f>'OPEN FOREIGN ORDER'!AG1905</f>
        <v>0</v>
      </c>
    </row>
    <row r="2280" spans="1:10">
      <c r="A2280">
        <f>'OPEN FOREIGN ORDER'!D1906</f>
        <v>0</v>
      </c>
      <c r="B2280">
        <f>'OPEN FOREIGN ORDER'!F1906</f>
        <v>0</v>
      </c>
      <c r="C2280">
        <f>'OPEN FOREIGN ORDER'!Z1906</f>
        <v>0</v>
      </c>
      <c r="D2280" s="123">
        <f>'OPEN FOREIGN ORDER'!AA1906</f>
        <v>0</v>
      </c>
      <c r="E2280" s="112">
        <f>'OPEN FOREIGN ORDER'!AB1906</f>
        <v>0</v>
      </c>
      <c r="F2280" s="112">
        <f>'OPEN FOREIGN ORDER'!AC1906</f>
        <v>0</v>
      </c>
      <c r="G2280" s="112">
        <f>'OPEN FOREIGN ORDER'!AD1906</f>
        <v>0</v>
      </c>
      <c r="H2280" s="112">
        <f>'OPEN FOREIGN ORDER'!AE1906</f>
        <v>0</v>
      </c>
      <c r="I2280" s="112">
        <f>'OPEN FOREIGN ORDER'!AF1906</f>
        <v>0</v>
      </c>
      <c r="J2280" s="112">
        <f>'OPEN FOREIGN ORDER'!AG1906</f>
        <v>0</v>
      </c>
    </row>
    <row r="2281" spans="1:10">
      <c r="A2281">
        <f>'OPEN FOREIGN ORDER'!D1907</f>
        <v>0</v>
      </c>
      <c r="B2281">
        <f>'OPEN FOREIGN ORDER'!F1907</f>
        <v>0</v>
      </c>
      <c r="C2281">
        <f>'OPEN FOREIGN ORDER'!Z1907</f>
        <v>0</v>
      </c>
      <c r="D2281" s="123">
        <f>'OPEN FOREIGN ORDER'!AA1907</f>
        <v>0</v>
      </c>
      <c r="E2281" s="112">
        <f>'OPEN FOREIGN ORDER'!AB1907</f>
        <v>0</v>
      </c>
      <c r="F2281" s="112">
        <f>'OPEN FOREIGN ORDER'!AC1907</f>
        <v>0</v>
      </c>
      <c r="G2281" s="112">
        <f>'OPEN FOREIGN ORDER'!AD1907</f>
        <v>0</v>
      </c>
      <c r="H2281" s="112">
        <f>'OPEN FOREIGN ORDER'!AE1907</f>
        <v>0</v>
      </c>
      <c r="I2281" s="112">
        <f>'OPEN FOREIGN ORDER'!AF1907</f>
        <v>0</v>
      </c>
      <c r="J2281" s="112">
        <f>'OPEN FOREIGN ORDER'!AG1907</f>
        <v>0</v>
      </c>
    </row>
    <row r="2282" spans="1:10">
      <c r="A2282">
        <f>'OPEN FOREIGN ORDER'!D1908</f>
        <v>0</v>
      </c>
      <c r="B2282">
        <f>'OPEN FOREIGN ORDER'!F1908</f>
        <v>0</v>
      </c>
      <c r="C2282">
        <f>'OPEN FOREIGN ORDER'!Z1908</f>
        <v>0</v>
      </c>
      <c r="D2282" s="123">
        <f>'OPEN FOREIGN ORDER'!AA1908</f>
        <v>0</v>
      </c>
      <c r="E2282" s="112">
        <f>'OPEN FOREIGN ORDER'!AB1908</f>
        <v>0</v>
      </c>
      <c r="F2282" s="112">
        <f>'OPEN FOREIGN ORDER'!AC1908</f>
        <v>0</v>
      </c>
      <c r="G2282" s="112">
        <f>'OPEN FOREIGN ORDER'!AD1908</f>
        <v>0</v>
      </c>
      <c r="H2282" s="112">
        <f>'OPEN FOREIGN ORDER'!AE1908</f>
        <v>0</v>
      </c>
      <c r="I2282" s="112">
        <f>'OPEN FOREIGN ORDER'!AF1908</f>
        <v>0</v>
      </c>
      <c r="J2282" s="112">
        <f>'OPEN FOREIGN ORDER'!AG1908</f>
        <v>0</v>
      </c>
    </row>
    <row r="2283" spans="1:10">
      <c r="A2283">
        <f>'OPEN FOREIGN ORDER'!D1909</f>
        <v>0</v>
      </c>
      <c r="B2283">
        <f>'OPEN FOREIGN ORDER'!F1909</f>
        <v>0</v>
      </c>
      <c r="C2283">
        <f>'OPEN FOREIGN ORDER'!Z1909</f>
        <v>0</v>
      </c>
      <c r="D2283" s="123">
        <f>'OPEN FOREIGN ORDER'!AA1909</f>
        <v>0</v>
      </c>
      <c r="E2283" s="112">
        <f>'OPEN FOREIGN ORDER'!AB1909</f>
        <v>0</v>
      </c>
      <c r="F2283" s="112">
        <f>'OPEN FOREIGN ORDER'!AC1909</f>
        <v>0</v>
      </c>
      <c r="G2283" s="112">
        <f>'OPEN FOREIGN ORDER'!AD1909</f>
        <v>0</v>
      </c>
      <c r="H2283" s="112">
        <f>'OPEN FOREIGN ORDER'!AE1909</f>
        <v>0</v>
      </c>
      <c r="I2283" s="112">
        <f>'OPEN FOREIGN ORDER'!AF1909</f>
        <v>0</v>
      </c>
      <c r="J2283" s="112">
        <f>'OPEN FOREIGN ORDER'!AG1909</f>
        <v>0</v>
      </c>
    </row>
    <row r="2284" spans="1:10">
      <c r="A2284">
        <f>'OPEN FOREIGN ORDER'!D1910</f>
        <v>0</v>
      </c>
      <c r="B2284">
        <f>'OPEN FOREIGN ORDER'!F1910</f>
        <v>0</v>
      </c>
      <c r="C2284">
        <f>'OPEN FOREIGN ORDER'!Z1910</f>
        <v>0</v>
      </c>
      <c r="D2284" s="123">
        <f>'OPEN FOREIGN ORDER'!AA1910</f>
        <v>0</v>
      </c>
      <c r="E2284" s="112">
        <f>'OPEN FOREIGN ORDER'!AB1910</f>
        <v>0</v>
      </c>
      <c r="F2284" s="112">
        <f>'OPEN FOREIGN ORDER'!AC1910</f>
        <v>0</v>
      </c>
      <c r="G2284" s="112">
        <f>'OPEN FOREIGN ORDER'!AD1910</f>
        <v>0</v>
      </c>
      <c r="H2284" s="112">
        <f>'OPEN FOREIGN ORDER'!AE1910</f>
        <v>0</v>
      </c>
      <c r="I2284" s="112">
        <f>'OPEN FOREIGN ORDER'!AF1910</f>
        <v>0</v>
      </c>
      <c r="J2284" s="112">
        <f>'OPEN FOREIGN ORDER'!AG1910</f>
        <v>0</v>
      </c>
    </row>
    <row r="2285" spans="1:10">
      <c r="A2285">
        <f>'OPEN FOREIGN ORDER'!D1911</f>
        <v>0</v>
      </c>
      <c r="B2285">
        <f>'OPEN FOREIGN ORDER'!F1911</f>
        <v>0</v>
      </c>
      <c r="C2285">
        <f>'OPEN FOREIGN ORDER'!Z1911</f>
        <v>0</v>
      </c>
      <c r="D2285" s="123">
        <f>'OPEN FOREIGN ORDER'!AA1911</f>
        <v>0</v>
      </c>
      <c r="E2285" s="112">
        <f>'OPEN FOREIGN ORDER'!AB1911</f>
        <v>0</v>
      </c>
      <c r="F2285" s="112">
        <f>'OPEN FOREIGN ORDER'!AC1911</f>
        <v>0</v>
      </c>
      <c r="G2285" s="112">
        <f>'OPEN FOREIGN ORDER'!AD1911</f>
        <v>0</v>
      </c>
      <c r="H2285" s="112">
        <f>'OPEN FOREIGN ORDER'!AE1911</f>
        <v>0</v>
      </c>
      <c r="I2285" s="112">
        <f>'OPEN FOREIGN ORDER'!AF1911</f>
        <v>0</v>
      </c>
      <c r="J2285" s="112">
        <f>'OPEN FOREIGN ORDER'!AG1911</f>
        <v>0</v>
      </c>
    </row>
    <row r="2286" spans="1:10">
      <c r="A2286">
        <f>'OPEN FOREIGN ORDER'!D1912</f>
        <v>0</v>
      </c>
      <c r="B2286">
        <f>'OPEN FOREIGN ORDER'!F1912</f>
        <v>0</v>
      </c>
      <c r="C2286">
        <f>'OPEN FOREIGN ORDER'!Z1912</f>
        <v>0</v>
      </c>
      <c r="D2286" s="123">
        <f>'OPEN FOREIGN ORDER'!AA1912</f>
        <v>0</v>
      </c>
      <c r="E2286" s="112">
        <f>'OPEN FOREIGN ORDER'!AB1912</f>
        <v>0</v>
      </c>
      <c r="F2286" s="112">
        <f>'OPEN FOREIGN ORDER'!AC1912</f>
        <v>0</v>
      </c>
      <c r="G2286" s="112">
        <f>'OPEN FOREIGN ORDER'!AD1912</f>
        <v>0</v>
      </c>
      <c r="H2286" s="112">
        <f>'OPEN FOREIGN ORDER'!AE1912</f>
        <v>0</v>
      </c>
      <c r="I2286" s="112">
        <f>'OPEN FOREIGN ORDER'!AF1912</f>
        <v>0</v>
      </c>
      <c r="J2286" s="112">
        <f>'OPEN FOREIGN ORDER'!AG1912</f>
        <v>0</v>
      </c>
    </row>
    <row r="2287" spans="1:10">
      <c r="A2287">
        <f>'OPEN FOREIGN ORDER'!D1913</f>
        <v>0</v>
      </c>
      <c r="B2287">
        <f>'OPEN FOREIGN ORDER'!F1913</f>
        <v>0</v>
      </c>
      <c r="C2287">
        <f>'OPEN FOREIGN ORDER'!Z1913</f>
        <v>0</v>
      </c>
      <c r="D2287" s="123">
        <f>'OPEN FOREIGN ORDER'!AA1913</f>
        <v>0</v>
      </c>
      <c r="E2287" s="112">
        <f>'OPEN FOREIGN ORDER'!AB1913</f>
        <v>0</v>
      </c>
      <c r="F2287" s="112">
        <f>'OPEN FOREIGN ORDER'!AC1913</f>
        <v>0</v>
      </c>
      <c r="G2287" s="112">
        <f>'OPEN FOREIGN ORDER'!AD1913</f>
        <v>0</v>
      </c>
      <c r="H2287" s="112">
        <f>'OPEN FOREIGN ORDER'!AE1913</f>
        <v>0</v>
      </c>
      <c r="I2287" s="112">
        <f>'OPEN FOREIGN ORDER'!AF1913</f>
        <v>0</v>
      </c>
      <c r="J2287" s="112">
        <f>'OPEN FOREIGN ORDER'!AG1913</f>
        <v>0</v>
      </c>
    </row>
    <row r="2288" spans="1:10">
      <c r="A2288">
        <f>'OPEN FOREIGN ORDER'!D1914</f>
        <v>0</v>
      </c>
      <c r="B2288">
        <f>'OPEN FOREIGN ORDER'!F1914</f>
        <v>0</v>
      </c>
      <c r="C2288">
        <f>'OPEN FOREIGN ORDER'!Z1914</f>
        <v>0</v>
      </c>
      <c r="D2288" s="123">
        <f>'OPEN FOREIGN ORDER'!AA1914</f>
        <v>0</v>
      </c>
      <c r="E2288" s="112">
        <f>'OPEN FOREIGN ORDER'!AB1914</f>
        <v>0</v>
      </c>
      <c r="F2288" s="112">
        <f>'OPEN FOREIGN ORDER'!AC1914</f>
        <v>0</v>
      </c>
      <c r="G2288" s="112">
        <f>'OPEN FOREIGN ORDER'!AD1914</f>
        <v>0</v>
      </c>
      <c r="H2288" s="112">
        <f>'OPEN FOREIGN ORDER'!AE1914</f>
        <v>0</v>
      </c>
      <c r="I2288" s="112">
        <f>'OPEN FOREIGN ORDER'!AF1914</f>
        <v>0</v>
      </c>
      <c r="J2288" s="112">
        <f>'OPEN FOREIGN ORDER'!AG1914</f>
        <v>0</v>
      </c>
    </row>
    <row r="2289" spans="1:10">
      <c r="A2289">
        <f>'OPEN FOREIGN ORDER'!D1915</f>
        <v>0</v>
      </c>
      <c r="B2289">
        <f>'OPEN FOREIGN ORDER'!F1915</f>
        <v>0</v>
      </c>
      <c r="C2289">
        <f>'OPEN FOREIGN ORDER'!Z1915</f>
        <v>0</v>
      </c>
      <c r="D2289" s="123">
        <f>'OPEN FOREIGN ORDER'!AA1915</f>
        <v>0</v>
      </c>
      <c r="E2289" s="112">
        <f>'OPEN FOREIGN ORDER'!AB1915</f>
        <v>0</v>
      </c>
      <c r="F2289" s="112">
        <f>'OPEN FOREIGN ORDER'!AC1915</f>
        <v>0</v>
      </c>
      <c r="G2289" s="112">
        <f>'OPEN FOREIGN ORDER'!AD1915</f>
        <v>0</v>
      </c>
      <c r="H2289" s="112">
        <f>'OPEN FOREIGN ORDER'!AE1915</f>
        <v>0</v>
      </c>
      <c r="I2289" s="112">
        <f>'OPEN FOREIGN ORDER'!AF1915</f>
        <v>0</v>
      </c>
      <c r="J2289" s="112">
        <f>'OPEN FOREIGN ORDER'!AG1915</f>
        <v>0</v>
      </c>
    </row>
    <row r="2290" spans="1:10">
      <c r="A2290">
        <f>'OPEN FOREIGN ORDER'!D1916</f>
        <v>0</v>
      </c>
      <c r="B2290">
        <f>'OPEN FOREIGN ORDER'!F1916</f>
        <v>0</v>
      </c>
      <c r="C2290">
        <f>'OPEN FOREIGN ORDER'!Z1916</f>
        <v>0</v>
      </c>
      <c r="D2290" s="123">
        <f>'OPEN FOREIGN ORDER'!AA1916</f>
        <v>0</v>
      </c>
      <c r="E2290" s="112">
        <f>'OPEN FOREIGN ORDER'!AB1916</f>
        <v>0</v>
      </c>
      <c r="F2290" s="112">
        <f>'OPEN FOREIGN ORDER'!AC1916</f>
        <v>0</v>
      </c>
      <c r="G2290" s="112">
        <f>'OPEN FOREIGN ORDER'!AD1916</f>
        <v>0</v>
      </c>
      <c r="H2290" s="112">
        <f>'OPEN FOREIGN ORDER'!AE1916</f>
        <v>0</v>
      </c>
      <c r="I2290" s="112">
        <f>'OPEN FOREIGN ORDER'!AF1916</f>
        <v>0</v>
      </c>
      <c r="J2290" s="112">
        <f>'OPEN FOREIGN ORDER'!AG1916</f>
        <v>0</v>
      </c>
    </row>
    <row r="2291" spans="1:10">
      <c r="A2291">
        <f>'OPEN FOREIGN ORDER'!D1917</f>
        <v>0</v>
      </c>
      <c r="B2291">
        <f>'OPEN FOREIGN ORDER'!F1917</f>
        <v>0</v>
      </c>
      <c r="C2291">
        <f>'OPEN FOREIGN ORDER'!Z1917</f>
        <v>0</v>
      </c>
      <c r="D2291" s="123">
        <f>'OPEN FOREIGN ORDER'!AA1917</f>
        <v>0</v>
      </c>
      <c r="E2291" s="112">
        <f>'OPEN FOREIGN ORDER'!AB1917</f>
        <v>0</v>
      </c>
      <c r="F2291" s="112">
        <f>'OPEN FOREIGN ORDER'!AC1917</f>
        <v>0</v>
      </c>
      <c r="G2291" s="112">
        <f>'OPEN FOREIGN ORDER'!AD1917</f>
        <v>0</v>
      </c>
      <c r="H2291" s="112">
        <f>'OPEN FOREIGN ORDER'!AE1917</f>
        <v>0</v>
      </c>
      <c r="I2291" s="112">
        <f>'OPEN FOREIGN ORDER'!AF1917</f>
        <v>0</v>
      </c>
      <c r="J2291" s="112">
        <f>'OPEN FOREIGN ORDER'!AG1917</f>
        <v>0</v>
      </c>
    </row>
    <row r="2292" spans="1:10">
      <c r="A2292">
        <f>'OPEN FOREIGN ORDER'!D1918</f>
        <v>0</v>
      </c>
      <c r="B2292">
        <f>'OPEN FOREIGN ORDER'!F1918</f>
        <v>0</v>
      </c>
      <c r="C2292">
        <f>'OPEN FOREIGN ORDER'!Z1918</f>
        <v>0</v>
      </c>
      <c r="D2292" s="123">
        <f>'OPEN FOREIGN ORDER'!AA1918</f>
        <v>0</v>
      </c>
      <c r="E2292" s="112">
        <f>'OPEN FOREIGN ORDER'!AB1918</f>
        <v>0</v>
      </c>
      <c r="F2292" s="112">
        <f>'OPEN FOREIGN ORDER'!AC1918</f>
        <v>0</v>
      </c>
      <c r="G2292" s="112">
        <f>'OPEN FOREIGN ORDER'!AD1918</f>
        <v>0</v>
      </c>
      <c r="H2292" s="112">
        <f>'OPEN FOREIGN ORDER'!AE1918</f>
        <v>0</v>
      </c>
      <c r="I2292" s="112">
        <f>'OPEN FOREIGN ORDER'!AF1918</f>
        <v>0</v>
      </c>
      <c r="J2292" s="112">
        <f>'OPEN FOREIGN ORDER'!AG1918</f>
        <v>0</v>
      </c>
    </row>
    <row r="2293" spans="1:10">
      <c r="A2293">
        <f>'OPEN FOREIGN ORDER'!D1919</f>
        <v>0</v>
      </c>
      <c r="B2293">
        <f>'OPEN FOREIGN ORDER'!F1919</f>
        <v>0</v>
      </c>
      <c r="C2293">
        <f>'OPEN FOREIGN ORDER'!Z1919</f>
        <v>0</v>
      </c>
      <c r="D2293" s="123">
        <f>'OPEN FOREIGN ORDER'!AA1919</f>
        <v>0</v>
      </c>
      <c r="E2293" s="112">
        <f>'OPEN FOREIGN ORDER'!AB1919</f>
        <v>0</v>
      </c>
      <c r="F2293" s="112">
        <f>'OPEN FOREIGN ORDER'!AC1919</f>
        <v>0</v>
      </c>
      <c r="G2293" s="112">
        <f>'OPEN FOREIGN ORDER'!AD1919</f>
        <v>0</v>
      </c>
      <c r="H2293" s="112">
        <f>'OPEN FOREIGN ORDER'!AE1919</f>
        <v>0</v>
      </c>
      <c r="I2293" s="112">
        <f>'OPEN FOREIGN ORDER'!AF1919</f>
        <v>0</v>
      </c>
      <c r="J2293" s="112">
        <f>'OPEN FOREIGN ORDER'!AG1919</f>
        <v>0</v>
      </c>
    </row>
    <row r="2294" spans="1:10">
      <c r="A2294">
        <f>'OPEN FOREIGN ORDER'!D1920</f>
        <v>0</v>
      </c>
      <c r="B2294">
        <f>'OPEN FOREIGN ORDER'!F1920</f>
        <v>0</v>
      </c>
      <c r="C2294">
        <f>'OPEN FOREIGN ORDER'!Z1920</f>
        <v>0</v>
      </c>
      <c r="D2294" s="123">
        <f>'OPEN FOREIGN ORDER'!AA1920</f>
        <v>0</v>
      </c>
      <c r="E2294" s="112">
        <f>'OPEN FOREIGN ORDER'!AB1920</f>
        <v>0</v>
      </c>
      <c r="F2294" s="112">
        <f>'OPEN FOREIGN ORDER'!AC1920</f>
        <v>0</v>
      </c>
      <c r="G2294" s="112">
        <f>'OPEN FOREIGN ORDER'!AD1920</f>
        <v>0</v>
      </c>
      <c r="H2294" s="112">
        <f>'OPEN FOREIGN ORDER'!AE1920</f>
        <v>0</v>
      </c>
      <c r="I2294" s="112">
        <f>'OPEN FOREIGN ORDER'!AF1920</f>
        <v>0</v>
      </c>
      <c r="J2294" s="112">
        <f>'OPEN FOREIGN ORDER'!AG1920</f>
        <v>0</v>
      </c>
    </row>
    <row r="2295" spans="1:10">
      <c r="A2295">
        <f>'OPEN FOREIGN ORDER'!D1921</f>
        <v>0</v>
      </c>
      <c r="B2295">
        <f>'OPEN FOREIGN ORDER'!F1921</f>
        <v>0</v>
      </c>
      <c r="C2295">
        <f>'OPEN FOREIGN ORDER'!Z1921</f>
        <v>0</v>
      </c>
      <c r="D2295" s="123">
        <f>'OPEN FOREIGN ORDER'!AA1921</f>
        <v>0</v>
      </c>
      <c r="E2295" s="112">
        <f>'OPEN FOREIGN ORDER'!AB1921</f>
        <v>0</v>
      </c>
      <c r="F2295" s="112">
        <f>'OPEN FOREIGN ORDER'!AC1921</f>
        <v>0</v>
      </c>
      <c r="G2295" s="112">
        <f>'OPEN FOREIGN ORDER'!AD1921</f>
        <v>0</v>
      </c>
      <c r="H2295" s="112">
        <f>'OPEN FOREIGN ORDER'!AE1921</f>
        <v>0</v>
      </c>
      <c r="I2295" s="112">
        <f>'OPEN FOREIGN ORDER'!AF1921</f>
        <v>0</v>
      </c>
      <c r="J2295" s="112">
        <f>'OPEN FOREIGN ORDER'!AG1921</f>
        <v>0</v>
      </c>
    </row>
    <row r="2296" spans="1:10">
      <c r="A2296">
        <f>'OPEN FOREIGN ORDER'!D1922</f>
        <v>0</v>
      </c>
      <c r="B2296">
        <f>'OPEN FOREIGN ORDER'!F1922</f>
        <v>0</v>
      </c>
      <c r="C2296">
        <f>'OPEN FOREIGN ORDER'!Z1922</f>
        <v>0</v>
      </c>
      <c r="D2296" s="123">
        <f>'OPEN FOREIGN ORDER'!AA1922</f>
        <v>0</v>
      </c>
      <c r="E2296" s="112">
        <f>'OPEN FOREIGN ORDER'!AB1922</f>
        <v>0</v>
      </c>
      <c r="F2296" s="112">
        <f>'OPEN FOREIGN ORDER'!AC1922</f>
        <v>0</v>
      </c>
      <c r="G2296" s="112">
        <f>'OPEN FOREIGN ORDER'!AD1922</f>
        <v>0</v>
      </c>
      <c r="H2296" s="112">
        <f>'OPEN FOREIGN ORDER'!AE1922</f>
        <v>0</v>
      </c>
      <c r="I2296" s="112">
        <f>'OPEN FOREIGN ORDER'!AF1922</f>
        <v>0</v>
      </c>
      <c r="J2296" s="112">
        <f>'OPEN FOREIGN ORDER'!AG1922</f>
        <v>0</v>
      </c>
    </row>
    <row r="2297" spans="1:10">
      <c r="A2297">
        <f>'OPEN FOREIGN ORDER'!D1923</f>
        <v>0</v>
      </c>
      <c r="B2297">
        <f>'OPEN FOREIGN ORDER'!F1923</f>
        <v>0</v>
      </c>
      <c r="C2297">
        <f>'OPEN FOREIGN ORDER'!Z1923</f>
        <v>0</v>
      </c>
      <c r="D2297" s="123">
        <f>'OPEN FOREIGN ORDER'!AA1923</f>
        <v>0</v>
      </c>
      <c r="E2297" s="112">
        <f>'OPEN FOREIGN ORDER'!AB1923</f>
        <v>0</v>
      </c>
      <c r="F2297" s="112">
        <f>'OPEN FOREIGN ORDER'!AC1923</f>
        <v>0</v>
      </c>
      <c r="G2297" s="112">
        <f>'OPEN FOREIGN ORDER'!AD1923</f>
        <v>0</v>
      </c>
      <c r="H2297" s="112">
        <f>'OPEN FOREIGN ORDER'!AE1923</f>
        <v>0</v>
      </c>
      <c r="I2297" s="112">
        <f>'OPEN FOREIGN ORDER'!AF1923</f>
        <v>0</v>
      </c>
      <c r="J2297" s="112">
        <f>'OPEN FOREIGN ORDER'!AG1923</f>
        <v>0</v>
      </c>
    </row>
    <row r="2298" spans="1:10">
      <c r="A2298">
        <f>'OPEN FOREIGN ORDER'!D1924</f>
        <v>0</v>
      </c>
      <c r="B2298">
        <f>'OPEN FOREIGN ORDER'!F1924</f>
        <v>0</v>
      </c>
      <c r="C2298">
        <f>'OPEN FOREIGN ORDER'!Z1924</f>
        <v>0</v>
      </c>
      <c r="D2298" s="123">
        <f>'OPEN FOREIGN ORDER'!AA1924</f>
        <v>0</v>
      </c>
      <c r="E2298" s="112">
        <f>'OPEN FOREIGN ORDER'!AB1924</f>
        <v>0</v>
      </c>
      <c r="F2298" s="112">
        <f>'OPEN FOREIGN ORDER'!AC1924</f>
        <v>0</v>
      </c>
      <c r="G2298" s="112">
        <f>'OPEN FOREIGN ORDER'!AD1924</f>
        <v>0</v>
      </c>
      <c r="H2298" s="112">
        <f>'OPEN FOREIGN ORDER'!AE1924</f>
        <v>0</v>
      </c>
      <c r="I2298" s="112">
        <f>'OPEN FOREIGN ORDER'!AF1924</f>
        <v>0</v>
      </c>
      <c r="J2298" s="112">
        <f>'OPEN FOREIGN ORDER'!AG1924</f>
        <v>0</v>
      </c>
    </row>
    <row r="2299" spans="1:10">
      <c r="A2299">
        <f>'OPEN FOREIGN ORDER'!D1925</f>
        <v>0</v>
      </c>
      <c r="B2299">
        <f>'OPEN FOREIGN ORDER'!F1925</f>
        <v>0</v>
      </c>
      <c r="C2299">
        <f>'OPEN FOREIGN ORDER'!Z1925</f>
        <v>0</v>
      </c>
      <c r="D2299" s="123">
        <f>'OPEN FOREIGN ORDER'!AA1925</f>
        <v>0</v>
      </c>
      <c r="E2299" s="112">
        <f>'OPEN FOREIGN ORDER'!AB1925</f>
        <v>0</v>
      </c>
      <c r="F2299" s="112">
        <f>'OPEN FOREIGN ORDER'!AC1925</f>
        <v>0</v>
      </c>
      <c r="G2299" s="112">
        <f>'OPEN FOREIGN ORDER'!AD1925</f>
        <v>0</v>
      </c>
      <c r="H2299" s="112">
        <f>'OPEN FOREIGN ORDER'!AE1925</f>
        <v>0</v>
      </c>
      <c r="I2299" s="112">
        <f>'OPEN FOREIGN ORDER'!AF1925</f>
        <v>0</v>
      </c>
      <c r="J2299" s="112">
        <f>'OPEN FOREIGN ORDER'!AG1925</f>
        <v>0</v>
      </c>
    </row>
    <row r="2300" spans="1:10">
      <c r="A2300">
        <f>'OPEN FOREIGN ORDER'!D1926</f>
        <v>0</v>
      </c>
      <c r="B2300">
        <f>'OPEN FOREIGN ORDER'!F1926</f>
        <v>0</v>
      </c>
      <c r="C2300">
        <f>'OPEN FOREIGN ORDER'!Z1926</f>
        <v>0</v>
      </c>
      <c r="D2300" s="123">
        <f>'OPEN FOREIGN ORDER'!AA1926</f>
        <v>0</v>
      </c>
      <c r="E2300" s="112">
        <f>'OPEN FOREIGN ORDER'!AB1926</f>
        <v>0</v>
      </c>
      <c r="F2300" s="112">
        <f>'OPEN FOREIGN ORDER'!AC1926</f>
        <v>0</v>
      </c>
      <c r="G2300" s="112">
        <f>'OPEN FOREIGN ORDER'!AD1926</f>
        <v>0</v>
      </c>
      <c r="H2300" s="112">
        <f>'OPEN FOREIGN ORDER'!AE1926</f>
        <v>0</v>
      </c>
      <c r="I2300" s="112">
        <f>'OPEN FOREIGN ORDER'!AF1926</f>
        <v>0</v>
      </c>
      <c r="J2300" s="112">
        <f>'OPEN FOREIGN ORDER'!AG1926</f>
        <v>0</v>
      </c>
    </row>
    <row r="2301" spans="1:10">
      <c r="A2301">
        <f>'OPEN FOREIGN ORDER'!D1927</f>
        <v>0</v>
      </c>
      <c r="B2301">
        <f>'OPEN FOREIGN ORDER'!F1927</f>
        <v>0</v>
      </c>
      <c r="C2301">
        <f>'OPEN FOREIGN ORDER'!Z1927</f>
        <v>0</v>
      </c>
      <c r="D2301" s="123">
        <f>'OPEN FOREIGN ORDER'!AA1927</f>
        <v>0</v>
      </c>
      <c r="E2301" s="112">
        <f>'OPEN FOREIGN ORDER'!AB1927</f>
        <v>0</v>
      </c>
      <c r="F2301" s="112">
        <f>'OPEN FOREIGN ORDER'!AC1927</f>
        <v>0</v>
      </c>
      <c r="G2301" s="112">
        <f>'OPEN FOREIGN ORDER'!AD1927</f>
        <v>0</v>
      </c>
      <c r="H2301" s="112">
        <f>'OPEN FOREIGN ORDER'!AE1927</f>
        <v>0</v>
      </c>
      <c r="I2301" s="112">
        <f>'OPEN FOREIGN ORDER'!AF1927</f>
        <v>0</v>
      </c>
      <c r="J2301" s="112">
        <f>'OPEN FOREIGN ORDER'!AG1927</f>
        <v>0</v>
      </c>
    </row>
    <row r="2302" spans="1:10">
      <c r="A2302">
        <f>'OPEN FOREIGN ORDER'!D1928</f>
        <v>0</v>
      </c>
      <c r="B2302">
        <f>'OPEN FOREIGN ORDER'!F1928</f>
        <v>0</v>
      </c>
      <c r="C2302">
        <f>'OPEN FOREIGN ORDER'!Z1928</f>
        <v>0</v>
      </c>
      <c r="D2302" s="123">
        <f>'OPEN FOREIGN ORDER'!AA1928</f>
        <v>0</v>
      </c>
      <c r="E2302" s="112">
        <f>'OPEN FOREIGN ORDER'!AB1928</f>
        <v>0</v>
      </c>
      <c r="F2302" s="112">
        <f>'OPEN FOREIGN ORDER'!AC1928</f>
        <v>0</v>
      </c>
      <c r="G2302" s="112">
        <f>'OPEN FOREIGN ORDER'!AD1928</f>
        <v>0</v>
      </c>
      <c r="H2302" s="112">
        <f>'OPEN FOREIGN ORDER'!AE1928</f>
        <v>0</v>
      </c>
      <c r="I2302" s="112">
        <f>'OPEN FOREIGN ORDER'!AF1928</f>
        <v>0</v>
      </c>
      <c r="J2302" s="112">
        <f>'OPEN FOREIGN ORDER'!AG1928</f>
        <v>0</v>
      </c>
    </row>
    <row r="2303" spans="1:10">
      <c r="A2303">
        <f>'OPEN FOREIGN ORDER'!D1929</f>
        <v>0</v>
      </c>
      <c r="B2303">
        <f>'OPEN FOREIGN ORDER'!F1929</f>
        <v>0</v>
      </c>
      <c r="C2303">
        <f>'OPEN FOREIGN ORDER'!Z1929</f>
        <v>0</v>
      </c>
      <c r="D2303" s="123">
        <f>'OPEN FOREIGN ORDER'!AA1929</f>
        <v>0</v>
      </c>
      <c r="E2303" s="112">
        <f>'OPEN FOREIGN ORDER'!AB1929</f>
        <v>0</v>
      </c>
      <c r="F2303" s="112">
        <f>'OPEN FOREIGN ORDER'!AC1929</f>
        <v>0</v>
      </c>
      <c r="G2303" s="112">
        <f>'OPEN FOREIGN ORDER'!AD1929</f>
        <v>0</v>
      </c>
      <c r="H2303" s="112">
        <f>'OPEN FOREIGN ORDER'!AE1929</f>
        <v>0</v>
      </c>
      <c r="I2303" s="112">
        <f>'OPEN FOREIGN ORDER'!AF1929</f>
        <v>0</v>
      </c>
      <c r="J2303" s="112">
        <f>'OPEN FOREIGN ORDER'!AG1929</f>
        <v>0</v>
      </c>
    </row>
    <row r="2304" spans="1:10">
      <c r="A2304">
        <f>'OPEN FOREIGN ORDER'!D1930</f>
        <v>0</v>
      </c>
      <c r="B2304">
        <f>'OPEN FOREIGN ORDER'!F1930</f>
        <v>0</v>
      </c>
      <c r="C2304">
        <f>'OPEN FOREIGN ORDER'!Z1930</f>
        <v>0</v>
      </c>
      <c r="D2304" s="123">
        <f>'OPEN FOREIGN ORDER'!AA1930</f>
        <v>0</v>
      </c>
      <c r="E2304" s="112">
        <f>'OPEN FOREIGN ORDER'!AB1930</f>
        <v>0</v>
      </c>
      <c r="F2304" s="112">
        <f>'OPEN FOREIGN ORDER'!AC1930</f>
        <v>0</v>
      </c>
      <c r="G2304" s="112">
        <f>'OPEN FOREIGN ORDER'!AD1930</f>
        <v>0</v>
      </c>
      <c r="H2304" s="112">
        <f>'OPEN FOREIGN ORDER'!AE1930</f>
        <v>0</v>
      </c>
      <c r="I2304" s="112">
        <f>'OPEN FOREIGN ORDER'!AF1930</f>
        <v>0</v>
      </c>
      <c r="J2304" s="112">
        <f>'OPEN FOREIGN ORDER'!AG1930</f>
        <v>0</v>
      </c>
    </row>
    <row r="2305" spans="1:10">
      <c r="A2305">
        <f>'OPEN FOREIGN ORDER'!D1931</f>
        <v>0</v>
      </c>
      <c r="B2305">
        <f>'OPEN FOREIGN ORDER'!F1931</f>
        <v>0</v>
      </c>
      <c r="C2305">
        <f>'OPEN FOREIGN ORDER'!Z1931</f>
        <v>0</v>
      </c>
      <c r="D2305" s="123">
        <f>'OPEN FOREIGN ORDER'!AA1931</f>
        <v>0</v>
      </c>
      <c r="E2305" s="112">
        <f>'OPEN FOREIGN ORDER'!AB1931</f>
        <v>0</v>
      </c>
      <c r="F2305" s="112">
        <f>'OPEN FOREIGN ORDER'!AC1931</f>
        <v>0</v>
      </c>
      <c r="G2305" s="112">
        <f>'OPEN FOREIGN ORDER'!AD1931</f>
        <v>0</v>
      </c>
      <c r="H2305" s="112">
        <f>'OPEN FOREIGN ORDER'!AE1931</f>
        <v>0</v>
      </c>
      <c r="I2305" s="112">
        <f>'OPEN FOREIGN ORDER'!AF1931</f>
        <v>0</v>
      </c>
      <c r="J2305" s="112">
        <f>'OPEN FOREIGN ORDER'!AG1931</f>
        <v>0</v>
      </c>
    </row>
    <row r="2306" spans="1:10">
      <c r="A2306">
        <f>'OPEN FOREIGN ORDER'!D1932</f>
        <v>0</v>
      </c>
      <c r="B2306">
        <f>'OPEN FOREIGN ORDER'!F1932</f>
        <v>0</v>
      </c>
      <c r="C2306">
        <f>'OPEN FOREIGN ORDER'!Z1932</f>
        <v>0</v>
      </c>
      <c r="D2306" s="123">
        <f>'OPEN FOREIGN ORDER'!AA1932</f>
        <v>0</v>
      </c>
      <c r="E2306" s="112">
        <f>'OPEN FOREIGN ORDER'!AB1932</f>
        <v>0</v>
      </c>
      <c r="F2306" s="112">
        <f>'OPEN FOREIGN ORDER'!AC1932</f>
        <v>0</v>
      </c>
      <c r="G2306" s="112">
        <f>'OPEN FOREIGN ORDER'!AD1932</f>
        <v>0</v>
      </c>
      <c r="H2306" s="112">
        <f>'OPEN FOREIGN ORDER'!AE1932</f>
        <v>0</v>
      </c>
      <c r="I2306" s="112">
        <f>'OPEN FOREIGN ORDER'!AF1932</f>
        <v>0</v>
      </c>
      <c r="J2306" s="112">
        <f>'OPEN FOREIGN ORDER'!AG1932</f>
        <v>0</v>
      </c>
    </row>
    <row r="2307" spans="1:10">
      <c r="A2307">
        <f>'OPEN FOREIGN ORDER'!D1933</f>
        <v>0</v>
      </c>
      <c r="B2307">
        <f>'OPEN FOREIGN ORDER'!F1933</f>
        <v>0</v>
      </c>
      <c r="C2307">
        <f>'OPEN FOREIGN ORDER'!Z1933</f>
        <v>0</v>
      </c>
      <c r="D2307" s="123">
        <f>'OPEN FOREIGN ORDER'!AA1933</f>
        <v>0</v>
      </c>
      <c r="E2307" s="112">
        <f>'OPEN FOREIGN ORDER'!AB1933</f>
        <v>0</v>
      </c>
      <c r="F2307" s="112">
        <f>'OPEN FOREIGN ORDER'!AC1933</f>
        <v>0</v>
      </c>
      <c r="G2307" s="112">
        <f>'OPEN FOREIGN ORDER'!AD1933</f>
        <v>0</v>
      </c>
      <c r="H2307" s="112">
        <f>'OPEN FOREIGN ORDER'!AE1933</f>
        <v>0</v>
      </c>
      <c r="I2307" s="112">
        <f>'OPEN FOREIGN ORDER'!AF1933</f>
        <v>0</v>
      </c>
      <c r="J2307" s="112">
        <f>'OPEN FOREIGN ORDER'!AG1933</f>
        <v>0</v>
      </c>
    </row>
    <row r="2308" spans="1:10">
      <c r="A2308">
        <f>'OPEN FOREIGN ORDER'!D1934</f>
        <v>0</v>
      </c>
      <c r="B2308">
        <f>'OPEN FOREIGN ORDER'!F1934</f>
        <v>0</v>
      </c>
      <c r="C2308">
        <f>'OPEN FOREIGN ORDER'!Z1934</f>
        <v>0</v>
      </c>
      <c r="D2308" s="123">
        <f>'OPEN FOREIGN ORDER'!AA1934</f>
        <v>0</v>
      </c>
      <c r="E2308" s="112">
        <f>'OPEN FOREIGN ORDER'!AB1934</f>
        <v>0</v>
      </c>
      <c r="F2308" s="112">
        <f>'OPEN FOREIGN ORDER'!AC1934</f>
        <v>0</v>
      </c>
      <c r="G2308" s="112">
        <f>'OPEN FOREIGN ORDER'!AD1934</f>
        <v>0</v>
      </c>
      <c r="H2308" s="112">
        <f>'OPEN FOREIGN ORDER'!AE1934</f>
        <v>0</v>
      </c>
      <c r="I2308" s="112">
        <f>'OPEN FOREIGN ORDER'!AF1934</f>
        <v>0</v>
      </c>
      <c r="J2308" s="112">
        <f>'OPEN FOREIGN ORDER'!AG1934</f>
        <v>0</v>
      </c>
    </row>
    <row r="2309" spans="1:10">
      <c r="A2309">
        <f>'OPEN FOREIGN ORDER'!D1935</f>
        <v>0</v>
      </c>
      <c r="B2309">
        <f>'OPEN FOREIGN ORDER'!F1935</f>
        <v>0</v>
      </c>
      <c r="C2309">
        <f>'OPEN FOREIGN ORDER'!Z1935</f>
        <v>0</v>
      </c>
      <c r="D2309" s="123">
        <f>'OPEN FOREIGN ORDER'!AA1935</f>
        <v>0</v>
      </c>
      <c r="E2309" s="112">
        <f>'OPEN FOREIGN ORDER'!AB1935</f>
        <v>0</v>
      </c>
      <c r="F2309" s="112">
        <f>'OPEN FOREIGN ORDER'!AC1935</f>
        <v>0</v>
      </c>
      <c r="G2309" s="112">
        <f>'OPEN FOREIGN ORDER'!AD1935</f>
        <v>0</v>
      </c>
      <c r="H2309" s="112">
        <f>'OPEN FOREIGN ORDER'!AE1935</f>
        <v>0</v>
      </c>
      <c r="I2309" s="112">
        <f>'OPEN FOREIGN ORDER'!AF1935</f>
        <v>0</v>
      </c>
      <c r="J2309" s="112">
        <f>'OPEN FOREIGN ORDER'!AG1935</f>
        <v>0</v>
      </c>
    </row>
    <row r="2310" spans="1:10">
      <c r="A2310">
        <f>'OPEN FOREIGN ORDER'!D1936</f>
        <v>0</v>
      </c>
      <c r="B2310">
        <f>'OPEN FOREIGN ORDER'!F1936</f>
        <v>0</v>
      </c>
      <c r="C2310">
        <f>'OPEN FOREIGN ORDER'!Z1936</f>
        <v>0</v>
      </c>
      <c r="D2310" s="123">
        <f>'OPEN FOREIGN ORDER'!AA1936</f>
        <v>0</v>
      </c>
      <c r="E2310" s="112">
        <f>'OPEN FOREIGN ORDER'!AB1936</f>
        <v>0</v>
      </c>
      <c r="F2310" s="112">
        <f>'OPEN FOREIGN ORDER'!AC1936</f>
        <v>0</v>
      </c>
      <c r="G2310" s="112">
        <f>'OPEN FOREIGN ORDER'!AD1936</f>
        <v>0</v>
      </c>
      <c r="H2310" s="112">
        <f>'OPEN FOREIGN ORDER'!AE1936</f>
        <v>0</v>
      </c>
      <c r="I2310" s="112">
        <f>'OPEN FOREIGN ORDER'!AF1936</f>
        <v>0</v>
      </c>
      <c r="J2310" s="112">
        <f>'OPEN FOREIGN ORDER'!AG1936</f>
        <v>0</v>
      </c>
    </row>
    <row r="2311" spans="1:10">
      <c r="A2311">
        <f>'OPEN FOREIGN ORDER'!D1937</f>
        <v>0</v>
      </c>
      <c r="B2311">
        <f>'OPEN FOREIGN ORDER'!F1937</f>
        <v>0</v>
      </c>
      <c r="C2311">
        <f>'OPEN FOREIGN ORDER'!Z1937</f>
        <v>0</v>
      </c>
      <c r="D2311" s="123">
        <f>'OPEN FOREIGN ORDER'!AA1937</f>
        <v>0</v>
      </c>
      <c r="E2311" s="112">
        <f>'OPEN FOREIGN ORDER'!AB1937</f>
        <v>0</v>
      </c>
      <c r="F2311" s="112">
        <f>'OPEN FOREIGN ORDER'!AC1937</f>
        <v>0</v>
      </c>
      <c r="G2311" s="112">
        <f>'OPEN FOREIGN ORDER'!AD1937</f>
        <v>0</v>
      </c>
      <c r="H2311" s="112">
        <f>'OPEN FOREIGN ORDER'!AE1937</f>
        <v>0</v>
      </c>
      <c r="I2311" s="112">
        <f>'OPEN FOREIGN ORDER'!AF1937</f>
        <v>0</v>
      </c>
      <c r="J2311" s="112">
        <f>'OPEN FOREIGN ORDER'!AG1937</f>
        <v>0</v>
      </c>
    </row>
    <row r="2312" spans="1:10">
      <c r="A2312">
        <f>'OPEN FOREIGN ORDER'!D1938</f>
        <v>0</v>
      </c>
      <c r="B2312">
        <f>'OPEN FOREIGN ORDER'!F1938</f>
        <v>0</v>
      </c>
      <c r="C2312">
        <f>'OPEN FOREIGN ORDER'!Z1938</f>
        <v>0</v>
      </c>
      <c r="D2312" s="123">
        <f>'OPEN FOREIGN ORDER'!AA1938</f>
        <v>0</v>
      </c>
      <c r="E2312" s="112">
        <f>'OPEN FOREIGN ORDER'!AB1938</f>
        <v>0</v>
      </c>
      <c r="F2312" s="112">
        <f>'OPEN FOREIGN ORDER'!AC1938</f>
        <v>0</v>
      </c>
      <c r="G2312" s="112">
        <f>'OPEN FOREIGN ORDER'!AD1938</f>
        <v>0</v>
      </c>
      <c r="H2312" s="112">
        <f>'OPEN FOREIGN ORDER'!AE1938</f>
        <v>0</v>
      </c>
      <c r="I2312" s="112">
        <f>'OPEN FOREIGN ORDER'!AF1938</f>
        <v>0</v>
      </c>
      <c r="J2312" s="112">
        <f>'OPEN FOREIGN ORDER'!AG1938</f>
        <v>0</v>
      </c>
    </row>
    <row r="2313" spans="1:10">
      <c r="A2313">
        <f>'OPEN FOREIGN ORDER'!D1939</f>
        <v>0</v>
      </c>
      <c r="B2313">
        <f>'OPEN FOREIGN ORDER'!F1939</f>
        <v>0</v>
      </c>
      <c r="C2313">
        <f>'OPEN FOREIGN ORDER'!Z1939</f>
        <v>0</v>
      </c>
      <c r="D2313" s="123">
        <f>'OPEN FOREIGN ORDER'!AA1939</f>
        <v>0</v>
      </c>
      <c r="E2313" s="112">
        <f>'OPEN FOREIGN ORDER'!AB1939</f>
        <v>0</v>
      </c>
      <c r="F2313" s="112">
        <f>'OPEN FOREIGN ORDER'!AC1939</f>
        <v>0</v>
      </c>
      <c r="G2313" s="112">
        <f>'OPEN FOREIGN ORDER'!AD1939</f>
        <v>0</v>
      </c>
      <c r="H2313" s="112">
        <f>'OPEN FOREIGN ORDER'!AE1939</f>
        <v>0</v>
      </c>
      <c r="I2313" s="112">
        <f>'OPEN FOREIGN ORDER'!AF1939</f>
        <v>0</v>
      </c>
      <c r="J2313" s="112">
        <f>'OPEN FOREIGN ORDER'!AG1939</f>
        <v>0</v>
      </c>
    </row>
    <row r="2314" spans="1:10">
      <c r="A2314">
        <f>'OPEN FOREIGN ORDER'!D1940</f>
        <v>0</v>
      </c>
      <c r="B2314">
        <f>'OPEN FOREIGN ORDER'!F1940</f>
        <v>0</v>
      </c>
      <c r="C2314">
        <f>'OPEN FOREIGN ORDER'!Z1940</f>
        <v>0</v>
      </c>
      <c r="D2314" s="123">
        <f>'OPEN FOREIGN ORDER'!AA1940</f>
        <v>0</v>
      </c>
      <c r="E2314" s="112">
        <f>'OPEN FOREIGN ORDER'!AB1940</f>
        <v>0</v>
      </c>
      <c r="F2314" s="112">
        <f>'OPEN FOREIGN ORDER'!AC1940</f>
        <v>0</v>
      </c>
      <c r="G2314" s="112">
        <f>'OPEN FOREIGN ORDER'!AD1940</f>
        <v>0</v>
      </c>
      <c r="H2314" s="112">
        <f>'OPEN FOREIGN ORDER'!AE1940</f>
        <v>0</v>
      </c>
      <c r="I2314" s="112">
        <f>'OPEN FOREIGN ORDER'!AF1940</f>
        <v>0</v>
      </c>
      <c r="J2314" s="112">
        <f>'OPEN FOREIGN ORDER'!AG1940</f>
        <v>0</v>
      </c>
    </row>
    <row r="2315" spans="1:10">
      <c r="A2315">
        <f>'OPEN FOREIGN ORDER'!D1941</f>
        <v>0</v>
      </c>
      <c r="B2315">
        <f>'OPEN FOREIGN ORDER'!F1941</f>
        <v>0</v>
      </c>
      <c r="C2315">
        <f>'OPEN FOREIGN ORDER'!Z1941</f>
        <v>0</v>
      </c>
      <c r="D2315" s="123">
        <f>'OPEN FOREIGN ORDER'!AA1941</f>
        <v>0</v>
      </c>
      <c r="E2315" s="112">
        <f>'OPEN FOREIGN ORDER'!AB1941</f>
        <v>0</v>
      </c>
      <c r="F2315" s="112">
        <f>'OPEN FOREIGN ORDER'!AC1941</f>
        <v>0</v>
      </c>
      <c r="G2315" s="112">
        <f>'OPEN FOREIGN ORDER'!AD1941</f>
        <v>0</v>
      </c>
      <c r="H2315" s="112">
        <f>'OPEN FOREIGN ORDER'!AE1941</f>
        <v>0</v>
      </c>
      <c r="I2315" s="112">
        <f>'OPEN FOREIGN ORDER'!AF1941</f>
        <v>0</v>
      </c>
      <c r="J2315" s="112">
        <f>'OPEN FOREIGN ORDER'!AG1941</f>
        <v>0</v>
      </c>
    </row>
    <row r="2316" spans="1:10">
      <c r="A2316">
        <f>'OPEN FOREIGN ORDER'!D1942</f>
        <v>0</v>
      </c>
      <c r="B2316">
        <f>'OPEN FOREIGN ORDER'!F1942</f>
        <v>0</v>
      </c>
      <c r="C2316">
        <f>'OPEN FOREIGN ORDER'!Z1942</f>
        <v>0</v>
      </c>
      <c r="D2316" s="123">
        <f>'OPEN FOREIGN ORDER'!AA1942</f>
        <v>0</v>
      </c>
      <c r="E2316" s="112">
        <f>'OPEN FOREIGN ORDER'!AB1942</f>
        <v>0</v>
      </c>
      <c r="F2316" s="112">
        <f>'OPEN FOREIGN ORDER'!AC1942</f>
        <v>0</v>
      </c>
      <c r="G2316" s="112">
        <f>'OPEN FOREIGN ORDER'!AD1942</f>
        <v>0</v>
      </c>
      <c r="H2316" s="112">
        <f>'OPEN FOREIGN ORDER'!AE1942</f>
        <v>0</v>
      </c>
      <c r="I2316" s="112">
        <f>'OPEN FOREIGN ORDER'!AF1942</f>
        <v>0</v>
      </c>
      <c r="J2316" s="112">
        <f>'OPEN FOREIGN ORDER'!AG1942</f>
        <v>0</v>
      </c>
    </row>
    <row r="2317" spans="1:10">
      <c r="A2317">
        <f>'OPEN FOREIGN ORDER'!D1943</f>
        <v>0</v>
      </c>
      <c r="B2317">
        <f>'OPEN FOREIGN ORDER'!F1943</f>
        <v>0</v>
      </c>
      <c r="C2317">
        <f>'OPEN FOREIGN ORDER'!Z1943</f>
        <v>0</v>
      </c>
      <c r="D2317" s="123">
        <f>'OPEN FOREIGN ORDER'!AA1943</f>
        <v>0</v>
      </c>
      <c r="E2317" s="112">
        <f>'OPEN FOREIGN ORDER'!AB1943</f>
        <v>0</v>
      </c>
      <c r="F2317" s="112">
        <f>'OPEN FOREIGN ORDER'!AC1943</f>
        <v>0</v>
      </c>
      <c r="G2317" s="112">
        <f>'OPEN FOREIGN ORDER'!AD1943</f>
        <v>0</v>
      </c>
      <c r="H2317" s="112">
        <f>'OPEN FOREIGN ORDER'!AE1943</f>
        <v>0</v>
      </c>
      <c r="I2317" s="112">
        <f>'OPEN FOREIGN ORDER'!AF1943</f>
        <v>0</v>
      </c>
      <c r="J2317" s="112">
        <f>'OPEN FOREIGN ORDER'!AG1943</f>
        <v>0</v>
      </c>
    </row>
    <row r="2318" spans="1:10">
      <c r="A2318">
        <f>'OPEN FOREIGN ORDER'!D1944</f>
        <v>0</v>
      </c>
      <c r="B2318">
        <f>'OPEN FOREIGN ORDER'!F1944</f>
        <v>0</v>
      </c>
      <c r="C2318">
        <f>'OPEN FOREIGN ORDER'!Z1944</f>
        <v>0</v>
      </c>
      <c r="D2318" s="123">
        <f>'OPEN FOREIGN ORDER'!AA1944</f>
        <v>0</v>
      </c>
      <c r="E2318" s="112">
        <f>'OPEN FOREIGN ORDER'!AB1944</f>
        <v>0</v>
      </c>
      <c r="F2318" s="112">
        <f>'OPEN FOREIGN ORDER'!AC1944</f>
        <v>0</v>
      </c>
      <c r="G2318" s="112">
        <f>'OPEN FOREIGN ORDER'!AD1944</f>
        <v>0</v>
      </c>
      <c r="H2318" s="112">
        <f>'OPEN FOREIGN ORDER'!AE1944</f>
        <v>0</v>
      </c>
      <c r="I2318" s="112">
        <f>'OPEN FOREIGN ORDER'!AF1944</f>
        <v>0</v>
      </c>
      <c r="J2318" s="112">
        <f>'OPEN FOREIGN ORDER'!AG1944</f>
        <v>0</v>
      </c>
    </row>
    <row r="2319" spans="1:10">
      <c r="A2319">
        <f>'OPEN FOREIGN ORDER'!D1945</f>
        <v>0</v>
      </c>
      <c r="B2319">
        <f>'OPEN FOREIGN ORDER'!F1945</f>
        <v>0</v>
      </c>
      <c r="C2319">
        <f>'OPEN FOREIGN ORDER'!Z1945</f>
        <v>0</v>
      </c>
      <c r="D2319" s="123">
        <f>'OPEN FOREIGN ORDER'!AA1945</f>
        <v>0</v>
      </c>
      <c r="E2319" s="112">
        <f>'OPEN FOREIGN ORDER'!AB1945</f>
        <v>0</v>
      </c>
      <c r="F2319" s="112">
        <f>'OPEN FOREIGN ORDER'!AC1945</f>
        <v>0</v>
      </c>
      <c r="G2319" s="112">
        <f>'OPEN FOREIGN ORDER'!AD1945</f>
        <v>0</v>
      </c>
      <c r="H2319" s="112">
        <f>'OPEN FOREIGN ORDER'!AE1945</f>
        <v>0</v>
      </c>
      <c r="I2319" s="112">
        <f>'OPEN FOREIGN ORDER'!AF1945</f>
        <v>0</v>
      </c>
      <c r="J2319" s="112">
        <f>'OPEN FOREIGN ORDER'!AG1945</f>
        <v>0</v>
      </c>
    </row>
    <row r="2320" spans="1:10">
      <c r="A2320">
        <f>'OPEN FOREIGN ORDER'!D1946</f>
        <v>0</v>
      </c>
      <c r="B2320">
        <f>'OPEN FOREIGN ORDER'!F1946</f>
        <v>0</v>
      </c>
      <c r="C2320">
        <f>'OPEN FOREIGN ORDER'!Z1946</f>
        <v>0</v>
      </c>
      <c r="D2320" s="123">
        <f>'OPEN FOREIGN ORDER'!AA1946</f>
        <v>0</v>
      </c>
      <c r="E2320" s="112">
        <f>'OPEN FOREIGN ORDER'!AB1946</f>
        <v>0</v>
      </c>
      <c r="F2320" s="112">
        <f>'OPEN FOREIGN ORDER'!AC1946</f>
        <v>0</v>
      </c>
      <c r="G2320" s="112">
        <f>'OPEN FOREIGN ORDER'!AD1946</f>
        <v>0</v>
      </c>
      <c r="H2320" s="112">
        <f>'OPEN FOREIGN ORDER'!AE1946</f>
        <v>0</v>
      </c>
      <c r="I2320" s="112">
        <f>'OPEN FOREIGN ORDER'!AF1946</f>
        <v>0</v>
      </c>
      <c r="J2320" s="112">
        <f>'OPEN FOREIGN ORDER'!AG1946</f>
        <v>0</v>
      </c>
    </row>
    <row r="2321" spans="1:10">
      <c r="A2321">
        <f>'OPEN FOREIGN ORDER'!D1947</f>
        <v>0</v>
      </c>
      <c r="B2321">
        <f>'OPEN FOREIGN ORDER'!F1947</f>
        <v>0</v>
      </c>
      <c r="C2321">
        <f>'OPEN FOREIGN ORDER'!Z1947</f>
        <v>0</v>
      </c>
      <c r="D2321" s="123">
        <f>'OPEN FOREIGN ORDER'!AA1947</f>
        <v>0</v>
      </c>
      <c r="E2321" s="112">
        <f>'OPEN FOREIGN ORDER'!AB1947</f>
        <v>0</v>
      </c>
      <c r="F2321" s="112">
        <f>'OPEN FOREIGN ORDER'!AC1947</f>
        <v>0</v>
      </c>
      <c r="G2321" s="112">
        <f>'OPEN FOREIGN ORDER'!AD1947</f>
        <v>0</v>
      </c>
      <c r="H2321" s="112">
        <f>'OPEN FOREIGN ORDER'!AE1947</f>
        <v>0</v>
      </c>
      <c r="I2321" s="112">
        <f>'OPEN FOREIGN ORDER'!AF1947</f>
        <v>0</v>
      </c>
      <c r="J2321" s="112">
        <f>'OPEN FOREIGN ORDER'!AG1947</f>
        <v>0</v>
      </c>
    </row>
    <row r="2322" spans="1:10">
      <c r="A2322">
        <f>'OPEN FOREIGN ORDER'!D1948</f>
        <v>0</v>
      </c>
      <c r="B2322">
        <f>'OPEN FOREIGN ORDER'!F1948</f>
        <v>0</v>
      </c>
      <c r="C2322">
        <f>'OPEN FOREIGN ORDER'!Z1948</f>
        <v>0</v>
      </c>
      <c r="D2322" s="123">
        <f>'OPEN FOREIGN ORDER'!AA1948</f>
        <v>0</v>
      </c>
      <c r="E2322" s="112">
        <f>'OPEN FOREIGN ORDER'!AB1948</f>
        <v>0</v>
      </c>
      <c r="F2322" s="112">
        <f>'OPEN FOREIGN ORDER'!AC1948</f>
        <v>0</v>
      </c>
      <c r="G2322" s="112">
        <f>'OPEN FOREIGN ORDER'!AD1948</f>
        <v>0</v>
      </c>
      <c r="H2322" s="112">
        <f>'OPEN FOREIGN ORDER'!AE1948</f>
        <v>0</v>
      </c>
      <c r="I2322" s="112">
        <f>'OPEN FOREIGN ORDER'!AF1948</f>
        <v>0</v>
      </c>
      <c r="J2322" s="112">
        <f>'OPEN FOREIGN ORDER'!AG1948</f>
        <v>0</v>
      </c>
    </row>
    <row r="2323" spans="1:10">
      <c r="A2323">
        <f>'OPEN FOREIGN ORDER'!D1949</f>
        <v>0</v>
      </c>
      <c r="B2323">
        <f>'OPEN FOREIGN ORDER'!F1949</f>
        <v>0</v>
      </c>
      <c r="C2323">
        <f>'OPEN FOREIGN ORDER'!Z1949</f>
        <v>0</v>
      </c>
      <c r="D2323" s="123">
        <f>'OPEN FOREIGN ORDER'!AA1949</f>
        <v>0</v>
      </c>
      <c r="E2323" s="112">
        <f>'OPEN FOREIGN ORDER'!AB1949</f>
        <v>0</v>
      </c>
      <c r="F2323" s="112">
        <f>'OPEN FOREIGN ORDER'!AC1949</f>
        <v>0</v>
      </c>
      <c r="G2323" s="112">
        <f>'OPEN FOREIGN ORDER'!AD1949</f>
        <v>0</v>
      </c>
      <c r="H2323" s="112">
        <f>'OPEN FOREIGN ORDER'!AE1949</f>
        <v>0</v>
      </c>
      <c r="I2323" s="112">
        <f>'OPEN FOREIGN ORDER'!AF1949</f>
        <v>0</v>
      </c>
      <c r="J2323" s="112">
        <f>'OPEN FOREIGN ORDER'!AG1949</f>
        <v>0</v>
      </c>
    </row>
    <row r="2324" spans="1:10">
      <c r="A2324">
        <f>'OPEN FOREIGN ORDER'!D1950</f>
        <v>0</v>
      </c>
      <c r="B2324">
        <f>'OPEN FOREIGN ORDER'!F1950</f>
        <v>0</v>
      </c>
      <c r="C2324">
        <f>'OPEN FOREIGN ORDER'!Z1950</f>
        <v>0</v>
      </c>
      <c r="D2324" s="123">
        <f>'OPEN FOREIGN ORDER'!AA1950</f>
        <v>0</v>
      </c>
      <c r="E2324" s="112">
        <f>'OPEN FOREIGN ORDER'!AB1950</f>
        <v>0</v>
      </c>
      <c r="F2324" s="112">
        <f>'OPEN FOREIGN ORDER'!AC1950</f>
        <v>0</v>
      </c>
      <c r="G2324" s="112">
        <f>'OPEN FOREIGN ORDER'!AD1950</f>
        <v>0</v>
      </c>
      <c r="H2324" s="112">
        <f>'OPEN FOREIGN ORDER'!AE1950</f>
        <v>0</v>
      </c>
      <c r="I2324" s="112">
        <f>'OPEN FOREIGN ORDER'!AF1950</f>
        <v>0</v>
      </c>
      <c r="J2324" s="112">
        <f>'OPEN FOREIGN ORDER'!AG1950</f>
        <v>0</v>
      </c>
    </row>
    <row r="2325" spans="1:10">
      <c r="A2325">
        <f>'OPEN FOREIGN ORDER'!D1951</f>
        <v>0</v>
      </c>
      <c r="B2325">
        <f>'OPEN FOREIGN ORDER'!F1951</f>
        <v>0</v>
      </c>
      <c r="C2325">
        <f>'OPEN FOREIGN ORDER'!Z1951</f>
        <v>0</v>
      </c>
      <c r="D2325" s="123">
        <f>'OPEN FOREIGN ORDER'!AA1951</f>
        <v>0</v>
      </c>
      <c r="E2325" s="112">
        <f>'OPEN FOREIGN ORDER'!AB1951</f>
        <v>0</v>
      </c>
      <c r="F2325" s="112">
        <f>'OPEN FOREIGN ORDER'!AC1951</f>
        <v>0</v>
      </c>
      <c r="G2325" s="112">
        <f>'OPEN FOREIGN ORDER'!AD1951</f>
        <v>0</v>
      </c>
      <c r="H2325" s="112">
        <f>'OPEN FOREIGN ORDER'!AE1951</f>
        <v>0</v>
      </c>
      <c r="I2325" s="112">
        <f>'OPEN FOREIGN ORDER'!AF1951</f>
        <v>0</v>
      </c>
      <c r="J2325" s="112">
        <f>'OPEN FOREIGN ORDER'!AG1951</f>
        <v>0</v>
      </c>
    </row>
    <row r="2326" spans="1:10">
      <c r="A2326">
        <f>'OPEN FOREIGN ORDER'!D1952</f>
        <v>0</v>
      </c>
      <c r="B2326">
        <f>'OPEN FOREIGN ORDER'!F1952</f>
        <v>0</v>
      </c>
      <c r="C2326">
        <f>'OPEN FOREIGN ORDER'!Z1952</f>
        <v>0</v>
      </c>
      <c r="D2326" s="123">
        <f>'OPEN FOREIGN ORDER'!AA1952</f>
        <v>0</v>
      </c>
      <c r="E2326" s="112">
        <f>'OPEN FOREIGN ORDER'!AB1952</f>
        <v>0</v>
      </c>
      <c r="F2326" s="112">
        <f>'OPEN FOREIGN ORDER'!AC1952</f>
        <v>0</v>
      </c>
      <c r="G2326" s="112">
        <f>'OPEN FOREIGN ORDER'!AD1952</f>
        <v>0</v>
      </c>
      <c r="H2326" s="112">
        <f>'OPEN FOREIGN ORDER'!AE1952</f>
        <v>0</v>
      </c>
      <c r="I2326" s="112">
        <f>'OPEN FOREIGN ORDER'!AF1952</f>
        <v>0</v>
      </c>
      <c r="J2326" s="112">
        <f>'OPEN FOREIGN ORDER'!AG1952</f>
        <v>0</v>
      </c>
    </row>
    <row r="2327" spans="1:10">
      <c r="A2327">
        <f>'OPEN FOREIGN ORDER'!D1953</f>
        <v>0</v>
      </c>
      <c r="B2327">
        <f>'OPEN FOREIGN ORDER'!F1953</f>
        <v>0</v>
      </c>
      <c r="C2327">
        <f>'OPEN FOREIGN ORDER'!Z1953</f>
        <v>0</v>
      </c>
      <c r="D2327" s="123">
        <f>'OPEN FOREIGN ORDER'!AA1953</f>
        <v>0</v>
      </c>
      <c r="E2327" s="112">
        <f>'OPEN FOREIGN ORDER'!AB1953</f>
        <v>0</v>
      </c>
      <c r="F2327" s="112">
        <f>'OPEN FOREIGN ORDER'!AC1953</f>
        <v>0</v>
      </c>
      <c r="G2327" s="112">
        <f>'OPEN FOREIGN ORDER'!AD1953</f>
        <v>0</v>
      </c>
      <c r="H2327" s="112">
        <f>'OPEN FOREIGN ORDER'!AE1953</f>
        <v>0</v>
      </c>
      <c r="I2327" s="112">
        <f>'OPEN FOREIGN ORDER'!AF1953</f>
        <v>0</v>
      </c>
      <c r="J2327" s="112">
        <f>'OPEN FOREIGN ORDER'!AG1953</f>
        <v>0</v>
      </c>
    </row>
    <row r="2328" spans="1:10">
      <c r="A2328">
        <f>'OPEN FOREIGN ORDER'!D1954</f>
        <v>0</v>
      </c>
      <c r="B2328">
        <f>'OPEN FOREIGN ORDER'!F1954</f>
        <v>0</v>
      </c>
      <c r="C2328">
        <f>'OPEN FOREIGN ORDER'!Z1954</f>
        <v>0</v>
      </c>
      <c r="D2328" s="123">
        <f>'OPEN FOREIGN ORDER'!AA1954</f>
        <v>0</v>
      </c>
      <c r="E2328" s="112">
        <f>'OPEN FOREIGN ORDER'!AB1954</f>
        <v>0</v>
      </c>
      <c r="F2328" s="112">
        <f>'OPEN FOREIGN ORDER'!AC1954</f>
        <v>0</v>
      </c>
      <c r="G2328" s="112">
        <f>'OPEN FOREIGN ORDER'!AD1954</f>
        <v>0</v>
      </c>
      <c r="H2328" s="112">
        <f>'OPEN FOREIGN ORDER'!AE1954</f>
        <v>0</v>
      </c>
      <c r="I2328" s="112">
        <f>'OPEN FOREIGN ORDER'!AF1954</f>
        <v>0</v>
      </c>
      <c r="J2328" s="112">
        <f>'OPEN FOREIGN ORDER'!AG1954</f>
        <v>0</v>
      </c>
    </row>
    <row r="2329" spans="1:10">
      <c r="A2329">
        <f>'OPEN FOREIGN ORDER'!D1955</f>
        <v>0</v>
      </c>
      <c r="B2329">
        <f>'OPEN FOREIGN ORDER'!F1955</f>
        <v>0</v>
      </c>
      <c r="C2329">
        <f>'OPEN FOREIGN ORDER'!Z1955</f>
        <v>0</v>
      </c>
      <c r="D2329" s="123">
        <f>'OPEN FOREIGN ORDER'!AA1955</f>
        <v>0</v>
      </c>
      <c r="E2329" s="112">
        <f>'OPEN FOREIGN ORDER'!AB1955</f>
        <v>0</v>
      </c>
      <c r="F2329" s="112">
        <f>'OPEN FOREIGN ORDER'!AC1955</f>
        <v>0</v>
      </c>
      <c r="G2329" s="112">
        <f>'OPEN FOREIGN ORDER'!AD1955</f>
        <v>0</v>
      </c>
      <c r="H2329" s="112">
        <f>'OPEN FOREIGN ORDER'!AE1955</f>
        <v>0</v>
      </c>
      <c r="I2329" s="112">
        <f>'OPEN FOREIGN ORDER'!AF1955</f>
        <v>0</v>
      </c>
      <c r="J2329" s="112">
        <f>'OPEN FOREIGN ORDER'!AG1955</f>
        <v>0</v>
      </c>
    </row>
    <row r="2330" spans="1:10">
      <c r="A2330">
        <f>'OPEN FOREIGN ORDER'!D1956</f>
        <v>0</v>
      </c>
      <c r="B2330">
        <f>'OPEN FOREIGN ORDER'!F1956</f>
        <v>0</v>
      </c>
      <c r="C2330">
        <f>'OPEN FOREIGN ORDER'!Z1956</f>
        <v>0</v>
      </c>
      <c r="D2330" s="123">
        <f>'OPEN FOREIGN ORDER'!AA1956</f>
        <v>0</v>
      </c>
      <c r="E2330" s="112">
        <f>'OPEN FOREIGN ORDER'!AB1956</f>
        <v>0</v>
      </c>
      <c r="F2330" s="112">
        <f>'OPEN FOREIGN ORDER'!AC1956</f>
        <v>0</v>
      </c>
      <c r="G2330" s="112">
        <f>'OPEN FOREIGN ORDER'!AD1956</f>
        <v>0</v>
      </c>
      <c r="H2330" s="112">
        <f>'OPEN FOREIGN ORDER'!AE1956</f>
        <v>0</v>
      </c>
      <c r="I2330" s="112">
        <f>'OPEN FOREIGN ORDER'!AF1956</f>
        <v>0</v>
      </c>
      <c r="J2330" s="112">
        <f>'OPEN FOREIGN ORDER'!AG1956</f>
        <v>0</v>
      </c>
    </row>
    <row r="2331" spans="1:10">
      <c r="A2331">
        <f>'OPEN FOREIGN ORDER'!D1957</f>
        <v>0</v>
      </c>
      <c r="B2331">
        <f>'OPEN FOREIGN ORDER'!F1957</f>
        <v>0</v>
      </c>
      <c r="C2331">
        <f>'OPEN FOREIGN ORDER'!Z1957</f>
        <v>0</v>
      </c>
      <c r="D2331" s="123">
        <f>'OPEN FOREIGN ORDER'!AA1957</f>
        <v>0</v>
      </c>
      <c r="E2331" s="112">
        <f>'OPEN FOREIGN ORDER'!AB1957</f>
        <v>0</v>
      </c>
      <c r="F2331" s="112">
        <f>'OPEN FOREIGN ORDER'!AC1957</f>
        <v>0</v>
      </c>
      <c r="G2331" s="112">
        <f>'OPEN FOREIGN ORDER'!AD1957</f>
        <v>0</v>
      </c>
      <c r="H2331" s="112">
        <f>'OPEN FOREIGN ORDER'!AE1957</f>
        <v>0</v>
      </c>
      <c r="I2331" s="112">
        <f>'OPEN FOREIGN ORDER'!AF1957</f>
        <v>0</v>
      </c>
      <c r="J2331" s="112">
        <f>'OPEN FOREIGN ORDER'!AG1957</f>
        <v>0</v>
      </c>
    </row>
    <row r="2332" spans="1:10">
      <c r="A2332">
        <f>'OPEN FOREIGN ORDER'!D1958</f>
        <v>0</v>
      </c>
      <c r="B2332">
        <f>'OPEN FOREIGN ORDER'!F1958</f>
        <v>0</v>
      </c>
      <c r="C2332">
        <f>'OPEN FOREIGN ORDER'!Z1958</f>
        <v>0</v>
      </c>
      <c r="D2332" s="123">
        <f>'OPEN FOREIGN ORDER'!AA1958</f>
        <v>0</v>
      </c>
      <c r="E2332" s="112">
        <f>'OPEN FOREIGN ORDER'!AB1958</f>
        <v>0</v>
      </c>
      <c r="F2332" s="112">
        <f>'OPEN FOREIGN ORDER'!AC1958</f>
        <v>0</v>
      </c>
      <c r="G2332" s="112">
        <f>'OPEN FOREIGN ORDER'!AD1958</f>
        <v>0</v>
      </c>
      <c r="H2332" s="112">
        <f>'OPEN FOREIGN ORDER'!AE1958</f>
        <v>0</v>
      </c>
      <c r="I2332" s="112">
        <f>'OPEN FOREIGN ORDER'!AF1958</f>
        <v>0</v>
      </c>
      <c r="J2332" s="112">
        <f>'OPEN FOREIGN ORDER'!AG1958</f>
        <v>0</v>
      </c>
    </row>
    <row r="2333" spans="1:10">
      <c r="A2333">
        <f>'OPEN FOREIGN ORDER'!D1959</f>
        <v>0</v>
      </c>
      <c r="B2333">
        <f>'OPEN FOREIGN ORDER'!F1959</f>
        <v>0</v>
      </c>
      <c r="C2333">
        <f>'OPEN FOREIGN ORDER'!Z1959</f>
        <v>0</v>
      </c>
      <c r="D2333" s="123">
        <f>'OPEN FOREIGN ORDER'!AA1959</f>
        <v>0</v>
      </c>
      <c r="E2333" s="112">
        <f>'OPEN FOREIGN ORDER'!AB1959</f>
        <v>0</v>
      </c>
      <c r="F2333" s="112">
        <f>'OPEN FOREIGN ORDER'!AC1959</f>
        <v>0</v>
      </c>
      <c r="G2333" s="112">
        <f>'OPEN FOREIGN ORDER'!AD1959</f>
        <v>0</v>
      </c>
      <c r="H2333" s="112">
        <f>'OPEN FOREIGN ORDER'!AE1959</f>
        <v>0</v>
      </c>
      <c r="I2333" s="112">
        <f>'OPEN FOREIGN ORDER'!AF1959</f>
        <v>0</v>
      </c>
      <c r="J2333" s="112">
        <f>'OPEN FOREIGN ORDER'!AG1959</f>
        <v>0</v>
      </c>
    </row>
    <row r="2334" spans="1:10">
      <c r="A2334">
        <f>'OPEN FOREIGN ORDER'!D1960</f>
        <v>0</v>
      </c>
      <c r="B2334">
        <f>'OPEN FOREIGN ORDER'!F1960</f>
        <v>0</v>
      </c>
      <c r="C2334">
        <f>'OPEN FOREIGN ORDER'!Z1960</f>
        <v>0</v>
      </c>
      <c r="D2334" s="123">
        <f>'OPEN FOREIGN ORDER'!AA1960</f>
        <v>0</v>
      </c>
      <c r="E2334" s="112">
        <f>'OPEN FOREIGN ORDER'!AB1960</f>
        <v>0</v>
      </c>
      <c r="F2334" s="112">
        <f>'OPEN FOREIGN ORDER'!AC1960</f>
        <v>0</v>
      </c>
      <c r="G2334" s="112">
        <f>'OPEN FOREIGN ORDER'!AD1960</f>
        <v>0</v>
      </c>
      <c r="H2334" s="112">
        <f>'OPEN FOREIGN ORDER'!AE1960</f>
        <v>0</v>
      </c>
      <c r="I2334" s="112">
        <f>'OPEN FOREIGN ORDER'!AF1960</f>
        <v>0</v>
      </c>
      <c r="J2334" s="112">
        <f>'OPEN FOREIGN ORDER'!AG1960</f>
        <v>0</v>
      </c>
    </row>
    <row r="2335" spans="1:10">
      <c r="A2335">
        <f>'OPEN FOREIGN ORDER'!D1961</f>
        <v>0</v>
      </c>
      <c r="B2335">
        <f>'OPEN FOREIGN ORDER'!F1961</f>
        <v>0</v>
      </c>
      <c r="C2335">
        <f>'OPEN FOREIGN ORDER'!Z1961</f>
        <v>0</v>
      </c>
      <c r="D2335" s="123">
        <f>'OPEN FOREIGN ORDER'!AA1961</f>
        <v>0</v>
      </c>
      <c r="E2335" s="112">
        <f>'OPEN FOREIGN ORDER'!AB1961</f>
        <v>0</v>
      </c>
      <c r="F2335" s="112">
        <f>'OPEN FOREIGN ORDER'!AC1961</f>
        <v>0</v>
      </c>
      <c r="G2335" s="112">
        <f>'OPEN FOREIGN ORDER'!AD1961</f>
        <v>0</v>
      </c>
      <c r="H2335" s="112">
        <f>'OPEN FOREIGN ORDER'!AE1961</f>
        <v>0</v>
      </c>
      <c r="I2335" s="112">
        <f>'OPEN FOREIGN ORDER'!AF1961</f>
        <v>0</v>
      </c>
      <c r="J2335" s="112">
        <f>'OPEN FOREIGN ORDER'!AG1961</f>
        <v>0</v>
      </c>
    </row>
    <row r="2336" spans="1:10">
      <c r="A2336">
        <f>'OPEN FOREIGN ORDER'!D1962</f>
        <v>0</v>
      </c>
      <c r="B2336">
        <f>'OPEN FOREIGN ORDER'!F1962</f>
        <v>0</v>
      </c>
      <c r="C2336">
        <f>'OPEN FOREIGN ORDER'!Z1962</f>
        <v>0</v>
      </c>
      <c r="D2336" s="123">
        <f>'OPEN FOREIGN ORDER'!AA1962</f>
        <v>0</v>
      </c>
      <c r="E2336" s="112">
        <f>'OPEN FOREIGN ORDER'!AB1962</f>
        <v>0</v>
      </c>
      <c r="F2336" s="112">
        <f>'OPEN FOREIGN ORDER'!AC1962</f>
        <v>0</v>
      </c>
      <c r="G2336" s="112">
        <f>'OPEN FOREIGN ORDER'!AD1962</f>
        <v>0</v>
      </c>
      <c r="H2336" s="112">
        <f>'OPEN FOREIGN ORDER'!AE1962</f>
        <v>0</v>
      </c>
      <c r="I2336" s="112">
        <f>'OPEN FOREIGN ORDER'!AF1962</f>
        <v>0</v>
      </c>
      <c r="J2336" s="112">
        <f>'OPEN FOREIGN ORDER'!AG1962</f>
        <v>0</v>
      </c>
    </row>
    <row r="2337" spans="1:10">
      <c r="A2337">
        <f>'OPEN FOREIGN ORDER'!D1963</f>
        <v>0</v>
      </c>
      <c r="B2337">
        <f>'OPEN FOREIGN ORDER'!F1963</f>
        <v>0</v>
      </c>
      <c r="C2337">
        <f>'OPEN FOREIGN ORDER'!Z1963</f>
        <v>0</v>
      </c>
      <c r="D2337" s="123">
        <f>'OPEN FOREIGN ORDER'!AA1963</f>
        <v>0</v>
      </c>
      <c r="E2337" s="112">
        <f>'OPEN FOREIGN ORDER'!AB1963</f>
        <v>0</v>
      </c>
      <c r="F2337" s="112">
        <f>'OPEN FOREIGN ORDER'!AC1963</f>
        <v>0</v>
      </c>
      <c r="G2337" s="112">
        <f>'OPEN FOREIGN ORDER'!AD1963</f>
        <v>0</v>
      </c>
      <c r="H2337" s="112">
        <f>'OPEN FOREIGN ORDER'!AE1963</f>
        <v>0</v>
      </c>
      <c r="I2337" s="112">
        <f>'OPEN FOREIGN ORDER'!AF1963</f>
        <v>0</v>
      </c>
      <c r="J2337" s="112">
        <f>'OPEN FOREIGN ORDER'!AG1963</f>
        <v>0</v>
      </c>
    </row>
    <row r="2338" spans="1:10">
      <c r="A2338">
        <f>'OPEN FOREIGN ORDER'!D1964</f>
        <v>0</v>
      </c>
      <c r="B2338">
        <f>'OPEN FOREIGN ORDER'!F1964</f>
        <v>0</v>
      </c>
      <c r="C2338">
        <f>'OPEN FOREIGN ORDER'!Z1964</f>
        <v>0</v>
      </c>
      <c r="D2338" s="123">
        <f>'OPEN FOREIGN ORDER'!AA1964</f>
        <v>0</v>
      </c>
      <c r="E2338" s="112">
        <f>'OPEN FOREIGN ORDER'!AB1964</f>
        <v>0</v>
      </c>
      <c r="F2338" s="112">
        <f>'OPEN FOREIGN ORDER'!AC1964</f>
        <v>0</v>
      </c>
      <c r="G2338" s="112">
        <f>'OPEN FOREIGN ORDER'!AD1964</f>
        <v>0</v>
      </c>
      <c r="H2338" s="112">
        <f>'OPEN FOREIGN ORDER'!AE1964</f>
        <v>0</v>
      </c>
      <c r="I2338" s="112">
        <f>'OPEN FOREIGN ORDER'!AF1964</f>
        <v>0</v>
      </c>
      <c r="J2338" s="112">
        <f>'OPEN FOREIGN ORDER'!AG1964</f>
        <v>0</v>
      </c>
    </row>
    <row r="2339" spans="1:10">
      <c r="A2339">
        <f>'OPEN FOREIGN ORDER'!D1965</f>
        <v>0</v>
      </c>
      <c r="B2339">
        <f>'OPEN FOREIGN ORDER'!F1965</f>
        <v>0</v>
      </c>
      <c r="C2339">
        <f>'OPEN FOREIGN ORDER'!Z1965</f>
        <v>0</v>
      </c>
      <c r="D2339" s="123">
        <f>'OPEN FOREIGN ORDER'!AA1965</f>
        <v>0</v>
      </c>
      <c r="E2339" s="112">
        <f>'OPEN FOREIGN ORDER'!AB1965</f>
        <v>0</v>
      </c>
      <c r="F2339" s="112">
        <f>'OPEN FOREIGN ORDER'!AC1965</f>
        <v>0</v>
      </c>
      <c r="G2339" s="112">
        <f>'OPEN FOREIGN ORDER'!AD1965</f>
        <v>0</v>
      </c>
      <c r="H2339" s="112">
        <f>'OPEN FOREIGN ORDER'!AE1965</f>
        <v>0</v>
      </c>
      <c r="I2339" s="112">
        <f>'OPEN FOREIGN ORDER'!AF1965</f>
        <v>0</v>
      </c>
      <c r="J2339" s="112">
        <f>'OPEN FOREIGN ORDER'!AG1965</f>
        <v>0</v>
      </c>
    </row>
    <row r="2340" spans="1:10">
      <c r="A2340">
        <f>'OPEN FOREIGN ORDER'!D1966</f>
        <v>0</v>
      </c>
      <c r="B2340">
        <f>'OPEN FOREIGN ORDER'!F1966</f>
        <v>0</v>
      </c>
      <c r="C2340">
        <f>'OPEN FOREIGN ORDER'!Z1966</f>
        <v>0</v>
      </c>
      <c r="D2340" s="123">
        <f>'OPEN FOREIGN ORDER'!AA1966</f>
        <v>0</v>
      </c>
      <c r="E2340" s="112">
        <f>'OPEN FOREIGN ORDER'!AB1966</f>
        <v>0</v>
      </c>
      <c r="F2340" s="112">
        <f>'OPEN FOREIGN ORDER'!AC1966</f>
        <v>0</v>
      </c>
      <c r="G2340" s="112">
        <f>'OPEN FOREIGN ORDER'!AD1966</f>
        <v>0</v>
      </c>
      <c r="H2340" s="112">
        <f>'OPEN FOREIGN ORDER'!AE1966</f>
        <v>0</v>
      </c>
      <c r="I2340" s="112">
        <f>'OPEN FOREIGN ORDER'!AF1966</f>
        <v>0</v>
      </c>
      <c r="J2340" s="112">
        <f>'OPEN FOREIGN ORDER'!AG1966</f>
        <v>0</v>
      </c>
    </row>
    <row r="2341" spans="1:10">
      <c r="A2341">
        <f>'OPEN FOREIGN ORDER'!D1967</f>
        <v>0</v>
      </c>
      <c r="B2341">
        <f>'OPEN FOREIGN ORDER'!F1967</f>
        <v>0</v>
      </c>
      <c r="C2341">
        <f>'OPEN FOREIGN ORDER'!Z1967</f>
        <v>0</v>
      </c>
      <c r="D2341" s="123">
        <f>'OPEN FOREIGN ORDER'!AA1967</f>
        <v>0</v>
      </c>
      <c r="E2341" s="112">
        <f>'OPEN FOREIGN ORDER'!AB1967</f>
        <v>0</v>
      </c>
      <c r="F2341" s="112">
        <f>'OPEN FOREIGN ORDER'!AC1967</f>
        <v>0</v>
      </c>
      <c r="G2341" s="112">
        <f>'OPEN FOREIGN ORDER'!AD1967</f>
        <v>0</v>
      </c>
      <c r="H2341" s="112">
        <f>'OPEN FOREIGN ORDER'!AE1967</f>
        <v>0</v>
      </c>
      <c r="I2341" s="112">
        <f>'OPEN FOREIGN ORDER'!AF1967</f>
        <v>0</v>
      </c>
      <c r="J2341" s="112">
        <f>'OPEN FOREIGN ORDER'!AG1967</f>
        <v>0</v>
      </c>
    </row>
    <row r="2342" spans="1:10">
      <c r="A2342">
        <f>'OPEN FOREIGN ORDER'!D1968</f>
        <v>0</v>
      </c>
      <c r="B2342">
        <f>'OPEN FOREIGN ORDER'!F1968</f>
        <v>0</v>
      </c>
      <c r="C2342">
        <f>'OPEN FOREIGN ORDER'!Z1968</f>
        <v>0</v>
      </c>
      <c r="D2342" s="123">
        <f>'OPEN FOREIGN ORDER'!AA1968</f>
        <v>0</v>
      </c>
      <c r="E2342" s="112">
        <f>'OPEN FOREIGN ORDER'!AB1968</f>
        <v>0</v>
      </c>
      <c r="F2342" s="112">
        <f>'OPEN FOREIGN ORDER'!AC1968</f>
        <v>0</v>
      </c>
      <c r="G2342" s="112">
        <f>'OPEN FOREIGN ORDER'!AD1968</f>
        <v>0</v>
      </c>
      <c r="H2342" s="112">
        <f>'OPEN FOREIGN ORDER'!AE1968</f>
        <v>0</v>
      </c>
      <c r="I2342" s="112">
        <f>'OPEN FOREIGN ORDER'!AF1968</f>
        <v>0</v>
      </c>
      <c r="J2342" s="112">
        <f>'OPEN FOREIGN ORDER'!AG1968</f>
        <v>0</v>
      </c>
    </row>
    <row r="2343" spans="1:10">
      <c r="A2343">
        <f>'OPEN FOREIGN ORDER'!D1969</f>
        <v>0</v>
      </c>
      <c r="B2343">
        <f>'OPEN FOREIGN ORDER'!F1969</f>
        <v>0</v>
      </c>
      <c r="C2343">
        <f>'OPEN FOREIGN ORDER'!Z1969</f>
        <v>0</v>
      </c>
      <c r="D2343" s="123">
        <f>'OPEN FOREIGN ORDER'!AA1969</f>
        <v>0</v>
      </c>
      <c r="E2343" s="112">
        <f>'OPEN FOREIGN ORDER'!AB1969</f>
        <v>0</v>
      </c>
      <c r="F2343" s="112">
        <f>'OPEN FOREIGN ORDER'!AC1969</f>
        <v>0</v>
      </c>
      <c r="G2343" s="112">
        <f>'OPEN FOREIGN ORDER'!AD1969</f>
        <v>0</v>
      </c>
      <c r="H2343" s="112">
        <f>'OPEN FOREIGN ORDER'!AE1969</f>
        <v>0</v>
      </c>
      <c r="I2343" s="112">
        <f>'OPEN FOREIGN ORDER'!AF1969</f>
        <v>0</v>
      </c>
      <c r="J2343" s="112">
        <f>'OPEN FOREIGN ORDER'!AG1969</f>
        <v>0</v>
      </c>
    </row>
    <row r="2344" spans="1:10">
      <c r="A2344">
        <f>'OPEN FOREIGN ORDER'!D1970</f>
        <v>0</v>
      </c>
      <c r="B2344">
        <f>'OPEN FOREIGN ORDER'!F1970</f>
        <v>0</v>
      </c>
      <c r="C2344">
        <f>'OPEN FOREIGN ORDER'!Z1970</f>
        <v>0</v>
      </c>
      <c r="D2344" s="123">
        <f>'OPEN FOREIGN ORDER'!AA1970</f>
        <v>0</v>
      </c>
      <c r="E2344" s="112">
        <f>'OPEN FOREIGN ORDER'!AB1970</f>
        <v>0</v>
      </c>
      <c r="F2344" s="112">
        <f>'OPEN FOREIGN ORDER'!AC1970</f>
        <v>0</v>
      </c>
      <c r="G2344" s="112">
        <f>'OPEN FOREIGN ORDER'!AD1970</f>
        <v>0</v>
      </c>
      <c r="H2344" s="112">
        <f>'OPEN FOREIGN ORDER'!AE1970</f>
        <v>0</v>
      </c>
      <c r="I2344" s="112">
        <f>'OPEN FOREIGN ORDER'!AF1970</f>
        <v>0</v>
      </c>
      <c r="J2344" s="112">
        <f>'OPEN FOREIGN ORDER'!AG1970</f>
        <v>0</v>
      </c>
    </row>
    <row r="2345" spans="1:10">
      <c r="A2345">
        <f>'OPEN FOREIGN ORDER'!D1971</f>
        <v>0</v>
      </c>
      <c r="B2345">
        <f>'OPEN FOREIGN ORDER'!F1971</f>
        <v>0</v>
      </c>
      <c r="C2345">
        <f>'OPEN FOREIGN ORDER'!Z1971</f>
        <v>0</v>
      </c>
      <c r="D2345" s="123">
        <f>'OPEN FOREIGN ORDER'!AA1971</f>
        <v>0</v>
      </c>
      <c r="E2345" s="112">
        <f>'OPEN FOREIGN ORDER'!AB1971</f>
        <v>0</v>
      </c>
      <c r="F2345" s="112">
        <f>'OPEN FOREIGN ORDER'!AC1971</f>
        <v>0</v>
      </c>
      <c r="G2345" s="112">
        <f>'OPEN FOREIGN ORDER'!AD1971</f>
        <v>0</v>
      </c>
      <c r="H2345" s="112">
        <f>'OPEN FOREIGN ORDER'!AE1971</f>
        <v>0</v>
      </c>
      <c r="I2345" s="112">
        <f>'OPEN FOREIGN ORDER'!AF1971</f>
        <v>0</v>
      </c>
      <c r="J2345" s="112">
        <f>'OPEN FOREIGN ORDER'!AG1971</f>
        <v>0</v>
      </c>
    </row>
    <row r="2346" spans="1:10">
      <c r="A2346">
        <f>'OPEN FOREIGN ORDER'!D1972</f>
        <v>0</v>
      </c>
      <c r="B2346">
        <f>'OPEN FOREIGN ORDER'!F1972</f>
        <v>0</v>
      </c>
      <c r="C2346">
        <f>'OPEN FOREIGN ORDER'!Z1972</f>
        <v>0</v>
      </c>
      <c r="D2346" s="123">
        <f>'OPEN FOREIGN ORDER'!AA1972</f>
        <v>0</v>
      </c>
      <c r="E2346" s="112">
        <f>'OPEN FOREIGN ORDER'!AB1972</f>
        <v>0</v>
      </c>
      <c r="F2346" s="112">
        <f>'OPEN FOREIGN ORDER'!AC1972</f>
        <v>0</v>
      </c>
      <c r="G2346" s="112">
        <f>'OPEN FOREIGN ORDER'!AD1972</f>
        <v>0</v>
      </c>
      <c r="H2346" s="112">
        <f>'OPEN FOREIGN ORDER'!AE1972</f>
        <v>0</v>
      </c>
      <c r="I2346" s="112">
        <f>'OPEN FOREIGN ORDER'!AF1972</f>
        <v>0</v>
      </c>
      <c r="J2346" s="112">
        <f>'OPEN FOREIGN ORDER'!AG1972</f>
        <v>0</v>
      </c>
    </row>
    <row r="2347" spans="1:10">
      <c r="A2347">
        <f>'OPEN FOREIGN ORDER'!D1973</f>
        <v>0</v>
      </c>
      <c r="B2347">
        <f>'OPEN FOREIGN ORDER'!F1973</f>
        <v>0</v>
      </c>
      <c r="C2347">
        <f>'OPEN FOREIGN ORDER'!Z1973</f>
        <v>0</v>
      </c>
      <c r="D2347" s="123">
        <f>'OPEN FOREIGN ORDER'!AA1973</f>
        <v>0</v>
      </c>
      <c r="E2347" s="112">
        <f>'OPEN FOREIGN ORDER'!AB1973</f>
        <v>0</v>
      </c>
      <c r="F2347" s="112">
        <f>'OPEN FOREIGN ORDER'!AC1973</f>
        <v>0</v>
      </c>
      <c r="G2347" s="112">
        <f>'OPEN FOREIGN ORDER'!AD1973</f>
        <v>0</v>
      </c>
      <c r="H2347" s="112">
        <f>'OPEN FOREIGN ORDER'!AE1973</f>
        <v>0</v>
      </c>
      <c r="I2347" s="112">
        <f>'OPEN FOREIGN ORDER'!AF1973</f>
        <v>0</v>
      </c>
      <c r="J2347" s="112">
        <f>'OPEN FOREIGN ORDER'!AG1973</f>
        <v>0</v>
      </c>
    </row>
    <row r="2348" spans="1:10">
      <c r="A2348">
        <f>'OPEN FOREIGN ORDER'!D1974</f>
        <v>0</v>
      </c>
      <c r="B2348">
        <f>'OPEN FOREIGN ORDER'!F1974</f>
        <v>0</v>
      </c>
      <c r="C2348">
        <f>'OPEN FOREIGN ORDER'!Z1974</f>
        <v>0</v>
      </c>
      <c r="D2348" s="123">
        <f>'OPEN FOREIGN ORDER'!AA1974</f>
        <v>0</v>
      </c>
      <c r="E2348" s="112">
        <f>'OPEN FOREIGN ORDER'!AB1974</f>
        <v>0</v>
      </c>
      <c r="F2348" s="112">
        <f>'OPEN FOREIGN ORDER'!AC1974</f>
        <v>0</v>
      </c>
      <c r="G2348" s="112">
        <f>'OPEN FOREIGN ORDER'!AD1974</f>
        <v>0</v>
      </c>
      <c r="H2348" s="112">
        <f>'OPEN FOREIGN ORDER'!AE1974</f>
        <v>0</v>
      </c>
      <c r="I2348" s="112">
        <f>'OPEN FOREIGN ORDER'!AF1974</f>
        <v>0</v>
      </c>
      <c r="J2348" s="112">
        <f>'OPEN FOREIGN ORDER'!AG1974</f>
        <v>0</v>
      </c>
    </row>
    <row r="2349" spans="1:10">
      <c r="A2349">
        <f>'OPEN FOREIGN ORDER'!D1975</f>
        <v>0</v>
      </c>
      <c r="B2349">
        <f>'OPEN FOREIGN ORDER'!F1975</f>
        <v>0</v>
      </c>
      <c r="C2349">
        <f>'OPEN FOREIGN ORDER'!Z1975</f>
        <v>0</v>
      </c>
      <c r="D2349" s="123">
        <f>'OPEN FOREIGN ORDER'!AA1975</f>
        <v>0</v>
      </c>
      <c r="E2349" s="112">
        <f>'OPEN FOREIGN ORDER'!AB1975</f>
        <v>0</v>
      </c>
      <c r="F2349" s="112">
        <f>'OPEN FOREIGN ORDER'!AC1975</f>
        <v>0</v>
      </c>
      <c r="G2349" s="112">
        <f>'OPEN FOREIGN ORDER'!AD1975</f>
        <v>0</v>
      </c>
      <c r="H2349" s="112">
        <f>'OPEN FOREIGN ORDER'!AE1975</f>
        <v>0</v>
      </c>
      <c r="I2349" s="112">
        <f>'OPEN FOREIGN ORDER'!AF1975</f>
        <v>0</v>
      </c>
      <c r="J2349" s="112">
        <f>'OPEN FOREIGN ORDER'!AG1975</f>
        <v>0</v>
      </c>
    </row>
    <row r="2350" spans="1:10">
      <c r="A2350">
        <f>'OPEN FOREIGN ORDER'!D1976</f>
        <v>0</v>
      </c>
      <c r="B2350">
        <f>'OPEN FOREIGN ORDER'!F1976</f>
        <v>0</v>
      </c>
      <c r="C2350">
        <f>'OPEN FOREIGN ORDER'!Z1976</f>
        <v>0</v>
      </c>
      <c r="D2350" s="123">
        <f>'OPEN FOREIGN ORDER'!AA1976</f>
        <v>0</v>
      </c>
      <c r="E2350" s="112">
        <f>'OPEN FOREIGN ORDER'!AB1976</f>
        <v>0</v>
      </c>
      <c r="F2350" s="112">
        <f>'OPEN FOREIGN ORDER'!AC1976</f>
        <v>0</v>
      </c>
      <c r="G2350" s="112">
        <f>'OPEN FOREIGN ORDER'!AD1976</f>
        <v>0</v>
      </c>
      <c r="H2350" s="112">
        <f>'OPEN FOREIGN ORDER'!AE1976</f>
        <v>0</v>
      </c>
      <c r="I2350" s="112">
        <f>'OPEN FOREIGN ORDER'!AF1976</f>
        <v>0</v>
      </c>
      <c r="J2350" s="112">
        <f>'OPEN FOREIGN ORDER'!AG1976</f>
        <v>0</v>
      </c>
    </row>
    <row r="2351" spans="1:10">
      <c r="A2351">
        <f>'OPEN FOREIGN ORDER'!D1977</f>
        <v>0</v>
      </c>
      <c r="B2351">
        <f>'OPEN FOREIGN ORDER'!F1977</f>
        <v>0</v>
      </c>
      <c r="C2351">
        <f>'OPEN FOREIGN ORDER'!Z1977</f>
        <v>0</v>
      </c>
      <c r="D2351" s="123">
        <f>'OPEN FOREIGN ORDER'!AA1977</f>
        <v>0</v>
      </c>
      <c r="E2351" s="112">
        <f>'OPEN FOREIGN ORDER'!AB1977</f>
        <v>0</v>
      </c>
      <c r="F2351" s="112">
        <f>'OPEN FOREIGN ORDER'!AC1977</f>
        <v>0</v>
      </c>
      <c r="G2351" s="112">
        <f>'OPEN FOREIGN ORDER'!AD1977</f>
        <v>0</v>
      </c>
      <c r="H2351" s="112">
        <f>'OPEN FOREIGN ORDER'!AE1977</f>
        <v>0</v>
      </c>
      <c r="I2351" s="112">
        <f>'OPEN FOREIGN ORDER'!AF1977</f>
        <v>0</v>
      </c>
      <c r="J2351" s="112">
        <f>'OPEN FOREIGN ORDER'!AG1977</f>
        <v>0</v>
      </c>
    </row>
    <row r="2352" spans="1:10">
      <c r="A2352">
        <f>'OPEN FOREIGN ORDER'!D1978</f>
        <v>0</v>
      </c>
      <c r="B2352">
        <f>'OPEN FOREIGN ORDER'!F1978</f>
        <v>0</v>
      </c>
      <c r="C2352">
        <f>'OPEN FOREIGN ORDER'!Z1978</f>
        <v>0</v>
      </c>
      <c r="D2352" s="123">
        <f>'OPEN FOREIGN ORDER'!AA1978</f>
        <v>0</v>
      </c>
      <c r="E2352" s="112">
        <f>'OPEN FOREIGN ORDER'!AB1978</f>
        <v>0</v>
      </c>
      <c r="F2352" s="112">
        <f>'OPEN FOREIGN ORDER'!AC1978</f>
        <v>0</v>
      </c>
      <c r="G2352" s="112">
        <f>'OPEN FOREIGN ORDER'!AD1978</f>
        <v>0</v>
      </c>
      <c r="H2352" s="112">
        <f>'OPEN FOREIGN ORDER'!AE1978</f>
        <v>0</v>
      </c>
      <c r="I2352" s="112">
        <f>'OPEN FOREIGN ORDER'!AF1978</f>
        <v>0</v>
      </c>
      <c r="J2352" s="112">
        <f>'OPEN FOREIGN ORDER'!AG1978</f>
        <v>0</v>
      </c>
    </row>
    <row r="2353" spans="1:10">
      <c r="A2353">
        <f>'OPEN FOREIGN ORDER'!D1979</f>
        <v>0</v>
      </c>
      <c r="B2353">
        <f>'OPEN FOREIGN ORDER'!F1979</f>
        <v>0</v>
      </c>
      <c r="C2353">
        <f>'OPEN FOREIGN ORDER'!Z1979</f>
        <v>0</v>
      </c>
      <c r="D2353" s="123">
        <f>'OPEN FOREIGN ORDER'!AA1979</f>
        <v>0</v>
      </c>
      <c r="E2353" s="112">
        <f>'OPEN FOREIGN ORDER'!AB1979</f>
        <v>0</v>
      </c>
      <c r="F2353" s="112">
        <f>'OPEN FOREIGN ORDER'!AC1979</f>
        <v>0</v>
      </c>
      <c r="G2353" s="112">
        <f>'OPEN FOREIGN ORDER'!AD1979</f>
        <v>0</v>
      </c>
      <c r="H2353" s="112">
        <f>'OPEN FOREIGN ORDER'!AE1979</f>
        <v>0</v>
      </c>
      <c r="I2353" s="112">
        <f>'OPEN FOREIGN ORDER'!AF1979</f>
        <v>0</v>
      </c>
      <c r="J2353" s="112">
        <f>'OPEN FOREIGN ORDER'!AG1979</f>
        <v>0</v>
      </c>
    </row>
    <row r="2354" spans="1:10">
      <c r="A2354">
        <f>'OPEN FOREIGN ORDER'!D1980</f>
        <v>0</v>
      </c>
      <c r="B2354">
        <f>'OPEN FOREIGN ORDER'!F1980</f>
        <v>0</v>
      </c>
      <c r="C2354">
        <f>'OPEN FOREIGN ORDER'!Z1980</f>
        <v>0</v>
      </c>
      <c r="D2354" s="123">
        <f>'OPEN FOREIGN ORDER'!AA1980</f>
        <v>0</v>
      </c>
      <c r="E2354" s="112">
        <f>'OPEN FOREIGN ORDER'!AB1980</f>
        <v>0</v>
      </c>
      <c r="F2354" s="112">
        <f>'OPEN FOREIGN ORDER'!AC1980</f>
        <v>0</v>
      </c>
      <c r="G2354" s="112">
        <f>'OPEN FOREIGN ORDER'!AD1980</f>
        <v>0</v>
      </c>
      <c r="H2354" s="112">
        <f>'OPEN FOREIGN ORDER'!AE1980</f>
        <v>0</v>
      </c>
      <c r="I2354" s="112">
        <f>'OPEN FOREIGN ORDER'!AF1980</f>
        <v>0</v>
      </c>
      <c r="J2354" s="112">
        <f>'OPEN FOREIGN ORDER'!AG1980</f>
        <v>0</v>
      </c>
    </row>
    <row r="2355" spans="1:10">
      <c r="A2355">
        <f>'OPEN FOREIGN ORDER'!D1981</f>
        <v>0</v>
      </c>
      <c r="B2355">
        <f>'OPEN FOREIGN ORDER'!F1981</f>
        <v>0</v>
      </c>
      <c r="C2355">
        <f>'OPEN FOREIGN ORDER'!Z1981</f>
        <v>0</v>
      </c>
      <c r="D2355" s="123">
        <f>'OPEN FOREIGN ORDER'!AA1981</f>
        <v>0</v>
      </c>
      <c r="E2355" s="112">
        <f>'OPEN FOREIGN ORDER'!AB1981</f>
        <v>0</v>
      </c>
      <c r="F2355" s="112">
        <f>'OPEN FOREIGN ORDER'!AC1981</f>
        <v>0</v>
      </c>
      <c r="G2355" s="112">
        <f>'OPEN FOREIGN ORDER'!AD1981</f>
        <v>0</v>
      </c>
      <c r="H2355" s="112">
        <f>'OPEN FOREIGN ORDER'!AE1981</f>
        <v>0</v>
      </c>
      <c r="I2355" s="112">
        <f>'OPEN FOREIGN ORDER'!AF1981</f>
        <v>0</v>
      </c>
      <c r="J2355" s="112">
        <f>'OPEN FOREIGN ORDER'!AG1981</f>
        <v>0</v>
      </c>
    </row>
    <row r="2356" spans="1:10">
      <c r="A2356">
        <f>'OPEN FOREIGN ORDER'!D1982</f>
        <v>0</v>
      </c>
      <c r="B2356">
        <f>'OPEN FOREIGN ORDER'!F1982</f>
        <v>0</v>
      </c>
      <c r="C2356">
        <f>'OPEN FOREIGN ORDER'!Z1982</f>
        <v>0</v>
      </c>
      <c r="D2356" s="123">
        <f>'OPEN FOREIGN ORDER'!AA1982</f>
        <v>0</v>
      </c>
      <c r="E2356" s="112">
        <f>'OPEN FOREIGN ORDER'!AB1982</f>
        <v>0</v>
      </c>
      <c r="F2356" s="112">
        <f>'OPEN FOREIGN ORDER'!AC1982</f>
        <v>0</v>
      </c>
      <c r="G2356" s="112">
        <f>'OPEN FOREIGN ORDER'!AD1982</f>
        <v>0</v>
      </c>
      <c r="H2356" s="112">
        <f>'OPEN FOREIGN ORDER'!AE1982</f>
        <v>0</v>
      </c>
      <c r="I2356" s="112">
        <f>'OPEN FOREIGN ORDER'!AF1982</f>
        <v>0</v>
      </c>
      <c r="J2356" s="112">
        <f>'OPEN FOREIGN ORDER'!AG1982</f>
        <v>0</v>
      </c>
    </row>
    <row r="2357" spans="1:10">
      <c r="A2357">
        <f>'OPEN FOREIGN ORDER'!D1983</f>
        <v>0</v>
      </c>
      <c r="B2357">
        <f>'OPEN FOREIGN ORDER'!F1983</f>
        <v>0</v>
      </c>
      <c r="C2357">
        <f>'OPEN FOREIGN ORDER'!Z1983</f>
        <v>0</v>
      </c>
      <c r="D2357" s="123">
        <f>'OPEN FOREIGN ORDER'!AA1983</f>
        <v>0</v>
      </c>
      <c r="E2357" s="112">
        <f>'OPEN FOREIGN ORDER'!AB1983</f>
        <v>0</v>
      </c>
      <c r="F2357" s="112">
        <f>'OPEN FOREIGN ORDER'!AC1983</f>
        <v>0</v>
      </c>
      <c r="G2357" s="112">
        <f>'OPEN FOREIGN ORDER'!AD1983</f>
        <v>0</v>
      </c>
      <c r="H2357" s="112">
        <f>'OPEN FOREIGN ORDER'!AE1983</f>
        <v>0</v>
      </c>
      <c r="I2357" s="112">
        <f>'OPEN FOREIGN ORDER'!AF1983</f>
        <v>0</v>
      </c>
      <c r="J2357" s="112">
        <f>'OPEN FOREIGN ORDER'!AG1983</f>
        <v>0</v>
      </c>
    </row>
    <row r="2358" spans="1:10">
      <c r="A2358">
        <f>'OPEN FOREIGN ORDER'!D1984</f>
        <v>0</v>
      </c>
      <c r="B2358">
        <f>'OPEN FOREIGN ORDER'!F1984</f>
        <v>0</v>
      </c>
      <c r="C2358">
        <f>'OPEN FOREIGN ORDER'!Z1984</f>
        <v>0</v>
      </c>
      <c r="D2358" s="123">
        <f>'OPEN FOREIGN ORDER'!AA1984</f>
        <v>0</v>
      </c>
      <c r="E2358" s="112">
        <f>'OPEN FOREIGN ORDER'!AB1984</f>
        <v>0</v>
      </c>
      <c r="F2358" s="112">
        <f>'OPEN FOREIGN ORDER'!AC1984</f>
        <v>0</v>
      </c>
      <c r="G2358" s="112">
        <f>'OPEN FOREIGN ORDER'!AD1984</f>
        <v>0</v>
      </c>
      <c r="H2358" s="112">
        <f>'OPEN FOREIGN ORDER'!AE1984</f>
        <v>0</v>
      </c>
      <c r="I2358" s="112">
        <f>'OPEN FOREIGN ORDER'!AF1984</f>
        <v>0</v>
      </c>
      <c r="J2358" s="112">
        <f>'OPEN FOREIGN ORDER'!AG1984</f>
        <v>0</v>
      </c>
    </row>
    <row r="2359" spans="1:10">
      <c r="A2359">
        <f>'OPEN FOREIGN ORDER'!D1985</f>
        <v>0</v>
      </c>
      <c r="B2359">
        <f>'OPEN FOREIGN ORDER'!F1985</f>
        <v>0</v>
      </c>
      <c r="C2359">
        <f>'OPEN FOREIGN ORDER'!Z1985</f>
        <v>0</v>
      </c>
      <c r="D2359" s="123">
        <f>'OPEN FOREIGN ORDER'!AA1985</f>
        <v>0</v>
      </c>
      <c r="E2359" s="112">
        <f>'OPEN FOREIGN ORDER'!AB1985</f>
        <v>0</v>
      </c>
      <c r="F2359" s="112">
        <f>'OPEN FOREIGN ORDER'!AC1985</f>
        <v>0</v>
      </c>
      <c r="G2359" s="112">
        <f>'OPEN FOREIGN ORDER'!AD1985</f>
        <v>0</v>
      </c>
      <c r="H2359" s="112">
        <f>'OPEN FOREIGN ORDER'!AE1985</f>
        <v>0</v>
      </c>
      <c r="I2359" s="112">
        <f>'OPEN FOREIGN ORDER'!AF1985</f>
        <v>0</v>
      </c>
      <c r="J2359" s="112">
        <f>'OPEN FOREIGN ORDER'!AG1985</f>
        <v>0</v>
      </c>
    </row>
    <row r="2360" spans="1:10">
      <c r="A2360">
        <f>'OPEN FOREIGN ORDER'!D1986</f>
        <v>0</v>
      </c>
      <c r="B2360">
        <f>'OPEN FOREIGN ORDER'!F1986</f>
        <v>0</v>
      </c>
      <c r="C2360">
        <f>'OPEN FOREIGN ORDER'!Z1986</f>
        <v>0</v>
      </c>
      <c r="D2360" s="123">
        <f>'OPEN FOREIGN ORDER'!AA1986</f>
        <v>0</v>
      </c>
      <c r="E2360" s="112">
        <f>'OPEN FOREIGN ORDER'!AB1986</f>
        <v>0</v>
      </c>
      <c r="F2360" s="112">
        <f>'OPEN FOREIGN ORDER'!AC1986</f>
        <v>0</v>
      </c>
      <c r="G2360" s="112">
        <f>'OPEN FOREIGN ORDER'!AD1986</f>
        <v>0</v>
      </c>
      <c r="H2360" s="112">
        <f>'OPEN FOREIGN ORDER'!AE1986</f>
        <v>0</v>
      </c>
      <c r="I2360" s="112">
        <f>'OPEN FOREIGN ORDER'!AF1986</f>
        <v>0</v>
      </c>
      <c r="J2360" s="112">
        <f>'OPEN FOREIGN ORDER'!AG1986</f>
        <v>0</v>
      </c>
    </row>
    <row r="2361" spans="1:10">
      <c r="A2361">
        <f>'OPEN FOREIGN ORDER'!D1987</f>
        <v>0</v>
      </c>
      <c r="B2361">
        <f>'OPEN FOREIGN ORDER'!F1987</f>
        <v>0</v>
      </c>
      <c r="C2361">
        <f>'OPEN FOREIGN ORDER'!Z1987</f>
        <v>0</v>
      </c>
      <c r="D2361" s="123">
        <f>'OPEN FOREIGN ORDER'!AA1987</f>
        <v>0</v>
      </c>
      <c r="E2361" s="112">
        <f>'OPEN FOREIGN ORDER'!AB1987</f>
        <v>0</v>
      </c>
      <c r="F2361" s="112">
        <f>'OPEN FOREIGN ORDER'!AC1987</f>
        <v>0</v>
      </c>
      <c r="G2361" s="112">
        <f>'OPEN FOREIGN ORDER'!AD1987</f>
        <v>0</v>
      </c>
      <c r="H2361" s="112">
        <f>'OPEN FOREIGN ORDER'!AE1987</f>
        <v>0</v>
      </c>
      <c r="I2361" s="112">
        <f>'OPEN FOREIGN ORDER'!AF1987</f>
        <v>0</v>
      </c>
      <c r="J2361" s="112">
        <f>'OPEN FOREIGN ORDER'!AG1987</f>
        <v>0</v>
      </c>
    </row>
    <row r="2362" spans="1:10">
      <c r="A2362">
        <f>'OPEN FOREIGN ORDER'!D1988</f>
        <v>0</v>
      </c>
      <c r="B2362">
        <f>'OPEN FOREIGN ORDER'!F1988</f>
        <v>0</v>
      </c>
      <c r="C2362">
        <f>'OPEN FOREIGN ORDER'!Z1988</f>
        <v>0</v>
      </c>
      <c r="D2362" s="123">
        <f>'OPEN FOREIGN ORDER'!AA1988</f>
        <v>0</v>
      </c>
      <c r="E2362" s="112">
        <f>'OPEN FOREIGN ORDER'!AB1988</f>
        <v>0</v>
      </c>
      <c r="F2362" s="112">
        <f>'OPEN FOREIGN ORDER'!AC1988</f>
        <v>0</v>
      </c>
      <c r="G2362" s="112">
        <f>'OPEN FOREIGN ORDER'!AD1988</f>
        <v>0</v>
      </c>
      <c r="H2362" s="112">
        <f>'OPEN FOREIGN ORDER'!AE1988</f>
        <v>0</v>
      </c>
      <c r="I2362" s="112">
        <f>'OPEN FOREIGN ORDER'!AF1988</f>
        <v>0</v>
      </c>
      <c r="J2362" s="112">
        <f>'OPEN FOREIGN ORDER'!AG1988</f>
        <v>0</v>
      </c>
    </row>
    <row r="2363" spans="1:10">
      <c r="A2363">
        <f>'OPEN FOREIGN ORDER'!D1989</f>
        <v>0</v>
      </c>
      <c r="B2363">
        <f>'OPEN FOREIGN ORDER'!F1989</f>
        <v>0</v>
      </c>
      <c r="C2363">
        <f>'OPEN FOREIGN ORDER'!Z1989</f>
        <v>0</v>
      </c>
      <c r="D2363" s="123">
        <f>'OPEN FOREIGN ORDER'!AA1989</f>
        <v>0</v>
      </c>
      <c r="E2363" s="112">
        <f>'OPEN FOREIGN ORDER'!AB1989</f>
        <v>0</v>
      </c>
      <c r="F2363" s="112">
        <f>'OPEN FOREIGN ORDER'!AC1989</f>
        <v>0</v>
      </c>
      <c r="G2363" s="112">
        <f>'OPEN FOREIGN ORDER'!AD1989</f>
        <v>0</v>
      </c>
      <c r="H2363" s="112">
        <f>'OPEN FOREIGN ORDER'!AE1989</f>
        <v>0</v>
      </c>
      <c r="I2363" s="112">
        <f>'OPEN FOREIGN ORDER'!AF1989</f>
        <v>0</v>
      </c>
      <c r="J2363" s="112">
        <f>'OPEN FOREIGN ORDER'!AG1989</f>
        <v>0</v>
      </c>
    </row>
    <row r="2364" spans="1:10">
      <c r="A2364">
        <f>'OPEN FOREIGN ORDER'!D1990</f>
        <v>0</v>
      </c>
      <c r="B2364">
        <f>'OPEN FOREIGN ORDER'!F1990</f>
        <v>0</v>
      </c>
      <c r="C2364">
        <f>'OPEN FOREIGN ORDER'!Z1990</f>
        <v>0</v>
      </c>
      <c r="D2364" s="123">
        <f>'OPEN FOREIGN ORDER'!AA1990</f>
        <v>0</v>
      </c>
      <c r="E2364" s="112">
        <f>'OPEN FOREIGN ORDER'!AB1990</f>
        <v>0</v>
      </c>
      <c r="F2364" s="112">
        <f>'OPEN FOREIGN ORDER'!AC1990</f>
        <v>0</v>
      </c>
      <c r="G2364" s="112">
        <f>'OPEN FOREIGN ORDER'!AD1990</f>
        <v>0</v>
      </c>
      <c r="H2364" s="112">
        <f>'OPEN FOREIGN ORDER'!AE1990</f>
        <v>0</v>
      </c>
      <c r="I2364" s="112">
        <f>'OPEN FOREIGN ORDER'!AF1990</f>
        <v>0</v>
      </c>
      <c r="J2364" s="112">
        <f>'OPEN FOREIGN ORDER'!AG1990</f>
        <v>0</v>
      </c>
    </row>
    <row r="2365" spans="1:10">
      <c r="A2365">
        <f>'OPEN FOREIGN ORDER'!D1991</f>
        <v>0</v>
      </c>
      <c r="B2365">
        <f>'OPEN FOREIGN ORDER'!F1991</f>
        <v>0</v>
      </c>
      <c r="C2365">
        <f>'OPEN FOREIGN ORDER'!Z1991</f>
        <v>0</v>
      </c>
      <c r="D2365" s="123">
        <f>'OPEN FOREIGN ORDER'!AA1991</f>
        <v>0</v>
      </c>
      <c r="E2365" s="112">
        <f>'OPEN FOREIGN ORDER'!AB1991</f>
        <v>0</v>
      </c>
      <c r="F2365" s="112">
        <f>'OPEN FOREIGN ORDER'!AC1991</f>
        <v>0</v>
      </c>
      <c r="G2365" s="112">
        <f>'OPEN FOREIGN ORDER'!AD1991</f>
        <v>0</v>
      </c>
      <c r="H2365" s="112">
        <f>'OPEN FOREIGN ORDER'!AE1991</f>
        <v>0</v>
      </c>
      <c r="I2365" s="112">
        <f>'OPEN FOREIGN ORDER'!AF1991</f>
        <v>0</v>
      </c>
      <c r="J2365" s="112">
        <f>'OPEN FOREIGN ORDER'!AG1991</f>
        <v>0</v>
      </c>
    </row>
    <row r="2366" spans="1:10">
      <c r="A2366">
        <f>'OPEN FOREIGN ORDER'!D1992</f>
        <v>0</v>
      </c>
      <c r="B2366">
        <f>'OPEN FOREIGN ORDER'!F1992</f>
        <v>0</v>
      </c>
      <c r="C2366">
        <f>'OPEN FOREIGN ORDER'!Z1992</f>
        <v>0</v>
      </c>
      <c r="D2366" s="123">
        <f>'OPEN FOREIGN ORDER'!AA1992</f>
        <v>0</v>
      </c>
      <c r="E2366" s="112">
        <f>'OPEN FOREIGN ORDER'!AB1992</f>
        <v>0</v>
      </c>
      <c r="F2366" s="112">
        <f>'OPEN FOREIGN ORDER'!AC1992</f>
        <v>0</v>
      </c>
      <c r="G2366" s="112">
        <f>'OPEN FOREIGN ORDER'!AD1992</f>
        <v>0</v>
      </c>
      <c r="H2366" s="112">
        <f>'OPEN FOREIGN ORDER'!AE1992</f>
        <v>0</v>
      </c>
      <c r="I2366" s="112">
        <f>'OPEN FOREIGN ORDER'!AF1992</f>
        <v>0</v>
      </c>
      <c r="J2366" s="112">
        <f>'OPEN FOREIGN ORDER'!AG1992</f>
        <v>0</v>
      </c>
    </row>
    <row r="2367" spans="1:10">
      <c r="A2367">
        <f>'OPEN FOREIGN ORDER'!D1993</f>
        <v>0</v>
      </c>
      <c r="B2367">
        <f>'OPEN FOREIGN ORDER'!F1993</f>
        <v>0</v>
      </c>
      <c r="C2367">
        <f>'OPEN FOREIGN ORDER'!Z1993</f>
        <v>0</v>
      </c>
      <c r="D2367" s="123">
        <f>'OPEN FOREIGN ORDER'!AA1993</f>
        <v>0</v>
      </c>
      <c r="E2367" s="112">
        <f>'OPEN FOREIGN ORDER'!AB1993</f>
        <v>0</v>
      </c>
      <c r="F2367" s="112">
        <f>'OPEN FOREIGN ORDER'!AC1993</f>
        <v>0</v>
      </c>
      <c r="G2367" s="112">
        <f>'OPEN FOREIGN ORDER'!AD1993</f>
        <v>0</v>
      </c>
      <c r="H2367" s="112">
        <f>'OPEN FOREIGN ORDER'!AE1993</f>
        <v>0</v>
      </c>
      <c r="I2367" s="112">
        <f>'OPEN FOREIGN ORDER'!AF1993</f>
        <v>0</v>
      </c>
      <c r="J2367" s="112">
        <f>'OPEN FOREIGN ORDER'!AG1993</f>
        <v>0</v>
      </c>
    </row>
    <row r="2368" spans="1:10">
      <c r="A2368">
        <f>'OPEN FOREIGN ORDER'!D1994</f>
        <v>0</v>
      </c>
      <c r="B2368">
        <f>'OPEN FOREIGN ORDER'!F1994</f>
        <v>0</v>
      </c>
      <c r="C2368">
        <f>'OPEN FOREIGN ORDER'!Z1994</f>
        <v>0</v>
      </c>
      <c r="D2368" s="123">
        <f>'OPEN FOREIGN ORDER'!AA1994</f>
        <v>0</v>
      </c>
      <c r="E2368" s="112">
        <f>'OPEN FOREIGN ORDER'!AB1994</f>
        <v>0</v>
      </c>
      <c r="F2368" s="112">
        <f>'OPEN FOREIGN ORDER'!AC1994</f>
        <v>0</v>
      </c>
      <c r="G2368" s="112">
        <f>'OPEN FOREIGN ORDER'!AD1994</f>
        <v>0</v>
      </c>
      <c r="H2368" s="112">
        <f>'OPEN FOREIGN ORDER'!AE1994</f>
        <v>0</v>
      </c>
      <c r="I2368" s="112">
        <f>'OPEN FOREIGN ORDER'!AF1994</f>
        <v>0</v>
      </c>
      <c r="J2368" s="112">
        <f>'OPEN FOREIGN ORDER'!AG1994</f>
        <v>0</v>
      </c>
    </row>
    <row r="2369" spans="1:10">
      <c r="A2369">
        <f>'OPEN FOREIGN ORDER'!D1995</f>
        <v>0</v>
      </c>
      <c r="B2369">
        <f>'OPEN FOREIGN ORDER'!F1995</f>
        <v>0</v>
      </c>
      <c r="C2369">
        <f>'OPEN FOREIGN ORDER'!Z1995</f>
        <v>0</v>
      </c>
      <c r="D2369" s="123">
        <f>'OPEN FOREIGN ORDER'!AA1995</f>
        <v>0</v>
      </c>
      <c r="E2369" s="112">
        <f>'OPEN FOREIGN ORDER'!AB1995</f>
        <v>0</v>
      </c>
      <c r="F2369" s="112">
        <f>'OPEN FOREIGN ORDER'!AC1995</f>
        <v>0</v>
      </c>
      <c r="G2369" s="112">
        <f>'OPEN FOREIGN ORDER'!AD1995</f>
        <v>0</v>
      </c>
      <c r="H2369" s="112">
        <f>'OPEN FOREIGN ORDER'!AE1995</f>
        <v>0</v>
      </c>
      <c r="I2369" s="112">
        <f>'OPEN FOREIGN ORDER'!AF1995</f>
        <v>0</v>
      </c>
      <c r="J2369" s="112">
        <f>'OPEN FOREIGN ORDER'!AG1995</f>
        <v>0</v>
      </c>
    </row>
    <row r="2370" spans="1:10">
      <c r="A2370">
        <f>'OPEN FOREIGN ORDER'!D1996</f>
        <v>0</v>
      </c>
      <c r="B2370">
        <f>'OPEN FOREIGN ORDER'!F1996</f>
        <v>0</v>
      </c>
      <c r="C2370">
        <f>'OPEN FOREIGN ORDER'!Z1996</f>
        <v>0</v>
      </c>
      <c r="D2370" s="123">
        <f>'OPEN FOREIGN ORDER'!AA1996</f>
        <v>0</v>
      </c>
      <c r="E2370" s="112">
        <f>'OPEN FOREIGN ORDER'!AB1996</f>
        <v>0</v>
      </c>
      <c r="F2370" s="112">
        <f>'OPEN FOREIGN ORDER'!AC1996</f>
        <v>0</v>
      </c>
      <c r="G2370" s="112">
        <f>'OPEN FOREIGN ORDER'!AD1996</f>
        <v>0</v>
      </c>
      <c r="H2370" s="112">
        <f>'OPEN FOREIGN ORDER'!AE1996</f>
        <v>0</v>
      </c>
      <c r="I2370" s="112">
        <f>'OPEN FOREIGN ORDER'!AF1996</f>
        <v>0</v>
      </c>
      <c r="J2370" s="112">
        <f>'OPEN FOREIGN ORDER'!AG1996</f>
        <v>0</v>
      </c>
    </row>
    <row r="2371" spans="1:10">
      <c r="A2371">
        <f>'OPEN FOREIGN ORDER'!D1997</f>
        <v>0</v>
      </c>
      <c r="B2371">
        <f>'OPEN FOREIGN ORDER'!F1997</f>
        <v>0</v>
      </c>
      <c r="C2371">
        <f>'OPEN FOREIGN ORDER'!Z1997</f>
        <v>0</v>
      </c>
      <c r="D2371" s="123">
        <f>'OPEN FOREIGN ORDER'!AA1997</f>
        <v>0</v>
      </c>
      <c r="E2371" s="112">
        <f>'OPEN FOREIGN ORDER'!AB1997</f>
        <v>0</v>
      </c>
      <c r="F2371" s="112">
        <f>'OPEN FOREIGN ORDER'!AC1997</f>
        <v>0</v>
      </c>
      <c r="G2371" s="112">
        <f>'OPEN FOREIGN ORDER'!AD1997</f>
        <v>0</v>
      </c>
      <c r="H2371" s="112">
        <f>'OPEN FOREIGN ORDER'!AE1997</f>
        <v>0</v>
      </c>
      <c r="I2371" s="112">
        <f>'OPEN FOREIGN ORDER'!AF1997</f>
        <v>0</v>
      </c>
      <c r="J2371" s="112">
        <f>'OPEN FOREIGN ORDER'!AG1997</f>
        <v>0</v>
      </c>
    </row>
    <row r="2372" spans="1:10">
      <c r="A2372">
        <f>'OPEN FOREIGN ORDER'!D1998</f>
        <v>0</v>
      </c>
      <c r="B2372">
        <f>'OPEN FOREIGN ORDER'!F1998</f>
        <v>0</v>
      </c>
      <c r="C2372">
        <f>'OPEN FOREIGN ORDER'!Z1998</f>
        <v>0</v>
      </c>
      <c r="D2372" s="123">
        <f>'OPEN FOREIGN ORDER'!AA1998</f>
        <v>0</v>
      </c>
      <c r="E2372" s="112">
        <f>'OPEN FOREIGN ORDER'!AB1998</f>
        <v>0</v>
      </c>
      <c r="F2372" s="112">
        <f>'OPEN FOREIGN ORDER'!AC1998</f>
        <v>0</v>
      </c>
      <c r="G2372" s="112">
        <f>'OPEN FOREIGN ORDER'!AD1998</f>
        <v>0</v>
      </c>
      <c r="H2372" s="112">
        <f>'OPEN FOREIGN ORDER'!AE1998</f>
        <v>0</v>
      </c>
      <c r="I2372" s="112">
        <f>'OPEN FOREIGN ORDER'!AF1998</f>
        <v>0</v>
      </c>
      <c r="J2372" s="112">
        <f>'OPEN FOREIGN ORDER'!AG1998</f>
        <v>0</v>
      </c>
    </row>
    <row r="2373" spans="1:10">
      <c r="A2373">
        <f>'OPEN FOREIGN ORDER'!D1999</f>
        <v>0</v>
      </c>
      <c r="B2373">
        <f>'OPEN FOREIGN ORDER'!F1999</f>
        <v>0</v>
      </c>
      <c r="C2373">
        <f>'OPEN FOREIGN ORDER'!Z1999</f>
        <v>0</v>
      </c>
      <c r="D2373" s="123">
        <f>'OPEN FOREIGN ORDER'!AA1999</f>
        <v>0</v>
      </c>
      <c r="E2373" s="112">
        <f>'OPEN FOREIGN ORDER'!AB1999</f>
        <v>0</v>
      </c>
      <c r="F2373" s="112">
        <f>'OPEN FOREIGN ORDER'!AC1999</f>
        <v>0</v>
      </c>
      <c r="G2373" s="112">
        <f>'OPEN FOREIGN ORDER'!AD1999</f>
        <v>0</v>
      </c>
      <c r="H2373" s="112">
        <f>'OPEN FOREIGN ORDER'!AE1999</f>
        <v>0</v>
      </c>
      <c r="I2373" s="112">
        <f>'OPEN FOREIGN ORDER'!AF1999</f>
        <v>0</v>
      </c>
      <c r="J2373" s="112">
        <f>'OPEN FOREIGN ORDER'!AG1999</f>
        <v>0</v>
      </c>
    </row>
    <row r="2374" spans="1:10">
      <c r="A2374">
        <f>'OPEN FOREIGN ORDER'!D2000</f>
        <v>0</v>
      </c>
      <c r="B2374">
        <f>'OPEN FOREIGN ORDER'!F2000</f>
        <v>0</v>
      </c>
      <c r="C2374">
        <f>'OPEN FOREIGN ORDER'!Z2000</f>
        <v>0</v>
      </c>
      <c r="D2374" s="123">
        <f>'OPEN FOREIGN ORDER'!AA2000</f>
        <v>0</v>
      </c>
      <c r="E2374" s="112">
        <f>'OPEN FOREIGN ORDER'!AB2000</f>
        <v>0</v>
      </c>
      <c r="F2374" s="112">
        <f>'OPEN FOREIGN ORDER'!AC2000</f>
        <v>0</v>
      </c>
      <c r="G2374" s="112">
        <f>'OPEN FOREIGN ORDER'!AD2000</f>
        <v>0</v>
      </c>
      <c r="H2374" s="112">
        <f>'OPEN FOREIGN ORDER'!AE2000</f>
        <v>0</v>
      </c>
      <c r="I2374" s="112">
        <f>'OPEN FOREIGN ORDER'!AF2000</f>
        <v>0</v>
      </c>
      <c r="J2374" s="112">
        <f>'OPEN FOREIGN ORDER'!AG2000</f>
        <v>0</v>
      </c>
    </row>
    <row r="2375" spans="1:10">
      <c r="A2375">
        <f>'OPEN FOREIGN ORDER'!D2001</f>
        <v>0</v>
      </c>
      <c r="B2375">
        <f>'OPEN FOREIGN ORDER'!F2001</f>
        <v>0</v>
      </c>
      <c r="C2375">
        <f>'OPEN FOREIGN ORDER'!Z2001</f>
        <v>0</v>
      </c>
      <c r="D2375" s="123">
        <f>'OPEN FOREIGN ORDER'!AA2001</f>
        <v>0</v>
      </c>
      <c r="E2375" s="112">
        <f>'OPEN FOREIGN ORDER'!AB2001</f>
        <v>0</v>
      </c>
      <c r="F2375" s="112">
        <f>'OPEN FOREIGN ORDER'!AC2001</f>
        <v>0</v>
      </c>
      <c r="G2375" s="112">
        <f>'OPEN FOREIGN ORDER'!AD2001</f>
        <v>0</v>
      </c>
      <c r="H2375" s="112">
        <f>'OPEN FOREIGN ORDER'!AE2001</f>
        <v>0</v>
      </c>
      <c r="I2375" s="112">
        <f>'OPEN FOREIGN ORDER'!AF2001</f>
        <v>0</v>
      </c>
      <c r="J2375" s="112">
        <f>'OPEN FOREIGN ORDER'!AG2001</f>
        <v>0</v>
      </c>
    </row>
    <row r="2376" spans="1:10">
      <c r="A2376">
        <f>'OPEN FOREIGN ORDER'!D2002</f>
        <v>0</v>
      </c>
      <c r="B2376">
        <f>'OPEN FOREIGN ORDER'!F2002</f>
        <v>0</v>
      </c>
      <c r="C2376">
        <f>'OPEN FOREIGN ORDER'!Z2002</f>
        <v>0</v>
      </c>
      <c r="D2376" s="123">
        <f>'OPEN FOREIGN ORDER'!AA2002</f>
        <v>0</v>
      </c>
      <c r="E2376" s="112">
        <f>'OPEN FOREIGN ORDER'!AB2002</f>
        <v>0</v>
      </c>
      <c r="F2376" s="112">
        <f>'OPEN FOREIGN ORDER'!AC2002</f>
        <v>0</v>
      </c>
      <c r="G2376" s="112">
        <f>'OPEN FOREIGN ORDER'!AD2002</f>
        <v>0</v>
      </c>
      <c r="H2376" s="112">
        <f>'OPEN FOREIGN ORDER'!AE2002</f>
        <v>0</v>
      </c>
      <c r="I2376" s="112">
        <f>'OPEN FOREIGN ORDER'!AF2002</f>
        <v>0</v>
      </c>
      <c r="J2376" s="112">
        <f>'OPEN FOREIGN ORDER'!AG2002</f>
        <v>0</v>
      </c>
    </row>
    <row r="2377" spans="1:10">
      <c r="A2377">
        <f>'OPEN FOREIGN ORDER'!D2003</f>
        <v>0</v>
      </c>
      <c r="B2377">
        <f>'OPEN FOREIGN ORDER'!F2003</f>
        <v>0</v>
      </c>
      <c r="C2377">
        <f>'OPEN FOREIGN ORDER'!Z2003</f>
        <v>0</v>
      </c>
      <c r="D2377" s="123">
        <f>'OPEN FOREIGN ORDER'!AA2003</f>
        <v>0</v>
      </c>
      <c r="E2377" s="112">
        <f>'OPEN FOREIGN ORDER'!AB2003</f>
        <v>0</v>
      </c>
      <c r="F2377" s="112">
        <f>'OPEN FOREIGN ORDER'!AC2003</f>
        <v>0</v>
      </c>
      <c r="G2377" s="112">
        <f>'OPEN FOREIGN ORDER'!AD2003</f>
        <v>0</v>
      </c>
      <c r="H2377" s="112">
        <f>'OPEN FOREIGN ORDER'!AE2003</f>
        <v>0</v>
      </c>
      <c r="I2377" s="112">
        <f>'OPEN FOREIGN ORDER'!AF2003</f>
        <v>0</v>
      </c>
      <c r="J2377" s="112">
        <f>'OPEN FOREIGN ORDER'!AG2003</f>
        <v>0</v>
      </c>
    </row>
    <row r="2378" spans="1:10">
      <c r="A2378">
        <f>'OPEN FOREIGN ORDER'!D2004</f>
        <v>0</v>
      </c>
      <c r="B2378">
        <f>'OPEN FOREIGN ORDER'!F2004</f>
        <v>0</v>
      </c>
      <c r="C2378">
        <f>'OPEN FOREIGN ORDER'!Z2004</f>
        <v>0</v>
      </c>
      <c r="D2378" s="123">
        <f>'OPEN FOREIGN ORDER'!AA2004</f>
        <v>0</v>
      </c>
      <c r="E2378" s="112">
        <f>'OPEN FOREIGN ORDER'!AB2004</f>
        <v>0</v>
      </c>
      <c r="F2378" s="112">
        <f>'OPEN FOREIGN ORDER'!AC2004</f>
        <v>0</v>
      </c>
      <c r="G2378" s="112">
        <f>'OPEN FOREIGN ORDER'!AD2004</f>
        <v>0</v>
      </c>
      <c r="H2378" s="112">
        <f>'OPEN FOREIGN ORDER'!AE2004</f>
        <v>0</v>
      </c>
      <c r="I2378" s="112">
        <f>'OPEN FOREIGN ORDER'!AF2004</f>
        <v>0</v>
      </c>
      <c r="J2378" s="112">
        <f>'OPEN FOREIGN ORDER'!AG2004</f>
        <v>0</v>
      </c>
    </row>
    <row r="2379" spans="1:10">
      <c r="A2379">
        <f>'OPEN FOREIGN ORDER'!D2005</f>
        <v>0</v>
      </c>
      <c r="B2379">
        <f>'OPEN FOREIGN ORDER'!F2005</f>
        <v>0</v>
      </c>
      <c r="C2379">
        <f>'OPEN FOREIGN ORDER'!Z2005</f>
        <v>0</v>
      </c>
      <c r="D2379" s="123">
        <f>'OPEN FOREIGN ORDER'!AA2005</f>
        <v>0</v>
      </c>
      <c r="E2379" s="112">
        <f>'OPEN FOREIGN ORDER'!AB2005</f>
        <v>0</v>
      </c>
      <c r="F2379" s="112">
        <f>'OPEN FOREIGN ORDER'!AC2005</f>
        <v>0</v>
      </c>
      <c r="G2379" s="112">
        <f>'OPEN FOREIGN ORDER'!AD2005</f>
        <v>0</v>
      </c>
      <c r="H2379" s="112">
        <f>'OPEN FOREIGN ORDER'!AE2005</f>
        <v>0</v>
      </c>
      <c r="I2379" s="112">
        <f>'OPEN FOREIGN ORDER'!AF2005</f>
        <v>0</v>
      </c>
      <c r="J2379" s="112">
        <f>'OPEN FOREIGN ORDER'!AG2005</f>
        <v>0</v>
      </c>
    </row>
    <row r="2380" spans="1:10">
      <c r="A2380">
        <f>'OPEN FOREIGN ORDER'!D2006</f>
        <v>0</v>
      </c>
      <c r="B2380">
        <f>'OPEN FOREIGN ORDER'!F2006</f>
        <v>0</v>
      </c>
      <c r="C2380">
        <f>'OPEN FOREIGN ORDER'!Z2006</f>
        <v>0</v>
      </c>
      <c r="D2380" s="123">
        <f>'OPEN FOREIGN ORDER'!AA2006</f>
        <v>0</v>
      </c>
      <c r="E2380" s="112">
        <f>'OPEN FOREIGN ORDER'!AB2006</f>
        <v>0</v>
      </c>
      <c r="F2380" s="112">
        <f>'OPEN FOREIGN ORDER'!AC2006</f>
        <v>0</v>
      </c>
      <c r="G2380" s="112">
        <f>'OPEN FOREIGN ORDER'!AD2006</f>
        <v>0</v>
      </c>
      <c r="H2380" s="112">
        <f>'OPEN FOREIGN ORDER'!AE2006</f>
        <v>0</v>
      </c>
      <c r="I2380" s="112">
        <f>'OPEN FOREIGN ORDER'!AF2006</f>
        <v>0</v>
      </c>
      <c r="J2380" s="112">
        <f>'OPEN FOREIGN ORDER'!AG2006</f>
        <v>0</v>
      </c>
    </row>
    <row r="2381" spans="1:10">
      <c r="A2381">
        <f>'OPEN FOREIGN ORDER'!D2007</f>
        <v>0</v>
      </c>
      <c r="B2381">
        <f>'OPEN FOREIGN ORDER'!F2007</f>
        <v>0</v>
      </c>
      <c r="C2381">
        <f>'OPEN FOREIGN ORDER'!Z2007</f>
        <v>0</v>
      </c>
      <c r="D2381" s="123">
        <f>'OPEN FOREIGN ORDER'!AA2007</f>
        <v>0</v>
      </c>
      <c r="E2381" s="112">
        <f>'OPEN FOREIGN ORDER'!AB2007</f>
        <v>0</v>
      </c>
      <c r="F2381" s="112">
        <f>'OPEN FOREIGN ORDER'!AC2007</f>
        <v>0</v>
      </c>
      <c r="G2381" s="112">
        <f>'OPEN FOREIGN ORDER'!AD2007</f>
        <v>0</v>
      </c>
      <c r="H2381" s="112">
        <f>'OPEN FOREIGN ORDER'!AE2007</f>
        <v>0</v>
      </c>
      <c r="I2381" s="112">
        <f>'OPEN FOREIGN ORDER'!AF2007</f>
        <v>0</v>
      </c>
      <c r="J2381" s="112">
        <f>'OPEN FOREIGN ORDER'!AG2007</f>
        <v>0</v>
      </c>
    </row>
    <row r="2382" spans="1:10">
      <c r="A2382">
        <f>'OPEN FOREIGN ORDER'!D2008</f>
        <v>0</v>
      </c>
      <c r="B2382">
        <f>'OPEN FOREIGN ORDER'!F2008</f>
        <v>0</v>
      </c>
      <c r="C2382">
        <f>'OPEN FOREIGN ORDER'!Z2008</f>
        <v>0</v>
      </c>
      <c r="D2382" s="123">
        <f>'OPEN FOREIGN ORDER'!AA2008</f>
        <v>0</v>
      </c>
      <c r="E2382" s="112">
        <f>'OPEN FOREIGN ORDER'!AB2008</f>
        <v>0</v>
      </c>
      <c r="F2382" s="112">
        <f>'OPEN FOREIGN ORDER'!AC2008</f>
        <v>0</v>
      </c>
      <c r="G2382" s="112">
        <f>'OPEN FOREIGN ORDER'!AD2008</f>
        <v>0</v>
      </c>
      <c r="H2382" s="112">
        <f>'OPEN FOREIGN ORDER'!AE2008</f>
        <v>0</v>
      </c>
      <c r="I2382" s="112">
        <f>'OPEN FOREIGN ORDER'!AF2008</f>
        <v>0</v>
      </c>
      <c r="J2382" s="112">
        <f>'OPEN FOREIGN ORDER'!AG2008</f>
        <v>0</v>
      </c>
    </row>
    <row r="2383" spans="1:10">
      <c r="A2383">
        <f>'OPEN FOREIGN ORDER'!D2009</f>
        <v>0</v>
      </c>
      <c r="B2383">
        <f>'OPEN FOREIGN ORDER'!F2009</f>
        <v>0</v>
      </c>
      <c r="C2383">
        <f>'OPEN FOREIGN ORDER'!Z2009</f>
        <v>0</v>
      </c>
      <c r="D2383" s="123">
        <f>'OPEN FOREIGN ORDER'!AA2009</f>
        <v>0</v>
      </c>
      <c r="E2383" s="112">
        <f>'OPEN FOREIGN ORDER'!AB2009</f>
        <v>0</v>
      </c>
      <c r="F2383" s="112">
        <f>'OPEN FOREIGN ORDER'!AC2009</f>
        <v>0</v>
      </c>
      <c r="G2383" s="112">
        <f>'OPEN FOREIGN ORDER'!AD2009</f>
        <v>0</v>
      </c>
      <c r="H2383" s="112">
        <f>'OPEN FOREIGN ORDER'!AE2009</f>
        <v>0</v>
      </c>
      <c r="I2383" s="112">
        <f>'OPEN FOREIGN ORDER'!AF2009</f>
        <v>0</v>
      </c>
      <c r="J2383" s="112">
        <f>'OPEN FOREIGN ORDER'!AG2009</f>
        <v>0</v>
      </c>
    </row>
    <row r="2384" spans="1:10">
      <c r="A2384">
        <f>'OPEN FOREIGN ORDER'!D2010</f>
        <v>0</v>
      </c>
      <c r="B2384">
        <f>'OPEN FOREIGN ORDER'!F2010</f>
        <v>0</v>
      </c>
      <c r="C2384">
        <f>'OPEN FOREIGN ORDER'!Z2010</f>
        <v>0</v>
      </c>
      <c r="D2384" s="123">
        <f>'OPEN FOREIGN ORDER'!AA2010</f>
        <v>0</v>
      </c>
      <c r="E2384" s="112">
        <f>'OPEN FOREIGN ORDER'!AB2010</f>
        <v>0</v>
      </c>
      <c r="F2384" s="112">
        <f>'OPEN FOREIGN ORDER'!AC2010</f>
        <v>0</v>
      </c>
      <c r="G2384" s="112">
        <f>'OPEN FOREIGN ORDER'!AD2010</f>
        <v>0</v>
      </c>
      <c r="H2384" s="112">
        <f>'OPEN FOREIGN ORDER'!AE2010</f>
        <v>0</v>
      </c>
      <c r="I2384" s="112">
        <f>'OPEN FOREIGN ORDER'!AF2010</f>
        <v>0</v>
      </c>
      <c r="J2384" s="112">
        <f>'OPEN FOREIGN ORDER'!AG2010</f>
        <v>0</v>
      </c>
    </row>
    <row r="2385" spans="1:10">
      <c r="A2385">
        <f>'OPEN FOREIGN ORDER'!D2011</f>
        <v>0</v>
      </c>
      <c r="B2385">
        <f>'OPEN FOREIGN ORDER'!F2011</f>
        <v>0</v>
      </c>
      <c r="C2385">
        <f>'OPEN FOREIGN ORDER'!Z2011</f>
        <v>0</v>
      </c>
      <c r="D2385" s="123">
        <f>'OPEN FOREIGN ORDER'!AA2011</f>
        <v>0</v>
      </c>
      <c r="E2385" s="112">
        <f>'OPEN FOREIGN ORDER'!AB2011</f>
        <v>0</v>
      </c>
      <c r="F2385" s="112">
        <f>'OPEN FOREIGN ORDER'!AC2011</f>
        <v>0</v>
      </c>
      <c r="G2385" s="112">
        <f>'OPEN FOREIGN ORDER'!AD2011</f>
        <v>0</v>
      </c>
      <c r="H2385" s="112">
        <f>'OPEN FOREIGN ORDER'!AE2011</f>
        <v>0</v>
      </c>
      <c r="I2385" s="112">
        <f>'OPEN FOREIGN ORDER'!AF2011</f>
        <v>0</v>
      </c>
      <c r="J2385" s="112">
        <f>'OPEN FOREIGN ORDER'!AG2011</f>
        <v>0</v>
      </c>
    </row>
    <row r="2386" spans="1:10">
      <c r="A2386">
        <f>'OPEN FOREIGN ORDER'!D2012</f>
        <v>0</v>
      </c>
      <c r="B2386">
        <f>'OPEN FOREIGN ORDER'!F2012</f>
        <v>0</v>
      </c>
      <c r="C2386">
        <f>'OPEN FOREIGN ORDER'!Z2012</f>
        <v>0</v>
      </c>
      <c r="D2386" s="123">
        <f>'OPEN FOREIGN ORDER'!AA2012</f>
        <v>0</v>
      </c>
      <c r="E2386" s="112">
        <f>'OPEN FOREIGN ORDER'!AB2012</f>
        <v>0</v>
      </c>
      <c r="F2386" s="112">
        <f>'OPEN FOREIGN ORDER'!AC2012</f>
        <v>0</v>
      </c>
      <c r="G2386" s="112">
        <f>'OPEN FOREIGN ORDER'!AD2012</f>
        <v>0</v>
      </c>
      <c r="H2386" s="112">
        <f>'OPEN FOREIGN ORDER'!AE2012</f>
        <v>0</v>
      </c>
      <c r="I2386" s="112">
        <f>'OPEN FOREIGN ORDER'!AF2012</f>
        <v>0</v>
      </c>
      <c r="J2386" s="112">
        <f>'OPEN FOREIGN ORDER'!AG2012</f>
        <v>0</v>
      </c>
    </row>
    <row r="2387" spans="1:10">
      <c r="A2387">
        <f>'OPEN FOREIGN ORDER'!D2013</f>
        <v>0</v>
      </c>
      <c r="B2387">
        <f>'OPEN FOREIGN ORDER'!F2013</f>
        <v>0</v>
      </c>
      <c r="C2387">
        <f>'OPEN FOREIGN ORDER'!Z2013</f>
        <v>0</v>
      </c>
      <c r="D2387" s="123">
        <f>'OPEN FOREIGN ORDER'!AA2013</f>
        <v>0</v>
      </c>
      <c r="E2387" s="112">
        <f>'OPEN FOREIGN ORDER'!AB2013</f>
        <v>0</v>
      </c>
      <c r="F2387" s="112">
        <f>'OPEN FOREIGN ORDER'!AC2013</f>
        <v>0</v>
      </c>
      <c r="G2387" s="112">
        <f>'OPEN FOREIGN ORDER'!AD2013</f>
        <v>0</v>
      </c>
      <c r="H2387" s="112">
        <f>'OPEN FOREIGN ORDER'!AE2013</f>
        <v>0</v>
      </c>
      <c r="I2387" s="112">
        <f>'OPEN FOREIGN ORDER'!AF2013</f>
        <v>0</v>
      </c>
      <c r="J2387" s="112">
        <f>'OPEN FOREIGN ORDER'!AG2013</f>
        <v>0</v>
      </c>
    </row>
    <row r="2388" spans="1:10">
      <c r="A2388">
        <f>'OPEN FOREIGN ORDER'!D2014</f>
        <v>0</v>
      </c>
      <c r="B2388">
        <f>'OPEN FOREIGN ORDER'!F2014</f>
        <v>0</v>
      </c>
      <c r="C2388">
        <f>'OPEN FOREIGN ORDER'!Z2014</f>
        <v>0</v>
      </c>
      <c r="D2388" s="123">
        <f>'OPEN FOREIGN ORDER'!AA2014</f>
        <v>0</v>
      </c>
      <c r="E2388" s="112">
        <f>'OPEN FOREIGN ORDER'!AB2014</f>
        <v>0</v>
      </c>
      <c r="F2388" s="112">
        <f>'OPEN FOREIGN ORDER'!AC2014</f>
        <v>0</v>
      </c>
      <c r="G2388" s="112">
        <f>'OPEN FOREIGN ORDER'!AD2014</f>
        <v>0</v>
      </c>
      <c r="H2388" s="112">
        <f>'OPEN FOREIGN ORDER'!AE2014</f>
        <v>0</v>
      </c>
      <c r="I2388" s="112">
        <f>'OPEN FOREIGN ORDER'!AF2014</f>
        <v>0</v>
      </c>
      <c r="J2388" s="112">
        <f>'OPEN FOREIGN ORDER'!AG2014</f>
        <v>0</v>
      </c>
    </row>
    <row r="2389" spans="1:10">
      <c r="A2389">
        <f>'OPEN FOREIGN ORDER'!D2015</f>
        <v>0</v>
      </c>
      <c r="B2389">
        <f>'OPEN FOREIGN ORDER'!F2015</f>
        <v>0</v>
      </c>
      <c r="C2389">
        <f>'OPEN FOREIGN ORDER'!Z2015</f>
        <v>0</v>
      </c>
      <c r="D2389" s="123">
        <f>'OPEN FOREIGN ORDER'!AA2015</f>
        <v>0</v>
      </c>
      <c r="E2389" s="112">
        <f>'OPEN FOREIGN ORDER'!AB2015</f>
        <v>0</v>
      </c>
      <c r="F2389" s="112">
        <f>'OPEN FOREIGN ORDER'!AC2015</f>
        <v>0</v>
      </c>
      <c r="G2389" s="112">
        <f>'OPEN FOREIGN ORDER'!AD2015</f>
        <v>0</v>
      </c>
      <c r="H2389" s="112">
        <f>'OPEN FOREIGN ORDER'!AE2015</f>
        <v>0</v>
      </c>
      <c r="I2389" s="112">
        <f>'OPEN FOREIGN ORDER'!AF2015</f>
        <v>0</v>
      </c>
      <c r="J2389" s="112">
        <f>'OPEN FOREIGN ORDER'!AG2015</f>
        <v>0</v>
      </c>
    </row>
    <row r="2390" spans="1:10">
      <c r="A2390">
        <f>'OPEN FOREIGN ORDER'!D2016</f>
        <v>0</v>
      </c>
      <c r="B2390">
        <f>'OPEN FOREIGN ORDER'!F2016</f>
        <v>0</v>
      </c>
      <c r="C2390">
        <f>'OPEN FOREIGN ORDER'!Z2016</f>
        <v>0</v>
      </c>
      <c r="D2390" s="123">
        <f>'OPEN FOREIGN ORDER'!AA2016</f>
        <v>0</v>
      </c>
      <c r="E2390" s="112">
        <f>'OPEN FOREIGN ORDER'!AB2016</f>
        <v>0</v>
      </c>
      <c r="F2390" s="112">
        <f>'OPEN FOREIGN ORDER'!AC2016</f>
        <v>0</v>
      </c>
      <c r="G2390" s="112">
        <f>'OPEN FOREIGN ORDER'!AD2016</f>
        <v>0</v>
      </c>
      <c r="H2390" s="112">
        <f>'OPEN FOREIGN ORDER'!AE2016</f>
        <v>0</v>
      </c>
      <c r="I2390" s="112">
        <f>'OPEN FOREIGN ORDER'!AF2016</f>
        <v>0</v>
      </c>
      <c r="J2390" s="112">
        <f>'OPEN FOREIGN ORDER'!AG2016</f>
        <v>0</v>
      </c>
    </row>
    <row r="2391" spans="1:10">
      <c r="A2391">
        <f>'OPEN FOREIGN ORDER'!D2017</f>
        <v>0</v>
      </c>
      <c r="B2391">
        <f>'OPEN FOREIGN ORDER'!F2017</f>
        <v>0</v>
      </c>
      <c r="C2391">
        <f>'OPEN FOREIGN ORDER'!Z2017</f>
        <v>0</v>
      </c>
      <c r="D2391" s="123">
        <f>'OPEN FOREIGN ORDER'!AA2017</f>
        <v>0</v>
      </c>
      <c r="E2391" s="112">
        <f>'OPEN FOREIGN ORDER'!AB2017</f>
        <v>0</v>
      </c>
      <c r="F2391" s="112">
        <f>'OPEN FOREIGN ORDER'!AC2017</f>
        <v>0</v>
      </c>
      <c r="G2391" s="112">
        <f>'OPEN FOREIGN ORDER'!AD2017</f>
        <v>0</v>
      </c>
      <c r="H2391" s="112">
        <f>'OPEN FOREIGN ORDER'!AE2017</f>
        <v>0</v>
      </c>
      <c r="I2391" s="112">
        <f>'OPEN FOREIGN ORDER'!AF2017</f>
        <v>0</v>
      </c>
      <c r="J2391" s="112">
        <f>'OPEN FOREIGN ORDER'!AG2017</f>
        <v>0</v>
      </c>
    </row>
    <row r="2392" spans="1:10">
      <c r="A2392">
        <f>'OPEN FOREIGN ORDER'!D2018</f>
        <v>0</v>
      </c>
      <c r="B2392">
        <f>'OPEN FOREIGN ORDER'!F2018</f>
        <v>0</v>
      </c>
      <c r="C2392">
        <f>'OPEN FOREIGN ORDER'!Z2018</f>
        <v>0</v>
      </c>
      <c r="D2392" s="123">
        <f>'OPEN FOREIGN ORDER'!AA2018</f>
        <v>0</v>
      </c>
      <c r="E2392" s="112">
        <f>'OPEN FOREIGN ORDER'!AB2018</f>
        <v>0</v>
      </c>
      <c r="F2392" s="112">
        <f>'OPEN FOREIGN ORDER'!AC2018</f>
        <v>0</v>
      </c>
      <c r="G2392" s="112">
        <f>'OPEN FOREIGN ORDER'!AD2018</f>
        <v>0</v>
      </c>
      <c r="H2392" s="112">
        <f>'OPEN FOREIGN ORDER'!AE2018</f>
        <v>0</v>
      </c>
      <c r="I2392" s="112">
        <f>'OPEN FOREIGN ORDER'!AF2018</f>
        <v>0</v>
      </c>
      <c r="J2392" s="112">
        <f>'OPEN FOREIGN ORDER'!AG2018</f>
        <v>0</v>
      </c>
    </row>
    <row r="2393" spans="1:10">
      <c r="A2393">
        <f>'OPEN FOREIGN ORDER'!D2019</f>
        <v>0</v>
      </c>
      <c r="B2393">
        <f>'OPEN FOREIGN ORDER'!F2019</f>
        <v>0</v>
      </c>
      <c r="C2393">
        <f>'OPEN FOREIGN ORDER'!Z2019</f>
        <v>0</v>
      </c>
      <c r="D2393" s="123">
        <f>'OPEN FOREIGN ORDER'!AA2019</f>
        <v>0</v>
      </c>
      <c r="E2393" s="112">
        <f>'OPEN FOREIGN ORDER'!AB2019</f>
        <v>0</v>
      </c>
      <c r="F2393" s="112">
        <f>'OPEN FOREIGN ORDER'!AC2019</f>
        <v>0</v>
      </c>
      <c r="G2393" s="112">
        <f>'OPEN FOREIGN ORDER'!AD2019</f>
        <v>0</v>
      </c>
      <c r="H2393" s="112">
        <f>'OPEN FOREIGN ORDER'!AE2019</f>
        <v>0</v>
      </c>
      <c r="I2393" s="112">
        <f>'OPEN FOREIGN ORDER'!AF2019</f>
        <v>0</v>
      </c>
      <c r="J2393" s="112">
        <f>'OPEN FOREIGN ORDER'!AG2019</f>
        <v>0</v>
      </c>
    </row>
    <row r="2394" spans="1:10">
      <c r="A2394">
        <f>'OPEN FOREIGN ORDER'!D2020</f>
        <v>0</v>
      </c>
      <c r="B2394">
        <f>'OPEN FOREIGN ORDER'!F2020</f>
        <v>0</v>
      </c>
      <c r="C2394">
        <f>'OPEN FOREIGN ORDER'!Z2020</f>
        <v>0</v>
      </c>
      <c r="D2394" s="123">
        <f>'OPEN FOREIGN ORDER'!AA2020</f>
        <v>0</v>
      </c>
      <c r="E2394" s="112">
        <f>'OPEN FOREIGN ORDER'!AB2020</f>
        <v>0</v>
      </c>
      <c r="F2394" s="112">
        <f>'OPEN FOREIGN ORDER'!AC2020</f>
        <v>0</v>
      </c>
      <c r="G2394" s="112">
        <f>'OPEN FOREIGN ORDER'!AD2020</f>
        <v>0</v>
      </c>
      <c r="H2394" s="112">
        <f>'OPEN FOREIGN ORDER'!AE2020</f>
        <v>0</v>
      </c>
      <c r="I2394" s="112">
        <f>'OPEN FOREIGN ORDER'!AF2020</f>
        <v>0</v>
      </c>
      <c r="J2394" s="112">
        <f>'OPEN FOREIGN ORDER'!AG2020</f>
        <v>0</v>
      </c>
    </row>
    <row r="2395" spans="1:10">
      <c r="A2395">
        <f>'OPEN FOREIGN ORDER'!D2021</f>
        <v>0</v>
      </c>
      <c r="B2395">
        <f>'OPEN FOREIGN ORDER'!F2021</f>
        <v>0</v>
      </c>
      <c r="C2395">
        <f>'OPEN FOREIGN ORDER'!Z2021</f>
        <v>0</v>
      </c>
      <c r="D2395" s="123">
        <f>'OPEN FOREIGN ORDER'!AA2021</f>
        <v>0</v>
      </c>
      <c r="E2395" s="112">
        <f>'OPEN FOREIGN ORDER'!AB2021</f>
        <v>0</v>
      </c>
      <c r="F2395" s="112">
        <f>'OPEN FOREIGN ORDER'!AC2021</f>
        <v>0</v>
      </c>
      <c r="G2395" s="112">
        <f>'OPEN FOREIGN ORDER'!AD2021</f>
        <v>0</v>
      </c>
      <c r="H2395" s="112">
        <f>'OPEN FOREIGN ORDER'!AE2021</f>
        <v>0</v>
      </c>
      <c r="I2395" s="112">
        <f>'OPEN FOREIGN ORDER'!AF2021</f>
        <v>0</v>
      </c>
      <c r="J2395" s="112">
        <f>'OPEN FOREIGN ORDER'!AG2021</f>
        <v>0</v>
      </c>
    </row>
    <row r="2396" spans="1:10">
      <c r="A2396">
        <f>'OPEN FOREIGN ORDER'!D2022</f>
        <v>0</v>
      </c>
      <c r="B2396">
        <f>'OPEN FOREIGN ORDER'!F2022</f>
        <v>0</v>
      </c>
      <c r="C2396">
        <f>'OPEN FOREIGN ORDER'!Z2022</f>
        <v>0</v>
      </c>
      <c r="D2396" s="123">
        <f>'OPEN FOREIGN ORDER'!AA2022</f>
        <v>0</v>
      </c>
      <c r="E2396" s="112">
        <f>'OPEN FOREIGN ORDER'!AB2022</f>
        <v>0</v>
      </c>
      <c r="F2396" s="112">
        <f>'OPEN FOREIGN ORDER'!AC2022</f>
        <v>0</v>
      </c>
      <c r="G2396" s="112">
        <f>'OPEN FOREIGN ORDER'!AD2022</f>
        <v>0</v>
      </c>
      <c r="H2396" s="112">
        <f>'OPEN FOREIGN ORDER'!AE2022</f>
        <v>0</v>
      </c>
      <c r="I2396" s="112">
        <f>'OPEN FOREIGN ORDER'!AF2022</f>
        <v>0</v>
      </c>
      <c r="J2396" s="112">
        <f>'OPEN FOREIGN ORDER'!AG2022</f>
        <v>0</v>
      </c>
    </row>
    <row r="2397" spans="1:10">
      <c r="A2397">
        <f>'OPEN FOREIGN ORDER'!D2023</f>
        <v>0</v>
      </c>
      <c r="B2397">
        <f>'OPEN FOREIGN ORDER'!F2023</f>
        <v>0</v>
      </c>
      <c r="C2397">
        <f>'OPEN FOREIGN ORDER'!Z2023</f>
        <v>0</v>
      </c>
      <c r="D2397" s="123">
        <f>'OPEN FOREIGN ORDER'!AA2023</f>
        <v>0</v>
      </c>
      <c r="E2397" s="112">
        <f>'OPEN FOREIGN ORDER'!AB2023</f>
        <v>0</v>
      </c>
      <c r="F2397" s="112">
        <f>'OPEN FOREIGN ORDER'!AC2023</f>
        <v>0</v>
      </c>
      <c r="G2397" s="112">
        <f>'OPEN FOREIGN ORDER'!AD2023</f>
        <v>0</v>
      </c>
      <c r="H2397" s="112">
        <f>'OPEN FOREIGN ORDER'!AE2023</f>
        <v>0</v>
      </c>
      <c r="I2397" s="112">
        <f>'OPEN FOREIGN ORDER'!AF2023</f>
        <v>0</v>
      </c>
      <c r="J2397" s="112">
        <f>'OPEN FOREIGN ORDER'!AG2023</f>
        <v>0</v>
      </c>
    </row>
    <row r="2398" spans="1:10">
      <c r="A2398">
        <f>'OPEN FOREIGN ORDER'!D2024</f>
        <v>0</v>
      </c>
      <c r="B2398">
        <f>'OPEN FOREIGN ORDER'!F2024</f>
        <v>0</v>
      </c>
      <c r="C2398">
        <f>'OPEN FOREIGN ORDER'!Z2024</f>
        <v>0</v>
      </c>
      <c r="D2398" s="123">
        <f>'OPEN FOREIGN ORDER'!AA2024</f>
        <v>0</v>
      </c>
      <c r="E2398" s="112">
        <f>'OPEN FOREIGN ORDER'!AB2024</f>
        <v>0</v>
      </c>
      <c r="F2398" s="112">
        <f>'OPEN FOREIGN ORDER'!AC2024</f>
        <v>0</v>
      </c>
      <c r="G2398" s="112">
        <f>'OPEN FOREIGN ORDER'!AD2024</f>
        <v>0</v>
      </c>
      <c r="H2398" s="112">
        <f>'OPEN FOREIGN ORDER'!AE2024</f>
        <v>0</v>
      </c>
      <c r="I2398" s="112">
        <f>'OPEN FOREIGN ORDER'!AF2024</f>
        <v>0</v>
      </c>
      <c r="J2398" s="112">
        <f>'OPEN FOREIGN ORDER'!AG2024</f>
        <v>0</v>
      </c>
    </row>
    <row r="2399" spans="1:10">
      <c r="A2399">
        <f>'OPEN FOREIGN ORDER'!D2025</f>
        <v>0</v>
      </c>
      <c r="B2399">
        <f>'OPEN FOREIGN ORDER'!F2025</f>
        <v>0</v>
      </c>
      <c r="C2399">
        <f>'OPEN FOREIGN ORDER'!Z2025</f>
        <v>0</v>
      </c>
      <c r="D2399" s="123">
        <f>'OPEN FOREIGN ORDER'!AA2025</f>
        <v>0</v>
      </c>
      <c r="E2399" s="112">
        <f>'OPEN FOREIGN ORDER'!AB2025</f>
        <v>0</v>
      </c>
      <c r="F2399" s="112">
        <f>'OPEN FOREIGN ORDER'!AC2025</f>
        <v>0</v>
      </c>
      <c r="G2399" s="112">
        <f>'OPEN FOREIGN ORDER'!AD2025</f>
        <v>0</v>
      </c>
      <c r="H2399" s="112">
        <f>'OPEN FOREIGN ORDER'!AE2025</f>
        <v>0</v>
      </c>
      <c r="I2399" s="112">
        <f>'OPEN FOREIGN ORDER'!AF2025</f>
        <v>0</v>
      </c>
      <c r="J2399" s="112">
        <f>'OPEN FOREIGN ORDER'!AG2025</f>
        <v>0</v>
      </c>
    </row>
    <row r="2400" spans="1:10">
      <c r="A2400">
        <f>'OPEN FOREIGN ORDER'!D2026</f>
        <v>0</v>
      </c>
      <c r="B2400">
        <f>'OPEN FOREIGN ORDER'!F2026</f>
        <v>0</v>
      </c>
      <c r="C2400">
        <f>'OPEN FOREIGN ORDER'!Z2026</f>
        <v>0</v>
      </c>
      <c r="D2400" s="123">
        <f>'OPEN FOREIGN ORDER'!AA2026</f>
        <v>0</v>
      </c>
      <c r="E2400" s="112">
        <f>'OPEN FOREIGN ORDER'!AB2026</f>
        <v>0</v>
      </c>
      <c r="F2400" s="112">
        <f>'OPEN FOREIGN ORDER'!AC2026</f>
        <v>0</v>
      </c>
      <c r="G2400" s="112">
        <f>'OPEN FOREIGN ORDER'!AD2026</f>
        <v>0</v>
      </c>
      <c r="H2400" s="112">
        <f>'OPEN FOREIGN ORDER'!AE2026</f>
        <v>0</v>
      </c>
      <c r="I2400" s="112">
        <f>'OPEN FOREIGN ORDER'!AF2026</f>
        <v>0</v>
      </c>
      <c r="J2400" s="112">
        <f>'OPEN FOREIGN ORDER'!AG2026</f>
        <v>0</v>
      </c>
    </row>
    <row r="2401" spans="1:10">
      <c r="A2401">
        <f>'OPEN FOREIGN ORDER'!D2027</f>
        <v>0</v>
      </c>
      <c r="B2401">
        <f>'OPEN FOREIGN ORDER'!F2027</f>
        <v>0</v>
      </c>
      <c r="C2401">
        <f>'OPEN FOREIGN ORDER'!Z2027</f>
        <v>0</v>
      </c>
      <c r="D2401" s="123">
        <f>'OPEN FOREIGN ORDER'!AA2027</f>
        <v>0</v>
      </c>
      <c r="E2401" s="112">
        <f>'OPEN FOREIGN ORDER'!AB2027</f>
        <v>0</v>
      </c>
      <c r="F2401" s="112">
        <f>'OPEN FOREIGN ORDER'!AC2027</f>
        <v>0</v>
      </c>
      <c r="G2401" s="112">
        <f>'OPEN FOREIGN ORDER'!AD2027</f>
        <v>0</v>
      </c>
      <c r="H2401" s="112">
        <f>'OPEN FOREIGN ORDER'!AE2027</f>
        <v>0</v>
      </c>
      <c r="I2401" s="112">
        <f>'OPEN FOREIGN ORDER'!AF2027</f>
        <v>0</v>
      </c>
      <c r="J2401" s="112">
        <f>'OPEN FOREIGN ORDER'!AG2027</f>
        <v>0</v>
      </c>
    </row>
    <row r="2402" spans="1:10">
      <c r="A2402">
        <f>'OPEN FOREIGN ORDER'!D2028</f>
        <v>0</v>
      </c>
      <c r="B2402">
        <f>'OPEN FOREIGN ORDER'!F2028</f>
        <v>0</v>
      </c>
      <c r="C2402">
        <f>'OPEN FOREIGN ORDER'!Z2028</f>
        <v>0</v>
      </c>
      <c r="D2402" s="123">
        <f>'OPEN FOREIGN ORDER'!AA2028</f>
        <v>0</v>
      </c>
      <c r="E2402" s="112">
        <f>'OPEN FOREIGN ORDER'!AB2028</f>
        <v>0</v>
      </c>
      <c r="F2402" s="112">
        <f>'OPEN FOREIGN ORDER'!AC2028</f>
        <v>0</v>
      </c>
      <c r="G2402" s="112">
        <f>'OPEN FOREIGN ORDER'!AD2028</f>
        <v>0</v>
      </c>
      <c r="H2402" s="112">
        <f>'OPEN FOREIGN ORDER'!AE2028</f>
        <v>0</v>
      </c>
      <c r="I2402" s="112">
        <f>'OPEN FOREIGN ORDER'!AF2028</f>
        <v>0</v>
      </c>
      <c r="J2402" s="112">
        <f>'OPEN FOREIGN ORDER'!AG2028</f>
        <v>0</v>
      </c>
    </row>
    <row r="2403" spans="1:10">
      <c r="A2403">
        <f>'OPEN FOREIGN ORDER'!D2029</f>
        <v>0</v>
      </c>
      <c r="B2403">
        <f>'OPEN FOREIGN ORDER'!F2029</f>
        <v>0</v>
      </c>
      <c r="C2403">
        <f>'OPEN FOREIGN ORDER'!Z2029</f>
        <v>0</v>
      </c>
      <c r="D2403" s="123">
        <f>'OPEN FOREIGN ORDER'!AA2029</f>
        <v>0</v>
      </c>
      <c r="E2403" s="112">
        <f>'OPEN FOREIGN ORDER'!AB2029</f>
        <v>0</v>
      </c>
      <c r="F2403" s="112">
        <f>'OPEN FOREIGN ORDER'!AC2029</f>
        <v>0</v>
      </c>
      <c r="G2403" s="112">
        <f>'OPEN FOREIGN ORDER'!AD2029</f>
        <v>0</v>
      </c>
      <c r="H2403" s="112">
        <f>'OPEN FOREIGN ORDER'!AE2029</f>
        <v>0</v>
      </c>
      <c r="I2403" s="112">
        <f>'OPEN FOREIGN ORDER'!AF2029</f>
        <v>0</v>
      </c>
      <c r="J2403" s="112">
        <f>'OPEN FOREIGN ORDER'!AG2029</f>
        <v>0</v>
      </c>
    </row>
    <row r="2404" spans="1:10">
      <c r="A2404">
        <f>'OPEN FOREIGN ORDER'!D2030</f>
        <v>0</v>
      </c>
      <c r="B2404">
        <f>'OPEN FOREIGN ORDER'!F2030</f>
        <v>0</v>
      </c>
      <c r="C2404">
        <f>'OPEN FOREIGN ORDER'!Z2030</f>
        <v>0</v>
      </c>
      <c r="D2404" s="123">
        <f>'OPEN FOREIGN ORDER'!AA2030</f>
        <v>0</v>
      </c>
      <c r="E2404" s="112">
        <f>'OPEN FOREIGN ORDER'!AB2030</f>
        <v>0</v>
      </c>
      <c r="F2404" s="112">
        <f>'OPEN FOREIGN ORDER'!AC2030</f>
        <v>0</v>
      </c>
      <c r="G2404" s="112">
        <f>'OPEN FOREIGN ORDER'!AD2030</f>
        <v>0</v>
      </c>
      <c r="H2404" s="112">
        <f>'OPEN FOREIGN ORDER'!AE2030</f>
        <v>0</v>
      </c>
      <c r="I2404" s="112">
        <f>'OPEN FOREIGN ORDER'!AF2030</f>
        <v>0</v>
      </c>
      <c r="J2404" s="112">
        <f>'OPEN FOREIGN ORDER'!AG2030</f>
        <v>0</v>
      </c>
    </row>
    <row r="2405" spans="1:10">
      <c r="A2405">
        <f>'OPEN FOREIGN ORDER'!D2031</f>
        <v>0</v>
      </c>
      <c r="B2405">
        <f>'OPEN FOREIGN ORDER'!F2031</f>
        <v>0</v>
      </c>
      <c r="C2405">
        <f>'OPEN FOREIGN ORDER'!Z2031</f>
        <v>0</v>
      </c>
      <c r="D2405" s="123">
        <f>'OPEN FOREIGN ORDER'!AA2031</f>
        <v>0</v>
      </c>
      <c r="E2405" s="112">
        <f>'OPEN FOREIGN ORDER'!AB2031</f>
        <v>0</v>
      </c>
      <c r="F2405" s="112">
        <f>'OPEN FOREIGN ORDER'!AC2031</f>
        <v>0</v>
      </c>
      <c r="G2405" s="112">
        <f>'OPEN FOREIGN ORDER'!AD2031</f>
        <v>0</v>
      </c>
      <c r="H2405" s="112">
        <f>'OPEN FOREIGN ORDER'!AE2031</f>
        <v>0</v>
      </c>
      <c r="I2405" s="112">
        <f>'OPEN FOREIGN ORDER'!AF2031</f>
        <v>0</v>
      </c>
      <c r="J2405" s="112">
        <f>'OPEN FOREIGN ORDER'!AG2031</f>
        <v>0</v>
      </c>
    </row>
    <row r="2406" spans="1:10">
      <c r="A2406">
        <f>'OPEN FOREIGN ORDER'!D2032</f>
        <v>0</v>
      </c>
      <c r="B2406">
        <f>'OPEN FOREIGN ORDER'!F2032</f>
        <v>0</v>
      </c>
      <c r="C2406">
        <f>'OPEN FOREIGN ORDER'!Z2032</f>
        <v>0</v>
      </c>
      <c r="D2406" s="123">
        <f>'OPEN FOREIGN ORDER'!AA2032</f>
        <v>0</v>
      </c>
      <c r="E2406" s="112">
        <f>'OPEN FOREIGN ORDER'!AB2032</f>
        <v>0</v>
      </c>
      <c r="F2406" s="112">
        <f>'OPEN FOREIGN ORDER'!AC2032</f>
        <v>0</v>
      </c>
      <c r="G2406" s="112">
        <f>'OPEN FOREIGN ORDER'!AD2032</f>
        <v>0</v>
      </c>
      <c r="H2406" s="112">
        <f>'OPEN FOREIGN ORDER'!AE2032</f>
        <v>0</v>
      </c>
      <c r="I2406" s="112">
        <f>'OPEN FOREIGN ORDER'!AF2032</f>
        <v>0</v>
      </c>
      <c r="J2406" s="112">
        <f>'OPEN FOREIGN ORDER'!AG2032</f>
        <v>0</v>
      </c>
    </row>
    <row r="2407" spans="1:10">
      <c r="A2407">
        <f>'OPEN FOREIGN ORDER'!D2033</f>
        <v>0</v>
      </c>
      <c r="B2407">
        <f>'OPEN FOREIGN ORDER'!F2033</f>
        <v>0</v>
      </c>
      <c r="C2407">
        <f>'OPEN FOREIGN ORDER'!Z2033</f>
        <v>0</v>
      </c>
      <c r="D2407" s="123">
        <f>'OPEN FOREIGN ORDER'!AA2033</f>
        <v>0</v>
      </c>
      <c r="E2407" s="112">
        <f>'OPEN FOREIGN ORDER'!AB2033</f>
        <v>0</v>
      </c>
      <c r="F2407" s="112">
        <f>'OPEN FOREIGN ORDER'!AC2033</f>
        <v>0</v>
      </c>
      <c r="G2407" s="112">
        <f>'OPEN FOREIGN ORDER'!AD2033</f>
        <v>0</v>
      </c>
      <c r="H2407" s="112">
        <f>'OPEN FOREIGN ORDER'!AE2033</f>
        <v>0</v>
      </c>
      <c r="I2407" s="112">
        <f>'OPEN FOREIGN ORDER'!AF2033</f>
        <v>0</v>
      </c>
      <c r="J2407" s="112">
        <f>'OPEN FOREIGN ORDER'!AG2033</f>
        <v>0</v>
      </c>
    </row>
    <row r="2408" spans="1:10">
      <c r="A2408">
        <f>'OPEN FOREIGN ORDER'!D2034</f>
        <v>0</v>
      </c>
      <c r="B2408">
        <f>'OPEN FOREIGN ORDER'!F2034</f>
        <v>0</v>
      </c>
      <c r="C2408">
        <f>'OPEN FOREIGN ORDER'!Z2034</f>
        <v>0</v>
      </c>
      <c r="D2408" s="123">
        <f>'OPEN FOREIGN ORDER'!AA2034</f>
        <v>0</v>
      </c>
      <c r="E2408" s="112">
        <f>'OPEN FOREIGN ORDER'!AB2034</f>
        <v>0</v>
      </c>
      <c r="F2408" s="112">
        <f>'OPEN FOREIGN ORDER'!AC2034</f>
        <v>0</v>
      </c>
      <c r="G2408" s="112">
        <f>'OPEN FOREIGN ORDER'!AD2034</f>
        <v>0</v>
      </c>
      <c r="H2408" s="112">
        <f>'OPEN FOREIGN ORDER'!AE2034</f>
        <v>0</v>
      </c>
      <c r="I2408" s="112">
        <f>'OPEN FOREIGN ORDER'!AF2034</f>
        <v>0</v>
      </c>
      <c r="J2408" s="112">
        <f>'OPEN FOREIGN ORDER'!AG2034</f>
        <v>0</v>
      </c>
    </row>
    <row r="2409" spans="1:10">
      <c r="A2409">
        <f>'OPEN FOREIGN ORDER'!D2035</f>
        <v>0</v>
      </c>
      <c r="B2409">
        <f>'OPEN FOREIGN ORDER'!F2035</f>
        <v>0</v>
      </c>
      <c r="C2409">
        <f>'OPEN FOREIGN ORDER'!Z2035</f>
        <v>0</v>
      </c>
      <c r="D2409" s="123">
        <f>'OPEN FOREIGN ORDER'!AA2035</f>
        <v>0</v>
      </c>
      <c r="E2409" s="112">
        <f>'OPEN FOREIGN ORDER'!AB2035</f>
        <v>0</v>
      </c>
      <c r="F2409" s="112">
        <f>'OPEN FOREIGN ORDER'!AC2035</f>
        <v>0</v>
      </c>
      <c r="G2409" s="112">
        <f>'OPEN FOREIGN ORDER'!AD2035</f>
        <v>0</v>
      </c>
      <c r="H2409" s="112">
        <f>'OPEN FOREIGN ORDER'!AE2035</f>
        <v>0</v>
      </c>
      <c r="I2409" s="112">
        <f>'OPEN FOREIGN ORDER'!AF2035</f>
        <v>0</v>
      </c>
      <c r="J2409" s="112">
        <f>'OPEN FOREIGN ORDER'!AG2035</f>
        <v>0</v>
      </c>
    </row>
    <row r="2410" spans="1:10">
      <c r="A2410">
        <f>'OPEN FOREIGN ORDER'!D2036</f>
        <v>0</v>
      </c>
      <c r="B2410">
        <f>'OPEN FOREIGN ORDER'!F2036</f>
        <v>0</v>
      </c>
      <c r="C2410">
        <f>'OPEN FOREIGN ORDER'!Z2036</f>
        <v>0</v>
      </c>
      <c r="D2410" s="123">
        <f>'OPEN FOREIGN ORDER'!AA2036</f>
        <v>0</v>
      </c>
      <c r="E2410" s="112">
        <f>'OPEN FOREIGN ORDER'!AB2036</f>
        <v>0</v>
      </c>
      <c r="F2410" s="112">
        <f>'OPEN FOREIGN ORDER'!AC2036</f>
        <v>0</v>
      </c>
      <c r="G2410" s="112">
        <f>'OPEN FOREIGN ORDER'!AD2036</f>
        <v>0</v>
      </c>
      <c r="H2410" s="112">
        <f>'OPEN FOREIGN ORDER'!AE2036</f>
        <v>0</v>
      </c>
      <c r="I2410" s="112">
        <f>'OPEN FOREIGN ORDER'!AF2036</f>
        <v>0</v>
      </c>
      <c r="J2410" s="112">
        <f>'OPEN FOREIGN ORDER'!AG2036</f>
        <v>0</v>
      </c>
    </row>
    <row r="2411" spans="1:10">
      <c r="A2411">
        <f>'OPEN FOREIGN ORDER'!D2037</f>
        <v>0</v>
      </c>
      <c r="B2411">
        <f>'OPEN FOREIGN ORDER'!F2037</f>
        <v>0</v>
      </c>
      <c r="C2411">
        <f>'OPEN FOREIGN ORDER'!Z2037</f>
        <v>0</v>
      </c>
      <c r="D2411" s="123">
        <f>'OPEN FOREIGN ORDER'!AA2037</f>
        <v>0</v>
      </c>
      <c r="E2411" s="112">
        <f>'OPEN FOREIGN ORDER'!AB2037</f>
        <v>0</v>
      </c>
      <c r="F2411" s="112">
        <f>'OPEN FOREIGN ORDER'!AC2037</f>
        <v>0</v>
      </c>
      <c r="G2411" s="112">
        <f>'OPEN FOREIGN ORDER'!AD2037</f>
        <v>0</v>
      </c>
      <c r="H2411" s="112">
        <f>'OPEN FOREIGN ORDER'!AE2037</f>
        <v>0</v>
      </c>
      <c r="I2411" s="112">
        <f>'OPEN FOREIGN ORDER'!AF2037</f>
        <v>0</v>
      </c>
      <c r="J2411" s="112">
        <f>'OPEN FOREIGN ORDER'!AG2037</f>
        <v>0</v>
      </c>
    </row>
    <row r="2412" spans="1:10">
      <c r="A2412">
        <f>'OPEN FOREIGN ORDER'!D2038</f>
        <v>0</v>
      </c>
      <c r="B2412">
        <f>'OPEN FOREIGN ORDER'!F2038</f>
        <v>0</v>
      </c>
      <c r="C2412">
        <f>'OPEN FOREIGN ORDER'!Z2038</f>
        <v>0</v>
      </c>
      <c r="D2412" s="123">
        <f>'OPEN FOREIGN ORDER'!AA2038</f>
        <v>0</v>
      </c>
      <c r="E2412" s="112">
        <f>'OPEN FOREIGN ORDER'!AB2038</f>
        <v>0</v>
      </c>
      <c r="F2412" s="112">
        <f>'OPEN FOREIGN ORDER'!AC2038</f>
        <v>0</v>
      </c>
      <c r="G2412" s="112">
        <f>'OPEN FOREIGN ORDER'!AD2038</f>
        <v>0</v>
      </c>
      <c r="H2412" s="112">
        <f>'OPEN FOREIGN ORDER'!AE2038</f>
        <v>0</v>
      </c>
      <c r="I2412" s="112">
        <f>'OPEN FOREIGN ORDER'!AF2038</f>
        <v>0</v>
      </c>
      <c r="J2412" s="112">
        <f>'OPEN FOREIGN ORDER'!AG2038</f>
        <v>0</v>
      </c>
    </row>
    <row r="2413" spans="1:10">
      <c r="A2413">
        <f>'OPEN FOREIGN ORDER'!D2039</f>
        <v>0</v>
      </c>
      <c r="B2413">
        <f>'OPEN FOREIGN ORDER'!F2039</f>
        <v>0</v>
      </c>
      <c r="C2413">
        <f>'OPEN FOREIGN ORDER'!Z2039</f>
        <v>0</v>
      </c>
      <c r="D2413" s="123">
        <f>'OPEN FOREIGN ORDER'!AA2039</f>
        <v>0</v>
      </c>
      <c r="E2413" s="112">
        <f>'OPEN FOREIGN ORDER'!AB2039</f>
        <v>0</v>
      </c>
      <c r="F2413" s="112">
        <f>'OPEN FOREIGN ORDER'!AC2039</f>
        <v>0</v>
      </c>
      <c r="G2413" s="112">
        <f>'OPEN FOREIGN ORDER'!AD2039</f>
        <v>0</v>
      </c>
      <c r="H2413" s="112">
        <f>'OPEN FOREIGN ORDER'!AE2039</f>
        <v>0</v>
      </c>
      <c r="I2413" s="112">
        <f>'OPEN FOREIGN ORDER'!AF2039</f>
        <v>0</v>
      </c>
      <c r="J2413" s="112">
        <f>'OPEN FOREIGN ORDER'!AG2039</f>
        <v>0</v>
      </c>
    </row>
    <row r="2414" spans="1:10">
      <c r="A2414">
        <f>'OPEN FOREIGN ORDER'!D2040</f>
        <v>0</v>
      </c>
      <c r="B2414">
        <f>'OPEN FOREIGN ORDER'!F2040</f>
        <v>0</v>
      </c>
      <c r="C2414">
        <f>'OPEN FOREIGN ORDER'!Z2040</f>
        <v>0</v>
      </c>
      <c r="D2414" s="123">
        <f>'OPEN FOREIGN ORDER'!AA2040</f>
        <v>0</v>
      </c>
      <c r="E2414" s="112">
        <f>'OPEN FOREIGN ORDER'!AB2040</f>
        <v>0</v>
      </c>
      <c r="F2414" s="112">
        <f>'OPEN FOREIGN ORDER'!AC2040</f>
        <v>0</v>
      </c>
      <c r="G2414" s="112">
        <f>'OPEN FOREIGN ORDER'!AD2040</f>
        <v>0</v>
      </c>
      <c r="H2414" s="112">
        <f>'OPEN FOREIGN ORDER'!AE2040</f>
        <v>0</v>
      </c>
      <c r="I2414" s="112">
        <f>'OPEN FOREIGN ORDER'!AF2040</f>
        <v>0</v>
      </c>
      <c r="J2414" s="112">
        <f>'OPEN FOREIGN ORDER'!AG2040</f>
        <v>0</v>
      </c>
    </row>
    <row r="2415" spans="1:10">
      <c r="A2415">
        <f>'OPEN FOREIGN ORDER'!D2041</f>
        <v>0</v>
      </c>
      <c r="B2415">
        <f>'OPEN FOREIGN ORDER'!F2041</f>
        <v>0</v>
      </c>
      <c r="C2415">
        <f>'OPEN FOREIGN ORDER'!Z2041</f>
        <v>0</v>
      </c>
      <c r="D2415" s="123">
        <f>'OPEN FOREIGN ORDER'!AA2041</f>
        <v>0</v>
      </c>
      <c r="E2415" s="112">
        <f>'OPEN FOREIGN ORDER'!AB2041</f>
        <v>0</v>
      </c>
      <c r="F2415" s="112">
        <f>'OPEN FOREIGN ORDER'!AC2041</f>
        <v>0</v>
      </c>
      <c r="G2415" s="112">
        <f>'OPEN FOREIGN ORDER'!AD2041</f>
        <v>0</v>
      </c>
      <c r="H2415" s="112">
        <f>'OPEN FOREIGN ORDER'!AE2041</f>
        <v>0</v>
      </c>
      <c r="I2415" s="112">
        <f>'OPEN FOREIGN ORDER'!AF2041</f>
        <v>0</v>
      </c>
      <c r="J2415" s="112">
        <f>'OPEN FOREIGN ORDER'!AG2041</f>
        <v>0</v>
      </c>
    </row>
    <row r="2416" spans="1:10">
      <c r="A2416">
        <f>'OPEN FOREIGN ORDER'!D2042</f>
        <v>0</v>
      </c>
      <c r="B2416">
        <f>'OPEN FOREIGN ORDER'!F2042</f>
        <v>0</v>
      </c>
      <c r="C2416">
        <f>'OPEN FOREIGN ORDER'!Z2042</f>
        <v>0</v>
      </c>
      <c r="D2416" s="123">
        <f>'OPEN FOREIGN ORDER'!AA2042</f>
        <v>0</v>
      </c>
      <c r="E2416" s="112">
        <f>'OPEN FOREIGN ORDER'!AB2042</f>
        <v>0</v>
      </c>
      <c r="F2416" s="112">
        <f>'OPEN FOREIGN ORDER'!AC2042</f>
        <v>0</v>
      </c>
      <c r="G2416" s="112">
        <f>'OPEN FOREIGN ORDER'!AD2042</f>
        <v>0</v>
      </c>
      <c r="H2416" s="112">
        <f>'OPEN FOREIGN ORDER'!AE2042</f>
        <v>0</v>
      </c>
      <c r="I2416" s="112">
        <f>'OPEN FOREIGN ORDER'!AF2042</f>
        <v>0</v>
      </c>
      <c r="J2416" s="112">
        <f>'OPEN FOREIGN ORDER'!AG2042</f>
        <v>0</v>
      </c>
    </row>
    <row r="2417" spans="1:10">
      <c r="A2417">
        <f>'OPEN FOREIGN ORDER'!D2043</f>
        <v>0</v>
      </c>
      <c r="B2417">
        <f>'OPEN FOREIGN ORDER'!F2043</f>
        <v>0</v>
      </c>
      <c r="C2417">
        <f>'OPEN FOREIGN ORDER'!Z2043</f>
        <v>0</v>
      </c>
      <c r="D2417" s="123">
        <f>'OPEN FOREIGN ORDER'!AA2043</f>
        <v>0</v>
      </c>
      <c r="E2417" s="112">
        <f>'OPEN FOREIGN ORDER'!AB2043</f>
        <v>0</v>
      </c>
      <c r="F2417" s="112">
        <f>'OPEN FOREIGN ORDER'!AC2043</f>
        <v>0</v>
      </c>
      <c r="G2417" s="112">
        <f>'OPEN FOREIGN ORDER'!AD2043</f>
        <v>0</v>
      </c>
      <c r="H2417" s="112">
        <f>'OPEN FOREIGN ORDER'!AE2043</f>
        <v>0</v>
      </c>
      <c r="I2417" s="112">
        <f>'OPEN FOREIGN ORDER'!AF2043</f>
        <v>0</v>
      </c>
      <c r="J2417" s="112">
        <f>'OPEN FOREIGN ORDER'!AG2043</f>
        <v>0</v>
      </c>
    </row>
    <row r="2418" spans="1:10">
      <c r="A2418">
        <f>'OPEN FOREIGN ORDER'!D2044</f>
        <v>0</v>
      </c>
      <c r="B2418">
        <f>'OPEN FOREIGN ORDER'!F2044</f>
        <v>0</v>
      </c>
      <c r="C2418">
        <f>'OPEN FOREIGN ORDER'!Z2044</f>
        <v>0</v>
      </c>
      <c r="D2418" s="123">
        <f>'OPEN FOREIGN ORDER'!AA2044</f>
        <v>0</v>
      </c>
      <c r="E2418" s="112">
        <f>'OPEN FOREIGN ORDER'!AB2044</f>
        <v>0</v>
      </c>
      <c r="F2418" s="112">
        <f>'OPEN FOREIGN ORDER'!AC2044</f>
        <v>0</v>
      </c>
      <c r="G2418" s="112">
        <f>'OPEN FOREIGN ORDER'!AD2044</f>
        <v>0</v>
      </c>
      <c r="H2418" s="112">
        <f>'OPEN FOREIGN ORDER'!AE2044</f>
        <v>0</v>
      </c>
      <c r="I2418" s="112">
        <f>'OPEN FOREIGN ORDER'!AF2044</f>
        <v>0</v>
      </c>
      <c r="J2418" s="112">
        <f>'OPEN FOREIGN ORDER'!AG2044</f>
        <v>0</v>
      </c>
    </row>
    <row r="2419" spans="1:10">
      <c r="A2419">
        <f>'OPEN FOREIGN ORDER'!D2045</f>
        <v>0</v>
      </c>
      <c r="B2419">
        <f>'OPEN FOREIGN ORDER'!F2045</f>
        <v>0</v>
      </c>
      <c r="C2419">
        <f>'OPEN FOREIGN ORDER'!Z2045</f>
        <v>0</v>
      </c>
      <c r="D2419" s="123">
        <f>'OPEN FOREIGN ORDER'!AA2045</f>
        <v>0</v>
      </c>
      <c r="E2419" s="112">
        <f>'OPEN FOREIGN ORDER'!AB2045</f>
        <v>0</v>
      </c>
      <c r="F2419" s="112">
        <f>'OPEN FOREIGN ORDER'!AC2045</f>
        <v>0</v>
      </c>
      <c r="G2419" s="112">
        <f>'OPEN FOREIGN ORDER'!AD2045</f>
        <v>0</v>
      </c>
      <c r="H2419" s="112">
        <f>'OPEN FOREIGN ORDER'!AE2045</f>
        <v>0</v>
      </c>
      <c r="I2419" s="112">
        <f>'OPEN FOREIGN ORDER'!AF2045</f>
        <v>0</v>
      </c>
      <c r="J2419" s="112">
        <f>'OPEN FOREIGN ORDER'!AG2045</f>
        <v>0</v>
      </c>
    </row>
    <row r="2420" spans="1:10">
      <c r="A2420">
        <f>'OPEN FOREIGN ORDER'!D2046</f>
        <v>0</v>
      </c>
      <c r="B2420">
        <f>'OPEN FOREIGN ORDER'!F2046</f>
        <v>0</v>
      </c>
      <c r="C2420">
        <f>'OPEN FOREIGN ORDER'!Z2046</f>
        <v>0</v>
      </c>
      <c r="D2420" s="123">
        <f>'OPEN FOREIGN ORDER'!AA2046</f>
        <v>0</v>
      </c>
      <c r="E2420" s="112">
        <f>'OPEN FOREIGN ORDER'!AB2046</f>
        <v>0</v>
      </c>
      <c r="F2420" s="112">
        <f>'OPEN FOREIGN ORDER'!AC2046</f>
        <v>0</v>
      </c>
      <c r="G2420" s="112">
        <f>'OPEN FOREIGN ORDER'!AD2046</f>
        <v>0</v>
      </c>
      <c r="H2420" s="112">
        <f>'OPEN FOREIGN ORDER'!AE2046</f>
        <v>0</v>
      </c>
      <c r="I2420" s="112">
        <f>'OPEN FOREIGN ORDER'!AF2046</f>
        <v>0</v>
      </c>
      <c r="J2420" s="112">
        <f>'OPEN FOREIGN ORDER'!AG2046</f>
        <v>0</v>
      </c>
    </row>
    <row r="2421" spans="1:10">
      <c r="A2421">
        <f>'OPEN FOREIGN ORDER'!D2047</f>
        <v>0</v>
      </c>
      <c r="B2421">
        <f>'OPEN FOREIGN ORDER'!F2047</f>
        <v>0</v>
      </c>
      <c r="C2421">
        <f>'OPEN FOREIGN ORDER'!Z2047</f>
        <v>0</v>
      </c>
      <c r="D2421" s="123">
        <f>'OPEN FOREIGN ORDER'!AA2047</f>
        <v>0</v>
      </c>
      <c r="E2421" s="112">
        <f>'OPEN FOREIGN ORDER'!AB2047</f>
        <v>0</v>
      </c>
      <c r="F2421" s="112">
        <f>'OPEN FOREIGN ORDER'!AC2047</f>
        <v>0</v>
      </c>
      <c r="G2421" s="112">
        <f>'OPEN FOREIGN ORDER'!AD2047</f>
        <v>0</v>
      </c>
      <c r="H2421" s="112">
        <f>'OPEN FOREIGN ORDER'!AE2047</f>
        <v>0</v>
      </c>
      <c r="I2421" s="112">
        <f>'OPEN FOREIGN ORDER'!AF2047</f>
        <v>0</v>
      </c>
      <c r="J2421" s="112">
        <f>'OPEN FOREIGN ORDER'!AG2047</f>
        <v>0</v>
      </c>
    </row>
    <row r="2422" spans="1:10">
      <c r="A2422">
        <f>'OPEN FOREIGN ORDER'!D2048</f>
        <v>0</v>
      </c>
      <c r="B2422">
        <f>'OPEN FOREIGN ORDER'!F2048</f>
        <v>0</v>
      </c>
      <c r="C2422">
        <f>'OPEN FOREIGN ORDER'!Z2048</f>
        <v>0</v>
      </c>
      <c r="D2422" s="123">
        <f>'OPEN FOREIGN ORDER'!AA2048</f>
        <v>0</v>
      </c>
      <c r="E2422" s="112">
        <f>'OPEN FOREIGN ORDER'!AB2048</f>
        <v>0</v>
      </c>
      <c r="F2422" s="112">
        <f>'OPEN FOREIGN ORDER'!AC2048</f>
        <v>0</v>
      </c>
      <c r="G2422" s="112">
        <f>'OPEN FOREIGN ORDER'!AD2048</f>
        <v>0</v>
      </c>
      <c r="H2422" s="112">
        <f>'OPEN FOREIGN ORDER'!AE2048</f>
        <v>0</v>
      </c>
      <c r="I2422" s="112">
        <f>'OPEN FOREIGN ORDER'!AF2048</f>
        <v>0</v>
      </c>
      <c r="J2422" s="112">
        <f>'OPEN FOREIGN ORDER'!AG2048</f>
        <v>0</v>
      </c>
    </row>
    <row r="2423" spans="1:10">
      <c r="A2423">
        <f>'OPEN FOREIGN ORDER'!D2049</f>
        <v>0</v>
      </c>
      <c r="B2423">
        <f>'OPEN FOREIGN ORDER'!F2049</f>
        <v>0</v>
      </c>
      <c r="C2423">
        <f>'OPEN FOREIGN ORDER'!Z2049</f>
        <v>0</v>
      </c>
      <c r="D2423" s="123">
        <f>'OPEN FOREIGN ORDER'!AA2049</f>
        <v>0</v>
      </c>
      <c r="E2423" s="112">
        <f>'OPEN FOREIGN ORDER'!AB2049</f>
        <v>0</v>
      </c>
      <c r="F2423" s="112">
        <f>'OPEN FOREIGN ORDER'!AC2049</f>
        <v>0</v>
      </c>
      <c r="G2423" s="112">
        <f>'OPEN FOREIGN ORDER'!AD2049</f>
        <v>0</v>
      </c>
      <c r="H2423" s="112">
        <f>'OPEN FOREIGN ORDER'!AE2049</f>
        <v>0</v>
      </c>
      <c r="I2423" s="112">
        <f>'OPEN FOREIGN ORDER'!AF2049</f>
        <v>0</v>
      </c>
      <c r="J2423" s="112">
        <f>'OPEN FOREIGN ORDER'!AG2049</f>
        <v>0</v>
      </c>
    </row>
    <row r="2424" spans="1:10">
      <c r="A2424">
        <f>'OPEN FOREIGN ORDER'!D2050</f>
        <v>0</v>
      </c>
      <c r="B2424">
        <f>'OPEN FOREIGN ORDER'!F2050</f>
        <v>0</v>
      </c>
      <c r="C2424">
        <f>'OPEN FOREIGN ORDER'!Z2050</f>
        <v>0</v>
      </c>
      <c r="D2424" s="123">
        <f>'OPEN FOREIGN ORDER'!AA2050</f>
        <v>0</v>
      </c>
      <c r="E2424" s="112">
        <f>'OPEN FOREIGN ORDER'!AB2050</f>
        <v>0</v>
      </c>
      <c r="F2424" s="112">
        <f>'OPEN FOREIGN ORDER'!AC2050</f>
        <v>0</v>
      </c>
      <c r="G2424" s="112">
        <f>'OPEN FOREIGN ORDER'!AD2050</f>
        <v>0</v>
      </c>
      <c r="H2424" s="112">
        <f>'OPEN FOREIGN ORDER'!AE2050</f>
        <v>0</v>
      </c>
      <c r="I2424" s="112">
        <f>'OPEN FOREIGN ORDER'!AF2050</f>
        <v>0</v>
      </c>
      <c r="J2424" s="112">
        <f>'OPEN FOREIGN ORDER'!AG2050</f>
        <v>0</v>
      </c>
    </row>
    <row r="2425" spans="1:10">
      <c r="A2425">
        <f>'OPEN FOREIGN ORDER'!D2051</f>
        <v>0</v>
      </c>
      <c r="B2425">
        <f>'OPEN FOREIGN ORDER'!F2051</f>
        <v>0</v>
      </c>
      <c r="C2425">
        <f>'OPEN FOREIGN ORDER'!Z2051</f>
        <v>0</v>
      </c>
      <c r="D2425" s="123">
        <f>'OPEN FOREIGN ORDER'!AA2051</f>
        <v>0</v>
      </c>
      <c r="E2425" s="112">
        <f>'OPEN FOREIGN ORDER'!AB2051</f>
        <v>0</v>
      </c>
      <c r="F2425" s="112">
        <f>'OPEN FOREIGN ORDER'!AC2051</f>
        <v>0</v>
      </c>
      <c r="G2425" s="112">
        <f>'OPEN FOREIGN ORDER'!AD2051</f>
        <v>0</v>
      </c>
      <c r="H2425" s="112">
        <f>'OPEN FOREIGN ORDER'!AE2051</f>
        <v>0</v>
      </c>
      <c r="I2425" s="112">
        <f>'OPEN FOREIGN ORDER'!AF2051</f>
        <v>0</v>
      </c>
      <c r="J2425" s="112">
        <f>'OPEN FOREIGN ORDER'!AG2051</f>
        <v>0</v>
      </c>
    </row>
    <row r="2426" spans="1:10">
      <c r="A2426">
        <f>'OPEN FOREIGN ORDER'!D2052</f>
        <v>0</v>
      </c>
      <c r="B2426">
        <f>'OPEN FOREIGN ORDER'!F2052</f>
        <v>0</v>
      </c>
      <c r="C2426">
        <f>'OPEN FOREIGN ORDER'!Z2052</f>
        <v>0</v>
      </c>
      <c r="D2426" s="123">
        <f>'OPEN FOREIGN ORDER'!AA2052</f>
        <v>0</v>
      </c>
      <c r="E2426" s="112">
        <f>'OPEN FOREIGN ORDER'!AB2052</f>
        <v>0</v>
      </c>
      <c r="F2426" s="112">
        <f>'OPEN FOREIGN ORDER'!AC2052</f>
        <v>0</v>
      </c>
      <c r="G2426" s="112">
        <f>'OPEN FOREIGN ORDER'!AD2052</f>
        <v>0</v>
      </c>
      <c r="H2426" s="112">
        <f>'OPEN FOREIGN ORDER'!AE2052</f>
        <v>0</v>
      </c>
      <c r="I2426" s="112">
        <f>'OPEN FOREIGN ORDER'!AF2052</f>
        <v>0</v>
      </c>
      <c r="J2426" s="112">
        <f>'OPEN FOREIGN ORDER'!AG2052</f>
        <v>0</v>
      </c>
    </row>
    <row r="2427" spans="1:10">
      <c r="A2427">
        <f>'OPEN FOREIGN ORDER'!D2053</f>
        <v>0</v>
      </c>
      <c r="B2427">
        <f>'OPEN FOREIGN ORDER'!F2053</f>
        <v>0</v>
      </c>
      <c r="C2427">
        <f>'OPEN FOREIGN ORDER'!Z2053</f>
        <v>0</v>
      </c>
      <c r="D2427" s="123">
        <f>'OPEN FOREIGN ORDER'!AA2053</f>
        <v>0</v>
      </c>
      <c r="E2427" s="112">
        <f>'OPEN FOREIGN ORDER'!AB2053</f>
        <v>0</v>
      </c>
      <c r="F2427" s="112">
        <f>'OPEN FOREIGN ORDER'!AC2053</f>
        <v>0</v>
      </c>
      <c r="G2427" s="112">
        <f>'OPEN FOREIGN ORDER'!AD2053</f>
        <v>0</v>
      </c>
      <c r="H2427" s="112">
        <f>'OPEN FOREIGN ORDER'!AE2053</f>
        <v>0</v>
      </c>
      <c r="I2427" s="112">
        <f>'OPEN FOREIGN ORDER'!AF2053</f>
        <v>0</v>
      </c>
      <c r="J2427" s="112">
        <f>'OPEN FOREIGN ORDER'!AG2053</f>
        <v>0</v>
      </c>
    </row>
    <row r="2428" spans="1:10">
      <c r="A2428">
        <f>'OPEN FOREIGN ORDER'!D2054</f>
        <v>0</v>
      </c>
      <c r="B2428">
        <f>'OPEN FOREIGN ORDER'!F2054</f>
        <v>0</v>
      </c>
      <c r="C2428">
        <f>'OPEN FOREIGN ORDER'!Z2054</f>
        <v>0</v>
      </c>
      <c r="D2428" s="123">
        <f>'OPEN FOREIGN ORDER'!AA2054</f>
        <v>0</v>
      </c>
      <c r="E2428" s="112">
        <f>'OPEN FOREIGN ORDER'!AB2054</f>
        <v>0</v>
      </c>
      <c r="F2428" s="112">
        <f>'OPEN FOREIGN ORDER'!AC2054</f>
        <v>0</v>
      </c>
      <c r="G2428" s="112">
        <f>'OPEN FOREIGN ORDER'!AD2054</f>
        <v>0</v>
      </c>
      <c r="H2428" s="112">
        <f>'OPEN FOREIGN ORDER'!AE2054</f>
        <v>0</v>
      </c>
      <c r="I2428" s="112">
        <f>'OPEN FOREIGN ORDER'!AF2054</f>
        <v>0</v>
      </c>
      <c r="J2428" s="112">
        <f>'OPEN FOREIGN ORDER'!AG2054</f>
        <v>0</v>
      </c>
    </row>
    <row r="2429" spans="1:10">
      <c r="A2429">
        <f>'OPEN FOREIGN ORDER'!D2055</f>
        <v>0</v>
      </c>
      <c r="B2429">
        <f>'OPEN FOREIGN ORDER'!F2055</f>
        <v>0</v>
      </c>
      <c r="C2429">
        <f>'OPEN FOREIGN ORDER'!Z2055</f>
        <v>0</v>
      </c>
      <c r="D2429" s="123">
        <f>'OPEN FOREIGN ORDER'!AA2055</f>
        <v>0</v>
      </c>
      <c r="E2429" s="112">
        <f>'OPEN FOREIGN ORDER'!AB2055</f>
        <v>0</v>
      </c>
      <c r="F2429" s="112">
        <f>'OPEN FOREIGN ORDER'!AC2055</f>
        <v>0</v>
      </c>
      <c r="G2429" s="112">
        <f>'OPEN FOREIGN ORDER'!AD2055</f>
        <v>0</v>
      </c>
      <c r="H2429" s="112">
        <f>'OPEN FOREIGN ORDER'!AE2055</f>
        <v>0</v>
      </c>
      <c r="I2429" s="112">
        <f>'OPEN FOREIGN ORDER'!AF2055</f>
        <v>0</v>
      </c>
      <c r="J2429" s="112">
        <f>'OPEN FOREIGN ORDER'!AG2055</f>
        <v>0</v>
      </c>
    </row>
    <row r="2430" spans="1:10">
      <c r="A2430">
        <f>'OPEN FOREIGN ORDER'!D2056</f>
        <v>0</v>
      </c>
      <c r="B2430">
        <f>'OPEN FOREIGN ORDER'!F2056</f>
        <v>0</v>
      </c>
      <c r="C2430">
        <f>'OPEN FOREIGN ORDER'!Z2056</f>
        <v>0</v>
      </c>
      <c r="D2430" s="123">
        <f>'OPEN FOREIGN ORDER'!AA2056</f>
        <v>0</v>
      </c>
      <c r="E2430" s="112">
        <f>'OPEN FOREIGN ORDER'!AB2056</f>
        <v>0</v>
      </c>
      <c r="F2430" s="112">
        <f>'OPEN FOREIGN ORDER'!AC2056</f>
        <v>0</v>
      </c>
      <c r="G2430" s="112">
        <f>'OPEN FOREIGN ORDER'!AD2056</f>
        <v>0</v>
      </c>
      <c r="H2430" s="112">
        <f>'OPEN FOREIGN ORDER'!AE2056</f>
        <v>0</v>
      </c>
      <c r="I2430" s="112">
        <f>'OPEN FOREIGN ORDER'!AF2056</f>
        <v>0</v>
      </c>
      <c r="J2430" s="112">
        <f>'OPEN FOREIGN ORDER'!AG2056</f>
        <v>0</v>
      </c>
    </row>
    <row r="2431" spans="1:10">
      <c r="A2431">
        <f>'OPEN FOREIGN ORDER'!D2057</f>
        <v>0</v>
      </c>
      <c r="B2431">
        <f>'OPEN FOREIGN ORDER'!F2057</f>
        <v>0</v>
      </c>
      <c r="C2431">
        <f>'OPEN FOREIGN ORDER'!Z2057</f>
        <v>0</v>
      </c>
      <c r="D2431" s="123">
        <f>'OPEN FOREIGN ORDER'!AA2057</f>
        <v>0</v>
      </c>
      <c r="E2431" s="112">
        <f>'OPEN FOREIGN ORDER'!AB2057</f>
        <v>0</v>
      </c>
      <c r="F2431" s="112">
        <f>'OPEN FOREIGN ORDER'!AC2057</f>
        <v>0</v>
      </c>
      <c r="G2431" s="112">
        <f>'OPEN FOREIGN ORDER'!AD2057</f>
        <v>0</v>
      </c>
      <c r="H2431" s="112">
        <f>'OPEN FOREIGN ORDER'!AE2057</f>
        <v>0</v>
      </c>
      <c r="I2431" s="112">
        <f>'OPEN FOREIGN ORDER'!AF2057</f>
        <v>0</v>
      </c>
      <c r="J2431" s="112">
        <f>'OPEN FOREIGN ORDER'!AG2057</f>
        <v>0</v>
      </c>
    </row>
    <row r="2432" spans="1:10">
      <c r="A2432">
        <f>'OPEN FOREIGN ORDER'!D2058</f>
        <v>0</v>
      </c>
      <c r="B2432">
        <f>'OPEN FOREIGN ORDER'!F2058</f>
        <v>0</v>
      </c>
      <c r="C2432">
        <f>'OPEN FOREIGN ORDER'!Z2058</f>
        <v>0</v>
      </c>
      <c r="D2432" s="123">
        <f>'OPEN FOREIGN ORDER'!AA2058</f>
        <v>0</v>
      </c>
      <c r="E2432" s="112">
        <f>'OPEN FOREIGN ORDER'!AB2058</f>
        <v>0</v>
      </c>
      <c r="F2432" s="112">
        <f>'OPEN FOREIGN ORDER'!AC2058</f>
        <v>0</v>
      </c>
      <c r="G2432" s="112">
        <f>'OPEN FOREIGN ORDER'!AD2058</f>
        <v>0</v>
      </c>
      <c r="H2432" s="112">
        <f>'OPEN FOREIGN ORDER'!AE2058</f>
        <v>0</v>
      </c>
      <c r="I2432" s="112">
        <f>'OPEN FOREIGN ORDER'!AF2058</f>
        <v>0</v>
      </c>
      <c r="J2432" s="112">
        <f>'OPEN FOREIGN ORDER'!AG2058</f>
        <v>0</v>
      </c>
    </row>
    <row r="2433" spans="1:10">
      <c r="A2433">
        <f>'OPEN FOREIGN ORDER'!D2059</f>
        <v>0</v>
      </c>
      <c r="B2433">
        <f>'OPEN FOREIGN ORDER'!F2059</f>
        <v>0</v>
      </c>
      <c r="C2433">
        <f>'OPEN FOREIGN ORDER'!Z2059</f>
        <v>0</v>
      </c>
      <c r="D2433" s="123">
        <f>'OPEN FOREIGN ORDER'!AA2059</f>
        <v>0</v>
      </c>
      <c r="E2433" s="112">
        <f>'OPEN FOREIGN ORDER'!AB2059</f>
        <v>0</v>
      </c>
      <c r="F2433" s="112">
        <f>'OPEN FOREIGN ORDER'!AC2059</f>
        <v>0</v>
      </c>
      <c r="G2433" s="112">
        <f>'OPEN FOREIGN ORDER'!AD2059</f>
        <v>0</v>
      </c>
      <c r="H2433" s="112">
        <f>'OPEN FOREIGN ORDER'!AE2059</f>
        <v>0</v>
      </c>
      <c r="I2433" s="112">
        <f>'OPEN FOREIGN ORDER'!AF2059</f>
        <v>0</v>
      </c>
      <c r="J2433" s="112">
        <f>'OPEN FOREIGN ORDER'!AG2059</f>
        <v>0</v>
      </c>
    </row>
    <row r="2434" spans="1:10">
      <c r="A2434">
        <f>'OPEN FOREIGN ORDER'!D2060</f>
        <v>0</v>
      </c>
      <c r="B2434">
        <f>'OPEN FOREIGN ORDER'!F2060</f>
        <v>0</v>
      </c>
      <c r="C2434">
        <f>'OPEN FOREIGN ORDER'!Z2060</f>
        <v>0</v>
      </c>
      <c r="D2434" s="123">
        <f>'OPEN FOREIGN ORDER'!AA2060</f>
        <v>0</v>
      </c>
      <c r="E2434" s="112">
        <f>'OPEN FOREIGN ORDER'!AB2060</f>
        <v>0</v>
      </c>
      <c r="F2434" s="112">
        <f>'OPEN FOREIGN ORDER'!AC2060</f>
        <v>0</v>
      </c>
      <c r="G2434" s="112">
        <f>'OPEN FOREIGN ORDER'!AD2060</f>
        <v>0</v>
      </c>
      <c r="H2434" s="112">
        <f>'OPEN FOREIGN ORDER'!AE2060</f>
        <v>0</v>
      </c>
      <c r="I2434" s="112">
        <f>'OPEN FOREIGN ORDER'!AF2060</f>
        <v>0</v>
      </c>
      <c r="J2434" s="112">
        <f>'OPEN FOREIGN ORDER'!AG2060</f>
        <v>0</v>
      </c>
    </row>
    <row r="2435" spans="1:10">
      <c r="A2435">
        <f>'OPEN FOREIGN ORDER'!D2061</f>
        <v>0</v>
      </c>
      <c r="B2435">
        <f>'OPEN FOREIGN ORDER'!F2061</f>
        <v>0</v>
      </c>
      <c r="C2435">
        <f>'OPEN FOREIGN ORDER'!Z2061</f>
        <v>0</v>
      </c>
      <c r="D2435" s="123">
        <f>'OPEN FOREIGN ORDER'!AA2061</f>
        <v>0</v>
      </c>
      <c r="E2435" s="112">
        <f>'OPEN FOREIGN ORDER'!AB2061</f>
        <v>0</v>
      </c>
      <c r="F2435" s="112">
        <f>'OPEN FOREIGN ORDER'!AC2061</f>
        <v>0</v>
      </c>
      <c r="G2435" s="112">
        <f>'OPEN FOREIGN ORDER'!AD2061</f>
        <v>0</v>
      </c>
      <c r="H2435" s="112">
        <f>'OPEN FOREIGN ORDER'!AE2061</f>
        <v>0</v>
      </c>
      <c r="I2435" s="112">
        <f>'OPEN FOREIGN ORDER'!AF2061</f>
        <v>0</v>
      </c>
      <c r="J2435" s="112">
        <f>'OPEN FOREIGN ORDER'!AG2061</f>
        <v>0</v>
      </c>
    </row>
    <row r="2436" spans="1:10">
      <c r="A2436">
        <f>'OPEN FOREIGN ORDER'!D2062</f>
        <v>0</v>
      </c>
      <c r="B2436">
        <f>'OPEN FOREIGN ORDER'!F2062</f>
        <v>0</v>
      </c>
      <c r="C2436">
        <f>'OPEN FOREIGN ORDER'!Z2062</f>
        <v>0</v>
      </c>
      <c r="D2436" s="123">
        <f>'OPEN FOREIGN ORDER'!AA2062</f>
        <v>0</v>
      </c>
      <c r="E2436" s="112">
        <f>'OPEN FOREIGN ORDER'!AB2062</f>
        <v>0</v>
      </c>
      <c r="F2436" s="112">
        <f>'OPEN FOREIGN ORDER'!AC2062</f>
        <v>0</v>
      </c>
      <c r="G2436" s="112">
        <f>'OPEN FOREIGN ORDER'!AD2062</f>
        <v>0</v>
      </c>
      <c r="H2436" s="112">
        <f>'OPEN FOREIGN ORDER'!AE2062</f>
        <v>0</v>
      </c>
      <c r="I2436" s="112">
        <f>'OPEN FOREIGN ORDER'!AF2062</f>
        <v>0</v>
      </c>
      <c r="J2436" s="112">
        <f>'OPEN FOREIGN ORDER'!AG2062</f>
        <v>0</v>
      </c>
    </row>
    <row r="2437" spans="1:10">
      <c r="A2437">
        <f>'OPEN FOREIGN ORDER'!D2063</f>
        <v>0</v>
      </c>
      <c r="B2437">
        <f>'OPEN FOREIGN ORDER'!F2063</f>
        <v>0</v>
      </c>
      <c r="C2437">
        <f>'OPEN FOREIGN ORDER'!Z2063</f>
        <v>0</v>
      </c>
      <c r="D2437" s="123">
        <f>'OPEN FOREIGN ORDER'!AA2063</f>
        <v>0</v>
      </c>
      <c r="E2437" s="112">
        <f>'OPEN FOREIGN ORDER'!AB2063</f>
        <v>0</v>
      </c>
      <c r="F2437" s="112">
        <f>'OPEN FOREIGN ORDER'!AC2063</f>
        <v>0</v>
      </c>
      <c r="G2437" s="112">
        <f>'OPEN FOREIGN ORDER'!AD2063</f>
        <v>0</v>
      </c>
      <c r="H2437" s="112">
        <f>'OPEN FOREIGN ORDER'!AE2063</f>
        <v>0</v>
      </c>
      <c r="I2437" s="112">
        <f>'OPEN FOREIGN ORDER'!AF2063</f>
        <v>0</v>
      </c>
      <c r="J2437" s="112">
        <f>'OPEN FOREIGN ORDER'!AG2063</f>
        <v>0</v>
      </c>
    </row>
    <row r="2438" spans="1:10">
      <c r="A2438">
        <f>'OPEN FOREIGN ORDER'!D2064</f>
        <v>0</v>
      </c>
      <c r="B2438">
        <f>'OPEN FOREIGN ORDER'!F2064</f>
        <v>0</v>
      </c>
      <c r="C2438">
        <f>'OPEN FOREIGN ORDER'!Z2064</f>
        <v>0</v>
      </c>
      <c r="D2438" s="123">
        <f>'OPEN FOREIGN ORDER'!AA2064</f>
        <v>0</v>
      </c>
      <c r="E2438" s="112">
        <f>'OPEN FOREIGN ORDER'!AB2064</f>
        <v>0</v>
      </c>
      <c r="F2438" s="112">
        <f>'OPEN FOREIGN ORDER'!AC2064</f>
        <v>0</v>
      </c>
      <c r="G2438" s="112">
        <f>'OPEN FOREIGN ORDER'!AD2064</f>
        <v>0</v>
      </c>
      <c r="H2438" s="112">
        <f>'OPEN FOREIGN ORDER'!AE2064</f>
        <v>0</v>
      </c>
      <c r="I2438" s="112">
        <f>'OPEN FOREIGN ORDER'!AF2064</f>
        <v>0</v>
      </c>
      <c r="J2438" s="112">
        <f>'OPEN FOREIGN ORDER'!AG2064</f>
        <v>0</v>
      </c>
    </row>
    <row r="2439" spans="1:10">
      <c r="A2439">
        <f>'OPEN FOREIGN ORDER'!D2065</f>
        <v>0</v>
      </c>
      <c r="B2439">
        <f>'OPEN FOREIGN ORDER'!F2065</f>
        <v>0</v>
      </c>
      <c r="C2439">
        <f>'OPEN FOREIGN ORDER'!Z2065</f>
        <v>0</v>
      </c>
      <c r="D2439" s="123">
        <f>'OPEN FOREIGN ORDER'!AA2065</f>
        <v>0</v>
      </c>
      <c r="E2439" s="112">
        <f>'OPEN FOREIGN ORDER'!AB2065</f>
        <v>0</v>
      </c>
      <c r="F2439" s="112">
        <f>'OPEN FOREIGN ORDER'!AC2065</f>
        <v>0</v>
      </c>
      <c r="G2439" s="112">
        <f>'OPEN FOREIGN ORDER'!AD2065</f>
        <v>0</v>
      </c>
      <c r="H2439" s="112">
        <f>'OPEN FOREIGN ORDER'!AE2065</f>
        <v>0</v>
      </c>
      <c r="I2439" s="112">
        <f>'OPEN FOREIGN ORDER'!AF2065</f>
        <v>0</v>
      </c>
      <c r="J2439" s="112">
        <f>'OPEN FOREIGN ORDER'!AG2065</f>
        <v>0</v>
      </c>
    </row>
    <row r="2440" spans="1:10">
      <c r="A2440">
        <f>'OPEN FOREIGN ORDER'!D2066</f>
        <v>0</v>
      </c>
      <c r="B2440">
        <f>'OPEN FOREIGN ORDER'!F2066</f>
        <v>0</v>
      </c>
      <c r="C2440">
        <f>'OPEN FOREIGN ORDER'!Z2066</f>
        <v>0</v>
      </c>
      <c r="D2440" s="123">
        <f>'OPEN FOREIGN ORDER'!AA2066</f>
        <v>0</v>
      </c>
      <c r="E2440" s="112">
        <f>'OPEN FOREIGN ORDER'!AB2066</f>
        <v>0</v>
      </c>
      <c r="F2440" s="112">
        <f>'OPEN FOREIGN ORDER'!AC2066</f>
        <v>0</v>
      </c>
      <c r="G2440" s="112">
        <f>'OPEN FOREIGN ORDER'!AD2066</f>
        <v>0</v>
      </c>
      <c r="H2440" s="112">
        <f>'OPEN FOREIGN ORDER'!AE2066</f>
        <v>0</v>
      </c>
      <c r="I2440" s="112">
        <f>'OPEN FOREIGN ORDER'!AF2066</f>
        <v>0</v>
      </c>
      <c r="J2440" s="112">
        <f>'OPEN FOREIGN ORDER'!AG2066</f>
        <v>0</v>
      </c>
    </row>
    <row r="2441" spans="1:10">
      <c r="A2441">
        <f>'OPEN FOREIGN ORDER'!D2067</f>
        <v>0</v>
      </c>
      <c r="B2441">
        <f>'OPEN FOREIGN ORDER'!F2067</f>
        <v>0</v>
      </c>
      <c r="C2441">
        <f>'OPEN FOREIGN ORDER'!Z2067</f>
        <v>0</v>
      </c>
      <c r="D2441" s="123">
        <f>'OPEN FOREIGN ORDER'!AA2067</f>
        <v>0</v>
      </c>
      <c r="E2441" s="112">
        <f>'OPEN FOREIGN ORDER'!AB2067</f>
        <v>0</v>
      </c>
      <c r="F2441" s="112">
        <f>'OPEN FOREIGN ORDER'!AC2067</f>
        <v>0</v>
      </c>
      <c r="G2441" s="112">
        <f>'OPEN FOREIGN ORDER'!AD2067</f>
        <v>0</v>
      </c>
      <c r="H2441" s="112">
        <f>'OPEN FOREIGN ORDER'!AE2067</f>
        <v>0</v>
      </c>
      <c r="I2441" s="112">
        <f>'OPEN FOREIGN ORDER'!AF2067</f>
        <v>0</v>
      </c>
      <c r="J2441" s="112">
        <f>'OPEN FOREIGN ORDER'!AG2067</f>
        <v>0</v>
      </c>
    </row>
    <row r="2442" spans="1:10">
      <c r="A2442">
        <f>'OPEN FOREIGN ORDER'!D2068</f>
        <v>0</v>
      </c>
      <c r="B2442">
        <f>'OPEN FOREIGN ORDER'!F2068</f>
        <v>0</v>
      </c>
      <c r="C2442">
        <f>'OPEN FOREIGN ORDER'!Z2068</f>
        <v>0</v>
      </c>
      <c r="D2442" s="123">
        <f>'OPEN FOREIGN ORDER'!AA2068</f>
        <v>0</v>
      </c>
      <c r="E2442" s="112">
        <f>'OPEN FOREIGN ORDER'!AB2068</f>
        <v>0</v>
      </c>
      <c r="F2442" s="112">
        <f>'OPEN FOREIGN ORDER'!AC2068</f>
        <v>0</v>
      </c>
      <c r="G2442" s="112">
        <f>'OPEN FOREIGN ORDER'!AD2068</f>
        <v>0</v>
      </c>
      <c r="H2442" s="112">
        <f>'OPEN FOREIGN ORDER'!AE2068</f>
        <v>0</v>
      </c>
      <c r="I2442" s="112">
        <f>'OPEN FOREIGN ORDER'!AF2068</f>
        <v>0</v>
      </c>
      <c r="J2442" s="112">
        <f>'OPEN FOREIGN ORDER'!AG2068</f>
        <v>0</v>
      </c>
    </row>
    <row r="2443" spans="1:10">
      <c r="A2443">
        <f>'OPEN FOREIGN ORDER'!D2069</f>
        <v>0</v>
      </c>
      <c r="B2443">
        <f>'OPEN FOREIGN ORDER'!F2069</f>
        <v>0</v>
      </c>
      <c r="C2443">
        <f>'OPEN FOREIGN ORDER'!Z2069</f>
        <v>0</v>
      </c>
      <c r="D2443" s="123">
        <f>'OPEN FOREIGN ORDER'!AA2069</f>
        <v>0</v>
      </c>
      <c r="E2443" s="112">
        <f>'OPEN FOREIGN ORDER'!AB2069</f>
        <v>0</v>
      </c>
      <c r="F2443" s="112">
        <f>'OPEN FOREIGN ORDER'!AC2069</f>
        <v>0</v>
      </c>
      <c r="G2443" s="112">
        <f>'OPEN FOREIGN ORDER'!AD2069</f>
        <v>0</v>
      </c>
      <c r="H2443" s="112">
        <f>'OPEN FOREIGN ORDER'!AE2069</f>
        <v>0</v>
      </c>
      <c r="I2443" s="112">
        <f>'OPEN FOREIGN ORDER'!AF2069</f>
        <v>0</v>
      </c>
      <c r="J2443" s="112">
        <f>'OPEN FOREIGN ORDER'!AG2069</f>
        <v>0</v>
      </c>
    </row>
    <row r="2444" spans="1:10">
      <c r="A2444">
        <f>'OPEN FOREIGN ORDER'!D2070</f>
        <v>0</v>
      </c>
      <c r="B2444">
        <f>'OPEN FOREIGN ORDER'!F2070</f>
        <v>0</v>
      </c>
      <c r="C2444">
        <f>'OPEN FOREIGN ORDER'!Z2070</f>
        <v>0</v>
      </c>
      <c r="D2444" s="123">
        <f>'OPEN FOREIGN ORDER'!AA2070</f>
        <v>0</v>
      </c>
      <c r="E2444" s="112">
        <f>'OPEN FOREIGN ORDER'!AB2070</f>
        <v>0</v>
      </c>
      <c r="F2444" s="112">
        <f>'OPEN FOREIGN ORDER'!AC2070</f>
        <v>0</v>
      </c>
      <c r="G2444" s="112">
        <f>'OPEN FOREIGN ORDER'!AD2070</f>
        <v>0</v>
      </c>
      <c r="H2444" s="112">
        <f>'OPEN FOREIGN ORDER'!AE2070</f>
        <v>0</v>
      </c>
      <c r="I2444" s="112">
        <f>'OPEN FOREIGN ORDER'!AF2070</f>
        <v>0</v>
      </c>
      <c r="J2444" s="112">
        <f>'OPEN FOREIGN ORDER'!AG2070</f>
        <v>0</v>
      </c>
    </row>
    <row r="2445" spans="1:10">
      <c r="A2445">
        <f>'OPEN FOREIGN ORDER'!D2071</f>
        <v>0</v>
      </c>
      <c r="B2445">
        <f>'OPEN FOREIGN ORDER'!F2071</f>
        <v>0</v>
      </c>
      <c r="C2445">
        <f>'OPEN FOREIGN ORDER'!Z2071</f>
        <v>0</v>
      </c>
      <c r="D2445" s="123">
        <f>'OPEN FOREIGN ORDER'!AA2071</f>
        <v>0</v>
      </c>
      <c r="E2445" s="112">
        <f>'OPEN FOREIGN ORDER'!AB2071</f>
        <v>0</v>
      </c>
      <c r="F2445" s="112">
        <f>'OPEN FOREIGN ORDER'!AC2071</f>
        <v>0</v>
      </c>
      <c r="G2445" s="112">
        <f>'OPEN FOREIGN ORDER'!AD2071</f>
        <v>0</v>
      </c>
      <c r="H2445" s="112">
        <f>'OPEN FOREIGN ORDER'!AE2071</f>
        <v>0</v>
      </c>
      <c r="I2445" s="112">
        <f>'OPEN FOREIGN ORDER'!AF2071</f>
        <v>0</v>
      </c>
      <c r="J2445" s="112">
        <f>'OPEN FOREIGN ORDER'!AG2071</f>
        <v>0</v>
      </c>
    </row>
    <row r="2446" spans="1:10">
      <c r="A2446">
        <f>'OPEN FOREIGN ORDER'!D2072</f>
        <v>0</v>
      </c>
      <c r="B2446">
        <f>'OPEN FOREIGN ORDER'!F2072</f>
        <v>0</v>
      </c>
      <c r="C2446">
        <f>'OPEN FOREIGN ORDER'!Z2072</f>
        <v>0</v>
      </c>
      <c r="D2446" s="123">
        <f>'OPEN FOREIGN ORDER'!AA2072</f>
        <v>0</v>
      </c>
      <c r="E2446" s="112">
        <f>'OPEN FOREIGN ORDER'!AB2072</f>
        <v>0</v>
      </c>
      <c r="F2446" s="112">
        <f>'OPEN FOREIGN ORDER'!AC2072</f>
        <v>0</v>
      </c>
      <c r="G2446" s="112">
        <f>'OPEN FOREIGN ORDER'!AD2072</f>
        <v>0</v>
      </c>
      <c r="H2446" s="112">
        <f>'OPEN FOREIGN ORDER'!AE2072</f>
        <v>0</v>
      </c>
      <c r="I2446" s="112">
        <f>'OPEN FOREIGN ORDER'!AF2072</f>
        <v>0</v>
      </c>
      <c r="J2446" s="112">
        <f>'OPEN FOREIGN ORDER'!AG2072</f>
        <v>0</v>
      </c>
    </row>
    <row r="2447" spans="1:10">
      <c r="A2447">
        <f>'OPEN FOREIGN ORDER'!D2073</f>
        <v>0</v>
      </c>
      <c r="B2447">
        <f>'OPEN FOREIGN ORDER'!F2073</f>
        <v>0</v>
      </c>
      <c r="C2447">
        <f>'OPEN FOREIGN ORDER'!Z2073</f>
        <v>0</v>
      </c>
      <c r="D2447" s="123">
        <f>'OPEN FOREIGN ORDER'!AA2073</f>
        <v>0</v>
      </c>
      <c r="E2447" s="112">
        <f>'OPEN FOREIGN ORDER'!AB2073</f>
        <v>0</v>
      </c>
      <c r="F2447" s="112">
        <f>'OPEN FOREIGN ORDER'!AC2073</f>
        <v>0</v>
      </c>
      <c r="G2447" s="112">
        <f>'OPEN FOREIGN ORDER'!AD2073</f>
        <v>0</v>
      </c>
      <c r="H2447" s="112">
        <f>'OPEN FOREIGN ORDER'!AE2073</f>
        <v>0</v>
      </c>
      <c r="I2447" s="112">
        <f>'OPEN FOREIGN ORDER'!AF2073</f>
        <v>0</v>
      </c>
      <c r="J2447" s="112">
        <f>'OPEN FOREIGN ORDER'!AG2073</f>
        <v>0</v>
      </c>
    </row>
    <row r="2448" spans="1:10">
      <c r="A2448">
        <f>'OPEN FOREIGN ORDER'!D2074</f>
        <v>0</v>
      </c>
      <c r="B2448">
        <f>'OPEN FOREIGN ORDER'!F2074</f>
        <v>0</v>
      </c>
      <c r="C2448">
        <f>'OPEN FOREIGN ORDER'!Z2074</f>
        <v>0</v>
      </c>
      <c r="D2448" s="123">
        <f>'OPEN FOREIGN ORDER'!AA2074</f>
        <v>0</v>
      </c>
      <c r="E2448" s="112">
        <f>'OPEN FOREIGN ORDER'!AB2074</f>
        <v>0</v>
      </c>
      <c r="F2448" s="112">
        <f>'OPEN FOREIGN ORDER'!AC2074</f>
        <v>0</v>
      </c>
      <c r="G2448" s="112">
        <f>'OPEN FOREIGN ORDER'!AD2074</f>
        <v>0</v>
      </c>
      <c r="H2448" s="112">
        <f>'OPEN FOREIGN ORDER'!AE2074</f>
        <v>0</v>
      </c>
      <c r="I2448" s="112">
        <f>'OPEN FOREIGN ORDER'!AF2074</f>
        <v>0</v>
      </c>
      <c r="J2448" s="112">
        <f>'OPEN FOREIGN ORDER'!AG2074</f>
        <v>0</v>
      </c>
    </row>
    <row r="2449" spans="1:10">
      <c r="A2449">
        <f>'OPEN FOREIGN ORDER'!D2075</f>
        <v>0</v>
      </c>
      <c r="B2449">
        <f>'OPEN FOREIGN ORDER'!F2075</f>
        <v>0</v>
      </c>
      <c r="C2449">
        <f>'OPEN FOREIGN ORDER'!Z2075</f>
        <v>0</v>
      </c>
      <c r="D2449" s="123">
        <f>'OPEN FOREIGN ORDER'!AA2075</f>
        <v>0</v>
      </c>
      <c r="E2449" s="112">
        <f>'OPEN FOREIGN ORDER'!AB2075</f>
        <v>0</v>
      </c>
      <c r="F2449" s="112">
        <f>'OPEN FOREIGN ORDER'!AC2075</f>
        <v>0</v>
      </c>
      <c r="G2449" s="112">
        <f>'OPEN FOREIGN ORDER'!AD2075</f>
        <v>0</v>
      </c>
      <c r="H2449" s="112">
        <f>'OPEN FOREIGN ORDER'!AE2075</f>
        <v>0</v>
      </c>
      <c r="I2449" s="112">
        <f>'OPEN FOREIGN ORDER'!AF2075</f>
        <v>0</v>
      </c>
      <c r="J2449" s="112">
        <f>'OPEN FOREIGN ORDER'!AG2075</f>
        <v>0</v>
      </c>
    </row>
    <row r="2450" spans="1:10">
      <c r="A2450">
        <f>'OPEN FOREIGN ORDER'!D2076</f>
        <v>0</v>
      </c>
      <c r="B2450">
        <f>'OPEN FOREIGN ORDER'!F2076</f>
        <v>0</v>
      </c>
      <c r="C2450">
        <f>'OPEN FOREIGN ORDER'!Z2076</f>
        <v>0</v>
      </c>
      <c r="D2450" s="123">
        <f>'OPEN FOREIGN ORDER'!AA2076</f>
        <v>0</v>
      </c>
      <c r="E2450" s="112">
        <f>'OPEN FOREIGN ORDER'!AB2076</f>
        <v>0</v>
      </c>
      <c r="F2450" s="112">
        <f>'OPEN FOREIGN ORDER'!AC2076</f>
        <v>0</v>
      </c>
      <c r="G2450" s="112">
        <f>'OPEN FOREIGN ORDER'!AD2076</f>
        <v>0</v>
      </c>
      <c r="H2450" s="112">
        <f>'OPEN FOREIGN ORDER'!AE2076</f>
        <v>0</v>
      </c>
      <c r="I2450" s="112">
        <f>'OPEN FOREIGN ORDER'!AF2076</f>
        <v>0</v>
      </c>
      <c r="J2450" s="112">
        <f>'OPEN FOREIGN ORDER'!AG2076</f>
        <v>0</v>
      </c>
    </row>
    <row r="2451" spans="1:10">
      <c r="A2451">
        <f>'OPEN FOREIGN ORDER'!D2077</f>
        <v>0</v>
      </c>
      <c r="B2451">
        <f>'OPEN FOREIGN ORDER'!F2077</f>
        <v>0</v>
      </c>
      <c r="C2451">
        <f>'OPEN FOREIGN ORDER'!Z2077</f>
        <v>0</v>
      </c>
      <c r="D2451" s="123">
        <f>'OPEN FOREIGN ORDER'!AA2077</f>
        <v>0</v>
      </c>
      <c r="E2451" s="112">
        <f>'OPEN FOREIGN ORDER'!AB2077</f>
        <v>0</v>
      </c>
      <c r="F2451" s="112">
        <f>'OPEN FOREIGN ORDER'!AC2077</f>
        <v>0</v>
      </c>
      <c r="G2451" s="112">
        <f>'OPEN FOREIGN ORDER'!AD2077</f>
        <v>0</v>
      </c>
      <c r="H2451" s="112">
        <f>'OPEN FOREIGN ORDER'!AE2077</f>
        <v>0</v>
      </c>
      <c r="I2451" s="112">
        <f>'OPEN FOREIGN ORDER'!AF2077</f>
        <v>0</v>
      </c>
      <c r="J2451" s="112">
        <f>'OPEN FOREIGN ORDER'!AG2077</f>
        <v>0</v>
      </c>
    </row>
    <row r="2452" spans="1:10">
      <c r="A2452">
        <f>'OPEN FOREIGN ORDER'!D2078</f>
        <v>0</v>
      </c>
      <c r="B2452">
        <f>'OPEN FOREIGN ORDER'!F2078</f>
        <v>0</v>
      </c>
      <c r="C2452">
        <f>'OPEN FOREIGN ORDER'!Z2078</f>
        <v>0</v>
      </c>
      <c r="D2452" s="123">
        <f>'OPEN FOREIGN ORDER'!AA2078</f>
        <v>0</v>
      </c>
      <c r="E2452" s="112">
        <f>'OPEN FOREIGN ORDER'!AB2078</f>
        <v>0</v>
      </c>
      <c r="F2452" s="112">
        <f>'OPEN FOREIGN ORDER'!AC2078</f>
        <v>0</v>
      </c>
      <c r="G2452" s="112">
        <f>'OPEN FOREIGN ORDER'!AD2078</f>
        <v>0</v>
      </c>
      <c r="H2452" s="112">
        <f>'OPEN FOREIGN ORDER'!AE2078</f>
        <v>0</v>
      </c>
      <c r="I2452" s="112">
        <f>'OPEN FOREIGN ORDER'!AF2078</f>
        <v>0</v>
      </c>
      <c r="J2452" s="112">
        <f>'OPEN FOREIGN ORDER'!AG2078</f>
        <v>0</v>
      </c>
    </row>
    <row r="2453" spans="1:10">
      <c r="A2453">
        <f>'OPEN FOREIGN ORDER'!D2079</f>
        <v>0</v>
      </c>
      <c r="B2453">
        <f>'OPEN FOREIGN ORDER'!F2079</f>
        <v>0</v>
      </c>
      <c r="C2453">
        <f>'OPEN FOREIGN ORDER'!Z2079</f>
        <v>0</v>
      </c>
      <c r="D2453" s="123">
        <f>'OPEN FOREIGN ORDER'!AA2079</f>
        <v>0</v>
      </c>
      <c r="E2453" s="112">
        <f>'OPEN FOREIGN ORDER'!AB2079</f>
        <v>0</v>
      </c>
      <c r="F2453" s="112">
        <f>'OPEN FOREIGN ORDER'!AC2079</f>
        <v>0</v>
      </c>
      <c r="G2453" s="112">
        <f>'OPEN FOREIGN ORDER'!AD2079</f>
        <v>0</v>
      </c>
      <c r="H2453" s="112">
        <f>'OPEN FOREIGN ORDER'!AE2079</f>
        <v>0</v>
      </c>
      <c r="I2453" s="112">
        <f>'OPEN FOREIGN ORDER'!AF2079</f>
        <v>0</v>
      </c>
      <c r="J2453" s="112">
        <f>'OPEN FOREIGN ORDER'!AG2079</f>
        <v>0</v>
      </c>
    </row>
    <row r="2454" spans="1:10">
      <c r="A2454">
        <f>'OPEN FOREIGN ORDER'!D2080</f>
        <v>0</v>
      </c>
      <c r="B2454">
        <f>'OPEN FOREIGN ORDER'!F2080</f>
        <v>0</v>
      </c>
      <c r="C2454">
        <f>'OPEN FOREIGN ORDER'!Z2080</f>
        <v>0</v>
      </c>
      <c r="D2454" s="123">
        <f>'OPEN FOREIGN ORDER'!AA2080</f>
        <v>0</v>
      </c>
      <c r="E2454" s="112">
        <f>'OPEN FOREIGN ORDER'!AB2080</f>
        <v>0</v>
      </c>
      <c r="F2454" s="112">
        <f>'OPEN FOREIGN ORDER'!AC2080</f>
        <v>0</v>
      </c>
      <c r="G2454" s="112">
        <f>'OPEN FOREIGN ORDER'!AD2080</f>
        <v>0</v>
      </c>
      <c r="H2454" s="112">
        <f>'OPEN FOREIGN ORDER'!AE2080</f>
        <v>0</v>
      </c>
      <c r="I2454" s="112">
        <f>'OPEN FOREIGN ORDER'!AF2080</f>
        <v>0</v>
      </c>
      <c r="J2454" s="112">
        <f>'OPEN FOREIGN ORDER'!AG2080</f>
        <v>0</v>
      </c>
    </row>
    <row r="2455" spans="1:10">
      <c r="A2455">
        <f>'OPEN FOREIGN ORDER'!D2081</f>
        <v>0</v>
      </c>
      <c r="B2455">
        <f>'OPEN FOREIGN ORDER'!F2081</f>
        <v>0</v>
      </c>
      <c r="C2455">
        <f>'OPEN FOREIGN ORDER'!Z2081</f>
        <v>0</v>
      </c>
      <c r="D2455" s="123">
        <f>'OPEN FOREIGN ORDER'!AA2081</f>
        <v>0</v>
      </c>
      <c r="E2455" s="112">
        <f>'OPEN FOREIGN ORDER'!AB2081</f>
        <v>0</v>
      </c>
      <c r="F2455" s="112">
        <f>'OPEN FOREIGN ORDER'!AC2081</f>
        <v>0</v>
      </c>
      <c r="G2455" s="112">
        <f>'OPEN FOREIGN ORDER'!AD2081</f>
        <v>0</v>
      </c>
      <c r="H2455" s="112">
        <f>'OPEN FOREIGN ORDER'!AE2081</f>
        <v>0</v>
      </c>
      <c r="I2455" s="112">
        <f>'OPEN FOREIGN ORDER'!AF2081</f>
        <v>0</v>
      </c>
      <c r="J2455" s="112">
        <f>'OPEN FOREIGN ORDER'!AG2081</f>
        <v>0</v>
      </c>
    </row>
    <row r="2456" spans="1:10">
      <c r="A2456">
        <f>'OPEN FOREIGN ORDER'!D2082</f>
        <v>0</v>
      </c>
      <c r="B2456">
        <f>'OPEN FOREIGN ORDER'!F2082</f>
        <v>0</v>
      </c>
      <c r="C2456">
        <f>'OPEN FOREIGN ORDER'!Z2082</f>
        <v>0</v>
      </c>
      <c r="D2456" s="123">
        <f>'OPEN FOREIGN ORDER'!AA2082</f>
        <v>0</v>
      </c>
      <c r="E2456" s="112">
        <f>'OPEN FOREIGN ORDER'!AB2082</f>
        <v>0</v>
      </c>
      <c r="F2456" s="112">
        <f>'OPEN FOREIGN ORDER'!AC2082</f>
        <v>0</v>
      </c>
      <c r="G2456" s="112">
        <f>'OPEN FOREIGN ORDER'!AD2082</f>
        <v>0</v>
      </c>
      <c r="H2456" s="112">
        <f>'OPEN FOREIGN ORDER'!AE2082</f>
        <v>0</v>
      </c>
      <c r="I2456" s="112">
        <f>'OPEN FOREIGN ORDER'!AF2082</f>
        <v>0</v>
      </c>
      <c r="J2456" s="112">
        <f>'OPEN FOREIGN ORDER'!AG2082</f>
        <v>0</v>
      </c>
    </row>
    <row r="2457" spans="1:10">
      <c r="A2457">
        <f>'OPEN FOREIGN ORDER'!D2083</f>
        <v>0</v>
      </c>
      <c r="B2457">
        <f>'OPEN FOREIGN ORDER'!F2083</f>
        <v>0</v>
      </c>
      <c r="C2457">
        <f>'OPEN FOREIGN ORDER'!Z2083</f>
        <v>0</v>
      </c>
      <c r="D2457" s="123">
        <f>'OPEN FOREIGN ORDER'!AA2083</f>
        <v>0</v>
      </c>
      <c r="E2457" s="112">
        <f>'OPEN FOREIGN ORDER'!AB2083</f>
        <v>0</v>
      </c>
      <c r="F2457" s="112">
        <f>'OPEN FOREIGN ORDER'!AC2083</f>
        <v>0</v>
      </c>
      <c r="G2457" s="112">
        <f>'OPEN FOREIGN ORDER'!AD2083</f>
        <v>0</v>
      </c>
      <c r="H2457" s="112">
        <f>'OPEN FOREIGN ORDER'!AE2083</f>
        <v>0</v>
      </c>
      <c r="I2457" s="112">
        <f>'OPEN FOREIGN ORDER'!AF2083</f>
        <v>0</v>
      </c>
      <c r="J2457" s="112">
        <f>'OPEN FOREIGN ORDER'!AG2083</f>
        <v>0</v>
      </c>
    </row>
    <row r="2458" spans="1:10">
      <c r="A2458">
        <f>'OPEN FOREIGN ORDER'!D2084</f>
        <v>0</v>
      </c>
      <c r="B2458">
        <f>'OPEN FOREIGN ORDER'!F2084</f>
        <v>0</v>
      </c>
      <c r="C2458">
        <f>'OPEN FOREIGN ORDER'!Z2084</f>
        <v>0</v>
      </c>
      <c r="D2458" s="123">
        <f>'OPEN FOREIGN ORDER'!AA2084</f>
        <v>0</v>
      </c>
      <c r="E2458" s="112">
        <f>'OPEN FOREIGN ORDER'!AB2084</f>
        <v>0</v>
      </c>
      <c r="F2458" s="112">
        <f>'OPEN FOREIGN ORDER'!AC2084</f>
        <v>0</v>
      </c>
      <c r="G2458" s="112">
        <f>'OPEN FOREIGN ORDER'!AD2084</f>
        <v>0</v>
      </c>
      <c r="H2458" s="112">
        <f>'OPEN FOREIGN ORDER'!AE2084</f>
        <v>0</v>
      </c>
      <c r="I2458" s="112">
        <f>'OPEN FOREIGN ORDER'!AF2084</f>
        <v>0</v>
      </c>
      <c r="J2458" s="112">
        <f>'OPEN FOREIGN ORDER'!AG2084</f>
        <v>0</v>
      </c>
    </row>
    <row r="2459" spans="1:10">
      <c r="A2459">
        <f>'OPEN FOREIGN ORDER'!D2085</f>
        <v>0</v>
      </c>
      <c r="B2459">
        <f>'OPEN FOREIGN ORDER'!F2085</f>
        <v>0</v>
      </c>
      <c r="C2459">
        <f>'OPEN FOREIGN ORDER'!Z2085</f>
        <v>0</v>
      </c>
      <c r="D2459" s="123">
        <f>'OPEN FOREIGN ORDER'!AA2085</f>
        <v>0</v>
      </c>
      <c r="E2459" s="112">
        <f>'OPEN FOREIGN ORDER'!AB2085</f>
        <v>0</v>
      </c>
      <c r="F2459" s="112">
        <f>'OPEN FOREIGN ORDER'!AC2085</f>
        <v>0</v>
      </c>
      <c r="G2459" s="112">
        <f>'OPEN FOREIGN ORDER'!AD2085</f>
        <v>0</v>
      </c>
      <c r="H2459" s="112">
        <f>'OPEN FOREIGN ORDER'!AE2085</f>
        <v>0</v>
      </c>
      <c r="I2459" s="112">
        <f>'OPEN FOREIGN ORDER'!AF2085</f>
        <v>0</v>
      </c>
      <c r="J2459" s="112">
        <f>'OPEN FOREIGN ORDER'!AG2085</f>
        <v>0</v>
      </c>
    </row>
    <row r="2460" spans="1:10">
      <c r="A2460">
        <f>'OPEN FOREIGN ORDER'!D2086</f>
        <v>0</v>
      </c>
      <c r="B2460">
        <f>'OPEN FOREIGN ORDER'!F2086</f>
        <v>0</v>
      </c>
      <c r="C2460">
        <f>'OPEN FOREIGN ORDER'!Z2086</f>
        <v>0</v>
      </c>
      <c r="D2460" s="123">
        <f>'OPEN FOREIGN ORDER'!AA2086</f>
        <v>0</v>
      </c>
      <c r="E2460" s="112">
        <f>'OPEN FOREIGN ORDER'!AB2086</f>
        <v>0</v>
      </c>
      <c r="F2460" s="112">
        <f>'OPEN FOREIGN ORDER'!AC2086</f>
        <v>0</v>
      </c>
      <c r="G2460" s="112">
        <f>'OPEN FOREIGN ORDER'!AD2086</f>
        <v>0</v>
      </c>
      <c r="H2460" s="112">
        <f>'OPEN FOREIGN ORDER'!AE2086</f>
        <v>0</v>
      </c>
      <c r="I2460" s="112">
        <f>'OPEN FOREIGN ORDER'!AF2086</f>
        <v>0</v>
      </c>
      <c r="J2460" s="112">
        <f>'OPEN FOREIGN ORDER'!AG2086</f>
        <v>0</v>
      </c>
    </row>
    <row r="2461" spans="1:10">
      <c r="A2461">
        <f>'OPEN FOREIGN ORDER'!D2087</f>
        <v>0</v>
      </c>
      <c r="B2461">
        <f>'OPEN FOREIGN ORDER'!F2087</f>
        <v>0</v>
      </c>
      <c r="C2461">
        <f>'OPEN FOREIGN ORDER'!Z2087</f>
        <v>0</v>
      </c>
      <c r="D2461" s="123">
        <f>'OPEN FOREIGN ORDER'!AA2087</f>
        <v>0</v>
      </c>
      <c r="E2461" s="112">
        <f>'OPEN FOREIGN ORDER'!AB2087</f>
        <v>0</v>
      </c>
      <c r="F2461" s="112">
        <f>'OPEN FOREIGN ORDER'!AC2087</f>
        <v>0</v>
      </c>
      <c r="G2461" s="112">
        <f>'OPEN FOREIGN ORDER'!AD2087</f>
        <v>0</v>
      </c>
      <c r="H2461" s="112">
        <f>'OPEN FOREIGN ORDER'!AE2087</f>
        <v>0</v>
      </c>
      <c r="I2461" s="112">
        <f>'OPEN FOREIGN ORDER'!AF2087</f>
        <v>0</v>
      </c>
      <c r="J2461" s="112">
        <f>'OPEN FOREIGN ORDER'!AG2087</f>
        <v>0</v>
      </c>
    </row>
    <row r="2462" spans="1:10">
      <c r="A2462">
        <f>'OPEN FOREIGN ORDER'!D2088</f>
        <v>0</v>
      </c>
      <c r="B2462">
        <f>'OPEN FOREIGN ORDER'!F2088</f>
        <v>0</v>
      </c>
      <c r="C2462">
        <f>'OPEN FOREIGN ORDER'!Z2088</f>
        <v>0</v>
      </c>
      <c r="D2462" s="123">
        <f>'OPEN FOREIGN ORDER'!AA2088</f>
        <v>0</v>
      </c>
      <c r="E2462" s="112">
        <f>'OPEN FOREIGN ORDER'!AB2088</f>
        <v>0</v>
      </c>
      <c r="F2462" s="112">
        <f>'OPEN FOREIGN ORDER'!AC2088</f>
        <v>0</v>
      </c>
      <c r="G2462" s="112">
        <f>'OPEN FOREIGN ORDER'!AD2088</f>
        <v>0</v>
      </c>
      <c r="H2462" s="112">
        <f>'OPEN FOREIGN ORDER'!AE2088</f>
        <v>0</v>
      </c>
      <c r="I2462" s="112">
        <f>'OPEN FOREIGN ORDER'!AF2088</f>
        <v>0</v>
      </c>
      <c r="J2462" s="112">
        <f>'OPEN FOREIGN ORDER'!AG2088</f>
        <v>0</v>
      </c>
    </row>
    <row r="2463" spans="1:10">
      <c r="A2463">
        <f>'OPEN FOREIGN ORDER'!D2089</f>
        <v>0</v>
      </c>
      <c r="B2463">
        <f>'OPEN FOREIGN ORDER'!F2089</f>
        <v>0</v>
      </c>
      <c r="C2463">
        <f>'OPEN FOREIGN ORDER'!Z2089</f>
        <v>0</v>
      </c>
      <c r="D2463" s="123">
        <f>'OPEN FOREIGN ORDER'!AA2089</f>
        <v>0</v>
      </c>
      <c r="E2463" s="112">
        <f>'OPEN FOREIGN ORDER'!AB2089</f>
        <v>0</v>
      </c>
      <c r="F2463" s="112">
        <f>'OPEN FOREIGN ORDER'!AC2089</f>
        <v>0</v>
      </c>
      <c r="G2463" s="112">
        <f>'OPEN FOREIGN ORDER'!AD2089</f>
        <v>0</v>
      </c>
      <c r="H2463" s="112">
        <f>'OPEN FOREIGN ORDER'!AE2089</f>
        <v>0</v>
      </c>
      <c r="I2463" s="112">
        <f>'OPEN FOREIGN ORDER'!AF2089</f>
        <v>0</v>
      </c>
      <c r="J2463" s="112">
        <f>'OPEN FOREIGN ORDER'!AG2089</f>
        <v>0</v>
      </c>
    </row>
    <row r="2464" spans="1:10">
      <c r="A2464">
        <f>'OPEN FOREIGN ORDER'!D2090</f>
        <v>0</v>
      </c>
      <c r="B2464">
        <f>'OPEN FOREIGN ORDER'!F2090</f>
        <v>0</v>
      </c>
      <c r="C2464">
        <f>'OPEN FOREIGN ORDER'!Z2090</f>
        <v>0</v>
      </c>
      <c r="D2464" s="123">
        <f>'OPEN FOREIGN ORDER'!AA2090</f>
        <v>0</v>
      </c>
      <c r="E2464" s="112">
        <f>'OPEN FOREIGN ORDER'!AB2090</f>
        <v>0</v>
      </c>
      <c r="F2464" s="112">
        <f>'OPEN FOREIGN ORDER'!AC2090</f>
        <v>0</v>
      </c>
      <c r="G2464" s="112">
        <f>'OPEN FOREIGN ORDER'!AD2090</f>
        <v>0</v>
      </c>
      <c r="H2464" s="112">
        <f>'OPEN FOREIGN ORDER'!AE2090</f>
        <v>0</v>
      </c>
      <c r="I2464" s="112">
        <f>'OPEN FOREIGN ORDER'!AF2090</f>
        <v>0</v>
      </c>
      <c r="J2464" s="112">
        <f>'OPEN FOREIGN ORDER'!AG2090</f>
        <v>0</v>
      </c>
    </row>
    <row r="2465" spans="1:10">
      <c r="A2465">
        <f>'OPEN FOREIGN ORDER'!D2091</f>
        <v>0</v>
      </c>
      <c r="B2465">
        <f>'OPEN FOREIGN ORDER'!F2091</f>
        <v>0</v>
      </c>
      <c r="C2465">
        <f>'OPEN FOREIGN ORDER'!Z2091</f>
        <v>0</v>
      </c>
      <c r="D2465" s="123">
        <f>'OPEN FOREIGN ORDER'!AA2091</f>
        <v>0</v>
      </c>
      <c r="E2465" s="112">
        <f>'OPEN FOREIGN ORDER'!AB2091</f>
        <v>0</v>
      </c>
      <c r="F2465" s="112">
        <f>'OPEN FOREIGN ORDER'!AC2091</f>
        <v>0</v>
      </c>
      <c r="G2465" s="112">
        <f>'OPEN FOREIGN ORDER'!AD2091</f>
        <v>0</v>
      </c>
      <c r="H2465" s="112">
        <f>'OPEN FOREIGN ORDER'!AE2091</f>
        <v>0</v>
      </c>
      <c r="I2465" s="112">
        <f>'OPEN FOREIGN ORDER'!AF2091</f>
        <v>0</v>
      </c>
      <c r="J2465" s="112">
        <f>'OPEN FOREIGN ORDER'!AG2091</f>
        <v>0</v>
      </c>
    </row>
    <row r="2466" spans="1:10">
      <c r="A2466">
        <f>'OPEN FOREIGN ORDER'!D2092</f>
        <v>0</v>
      </c>
      <c r="B2466">
        <f>'OPEN FOREIGN ORDER'!F2092</f>
        <v>0</v>
      </c>
      <c r="C2466">
        <f>'OPEN FOREIGN ORDER'!Z2092</f>
        <v>0</v>
      </c>
      <c r="D2466" s="123">
        <f>'OPEN FOREIGN ORDER'!AA2092</f>
        <v>0</v>
      </c>
      <c r="E2466" s="112">
        <f>'OPEN FOREIGN ORDER'!AB2092</f>
        <v>0</v>
      </c>
      <c r="F2466" s="112">
        <f>'OPEN FOREIGN ORDER'!AC2092</f>
        <v>0</v>
      </c>
      <c r="G2466" s="112">
        <f>'OPEN FOREIGN ORDER'!AD2092</f>
        <v>0</v>
      </c>
      <c r="H2466" s="112">
        <f>'OPEN FOREIGN ORDER'!AE2092</f>
        <v>0</v>
      </c>
      <c r="I2466" s="112">
        <f>'OPEN FOREIGN ORDER'!AF2092</f>
        <v>0</v>
      </c>
      <c r="J2466" s="112">
        <f>'OPEN FOREIGN ORDER'!AG2092</f>
        <v>0</v>
      </c>
    </row>
    <row r="2467" spans="1:10">
      <c r="A2467">
        <f>'OPEN FOREIGN ORDER'!D2093</f>
        <v>0</v>
      </c>
      <c r="B2467">
        <f>'OPEN FOREIGN ORDER'!F2093</f>
        <v>0</v>
      </c>
      <c r="C2467">
        <f>'OPEN FOREIGN ORDER'!Z2093</f>
        <v>0</v>
      </c>
      <c r="D2467" s="123">
        <f>'OPEN FOREIGN ORDER'!AA2093</f>
        <v>0</v>
      </c>
      <c r="E2467" s="112">
        <f>'OPEN FOREIGN ORDER'!AB2093</f>
        <v>0</v>
      </c>
      <c r="F2467" s="112">
        <f>'OPEN FOREIGN ORDER'!AC2093</f>
        <v>0</v>
      </c>
      <c r="G2467" s="112">
        <f>'OPEN FOREIGN ORDER'!AD2093</f>
        <v>0</v>
      </c>
      <c r="H2467" s="112">
        <f>'OPEN FOREIGN ORDER'!AE2093</f>
        <v>0</v>
      </c>
      <c r="I2467" s="112">
        <f>'OPEN FOREIGN ORDER'!AF2093</f>
        <v>0</v>
      </c>
      <c r="J2467" s="112">
        <f>'OPEN FOREIGN ORDER'!AG2093</f>
        <v>0</v>
      </c>
    </row>
    <row r="2468" spans="1:10">
      <c r="A2468">
        <f>'OPEN FOREIGN ORDER'!D2094</f>
        <v>0</v>
      </c>
      <c r="B2468">
        <f>'OPEN FOREIGN ORDER'!F2094</f>
        <v>0</v>
      </c>
      <c r="C2468">
        <f>'OPEN FOREIGN ORDER'!Z2094</f>
        <v>0</v>
      </c>
      <c r="D2468" s="123">
        <f>'OPEN FOREIGN ORDER'!AA2094</f>
        <v>0</v>
      </c>
      <c r="E2468" s="112">
        <f>'OPEN FOREIGN ORDER'!AB2094</f>
        <v>0</v>
      </c>
      <c r="F2468" s="112">
        <f>'OPEN FOREIGN ORDER'!AC2094</f>
        <v>0</v>
      </c>
      <c r="G2468" s="112">
        <f>'OPEN FOREIGN ORDER'!AD2094</f>
        <v>0</v>
      </c>
      <c r="H2468" s="112">
        <f>'OPEN FOREIGN ORDER'!AE2094</f>
        <v>0</v>
      </c>
      <c r="I2468" s="112">
        <f>'OPEN FOREIGN ORDER'!AF2094</f>
        <v>0</v>
      </c>
      <c r="J2468" s="112">
        <f>'OPEN FOREIGN ORDER'!AG2094</f>
        <v>0</v>
      </c>
    </row>
    <row r="2469" spans="1:10">
      <c r="A2469">
        <f>'OPEN FOREIGN ORDER'!D2095</f>
        <v>0</v>
      </c>
      <c r="B2469">
        <f>'OPEN FOREIGN ORDER'!F2095</f>
        <v>0</v>
      </c>
      <c r="C2469">
        <f>'OPEN FOREIGN ORDER'!Z2095</f>
        <v>0</v>
      </c>
      <c r="D2469" s="123">
        <f>'OPEN FOREIGN ORDER'!AA2095</f>
        <v>0</v>
      </c>
      <c r="E2469" s="112">
        <f>'OPEN FOREIGN ORDER'!AB2095</f>
        <v>0</v>
      </c>
      <c r="F2469" s="112">
        <f>'OPEN FOREIGN ORDER'!AC2095</f>
        <v>0</v>
      </c>
      <c r="G2469" s="112">
        <f>'OPEN FOREIGN ORDER'!AD2095</f>
        <v>0</v>
      </c>
      <c r="H2469" s="112">
        <f>'OPEN FOREIGN ORDER'!AE2095</f>
        <v>0</v>
      </c>
      <c r="I2469" s="112">
        <f>'OPEN FOREIGN ORDER'!AF2095</f>
        <v>0</v>
      </c>
      <c r="J2469" s="112">
        <f>'OPEN FOREIGN ORDER'!AG2095</f>
        <v>0</v>
      </c>
    </row>
    <row r="2470" spans="1:10">
      <c r="A2470">
        <f>'OPEN FOREIGN ORDER'!D2096</f>
        <v>0</v>
      </c>
      <c r="B2470">
        <f>'OPEN FOREIGN ORDER'!F2096</f>
        <v>0</v>
      </c>
      <c r="C2470">
        <f>'OPEN FOREIGN ORDER'!Z2096</f>
        <v>0</v>
      </c>
      <c r="D2470" s="123">
        <f>'OPEN FOREIGN ORDER'!AA2096</f>
        <v>0</v>
      </c>
      <c r="E2470" s="112">
        <f>'OPEN FOREIGN ORDER'!AB2096</f>
        <v>0</v>
      </c>
      <c r="F2470" s="112">
        <f>'OPEN FOREIGN ORDER'!AC2096</f>
        <v>0</v>
      </c>
      <c r="G2470" s="112">
        <f>'OPEN FOREIGN ORDER'!AD2096</f>
        <v>0</v>
      </c>
      <c r="H2470" s="112">
        <f>'OPEN FOREIGN ORDER'!AE2096</f>
        <v>0</v>
      </c>
      <c r="I2470" s="112">
        <f>'OPEN FOREIGN ORDER'!AF2096</f>
        <v>0</v>
      </c>
      <c r="J2470" s="112">
        <f>'OPEN FOREIGN ORDER'!AG2096</f>
        <v>0</v>
      </c>
    </row>
    <row r="2471" spans="1:10">
      <c r="A2471">
        <f>'OPEN FOREIGN ORDER'!D2097</f>
        <v>0</v>
      </c>
      <c r="B2471">
        <f>'OPEN FOREIGN ORDER'!F2097</f>
        <v>0</v>
      </c>
      <c r="C2471">
        <f>'OPEN FOREIGN ORDER'!Z2097</f>
        <v>0</v>
      </c>
      <c r="D2471" s="123">
        <f>'OPEN FOREIGN ORDER'!AA2097</f>
        <v>0</v>
      </c>
      <c r="E2471" s="112">
        <f>'OPEN FOREIGN ORDER'!AB2097</f>
        <v>0</v>
      </c>
      <c r="F2471" s="112">
        <f>'OPEN FOREIGN ORDER'!AC2097</f>
        <v>0</v>
      </c>
      <c r="G2471" s="112">
        <f>'OPEN FOREIGN ORDER'!AD2097</f>
        <v>0</v>
      </c>
      <c r="H2471" s="112">
        <f>'OPEN FOREIGN ORDER'!AE2097</f>
        <v>0</v>
      </c>
      <c r="I2471" s="112">
        <f>'OPEN FOREIGN ORDER'!AF2097</f>
        <v>0</v>
      </c>
      <c r="J2471" s="112">
        <f>'OPEN FOREIGN ORDER'!AG2097</f>
        <v>0</v>
      </c>
    </row>
    <row r="2472" spans="1:10">
      <c r="A2472">
        <f>'OPEN FOREIGN ORDER'!D2098</f>
        <v>0</v>
      </c>
      <c r="B2472">
        <f>'OPEN FOREIGN ORDER'!F2098</f>
        <v>0</v>
      </c>
      <c r="C2472">
        <f>'OPEN FOREIGN ORDER'!Z2098</f>
        <v>0</v>
      </c>
      <c r="D2472" s="123">
        <f>'OPEN FOREIGN ORDER'!AA2098</f>
        <v>0</v>
      </c>
      <c r="E2472" s="112">
        <f>'OPEN FOREIGN ORDER'!AB2098</f>
        <v>0</v>
      </c>
      <c r="F2472" s="112">
        <f>'OPEN FOREIGN ORDER'!AC2098</f>
        <v>0</v>
      </c>
      <c r="G2472" s="112">
        <f>'OPEN FOREIGN ORDER'!AD2098</f>
        <v>0</v>
      </c>
      <c r="H2472" s="112">
        <f>'OPEN FOREIGN ORDER'!AE2098</f>
        <v>0</v>
      </c>
      <c r="I2472" s="112">
        <f>'OPEN FOREIGN ORDER'!AF2098</f>
        <v>0</v>
      </c>
      <c r="J2472" s="112">
        <f>'OPEN FOREIGN ORDER'!AG2098</f>
        <v>0</v>
      </c>
    </row>
    <row r="2473" spans="1:10">
      <c r="A2473">
        <f>'OPEN FOREIGN ORDER'!D2099</f>
        <v>0</v>
      </c>
      <c r="B2473">
        <f>'OPEN FOREIGN ORDER'!F2099</f>
        <v>0</v>
      </c>
      <c r="C2473">
        <f>'OPEN FOREIGN ORDER'!Z2099</f>
        <v>0</v>
      </c>
      <c r="D2473" s="123">
        <f>'OPEN FOREIGN ORDER'!AA2099</f>
        <v>0</v>
      </c>
      <c r="E2473" s="112">
        <f>'OPEN FOREIGN ORDER'!AB2099</f>
        <v>0</v>
      </c>
      <c r="F2473" s="112">
        <f>'OPEN FOREIGN ORDER'!AC2099</f>
        <v>0</v>
      </c>
      <c r="G2473" s="112">
        <f>'OPEN FOREIGN ORDER'!AD2099</f>
        <v>0</v>
      </c>
      <c r="H2473" s="112">
        <f>'OPEN FOREIGN ORDER'!AE2099</f>
        <v>0</v>
      </c>
      <c r="I2473" s="112">
        <f>'OPEN FOREIGN ORDER'!AF2099</f>
        <v>0</v>
      </c>
      <c r="J2473" s="112">
        <f>'OPEN FOREIGN ORDER'!AG2099</f>
        <v>0</v>
      </c>
    </row>
    <row r="2474" spans="1:10">
      <c r="A2474">
        <f>'OPEN FOREIGN ORDER'!D2100</f>
        <v>0</v>
      </c>
      <c r="B2474">
        <f>'OPEN FOREIGN ORDER'!F2100</f>
        <v>0</v>
      </c>
      <c r="C2474">
        <f>'OPEN FOREIGN ORDER'!Z2100</f>
        <v>0</v>
      </c>
      <c r="D2474" s="123">
        <f>'OPEN FOREIGN ORDER'!AA2100</f>
        <v>0</v>
      </c>
      <c r="E2474" s="112">
        <f>'OPEN FOREIGN ORDER'!AB2100</f>
        <v>0</v>
      </c>
      <c r="F2474" s="112">
        <f>'OPEN FOREIGN ORDER'!AC2100</f>
        <v>0</v>
      </c>
      <c r="G2474" s="112">
        <f>'OPEN FOREIGN ORDER'!AD2100</f>
        <v>0</v>
      </c>
      <c r="H2474" s="112">
        <f>'OPEN FOREIGN ORDER'!AE2100</f>
        <v>0</v>
      </c>
      <c r="I2474" s="112">
        <f>'OPEN FOREIGN ORDER'!AF2100</f>
        <v>0</v>
      </c>
      <c r="J2474" s="112">
        <f>'OPEN FOREIGN ORDER'!AG2100</f>
        <v>0</v>
      </c>
    </row>
    <row r="2475" spans="1:10">
      <c r="A2475">
        <f>'OPEN FOREIGN ORDER'!D2101</f>
        <v>0</v>
      </c>
      <c r="B2475">
        <f>'OPEN FOREIGN ORDER'!F2101</f>
        <v>0</v>
      </c>
      <c r="C2475">
        <f>'OPEN FOREIGN ORDER'!Z2101</f>
        <v>0</v>
      </c>
      <c r="D2475" s="123">
        <f>'OPEN FOREIGN ORDER'!AA2101</f>
        <v>0</v>
      </c>
      <c r="E2475" s="112">
        <f>'OPEN FOREIGN ORDER'!AB2101</f>
        <v>0</v>
      </c>
      <c r="F2475" s="112">
        <f>'OPEN FOREIGN ORDER'!AC2101</f>
        <v>0</v>
      </c>
      <c r="G2475" s="112">
        <f>'OPEN FOREIGN ORDER'!AD2101</f>
        <v>0</v>
      </c>
      <c r="H2475" s="112">
        <f>'OPEN FOREIGN ORDER'!AE2101</f>
        <v>0</v>
      </c>
      <c r="I2475" s="112">
        <f>'OPEN FOREIGN ORDER'!AF2101</f>
        <v>0</v>
      </c>
      <c r="J2475" s="112">
        <f>'OPEN FOREIGN ORDER'!AG2101</f>
        <v>0</v>
      </c>
    </row>
    <row r="2476" spans="1:10">
      <c r="A2476">
        <f>'OPEN FOREIGN ORDER'!D2102</f>
        <v>0</v>
      </c>
      <c r="B2476">
        <f>'OPEN FOREIGN ORDER'!F2102</f>
        <v>0</v>
      </c>
      <c r="C2476">
        <f>'OPEN FOREIGN ORDER'!Z2102</f>
        <v>0</v>
      </c>
      <c r="D2476" s="123">
        <f>'OPEN FOREIGN ORDER'!AA2102</f>
        <v>0</v>
      </c>
      <c r="E2476" s="112">
        <f>'OPEN FOREIGN ORDER'!AB2102</f>
        <v>0</v>
      </c>
      <c r="F2476" s="112">
        <f>'OPEN FOREIGN ORDER'!AC2102</f>
        <v>0</v>
      </c>
      <c r="G2476" s="112">
        <f>'OPEN FOREIGN ORDER'!AD2102</f>
        <v>0</v>
      </c>
      <c r="H2476" s="112">
        <f>'OPEN FOREIGN ORDER'!AE2102</f>
        <v>0</v>
      </c>
      <c r="I2476" s="112">
        <f>'OPEN FOREIGN ORDER'!AF2102</f>
        <v>0</v>
      </c>
      <c r="J2476" s="112">
        <f>'OPEN FOREIGN ORDER'!AG2102</f>
        <v>0</v>
      </c>
    </row>
    <row r="2477" spans="1:10">
      <c r="A2477">
        <f>'OPEN FOREIGN ORDER'!D2103</f>
        <v>0</v>
      </c>
      <c r="B2477">
        <f>'OPEN FOREIGN ORDER'!F2103</f>
        <v>0</v>
      </c>
      <c r="C2477">
        <f>'OPEN FOREIGN ORDER'!Z2103</f>
        <v>0</v>
      </c>
      <c r="D2477" s="123">
        <f>'OPEN FOREIGN ORDER'!AA2103</f>
        <v>0</v>
      </c>
      <c r="E2477" s="112">
        <f>'OPEN FOREIGN ORDER'!AB2103</f>
        <v>0</v>
      </c>
      <c r="F2477" s="112">
        <f>'OPEN FOREIGN ORDER'!AC2103</f>
        <v>0</v>
      </c>
      <c r="G2477" s="112">
        <f>'OPEN FOREIGN ORDER'!AD2103</f>
        <v>0</v>
      </c>
      <c r="H2477" s="112">
        <f>'OPEN FOREIGN ORDER'!AE2103</f>
        <v>0</v>
      </c>
      <c r="I2477" s="112">
        <f>'OPEN FOREIGN ORDER'!AF2103</f>
        <v>0</v>
      </c>
      <c r="J2477" s="112">
        <f>'OPEN FOREIGN ORDER'!AG2103</f>
        <v>0</v>
      </c>
    </row>
    <row r="2478" spans="1:10">
      <c r="A2478">
        <f>'OPEN FOREIGN ORDER'!D2104</f>
        <v>0</v>
      </c>
      <c r="B2478">
        <f>'OPEN FOREIGN ORDER'!F2104</f>
        <v>0</v>
      </c>
      <c r="C2478">
        <f>'OPEN FOREIGN ORDER'!Z2104</f>
        <v>0</v>
      </c>
      <c r="D2478" s="123">
        <f>'OPEN FOREIGN ORDER'!AA2104</f>
        <v>0</v>
      </c>
      <c r="E2478" s="112">
        <f>'OPEN FOREIGN ORDER'!AB2104</f>
        <v>0</v>
      </c>
      <c r="F2478" s="112">
        <f>'OPEN FOREIGN ORDER'!AC2104</f>
        <v>0</v>
      </c>
      <c r="G2478" s="112">
        <f>'OPEN FOREIGN ORDER'!AD2104</f>
        <v>0</v>
      </c>
      <c r="H2478" s="112">
        <f>'OPEN FOREIGN ORDER'!AE2104</f>
        <v>0</v>
      </c>
      <c r="I2478" s="112">
        <f>'OPEN FOREIGN ORDER'!AF2104</f>
        <v>0</v>
      </c>
      <c r="J2478" s="112">
        <f>'OPEN FOREIGN ORDER'!AG2104</f>
        <v>0</v>
      </c>
    </row>
    <row r="2479" spans="1:10">
      <c r="A2479">
        <f>'OPEN FOREIGN ORDER'!D2105</f>
        <v>0</v>
      </c>
      <c r="B2479">
        <f>'OPEN FOREIGN ORDER'!F2105</f>
        <v>0</v>
      </c>
      <c r="C2479">
        <f>'OPEN FOREIGN ORDER'!Z2105</f>
        <v>0</v>
      </c>
      <c r="D2479" s="123">
        <f>'OPEN FOREIGN ORDER'!AA2105</f>
        <v>0</v>
      </c>
      <c r="E2479" s="112">
        <f>'OPEN FOREIGN ORDER'!AB2105</f>
        <v>0</v>
      </c>
      <c r="F2479" s="112">
        <f>'OPEN FOREIGN ORDER'!AC2105</f>
        <v>0</v>
      </c>
      <c r="G2479" s="112">
        <f>'OPEN FOREIGN ORDER'!AD2105</f>
        <v>0</v>
      </c>
      <c r="H2479" s="112">
        <f>'OPEN FOREIGN ORDER'!AE2105</f>
        <v>0</v>
      </c>
      <c r="I2479" s="112">
        <f>'OPEN FOREIGN ORDER'!AF2105</f>
        <v>0</v>
      </c>
      <c r="J2479" s="112">
        <f>'OPEN FOREIGN ORDER'!AG2105</f>
        <v>0</v>
      </c>
    </row>
    <row r="2480" spans="1:10">
      <c r="A2480">
        <f>'OPEN FOREIGN ORDER'!D2106</f>
        <v>0</v>
      </c>
      <c r="B2480">
        <f>'OPEN FOREIGN ORDER'!F2106</f>
        <v>0</v>
      </c>
      <c r="C2480">
        <f>'OPEN FOREIGN ORDER'!Z2106</f>
        <v>0</v>
      </c>
      <c r="D2480" s="123">
        <f>'OPEN FOREIGN ORDER'!AA2106</f>
        <v>0</v>
      </c>
      <c r="E2480" s="112">
        <f>'OPEN FOREIGN ORDER'!AB2106</f>
        <v>0</v>
      </c>
      <c r="F2480" s="112">
        <f>'OPEN FOREIGN ORDER'!AC2106</f>
        <v>0</v>
      </c>
      <c r="G2480" s="112">
        <f>'OPEN FOREIGN ORDER'!AD2106</f>
        <v>0</v>
      </c>
      <c r="H2480" s="112">
        <f>'OPEN FOREIGN ORDER'!AE2106</f>
        <v>0</v>
      </c>
      <c r="I2480" s="112">
        <f>'OPEN FOREIGN ORDER'!AF2106</f>
        <v>0</v>
      </c>
      <c r="J2480" s="112">
        <f>'OPEN FOREIGN ORDER'!AG2106</f>
        <v>0</v>
      </c>
    </row>
    <row r="2481" spans="1:10">
      <c r="A2481">
        <f>'OPEN FOREIGN ORDER'!D2107</f>
        <v>0</v>
      </c>
      <c r="B2481">
        <f>'OPEN FOREIGN ORDER'!F2107</f>
        <v>0</v>
      </c>
      <c r="C2481">
        <f>'OPEN FOREIGN ORDER'!Z2107</f>
        <v>0</v>
      </c>
      <c r="D2481" s="123">
        <f>'OPEN FOREIGN ORDER'!AA2107</f>
        <v>0</v>
      </c>
      <c r="E2481" s="112">
        <f>'OPEN FOREIGN ORDER'!AB2107</f>
        <v>0</v>
      </c>
      <c r="F2481" s="112">
        <f>'OPEN FOREIGN ORDER'!AC2107</f>
        <v>0</v>
      </c>
      <c r="G2481" s="112">
        <f>'OPEN FOREIGN ORDER'!AD2107</f>
        <v>0</v>
      </c>
      <c r="H2481" s="112">
        <f>'OPEN FOREIGN ORDER'!AE2107</f>
        <v>0</v>
      </c>
      <c r="I2481" s="112">
        <f>'OPEN FOREIGN ORDER'!AF2107</f>
        <v>0</v>
      </c>
      <c r="J2481" s="112">
        <f>'OPEN FOREIGN ORDER'!AG2107</f>
        <v>0</v>
      </c>
    </row>
    <row r="2482" spans="1:10">
      <c r="A2482">
        <f>'OPEN FOREIGN ORDER'!D2108</f>
        <v>0</v>
      </c>
      <c r="B2482">
        <f>'OPEN FOREIGN ORDER'!F2108</f>
        <v>0</v>
      </c>
      <c r="C2482">
        <f>'OPEN FOREIGN ORDER'!Z2108</f>
        <v>0</v>
      </c>
      <c r="D2482" s="123">
        <f>'OPEN FOREIGN ORDER'!AA2108</f>
        <v>0</v>
      </c>
      <c r="E2482" s="112">
        <f>'OPEN FOREIGN ORDER'!AB2108</f>
        <v>0</v>
      </c>
      <c r="F2482" s="112">
        <f>'OPEN FOREIGN ORDER'!AC2108</f>
        <v>0</v>
      </c>
      <c r="G2482" s="112">
        <f>'OPEN FOREIGN ORDER'!AD2108</f>
        <v>0</v>
      </c>
      <c r="H2482" s="112">
        <f>'OPEN FOREIGN ORDER'!AE2108</f>
        <v>0</v>
      </c>
      <c r="I2482" s="112">
        <f>'OPEN FOREIGN ORDER'!AF2108</f>
        <v>0</v>
      </c>
      <c r="J2482" s="112">
        <f>'OPEN FOREIGN ORDER'!AG2108</f>
        <v>0</v>
      </c>
    </row>
    <row r="2483" spans="1:10">
      <c r="A2483">
        <f>'OPEN FOREIGN ORDER'!D2109</f>
        <v>0</v>
      </c>
      <c r="B2483">
        <f>'OPEN FOREIGN ORDER'!F2109</f>
        <v>0</v>
      </c>
      <c r="C2483">
        <f>'OPEN FOREIGN ORDER'!Z2109</f>
        <v>0</v>
      </c>
      <c r="D2483" s="123">
        <f>'OPEN FOREIGN ORDER'!AA2109</f>
        <v>0</v>
      </c>
      <c r="E2483" s="112">
        <f>'OPEN FOREIGN ORDER'!AB2109</f>
        <v>0</v>
      </c>
      <c r="F2483" s="112">
        <f>'OPEN FOREIGN ORDER'!AC2109</f>
        <v>0</v>
      </c>
      <c r="G2483" s="112">
        <f>'OPEN FOREIGN ORDER'!AD2109</f>
        <v>0</v>
      </c>
      <c r="H2483" s="112">
        <f>'OPEN FOREIGN ORDER'!AE2109</f>
        <v>0</v>
      </c>
      <c r="I2483" s="112">
        <f>'OPEN FOREIGN ORDER'!AF2109</f>
        <v>0</v>
      </c>
      <c r="J2483" s="112">
        <f>'OPEN FOREIGN ORDER'!AG2109</f>
        <v>0</v>
      </c>
    </row>
    <row r="2484" spans="1:10">
      <c r="A2484">
        <f>'OPEN FOREIGN ORDER'!D2110</f>
        <v>0</v>
      </c>
      <c r="B2484">
        <f>'OPEN FOREIGN ORDER'!F2110</f>
        <v>0</v>
      </c>
      <c r="C2484">
        <f>'OPEN FOREIGN ORDER'!Z2110</f>
        <v>0</v>
      </c>
      <c r="D2484" s="123">
        <f>'OPEN FOREIGN ORDER'!AA2110</f>
        <v>0</v>
      </c>
      <c r="E2484" s="112">
        <f>'OPEN FOREIGN ORDER'!AB2110</f>
        <v>0</v>
      </c>
      <c r="F2484" s="112">
        <f>'OPEN FOREIGN ORDER'!AC2110</f>
        <v>0</v>
      </c>
      <c r="G2484" s="112">
        <f>'OPEN FOREIGN ORDER'!AD2110</f>
        <v>0</v>
      </c>
      <c r="H2484" s="112">
        <f>'OPEN FOREIGN ORDER'!AE2110</f>
        <v>0</v>
      </c>
      <c r="I2484" s="112">
        <f>'OPEN FOREIGN ORDER'!AF2110</f>
        <v>0</v>
      </c>
      <c r="J2484" s="112">
        <f>'OPEN FOREIGN ORDER'!AG2110</f>
        <v>0</v>
      </c>
    </row>
    <row r="2485" spans="1:10">
      <c r="A2485">
        <f>'OPEN FOREIGN ORDER'!D2111</f>
        <v>0</v>
      </c>
      <c r="B2485">
        <f>'OPEN FOREIGN ORDER'!F2111</f>
        <v>0</v>
      </c>
      <c r="C2485">
        <f>'OPEN FOREIGN ORDER'!Z2111</f>
        <v>0</v>
      </c>
      <c r="D2485" s="123">
        <f>'OPEN FOREIGN ORDER'!AA2111</f>
        <v>0</v>
      </c>
      <c r="E2485" s="112">
        <f>'OPEN FOREIGN ORDER'!AB2111</f>
        <v>0</v>
      </c>
      <c r="F2485" s="112">
        <f>'OPEN FOREIGN ORDER'!AC2111</f>
        <v>0</v>
      </c>
      <c r="G2485" s="112">
        <f>'OPEN FOREIGN ORDER'!AD2111</f>
        <v>0</v>
      </c>
      <c r="H2485" s="112">
        <f>'OPEN FOREIGN ORDER'!AE2111</f>
        <v>0</v>
      </c>
      <c r="I2485" s="112">
        <f>'OPEN FOREIGN ORDER'!AF2111</f>
        <v>0</v>
      </c>
      <c r="J2485" s="112">
        <f>'OPEN FOREIGN ORDER'!AG2111</f>
        <v>0</v>
      </c>
    </row>
    <row r="2486" spans="1:10">
      <c r="A2486">
        <f>'OPEN FOREIGN ORDER'!D2112</f>
        <v>0</v>
      </c>
      <c r="B2486">
        <f>'OPEN FOREIGN ORDER'!F2112</f>
        <v>0</v>
      </c>
      <c r="C2486">
        <f>'OPEN FOREIGN ORDER'!Z2112</f>
        <v>0</v>
      </c>
      <c r="D2486" s="123">
        <f>'OPEN FOREIGN ORDER'!AA2112</f>
        <v>0</v>
      </c>
      <c r="E2486" s="112">
        <f>'OPEN FOREIGN ORDER'!AB2112</f>
        <v>0</v>
      </c>
      <c r="F2486" s="112">
        <f>'OPEN FOREIGN ORDER'!AC2112</f>
        <v>0</v>
      </c>
      <c r="G2486" s="112">
        <f>'OPEN FOREIGN ORDER'!AD2112</f>
        <v>0</v>
      </c>
      <c r="H2486" s="112">
        <f>'OPEN FOREIGN ORDER'!AE2112</f>
        <v>0</v>
      </c>
      <c r="I2486" s="112">
        <f>'OPEN FOREIGN ORDER'!AF2112</f>
        <v>0</v>
      </c>
      <c r="J2486" s="112">
        <f>'OPEN FOREIGN ORDER'!AG2112</f>
        <v>0</v>
      </c>
    </row>
    <row r="2487" spans="1:10">
      <c r="A2487">
        <f>'OPEN FOREIGN ORDER'!D2113</f>
        <v>0</v>
      </c>
      <c r="B2487">
        <f>'OPEN FOREIGN ORDER'!F2113</f>
        <v>0</v>
      </c>
      <c r="C2487">
        <f>'OPEN FOREIGN ORDER'!Z2113</f>
        <v>0</v>
      </c>
      <c r="D2487" s="123">
        <f>'OPEN FOREIGN ORDER'!AA2113</f>
        <v>0</v>
      </c>
      <c r="E2487" s="112">
        <f>'OPEN FOREIGN ORDER'!AB2113</f>
        <v>0</v>
      </c>
      <c r="F2487" s="112">
        <f>'OPEN FOREIGN ORDER'!AC2113</f>
        <v>0</v>
      </c>
      <c r="G2487" s="112">
        <f>'OPEN FOREIGN ORDER'!AD2113</f>
        <v>0</v>
      </c>
      <c r="H2487" s="112">
        <f>'OPEN FOREIGN ORDER'!AE2113</f>
        <v>0</v>
      </c>
      <c r="I2487" s="112">
        <f>'OPEN FOREIGN ORDER'!AF2113</f>
        <v>0</v>
      </c>
      <c r="J2487" s="112">
        <f>'OPEN FOREIGN ORDER'!AG2113</f>
        <v>0</v>
      </c>
    </row>
    <row r="2488" spans="1:10">
      <c r="A2488">
        <f>'OPEN FOREIGN ORDER'!D2114</f>
        <v>0</v>
      </c>
      <c r="B2488">
        <f>'OPEN FOREIGN ORDER'!F2114</f>
        <v>0</v>
      </c>
      <c r="C2488">
        <f>'OPEN FOREIGN ORDER'!Z2114</f>
        <v>0</v>
      </c>
      <c r="D2488" s="123">
        <f>'OPEN FOREIGN ORDER'!AA2114</f>
        <v>0</v>
      </c>
      <c r="E2488" s="112">
        <f>'OPEN FOREIGN ORDER'!AB2114</f>
        <v>0</v>
      </c>
      <c r="F2488" s="112">
        <f>'OPEN FOREIGN ORDER'!AC2114</f>
        <v>0</v>
      </c>
      <c r="G2488" s="112">
        <f>'OPEN FOREIGN ORDER'!AD2114</f>
        <v>0</v>
      </c>
      <c r="H2488" s="112">
        <f>'OPEN FOREIGN ORDER'!AE2114</f>
        <v>0</v>
      </c>
      <c r="I2488" s="112">
        <f>'OPEN FOREIGN ORDER'!AF2114</f>
        <v>0</v>
      </c>
      <c r="J2488" s="112">
        <f>'OPEN FOREIGN ORDER'!AG2114</f>
        <v>0</v>
      </c>
    </row>
    <row r="2489" spans="1:10">
      <c r="A2489">
        <f>'OPEN FOREIGN ORDER'!D2115</f>
        <v>0</v>
      </c>
      <c r="B2489">
        <f>'OPEN FOREIGN ORDER'!F2115</f>
        <v>0</v>
      </c>
      <c r="C2489">
        <f>'OPEN FOREIGN ORDER'!Z2115</f>
        <v>0</v>
      </c>
      <c r="D2489" s="123">
        <f>'OPEN FOREIGN ORDER'!AA2115</f>
        <v>0</v>
      </c>
      <c r="E2489" s="112">
        <f>'OPEN FOREIGN ORDER'!AB2115</f>
        <v>0</v>
      </c>
      <c r="F2489" s="112">
        <f>'OPEN FOREIGN ORDER'!AC2115</f>
        <v>0</v>
      </c>
      <c r="G2489" s="112">
        <f>'OPEN FOREIGN ORDER'!AD2115</f>
        <v>0</v>
      </c>
      <c r="H2489" s="112">
        <f>'OPEN FOREIGN ORDER'!AE2115</f>
        <v>0</v>
      </c>
      <c r="I2489" s="112">
        <f>'OPEN FOREIGN ORDER'!AF2115</f>
        <v>0</v>
      </c>
      <c r="J2489" s="112">
        <f>'OPEN FOREIGN ORDER'!AG2115</f>
        <v>0</v>
      </c>
    </row>
    <row r="2490" spans="1:10">
      <c r="A2490">
        <f>'OPEN FOREIGN ORDER'!D2116</f>
        <v>0</v>
      </c>
      <c r="B2490">
        <f>'OPEN FOREIGN ORDER'!F2116</f>
        <v>0</v>
      </c>
      <c r="C2490">
        <f>'OPEN FOREIGN ORDER'!Z2116</f>
        <v>0</v>
      </c>
      <c r="D2490" s="123">
        <f>'OPEN FOREIGN ORDER'!AA2116</f>
        <v>0</v>
      </c>
      <c r="E2490" s="112">
        <f>'OPEN FOREIGN ORDER'!AB2116</f>
        <v>0</v>
      </c>
      <c r="F2490" s="112">
        <f>'OPEN FOREIGN ORDER'!AC2116</f>
        <v>0</v>
      </c>
      <c r="G2490" s="112">
        <f>'OPEN FOREIGN ORDER'!AD2116</f>
        <v>0</v>
      </c>
      <c r="H2490" s="112">
        <f>'OPEN FOREIGN ORDER'!AE2116</f>
        <v>0</v>
      </c>
      <c r="I2490" s="112">
        <f>'OPEN FOREIGN ORDER'!AF2116</f>
        <v>0</v>
      </c>
      <c r="J2490" s="112">
        <f>'OPEN FOREIGN ORDER'!AG2116</f>
        <v>0</v>
      </c>
    </row>
    <row r="2491" spans="1:10">
      <c r="A2491">
        <f>'OPEN FOREIGN ORDER'!D2117</f>
        <v>0</v>
      </c>
      <c r="B2491">
        <f>'OPEN FOREIGN ORDER'!F2117</f>
        <v>0</v>
      </c>
      <c r="C2491">
        <f>'OPEN FOREIGN ORDER'!Z2117</f>
        <v>0</v>
      </c>
      <c r="D2491" s="123">
        <f>'OPEN FOREIGN ORDER'!AA2117</f>
        <v>0</v>
      </c>
      <c r="E2491" s="112">
        <f>'OPEN FOREIGN ORDER'!AB2117</f>
        <v>0</v>
      </c>
      <c r="F2491" s="112">
        <f>'OPEN FOREIGN ORDER'!AC2117</f>
        <v>0</v>
      </c>
      <c r="G2491" s="112">
        <f>'OPEN FOREIGN ORDER'!AD2117</f>
        <v>0</v>
      </c>
      <c r="H2491" s="112">
        <f>'OPEN FOREIGN ORDER'!AE2117</f>
        <v>0</v>
      </c>
      <c r="I2491" s="112">
        <f>'OPEN FOREIGN ORDER'!AF2117</f>
        <v>0</v>
      </c>
      <c r="J2491" s="112">
        <f>'OPEN FOREIGN ORDER'!AG2117</f>
        <v>0</v>
      </c>
    </row>
    <row r="2492" spans="1:10">
      <c r="A2492">
        <f>'OPEN FOREIGN ORDER'!D2118</f>
        <v>0</v>
      </c>
      <c r="B2492">
        <f>'OPEN FOREIGN ORDER'!F2118</f>
        <v>0</v>
      </c>
      <c r="C2492">
        <f>'OPEN FOREIGN ORDER'!Z2118</f>
        <v>0</v>
      </c>
      <c r="D2492" s="123">
        <f>'OPEN FOREIGN ORDER'!AA2118</f>
        <v>0</v>
      </c>
      <c r="E2492" s="112">
        <f>'OPEN FOREIGN ORDER'!AB2118</f>
        <v>0</v>
      </c>
      <c r="F2492" s="112">
        <f>'OPEN FOREIGN ORDER'!AC2118</f>
        <v>0</v>
      </c>
      <c r="G2492" s="112">
        <f>'OPEN FOREIGN ORDER'!AD2118</f>
        <v>0</v>
      </c>
      <c r="H2492" s="112">
        <f>'OPEN FOREIGN ORDER'!AE2118</f>
        <v>0</v>
      </c>
      <c r="I2492" s="112">
        <f>'OPEN FOREIGN ORDER'!AF2118</f>
        <v>0</v>
      </c>
      <c r="J2492" s="112">
        <f>'OPEN FOREIGN ORDER'!AG2118</f>
        <v>0</v>
      </c>
    </row>
    <row r="2493" spans="1:10">
      <c r="A2493">
        <f>'OPEN FOREIGN ORDER'!D2119</f>
        <v>0</v>
      </c>
      <c r="B2493">
        <f>'OPEN FOREIGN ORDER'!F2119</f>
        <v>0</v>
      </c>
      <c r="C2493">
        <f>'OPEN FOREIGN ORDER'!Z2119</f>
        <v>0</v>
      </c>
      <c r="D2493" s="123">
        <f>'OPEN FOREIGN ORDER'!AA2119</f>
        <v>0</v>
      </c>
      <c r="E2493" s="112">
        <f>'OPEN FOREIGN ORDER'!AB2119</f>
        <v>0</v>
      </c>
      <c r="F2493" s="112">
        <f>'OPEN FOREIGN ORDER'!AC2119</f>
        <v>0</v>
      </c>
      <c r="G2493" s="112">
        <f>'OPEN FOREIGN ORDER'!AD2119</f>
        <v>0</v>
      </c>
      <c r="H2493" s="112">
        <f>'OPEN FOREIGN ORDER'!AE2119</f>
        <v>0</v>
      </c>
      <c r="I2493" s="112">
        <f>'OPEN FOREIGN ORDER'!AF2119</f>
        <v>0</v>
      </c>
      <c r="J2493" s="112">
        <f>'OPEN FOREIGN ORDER'!AG2119</f>
        <v>0</v>
      </c>
    </row>
    <row r="2494" spans="1:10">
      <c r="A2494">
        <f>'OPEN FOREIGN ORDER'!D2120</f>
        <v>0</v>
      </c>
      <c r="B2494">
        <f>'OPEN FOREIGN ORDER'!F2120</f>
        <v>0</v>
      </c>
      <c r="C2494">
        <f>'OPEN FOREIGN ORDER'!Z2120</f>
        <v>0</v>
      </c>
      <c r="D2494" s="123">
        <f>'OPEN FOREIGN ORDER'!AA2120</f>
        <v>0</v>
      </c>
      <c r="E2494" s="112">
        <f>'OPEN FOREIGN ORDER'!AB2120</f>
        <v>0</v>
      </c>
      <c r="F2494" s="112">
        <f>'OPEN FOREIGN ORDER'!AC2120</f>
        <v>0</v>
      </c>
      <c r="G2494" s="112">
        <f>'OPEN FOREIGN ORDER'!AD2120</f>
        <v>0</v>
      </c>
      <c r="H2494" s="112">
        <f>'OPEN FOREIGN ORDER'!AE2120</f>
        <v>0</v>
      </c>
      <c r="I2494" s="112">
        <f>'OPEN FOREIGN ORDER'!AF2120</f>
        <v>0</v>
      </c>
      <c r="J2494" s="112">
        <f>'OPEN FOREIGN ORDER'!AG2120</f>
        <v>0</v>
      </c>
    </row>
    <row r="2495" spans="1:10">
      <c r="A2495">
        <f>'OPEN FOREIGN ORDER'!D2121</f>
        <v>0</v>
      </c>
      <c r="B2495">
        <f>'OPEN FOREIGN ORDER'!F2121</f>
        <v>0</v>
      </c>
      <c r="C2495">
        <f>'OPEN FOREIGN ORDER'!Z2121</f>
        <v>0</v>
      </c>
      <c r="D2495" s="123">
        <f>'OPEN FOREIGN ORDER'!AA2121</f>
        <v>0</v>
      </c>
      <c r="E2495" s="112">
        <f>'OPEN FOREIGN ORDER'!AB2121</f>
        <v>0</v>
      </c>
      <c r="F2495" s="112">
        <f>'OPEN FOREIGN ORDER'!AC2121</f>
        <v>0</v>
      </c>
      <c r="G2495" s="112">
        <f>'OPEN FOREIGN ORDER'!AD2121</f>
        <v>0</v>
      </c>
      <c r="H2495" s="112">
        <f>'OPEN FOREIGN ORDER'!AE2121</f>
        <v>0</v>
      </c>
      <c r="I2495" s="112">
        <f>'OPEN FOREIGN ORDER'!AF2121</f>
        <v>0</v>
      </c>
      <c r="J2495" s="112">
        <f>'OPEN FOREIGN ORDER'!AG2121</f>
        <v>0</v>
      </c>
    </row>
    <row r="2496" spans="1:10">
      <c r="A2496">
        <f>'OPEN FOREIGN ORDER'!D2122</f>
        <v>0</v>
      </c>
      <c r="B2496">
        <f>'OPEN FOREIGN ORDER'!F2122</f>
        <v>0</v>
      </c>
      <c r="C2496">
        <f>'OPEN FOREIGN ORDER'!Z2122</f>
        <v>0</v>
      </c>
      <c r="D2496" s="123">
        <f>'OPEN FOREIGN ORDER'!AA2122</f>
        <v>0</v>
      </c>
      <c r="E2496" s="112">
        <f>'OPEN FOREIGN ORDER'!AB2122</f>
        <v>0</v>
      </c>
      <c r="F2496" s="112">
        <f>'OPEN FOREIGN ORDER'!AC2122</f>
        <v>0</v>
      </c>
      <c r="G2496" s="112">
        <f>'OPEN FOREIGN ORDER'!AD2122</f>
        <v>0</v>
      </c>
      <c r="H2496" s="112">
        <f>'OPEN FOREIGN ORDER'!AE2122</f>
        <v>0</v>
      </c>
      <c r="I2496" s="112">
        <f>'OPEN FOREIGN ORDER'!AF2122</f>
        <v>0</v>
      </c>
      <c r="J2496" s="112">
        <f>'OPEN FOREIGN ORDER'!AG2122</f>
        <v>0</v>
      </c>
    </row>
    <row r="2497" spans="1:10">
      <c r="A2497">
        <f>'OPEN FOREIGN ORDER'!D2123</f>
        <v>0</v>
      </c>
      <c r="B2497">
        <f>'OPEN FOREIGN ORDER'!F2123</f>
        <v>0</v>
      </c>
      <c r="C2497">
        <f>'OPEN FOREIGN ORDER'!Z2123</f>
        <v>0</v>
      </c>
      <c r="D2497" s="123">
        <f>'OPEN FOREIGN ORDER'!AA2123</f>
        <v>0</v>
      </c>
      <c r="E2497" s="112">
        <f>'OPEN FOREIGN ORDER'!AB2123</f>
        <v>0</v>
      </c>
      <c r="F2497" s="112">
        <f>'OPEN FOREIGN ORDER'!AC2123</f>
        <v>0</v>
      </c>
      <c r="G2497" s="112">
        <f>'OPEN FOREIGN ORDER'!AD2123</f>
        <v>0</v>
      </c>
      <c r="H2497" s="112">
        <f>'OPEN FOREIGN ORDER'!AE2123</f>
        <v>0</v>
      </c>
      <c r="I2497" s="112">
        <f>'OPEN FOREIGN ORDER'!AF2123</f>
        <v>0</v>
      </c>
      <c r="J2497" s="112">
        <f>'OPEN FOREIGN ORDER'!AG2123</f>
        <v>0</v>
      </c>
    </row>
    <row r="2498" spans="1:10">
      <c r="A2498">
        <f>'OPEN FOREIGN ORDER'!D2124</f>
        <v>0</v>
      </c>
      <c r="B2498">
        <f>'OPEN FOREIGN ORDER'!F2124</f>
        <v>0</v>
      </c>
      <c r="C2498">
        <f>'OPEN FOREIGN ORDER'!Z2124</f>
        <v>0</v>
      </c>
      <c r="D2498" s="123">
        <f>'OPEN FOREIGN ORDER'!AA2124</f>
        <v>0</v>
      </c>
      <c r="E2498" s="112">
        <f>'OPEN FOREIGN ORDER'!AB2124</f>
        <v>0</v>
      </c>
      <c r="F2498" s="112">
        <f>'OPEN FOREIGN ORDER'!AC2124</f>
        <v>0</v>
      </c>
      <c r="G2498" s="112">
        <f>'OPEN FOREIGN ORDER'!AD2124</f>
        <v>0</v>
      </c>
      <c r="H2498" s="112">
        <f>'OPEN FOREIGN ORDER'!AE2124</f>
        <v>0</v>
      </c>
      <c r="I2498" s="112">
        <f>'OPEN FOREIGN ORDER'!AF2124</f>
        <v>0</v>
      </c>
      <c r="J2498" s="112">
        <f>'OPEN FOREIGN ORDER'!AG2124</f>
        <v>0</v>
      </c>
    </row>
    <row r="2499" spans="1:10">
      <c r="A2499">
        <f>'OPEN FOREIGN ORDER'!D2125</f>
        <v>0</v>
      </c>
      <c r="B2499">
        <f>'OPEN FOREIGN ORDER'!F2125</f>
        <v>0</v>
      </c>
      <c r="C2499">
        <f>'OPEN FOREIGN ORDER'!Z2125</f>
        <v>0</v>
      </c>
      <c r="D2499" s="123">
        <f>'OPEN FOREIGN ORDER'!AA2125</f>
        <v>0</v>
      </c>
      <c r="E2499" s="112">
        <f>'OPEN FOREIGN ORDER'!AB2125</f>
        <v>0</v>
      </c>
      <c r="F2499" s="112">
        <f>'OPEN FOREIGN ORDER'!AC2125</f>
        <v>0</v>
      </c>
      <c r="G2499" s="112">
        <f>'OPEN FOREIGN ORDER'!AD2125</f>
        <v>0</v>
      </c>
      <c r="H2499" s="112">
        <f>'OPEN FOREIGN ORDER'!AE2125</f>
        <v>0</v>
      </c>
      <c r="I2499" s="112">
        <f>'OPEN FOREIGN ORDER'!AF2125</f>
        <v>0</v>
      </c>
      <c r="J2499" s="112">
        <f>'OPEN FOREIGN ORDER'!AG2125</f>
        <v>0</v>
      </c>
    </row>
    <row r="2500" spans="1:10">
      <c r="A2500">
        <f>'OPEN FOREIGN ORDER'!D2126</f>
        <v>0</v>
      </c>
      <c r="B2500">
        <f>'OPEN FOREIGN ORDER'!F2126</f>
        <v>0</v>
      </c>
      <c r="C2500">
        <f>'OPEN FOREIGN ORDER'!Z2126</f>
        <v>0</v>
      </c>
      <c r="D2500" s="123">
        <f>'OPEN FOREIGN ORDER'!AA2126</f>
        <v>0</v>
      </c>
      <c r="E2500" s="112">
        <f>'OPEN FOREIGN ORDER'!AB2126</f>
        <v>0</v>
      </c>
      <c r="F2500" s="112">
        <f>'OPEN FOREIGN ORDER'!AC2126</f>
        <v>0</v>
      </c>
      <c r="G2500" s="112">
        <f>'OPEN FOREIGN ORDER'!AD2126</f>
        <v>0</v>
      </c>
      <c r="H2500" s="112">
        <f>'OPEN FOREIGN ORDER'!AE2126</f>
        <v>0</v>
      </c>
      <c r="I2500" s="112">
        <f>'OPEN FOREIGN ORDER'!AF2126</f>
        <v>0</v>
      </c>
      <c r="J2500" s="112">
        <f>'OPEN FOREIGN ORDER'!AG2126</f>
        <v>0</v>
      </c>
    </row>
    <row r="2501" spans="1:10">
      <c r="A2501">
        <f>'OPEN FOREIGN ORDER'!D2127</f>
        <v>0</v>
      </c>
      <c r="B2501">
        <f>'OPEN FOREIGN ORDER'!F2127</f>
        <v>0</v>
      </c>
      <c r="C2501">
        <f>'OPEN FOREIGN ORDER'!Z2127</f>
        <v>0</v>
      </c>
      <c r="D2501" s="123">
        <f>'OPEN FOREIGN ORDER'!AA2127</f>
        <v>0</v>
      </c>
      <c r="E2501" s="112">
        <f>'OPEN FOREIGN ORDER'!AB2127</f>
        <v>0</v>
      </c>
      <c r="F2501" s="112">
        <f>'OPEN FOREIGN ORDER'!AC2127</f>
        <v>0</v>
      </c>
      <c r="G2501" s="112">
        <f>'OPEN FOREIGN ORDER'!AD2127</f>
        <v>0</v>
      </c>
      <c r="H2501" s="112">
        <f>'OPEN FOREIGN ORDER'!AE2127</f>
        <v>0</v>
      </c>
      <c r="I2501" s="112">
        <f>'OPEN FOREIGN ORDER'!AF2127</f>
        <v>0</v>
      </c>
      <c r="J2501" s="112">
        <f>'OPEN FOREIGN ORDER'!AG2127</f>
        <v>0</v>
      </c>
    </row>
    <row r="2502" spans="1:10">
      <c r="A2502">
        <f>'OPEN FOREIGN ORDER'!D2128</f>
        <v>0</v>
      </c>
      <c r="B2502">
        <f>'OPEN FOREIGN ORDER'!F2128</f>
        <v>0</v>
      </c>
      <c r="C2502">
        <f>'OPEN FOREIGN ORDER'!Z2128</f>
        <v>0</v>
      </c>
      <c r="D2502" s="123">
        <f>'OPEN FOREIGN ORDER'!AA2128</f>
        <v>0</v>
      </c>
      <c r="E2502" s="112">
        <f>'OPEN FOREIGN ORDER'!AB2128</f>
        <v>0</v>
      </c>
      <c r="F2502" s="112">
        <f>'OPEN FOREIGN ORDER'!AC2128</f>
        <v>0</v>
      </c>
      <c r="G2502" s="112">
        <f>'OPEN FOREIGN ORDER'!AD2128</f>
        <v>0</v>
      </c>
      <c r="H2502" s="112">
        <f>'OPEN FOREIGN ORDER'!AE2128</f>
        <v>0</v>
      </c>
      <c r="I2502" s="112">
        <f>'OPEN FOREIGN ORDER'!AF2128</f>
        <v>0</v>
      </c>
      <c r="J2502" s="112">
        <f>'OPEN FOREIGN ORDER'!AG2128</f>
        <v>0</v>
      </c>
    </row>
    <row r="2503" spans="1:10">
      <c r="A2503">
        <f>'OPEN FOREIGN ORDER'!D2129</f>
        <v>0</v>
      </c>
      <c r="B2503">
        <f>'OPEN FOREIGN ORDER'!F2129</f>
        <v>0</v>
      </c>
      <c r="C2503">
        <f>'OPEN FOREIGN ORDER'!Z2129</f>
        <v>0</v>
      </c>
      <c r="D2503" s="123">
        <f>'OPEN FOREIGN ORDER'!AA2129</f>
        <v>0</v>
      </c>
      <c r="E2503" s="112">
        <f>'OPEN FOREIGN ORDER'!AB2129</f>
        <v>0</v>
      </c>
      <c r="F2503" s="112">
        <f>'OPEN FOREIGN ORDER'!AC2129</f>
        <v>0</v>
      </c>
      <c r="G2503" s="112">
        <f>'OPEN FOREIGN ORDER'!AD2129</f>
        <v>0</v>
      </c>
      <c r="H2503" s="112">
        <f>'OPEN FOREIGN ORDER'!AE2129</f>
        <v>0</v>
      </c>
      <c r="I2503" s="112">
        <f>'OPEN FOREIGN ORDER'!AF2129</f>
        <v>0</v>
      </c>
      <c r="J2503" s="112">
        <f>'OPEN FOREIGN ORDER'!AG2129</f>
        <v>0</v>
      </c>
    </row>
    <row r="2504" spans="1:10">
      <c r="A2504">
        <f>'OPEN FOREIGN ORDER'!D2130</f>
        <v>0</v>
      </c>
      <c r="B2504">
        <f>'OPEN FOREIGN ORDER'!F2130</f>
        <v>0</v>
      </c>
      <c r="C2504">
        <f>'OPEN FOREIGN ORDER'!Z2130</f>
        <v>0</v>
      </c>
      <c r="D2504" s="123">
        <f>'OPEN FOREIGN ORDER'!AA2130</f>
        <v>0</v>
      </c>
      <c r="E2504" s="112">
        <f>'OPEN FOREIGN ORDER'!AB2130</f>
        <v>0</v>
      </c>
      <c r="F2504" s="112">
        <f>'OPEN FOREIGN ORDER'!AC2130</f>
        <v>0</v>
      </c>
      <c r="G2504" s="112">
        <f>'OPEN FOREIGN ORDER'!AD2130</f>
        <v>0</v>
      </c>
      <c r="H2504" s="112">
        <f>'OPEN FOREIGN ORDER'!AE2130</f>
        <v>0</v>
      </c>
      <c r="I2504" s="112">
        <f>'OPEN FOREIGN ORDER'!AF2130</f>
        <v>0</v>
      </c>
      <c r="J2504" s="112">
        <f>'OPEN FOREIGN ORDER'!AG2130</f>
        <v>0</v>
      </c>
    </row>
    <row r="2505" spans="1:10">
      <c r="A2505">
        <f>'OPEN FOREIGN ORDER'!D2131</f>
        <v>0</v>
      </c>
      <c r="B2505">
        <f>'OPEN FOREIGN ORDER'!F2131</f>
        <v>0</v>
      </c>
      <c r="C2505">
        <f>'OPEN FOREIGN ORDER'!Z2131</f>
        <v>0</v>
      </c>
      <c r="D2505" s="123">
        <f>'OPEN FOREIGN ORDER'!AA2131</f>
        <v>0</v>
      </c>
      <c r="E2505" s="112">
        <f>'OPEN FOREIGN ORDER'!AB2131</f>
        <v>0</v>
      </c>
      <c r="F2505" s="112">
        <f>'OPEN FOREIGN ORDER'!AC2131</f>
        <v>0</v>
      </c>
      <c r="G2505" s="112">
        <f>'OPEN FOREIGN ORDER'!AD2131</f>
        <v>0</v>
      </c>
      <c r="H2505" s="112">
        <f>'OPEN FOREIGN ORDER'!AE2131</f>
        <v>0</v>
      </c>
      <c r="I2505" s="112">
        <f>'OPEN FOREIGN ORDER'!AF2131</f>
        <v>0</v>
      </c>
      <c r="J2505" s="112">
        <f>'OPEN FOREIGN ORDER'!AG2131</f>
        <v>0</v>
      </c>
    </row>
    <row r="2506" spans="1:10">
      <c r="A2506">
        <f>'OPEN FOREIGN ORDER'!D2132</f>
        <v>0</v>
      </c>
      <c r="B2506">
        <f>'OPEN FOREIGN ORDER'!F2132</f>
        <v>0</v>
      </c>
      <c r="C2506">
        <f>'OPEN FOREIGN ORDER'!Z2132</f>
        <v>0</v>
      </c>
      <c r="D2506" s="123">
        <f>'OPEN FOREIGN ORDER'!AA2132</f>
        <v>0</v>
      </c>
      <c r="E2506" s="112">
        <f>'OPEN FOREIGN ORDER'!AB2132</f>
        <v>0</v>
      </c>
      <c r="F2506" s="112">
        <f>'OPEN FOREIGN ORDER'!AC2132</f>
        <v>0</v>
      </c>
      <c r="G2506" s="112">
        <f>'OPEN FOREIGN ORDER'!AD2132</f>
        <v>0</v>
      </c>
      <c r="H2506" s="112">
        <f>'OPEN FOREIGN ORDER'!AE2132</f>
        <v>0</v>
      </c>
      <c r="I2506" s="112">
        <f>'OPEN FOREIGN ORDER'!AF2132</f>
        <v>0</v>
      </c>
      <c r="J2506" s="112">
        <f>'OPEN FOREIGN ORDER'!AG2132</f>
        <v>0</v>
      </c>
    </row>
    <row r="2507" spans="1:10">
      <c r="A2507">
        <f>'OPEN FOREIGN ORDER'!D2133</f>
        <v>0</v>
      </c>
      <c r="B2507">
        <f>'OPEN FOREIGN ORDER'!F2133</f>
        <v>0</v>
      </c>
      <c r="C2507">
        <f>'OPEN FOREIGN ORDER'!Z2133</f>
        <v>0</v>
      </c>
      <c r="D2507" s="123">
        <f>'OPEN FOREIGN ORDER'!AA2133</f>
        <v>0</v>
      </c>
      <c r="E2507" s="112">
        <f>'OPEN FOREIGN ORDER'!AB2133</f>
        <v>0</v>
      </c>
      <c r="F2507" s="112">
        <f>'OPEN FOREIGN ORDER'!AC2133</f>
        <v>0</v>
      </c>
      <c r="G2507" s="112">
        <f>'OPEN FOREIGN ORDER'!AD2133</f>
        <v>0</v>
      </c>
      <c r="H2507" s="112">
        <f>'OPEN FOREIGN ORDER'!AE2133</f>
        <v>0</v>
      </c>
      <c r="I2507" s="112">
        <f>'OPEN FOREIGN ORDER'!AF2133</f>
        <v>0</v>
      </c>
      <c r="J2507" s="112">
        <f>'OPEN FOREIGN ORDER'!AG2133</f>
        <v>0</v>
      </c>
    </row>
    <row r="2508" spans="1:10">
      <c r="A2508">
        <f>'OPEN FOREIGN ORDER'!D2134</f>
        <v>0</v>
      </c>
      <c r="B2508">
        <f>'OPEN FOREIGN ORDER'!F2134</f>
        <v>0</v>
      </c>
      <c r="C2508">
        <f>'OPEN FOREIGN ORDER'!Z2134</f>
        <v>0</v>
      </c>
      <c r="D2508" s="123">
        <f>'OPEN FOREIGN ORDER'!AA2134</f>
        <v>0</v>
      </c>
      <c r="E2508" s="112">
        <f>'OPEN FOREIGN ORDER'!AB2134</f>
        <v>0</v>
      </c>
      <c r="F2508" s="112">
        <f>'OPEN FOREIGN ORDER'!AC2134</f>
        <v>0</v>
      </c>
      <c r="G2508" s="112">
        <f>'OPEN FOREIGN ORDER'!AD2134</f>
        <v>0</v>
      </c>
      <c r="H2508" s="112">
        <f>'OPEN FOREIGN ORDER'!AE2134</f>
        <v>0</v>
      </c>
      <c r="I2508" s="112">
        <f>'OPEN FOREIGN ORDER'!AF2134</f>
        <v>0</v>
      </c>
      <c r="J2508" s="112">
        <f>'OPEN FOREIGN ORDER'!AG2134</f>
        <v>0</v>
      </c>
    </row>
    <row r="2509" spans="1:10">
      <c r="A2509">
        <f>'OPEN FOREIGN ORDER'!D2135</f>
        <v>0</v>
      </c>
      <c r="B2509">
        <f>'OPEN FOREIGN ORDER'!F2135</f>
        <v>0</v>
      </c>
      <c r="C2509">
        <f>'OPEN FOREIGN ORDER'!Z2135</f>
        <v>0</v>
      </c>
      <c r="D2509" s="123">
        <f>'OPEN FOREIGN ORDER'!AA2135</f>
        <v>0</v>
      </c>
      <c r="E2509" s="112">
        <f>'OPEN FOREIGN ORDER'!AB2135</f>
        <v>0</v>
      </c>
      <c r="F2509" s="112">
        <f>'OPEN FOREIGN ORDER'!AC2135</f>
        <v>0</v>
      </c>
      <c r="G2509" s="112">
        <f>'OPEN FOREIGN ORDER'!AD2135</f>
        <v>0</v>
      </c>
      <c r="H2509" s="112">
        <f>'OPEN FOREIGN ORDER'!AE2135</f>
        <v>0</v>
      </c>
      <c r="I2509" s="112">
        <f>'OPEN FOREIGN ORDER'!AF2135</f>
        <v>0</v>
      </c>
      <c r="J2509" s="112">
        <f>'OPEN FOREIGN ORDER'!AG2135</f>
        <v>0</v>
      </c>
    </row>
    <row r="2510" spans="1:10">
      <c r="A2510">
        <f>'OPEN FOREIGN ORDER'!D2136</f>
        <v>0</v>
      </c>
      <c r="B2510">
        <f>'OPEN FOREIGN ORDER'!F2136</f>
        <v>0</v>
      </c>
      <c r="C2510">
        <f>'OPEN FOREIGN ORDER'!Z2136</f>
        <v>0</v>
      </c>
      <c r="D2510" s="123">
        <f>'OPEN FOREIGN ORDER'!AA2136</f>
        <v>0</v>
      </c>
      <c r="E2510" s="112">
        <f>'OPEN FOREIGN ORDER'!AB2136</f>
        <v>0</v>
      </c>
      <c r="F2510" s="112">
        <f>'OPEN FOREIGN ORDER'!AC2136</f>
        <v>0</v>
      </c>
      <c r="G2510" s="112">
        <f>'OPEN FOREIGN ORDER'!AD2136</f>
        <v>0</v>
      </c>
      <c r="H2510" s="112">
        <f>'OPEN FOREIGN ORDER'!AE2136</f>
        <v>0</v>
      </c>
      <c r="I2510" s="112">
        <f>'OPEN FOREIGN ORDER'!AF2136</f>
        <v>0</v>
      </c>
      <c r="J2510" s="112">
        <f>'OPEN FOREIGN ORDER'!AG2136</f>
        <v>0</v>
      </c>
    </row>
    <row r="2511" spans="1:10">
      <c r="A2511">
        <f>'OPEN FOREIGN ORDER'!D2137</f>
        <v>0</v>
      </c>
      <c r="B2511">
        <f>'OPEN FOREIGN ORDER'!F2137</f>
        <v>0</v>
      </c>
      <c r="C2511">
        <f>'OPEN FOREIGN ORDER'!Z2137</f>
        <v>0</v>
      </c>
      <c r="D2511" s="123">
        <f>'OPEN FOREIGN ORDER'!AA2137</f>
        <v>0</v>
      </c>
      <c r="E2511" s="112">
        <f>'OPEN FOREIGN ORDER'!AB2137</f>
        <v>0</v>
      </c>
      <c r="F2511" s="112">
        <f>'OPEN FOREIGN ORDER'!AC2137</f>
        <v>0</v>
      </c>
      <c r="G2511" s="112">
        <f>'OPEN FOREIGN ORDER'!AD2137</f>
        <v>0</v>
      </c>
      <c r="H2511" s="112">
        <f>'OPEN FOREIGN ORDER'!AE2137</f>
        <v>0</v>
      </c>
      <c r="I2511" s="112">
        <f>'OPEN FOREIGN ORDER'!AF2137</f>
        <v>0</v>
      </c>
      <c r="J2511" s="112">
        <f>'OPEN FOREIGN ORDER'!AG2137</f>
        <v>0</v>
      </c>
    </row>
    <row r="2512" spans="1:10">
      <c r="A2512">
        <f>'OPEN FOREIGN ORDER'!D2138</f>
        <v>0</v>
      </c>
      <c r="B2512">
        <f>'OPEN FOREIGN ORDER'!F2138</f>
        <v>0</v>
      </c>
      <c r="C2512">
        <f>'OPEN FOREIGN ORDER'!Z2138</f>
        <v>0</v>
      </c>
      <c r="D2512" s="123">
        <f>'OPEN FOREIGN ORDER'!AA2138</f>
        <v>0</v>
      </c>
      <c r="E2512" s="112">
        <f>'OPEN FOREIGN ORDER'!AB2138</f>
        <v>0</v>
      </c>
      <c r="F2512" s="112">
        <f>'OPEN FOREIGN ORDER'!AC2138</f>
        <v>0</v>
      </c>
      <c r="G2512" s="112">
        <f>'OPEN FOREIGN ORDER'!AD2138</f>
        <v>0</v>
      </c>
      <c r="H2512" s="112">
        <f>'OPEN FOREIGN ORDER'!AE2138</f>
        <v>0</v>
      </c>
      <c r="I2512" s="112">
        <f>'OPEN FOREIGN ORDER'!AF2138</f>
        <v>0</v>
      </c>
      <c r="J2512" s="112">
        <f>'OPEN FOREIGN ORDER'!AG2138</f>
        <v>0</v>
      </c>
    </row>
    <row r="2513" spans="1:10">
      <c r="A2513">
        <f>'OPEN FOREIGN ORDER'!D2139</f>
        <v>0</v>
      </c>
      <c r="B2513">
        <f>'OPEN FOREIGN ORDER'!F2139</f>
        <v>0</v>
      </c>
      <c r="C2513">
        <f>'OPEN FOREIGN ORDER'!Z2139</f>
        <v>0</v>
      </c>
      <c r="D2513" s="123">
        <f>'OPEN FOREIGN ORDER'!AA2139</f>
        <v>0</v>
      </c>
      <c r="E2513" s="112">
        <f>'OPEN FOREIGN ORDER'!AB2139</f>
        <v>0</v>
      </c>
      <c r="F2513" s="112">
        <f>'OPEN FOREIGN ORDER'!AC2139</f>
        <v>0</v>
      </c>
      <c r="G2513" s="112">
        <f>'OPEN FOREIGN ORDER'!AD2139</f>
        <v>0</v>
      </c>
      <c r="H2513" s="112">
        <f>'OPEN FOREIGN ORDER'!AE2139</f>
        <v>0</v>
      </c>
      <c r="I2513" s="112">
        <f>'OPEN FOREIGN ORDER'!AF2139</f>
        <v>0</v>
      </c>
      <c r="J2513" s="112">
        <f>'OPEN FOREIGN ORDER'!AG2139</f>
        <v>0</v>
      </c>
    </row>
    <row r="2514" spans="1:10">
      <c r="A2514">
        <f>'OPEN FOREIGN ORDER'!D2140</f>
        <v>0</v>
      </c>
      <c r="B2514">
        <f>'OPEN FOREIGN ORDER'!F2140</f>
        <v>0</v>
      </c>
      <c r="C2514">
        <f>'OPEN FOREIGN ORDER'!Z2140</f>
        <v>0</v>
      </c>
      <c r="D2514" s="123">
        <f>'OPEN FOREIGN ORDER'!AA2140</f>
        <v>0</v>
      </c>
      <c r="E2514" s="112">
        <f>'OPEN FOREIGN ORDER'!AB2140</f>
        <v>0</v>
      </c>
      <c r="F2514" s="112">
        <f>'OPEN FOREIGN ORDER'!AC2140</f>
        <v>0</v>
      </c>
      <c r="G2514" s="112">
        <f>'OPEN FOREIGN ORDER'!AD2140</f>
        <v>0</v>
      </c>
      <c r="H2514" s="112">
        <f>'OPEN FOREIGN ORDER'!AE2140</f>
        <v>0</v>
      </c>
      <c r="I2514" s="112">
        <f>'OPEN FOREIGN ORDER'!AF2140</f>
        <v>0</v>
      </c>
      <c r="J2514" s="112">
        <f>'OPEN FOREIGN ORDER'!AG2140</f>
        <v>0</v>
      </c>
    </row>
    <row r="2515" spans="1:10">
      <c r="A2515">
        <f>'OPEN FOREIGN ORDER'!D2141</f>
        <v>0</v>
      </c>
      <c r="B2515">
        <f>'OPEN FOREIGN ORDER'!F2141</f>
        <v>0</v>
      </c>
      <c r="C2515">
        <f>'OPEN FOREIGN ORDER'!Z2141</f>
        <v>0</v>
      </c>
      <c r="D2515" s="123">
        <f>'OPEN FOREIGN ORDER'!AA2141</f>
        <v>0</v>
      </c>
      <c r="E2515" s="112">
        <f>'OPEN FOREIGN ORDER'!AB2141</f>
        <v>0</v>
      </c>
      <c r="F2515" s="112">
        <f>'OPEN FOREIGN ORDER'!AC2141</f>
        <v>0</v>
      </c>
      <c r="G2515" s="112">
        <f>'OPEN FOREIGN ORDER'!AD2141</f>
        <v>0</v>
      </c>
      <c r="H2515" s="112">
        <f>'OPEN FOREIGN ORDER'!AE2141</f>
        <v>0</v>
      </c>
      <c r="I2515" s="112">
        <f>'OPEN FOREIGN ORDER'!AF2141</f>
        <v>0</v>
      </c>
      <c r="J2515" s="112">
        <f>'OPEN FOREIGN ORDER'!AG2141</f>
        <v>0</v>
      </c>
    </row>
    <row r="2516" spans="1:10">
      <c r="A2516">
        <f>'OPEN FOREIGN ORDER'!D2142</f>
        <v>0</v>
      </c>
      <c r="B2516">
        <f>'OPEN FOREIGN ORDER'!F2142</f>
        <v>0</v>
      </c>
      <c r="C2516">
        <f>'OPEN FOREIGN ORDER'!Z2142</f>
        <v>0</v>
      </c>
      <c r="D2516" s="123">
        <f>'OPEN FOREIGN ORDER'!AA2142</f>
        <v>0</v>
      </c>
      <c r="E2516" s="112">
        <f>'OPEN FOREIGN ORDER'!AB2142</f>
        <v>0</v>
      </c>
      <c r="F2516" s="112">
        <f>'OPEN FOREIGN ORDER'!AC2142</f>
        <v>0</v>
      </c>
      <c r="G2516" s="112">
        <f>'OPEN FOREIGN ORDER'!AD2142</f>
        <v>0</v>
      </c>
      <c r="H2516" s="112">
        <f>'OPEN FOREIGN ORDER'!AE2142</f>
        <v>0</v>
      </c>
      <c r="I2516" s="112">
        <f>'OPEN FOREIGN ORDER'!AF2142</f>
        <v>0</v>
      </c>
      <c r="J2516" s="112">
        <f>'OPEN FOREIGN ORDER'!AG2142</f>
        <v>0</v>
      </c>
    </row>
    <row r="2517" spans="1:10">
      <c r="A2517">
        <f>'OPEN FOREIGN ORDER'!D2143</f>
        <v>0</v>
      </c>
      <c r="B2517">
        <f>'OPEN FOREIGN ORDER'!F2143</f>
        <v>0</v>
      </c>
      <c r="C2517">
        <f>'OPEN FOREIGN ORDER'!Z2143</f>
        <v>0</v>
      </c>
      <c r="D2517" s="123">
        <f>'OPEN FOREIGN ORDER'!AA2143</f>
        <v>0</v>
      </c>
      <c r="E2517" s="112">
        <f>'OPEN FOREIGN ORDER'!AB2143</f>
        <v>0</v>
      </c>
      <c r="F2517" s="112">
        <f>'OPEN FOREIGN ORDER'!AC2143</f>
        <v>0</v>
      </c>
      <c r="G2517" s="112">
        <f>'OPEN FOREIGN ORDER'!AD2143</f>
        <v>0</v>
      </c>
      <c r="H2517" s="112">
        <f>'OPEN FOREIGN ORDER'!AE2143</f>
        <v>0</v>
      </c>
      <c r="I2517" s="112">
        <f>'OPEN FOREIGN ORDER'!AF2143</f>
        <v>0</v>
      </c>
      <c r="J2517" s="112">
        <f>'OPEN FOREIGN ORDER'!AG2143</f>
        <v>0</v>
      </c>
    </row>
    <row r="2518" spans="1:10">
      <c r="A2518">
        <f>'OPEN FOREIGN ORDER'!D2144</f>
        <v>0</v>
      </c>
      <c r="B2518">
        <f>'OPEN FOREIGN ORDER'!F2144</f>
        <v>0</v>
      </c>
      <c r="C2518">
        <f>'OPEN FOREIGN ORDER'!Z2144</f>
        <v>0</v>
      </c>
      <c r="D2518" s="123">
        <f>'OPEN FOREIGN ORDER'!AA2144</f>
        <v>0</v>
      </c>
      <c r="E2518" s="112">
        <f>'OPEN FOREIGN ORDER'!AB2144</f>
        <v>0</v>
      </c>
      <c r="F2518" s="112">
        <f>'OPEN FOREIGN ORDER'!AC2144</f>
        <v>0</v>
      </c>
      <c r="G2518" s="112">
        <f>'OPEN FOREIGN ORDER'!AD2144</f>
        <v>0</v>
      </c>
      <c r="H2518" s="112">
        <f>'OPEN FOREIGN ORDER'!AE2144</f>
        <v>0</v>
      </c>
      <c r="I2518" s="112">
        <f>'OPEN FOREIGN ORDER'!AF2144</f>
        <v>0</v>
      </c>
      <c r="J2518" s="112">
        <f>'OPEN FOREIGN ORDER'!AG2144</f>
        <v>0</v>
      </c>
    </row>
    <row r="2519" spans="1:10">
      <c r="A2519">
        <f>'OPEN FOREIGN ORDER'!D2145</f>
        <v>0</v>
      </c>
      <c r="B2519">
        <f>'OPEN FOREIGN ORDER'!F2145</f>
        <v>0</v>
      </c>
      <c r="C2519">
        <f>'OPEN FOREIGN ORDER'!Z2145</f>
        <v>0</v>
      </c>
      <c r="D2519" s="123">
        <f>'OPEN FOREIGN ORDER'!AA2145</f>
        <v>0</v>
      </c>
      <c r="E2519" s="112">
        <f>'OPEN FOREIGN ORDER'!AB2145</f>
        <v>0</v>
      </c>
      <c r="F2519" s="112">
        <f>'OPEN FOREIGN ORDER'!AC2145</f>
        <v>0</v>
      </c>
      <c r="G2519" s="112">
        <f>'OPEN FOREIGN ORDER'!AD2145</f>
        <v>0</v>
      </c>
      <c r="H2519" s="112">
        <f>'OPEN FOREIGN ORDER'!AE2145</f>
        <v>0</v>
      </c>
      <c r="I2519" s="112">
        <f>'OPEN FOREIGN ORDER'!AF2145</f>
        <v>0</v>
      </c>
      <c r="J2519" s="112">
        <f>'OPEN FOREIGN ORDER'!AG2145</f>
        <v>0</v>
      </c>
    </row>
    <row r="2520" spans="1:10">
      <c r="A2520">
        <f>'OPEN FOREIGN ORDER'!D2146</f>
        <v>0</v>
      </c>
      <c r="B2520">
        <f>'OPEN FOREIGN ORDER'!F2146</f>
        <v>0</v>
      </c>
      <c r="C2520">
        <f>'OPEN FOREIGN ORDER'!Z2146</f>
        <v>0</v>
      </c>
      <c r="D2520" s="123">
        <f>'OPEN FOREIGN ORDER'!AA2146</f>
        <v>0</v>
      </c>
      <c r="E2520" s="112">
        <f>'OPEN FOREIGN ORDER'!AB2146</f>
        <v>0</v>
      </c>
      <c r="F2520" s="112">
        <f>'OPEN FOREIGN ORDER'!AC2146</f>
        <v>0</v>
      </c>
      <c r="G2520" s="112">
        <f>'OPEN FOREIGN ORDER'!AD2146</f>
        <v>0</v>
      </c>
      <c r="H2520" s="112">
        <f>'OPEN FOREIGN ORDER'!AE2146</f>
        <v>0</v>
      </c>
      <c r="I2520" s="112">
        <f>'OPEN FOREIGN ORDER'!AF2146</f>
        <v>0</v>
      </c>
      <c r="J2520" s="112">
        <f>'OPEN FOREIGN ORDER'!AG2146</f>
        <v>0</v>
      </c>
    </row>
    <row r="2521" spans="1:10">
      <c r="A2521">
        <f>'OPEN FOREIGN ORDER'!D2147</f>
        <v>0</v>
      </c>
      <c r="B2521">
        <f>'OPEN FOREIGN ORDER'!F2147</f>
        <v>0</v>
      </c>
      <c r="C2521">
        <f>'OPEN FOREIGN ORDER'!Z2147</f>
        <v>0</v>
      </c>
      <c r="D2521" s="123">
        <f>'OPEN FOREIGN ORDER'!AA2147</f>
        <v>0</v>
      </c>
      <c r="E2521" s="112">
        <f>'OPEN FOREIGN ORDER'!AB2147</f>
        <v>0</v>
      </c>
      <c r="F2521" s="112">
        <f>'OPEN FOREIGN ORDER'!AC2147</f>
        <v>0</v>
      </c>
      <c r="G2521" s="112">
        <f>'OPEN FOREIGN ORDER'!AD2147</f>
        <v>0</v>
      </c>
      <c r="H2521" s="112">
        <f>'OPEN FOREIGN ORDER'!AE2147</f>
        <v>0</v>
      </c>
      <c r="I2521" s="112">
        <f>'OPEN FOREIGN ORDER'!AF2147</f>
        <v>0</v>
      </c>
      <c r="J2521" s="112">
        <f>'OPEN FOREIGN ORDER'!AG2147</f>
        <v>0</v>
      </c>
    </row>
    <row r="2522" spans="1:10">
      <c r="A2522">
        <f>'OPEN FOREIGN ORDER'!D2148</f>
        <v>0</v>
      </c>
      <c r="B2522">
        <f>'OPEN FOREIGN ORDER'!F2148</f>
        <v>0</v>
      </c>
      <c r="C2522">
        <f>'OPEN FOREIGN ORDER'!Z2148</f>
        <v>0</v>
      </c>
      <c r="D2522" s="123">
        <f>'OPEN FOREIGN ORDER'!AA2148</f>
        <v>0</v>
      </c>
      <c r="E2522" s="112">
        <f>'OPEN FOREIGN ORDER'!AB2148</f>
        <v>0</v>
      </c>
      <c r="F2522" s="112">
        <f>'OPEN FOREIGN ORDER'!AC2148</f>
        <v>0</v>
      </c>
      <c r="G2522" s="112">
        <f>'OPEN FOREIGN ORDER'!AD2148</f>
        <v>0</v>
      </c>
      <c r="H2522" s="112">
        <f>'OPEN FOREIGN ORDER'!AE2148</f>
        <v>0</v>
      </c>
      <c r="I2522" s="112">
        <f>'OPEN FOREIGN ORDER'!AF2148</f>
        <v>0</v>
      </c>
      <c r="J2522" s="112">
        <f>'OPEN FOREIGN ORDER'!AG2148</f>
        <v>0</v>
      </c>
    </row>
    <row r="2523" spans="1:10">
      <c r="A2523">
        <f>'OPEN FOREIGN ORDER'!D2149</f>
        <v>0</v>
      </c>
      <c r="B2523">
        <f>'OPEN FOREIGN ORDER'!F2149</f>
        <v>0</v>
      </c>
      <c r="C2523">
        <f>'OPEN FOREIGN ORDER'!Z2149</f>
        <v>0</v>
      </c>
      <c r="D2523" s="123">
        <f>'OPEN FOREIGN ORDER'!AA2149</f>
        <v>0</v>
      </c>
      <c r="E2523" s="112">
        <f>'OPEN FOREIGN ORDER'!AB2149</f>
        <v>0</v>
      </c>
      <c r="F2523" s="112">
        <f>'OPEN FOREIGN ORDER'!AC2149</f>
        <v>0</v>
      </c>
      <c r="G2523" s="112">
        <f>'OPEN FOREIGN ORDER'!AD2149</f>
        <v>0</v>
      </c>
      <c r="H2523" s="112">
        <f>'OPEN FOREIGN ORDER'!AE2149</f>
        <v>0</v>
      </c>
      <c r="I2523" s="112">
        <f>'OPEN FOREIGN ORDER'!AF2149</f>
        <v>0</v>
      </c>
      <c r="J2523" s="112">
        <f>'OPEN FOREIGN ORDER'!AG2149</f>
        <v>0</v>
      </c>
    </row>
    <row r="2524" spans="1:10">
      <c r="A2524">
        <f>'OPEN FOREIGN ORDER'!D2150</f>
        <v>0</v>
      </c>
      <c r="B2524">
        <f>'OPEN FOREIGN ORDER'!F2150</f>
        <v>0</v>
      </c>
      <c r="C2524">
        <f>'OPEN FOREIGN ORDER'!Z2150</f>
        <v>0</v>
      </c>
      <c r="D2524" s="123">
        <f>'OPEN FOREIGN ORDER'!AA2150</f>
        <v>0</v>
      </c>
      <c r="E2524" s="112">
        <f>'OPEN FOREIGN ORDER'!AB2150</f>
        <v>0</v>
      </c>
      <c r="F2524" s="112">
        <f>'OPEN FOREIGN ORDER'!AC2150</f>
        <v>0</v>
      </c>
      <c r="G2524" s="112">
        <f>'OPEN FOREIGN ORDER'!AD2150</f>
        <v>0</v>
      </c>
      <c r="H2524" s="112">
        <f>'OPEN FOREIGN ORDER'!AE2150</f>
        <v>0</v>
      </c>
      <c r="I2524" s="112">
        <f>'OPEN FOREIGN ORDER'!AF2150</f>
        <v>0</v>
      </c>
      <c r="J2524" s="112">
        <f>'OPEN FOREIGN ORDER'!AG2150</f>
        <v>0</v>
      </c>
    </row>
    <row r="2525" spans="1:10">
      <c r="A2525">
        <f>'OPEN FOREIGN ORDER'!D2151</f>
        <v>0</v>
      </c>
      <c r="B2525">
        <f>'OPEN FOREIGN ORDER'!F2151</f>
        <v>0</v>
      </c>
      <c r="C2525">
        <f>'OPEN FOREIGN ORDER'!Z2151</f>
        <v>0</v>
      </c>
      <c r="D2525" s="123">
        <f>'OPEN FOREIGN ORDER'!AA2151</f>
        <v>0</v>
      </c>
      <c r="E2525" s="112">
        <f>'OPEN FOREIGN ORDER'!AB2151</f>
        <v>0</v>
      </c>
      <c r="F2525" s="112">
        <f>'OPEN FOREIGN ORDER'!AC2151</f>
        <v>0</v>
      </c>
      <c r="G2525" s="112">
        <f>'OPEN FOREIGN ORDER'!AD2151</f>
        <v>0</v>
      </c>
      <c r="H2525" s="112">
        <f>'OPEN FOREIGN ORDER'!AE2151</f>
        <v>0</v>
      </c>
      <c r="I2525" s="112">
        <f>'OPEN FOREIGN ORDER'!AF2151</f>
        <v>0</v>
      </c>
      <c r="J2525" s="112">
        <f>'OPEN FOREIGN ORDER'!AG2151</f>
        <v>0</v>
      </c>
    </row>
    <row r="2526" spans="1:10">
      <c r="A2526">
        <f>'OPEN FOREIGN ORDER'!D2152</f>
        <v>0</v>
      </c>
      <c r="B2526">
        <f>'OPEN FOREIGN ORDER'!F2152</f>
        <v>0</v>
      </c>
      <c r="C2526">
        <f>'OPEN FOREIGN ORDER'!Z2152</f>
        <v>0</v>
      </c>
      <c r="D2526" s="123">
        <f>'OPEN FOREIGN ORDER'!AA2152</f>
        <v>0</v>
      </c>
      <c r="E2526" s="112">
        <f>'OPEN FOREIGN ORDER'!AB2152</f>
        <v>0</v>
      </c>
      <c r="F2526" s="112">
        <f>'OPEN FOREIGN ORDER'!AC2152</f>
        <v>0</v>
      </c>
      <c r="G2526" s="112">
        <f>'OPEN FOREIGN ORDER'!AD2152</f>
        <v>0</v>
      </c>
      <c r="H2526" s="112">
        <f>'OPEN FOREIGN ORDER'!AE2152</f>
        <v>0</v>
      </c>
      <c r="I2526" s="112">
        <f>'OPEN FOREIGN ORDER'!AF2152</f>
        <v>0</v>
      </c>
      <c r="J2526" s="112">
        <f>'OPEN FOREIGN ORDER'!AG2152</f>
        <v>0</v>
      </c>
    </row>
    <row r="2527" spans="1:10">
      <c r="A2527">
        <f>'OPEN FOREIGN ORDER'!D2153</f>
        <v>0</v>
      </c>
      <c r="B2527">
        <f>'OPEN FOREIGN ORDER'!F2153</f>
        <v>0</v>
      </c>
      <c r="C2527">
        <f>'OPEN FOREIGN ORDER'!Z2153</f>
        <v>0</v>
      </c>
      <c r="D2527" s="123">
        <f>'OPEN FOREIGN ORDER'!AA2153</f>
        <v>0</v>
      </c>
      <c r="E2527" s="112">
        <f>'OPEN FOREIGN ORDER'!AB2153</f>
        <v>0</v>
      </c>
      <c r="F2527" s="112">
        <f>'OPEN FOREIGN ORDER'!AC2153</f>
        <v>0</v>
      </c>
      <c r="G2527" s="112">
        <f>'OPEN FOREIGN ORDER'!AD2153</f>
        <v>0</v>
      </c>
      <c r="H2527" s="112">
        <f>'OPEN FOREIGN ORDER'!AE2153</f>
        <v>0</v>
      </c>
      <c r="I2527" s="112">
        <f>'OPEN FOREIGN ORDER'!AF2153</f>
        <v>0</v>
      </c>
      <c r="J2527" s="112">
        <f>'OPEN FOREIGN ORDER'!AG2153</f>
        <v>0</v>
      </c>
    </row>
    <row r="2528" spans="1:10">
      <c r="A2528">
        <f>'OPEN FOREIGN ORDER'!D2154</f>
        <v>0</v>
      </c>
      <c r="B2528">
        <f>'OPEN FOREIGN ORDER'!F2154</f>
        <v>0</v>
      </c>
      <c r="C2528">
        <f>'OPEN FOREIGN ORDER'!Z2154</f>
        <v>0</v>
      </c>
      <c r="D2528" s="123">
        <f>'OPEN FOREIGN ORDER'!AA2154</f>
        <v>0</v>
      </c>
      <c r="E2528" s="112">
        <f>'OPEN FOREIGN ORDER'!AB2154</f>
        <v>0</v>
      </c>
      <c r="F2528" s="112">
        <f>'OPEN FOREIGN ORDER'!AC2154</f>
        <v>0</v>
      </c>
      <c r="G2528" s="112">
        <f>'OPEN FOREIGN ORDER'!AD2154</f>
        <v>0</v>
      </c>
      <c r="H2528" s="112">
        <f>'OPEN FOREIGN ORDER'!AE2154</f>
        <v>0</v>
      </c>
      <c r="I2528" s="112">
        <f>'OPEN FOREIGN ORDER'!AF2154</f>
        <v>0</v>
      </c>
      <c r="J2528" s="112">
        <f>'OPEN FOREIGN ORDER'!AG2154</f>
        <v>0</v>
      </c>
    </row>
    <row r="2529" spans="1:10">
      <c r="A2529">
        <f>'OPEN FOREIGN ORDER'!D2155</f>
        <v>0</v>
      </c>
      <c r="B2529">
        <f>'OPEN FOREIGN ORDER'!F2155</f>
        <v>0</v>
      </c>
      <c r="C2529">
        <f>'OPEN FOREIGN ORDER'!Z2155</f>
        <v>0</v>
      </c>
      <c r="D2529" s="123">
        <f>'OPEN FOREIGN ORDER'!AA2155</f>
        <v>0</v>
      </c>
      <c r="E2529" s="112">
        <f>'OPEN FOREIGN ORDER'!AB2155</f>
        <v>0</v>
      </c>
      <c r="F2529" s="112">
        <f>'OPEN FOREIGN ORDER'!AC2155</f>
        <v>0</v>
      </c>
      <c r="G2529" s="112">
        <f>'OPEN FOREIGN ORDER'!AD2155</f>
        <v>0</v>
      </c>
      <c r="H2529" s="112">
        <f>'OPEN FOREIGN ORDER'!AE2155</f>
        <v>0</v>
      </c>
      <c r="I2529" s="112">
        <f>'OPEN FOREIGN ORDER'!AF2155</f>
        <v>0</v>
      </c>
      <c r="J2529" s="112">
        <f>'OPEN FOREIGN ORDER'!AG2155</f>
        <v>0</v>
      </c>
    </row>
    <row r="2530" spans="1:10">
      <c r="A2530">
        <f>'OPEN FOREIGN ORDER'!D2156</f>
        <v>0</v>
      </c>
      <c r="B2530">
        <f>'OPEN FOREIGN ORDER'!F2156</f>
        <v>0</v>
      </c>
      <c r="C2530">
        <f>'OPEN FOREIGN ORDER'!Z2156</f>
        <v>0</v>
      </c>
      <c r="D2530" s="123">
        <f>'OPEN FOREIGN ORDER'!AA2156</f>
        <v>0</v>
      </c>
      <c r="E2530" s="112">
        <f>'OPEN FOREIGN ORDER'!AB2156</f>
        <v>0</v>
      </c>
      <c r="F2530" s="112">
        <f>'OPEN FOREIGN ORDER'!AC2156</f>
        <v>0</v>
      </c>
      <c r="G2530" s="112">
        <f>'OPEN FOREIGN ORDER'!AD2156</f>
        <v>0</v>
      </c>
      <c r="H2530" s="112">
        <f>'OPEN FOREIGN ORDER'!AE2156</f>
        <v>0</v>
      </c>
      <c r="I2530" s="112">
        <f>'OPEN FOREIGN ORDER'!AF2156</f>
        <v>0</v>
      </c>
      <c r="J2530" s="112">
        <f>'OPEN FOREIGN ORDER'!AG2156</f>
        <v>0</v>
      </c>
    </row>
    <row r="2531" spans="1:10">
      <c r="A2531">
        <f>'OPEN FOREIGN ORDER'!D2157</f>
        <v>0</v>
      </c>
      <c r="B2531">
        <f>'OPEN FOREIGN ORDER'!F2157</f>
        <v>0</v>
      </c>
      <c r="C2531">
        <f>'OPEN FOREIGN ORDER'!Z2157</f>
        <v>0</v>
      </c>
      <c r="D2531" s="123">
        <f>'OPEN FOREIGN ORDER'!AA2157</f>
        <v>0</v>
      </c>
      <c r="E2531" s="112">
        <f>'OPEN FOREIGN ORDER'!AB2157</f>
        <v>0</v>
      </c>
      <c r="F2531" s="112">
        <f>'OPEN FOREIGN ORDER'!AC2157</f>
        <v>0</v>
      </c>
      <c r="G2531" s="112">
        <f>'OPEN FOREIGN ORDER'!AD2157</f>
        <v>0</v>
      </c>
      <c r="H2531" s="112">
        <f>'OPEN FOREIGN ORDER'!AE2157</f>
        <v>0</v>
      </c>
      <c r="I2531" s="112">
        <f>'OPEN FOREIGN ORDER'!AF2157</f>
        <v>0</v>
      </c>
      <c r="J2531" s="112">
        <f>'OPEN FOREIGN ORDER'!AG2157</f>
        <v>0</v>
      </c>
    </row>
    <row r="2532" spans="1:10">
      <c r="A2532">
        <f>'OPEN FOREIGN ORDER'!D2158</f>
        <v>0</v>
      </c>
      <c r="B2532">
        <f>'OPEN FOREIGN ORDER'!F2158</f>
        <v>0</v>
      </c>
      <c r="C2532">
        <f>'OPEN FOREIGN ORDER'!Z2158</f>
        <v>0</v>
      </c>
      <c r="D2532" s="123">
        <f>'OPEN FOREIGN ORDER'!AA2158</f>
        <v>0</v>
      </c>
      <c r="E2532" s="112">
        <f>'OPEN FOREIGN ORDER'!AB2158</f>
        <v>0</v>
      </c>
      <c r="F2532" s="112">
        <f>'OPEN FOREIGN ORDER'!AC2158</f>
        <v>0</v>
      </c>
      <c r="G2532" s="112">
        <f>'OPEN FOREIGN ORDER'!AD2158</f>
        <v>0</v>
      </c>
      <c r="H2532" s="112">
        <f>'OPEN FOREIGN ORDER'!AE2158</f>
        <v>0</v>
      </c>
      <c r="I2532" s="112">
        <f>'OPEN FOREIGN ORDER'!AF2158</f>
        <v>0</v>
      </c>
      <c r="J2532" s="112">
        <f>'OPEN FOREIGN ORDER'!AG2158</f>
        <v>0</v>
      </c>
    </row>
    <row r="2533" spans="1:10">
      <c r="A2533">
        <f>'OPEN FOREIGN ORDER'!D2159</f>
        <v>0</v>
      </c>
      <c r="B2533">
        <f>'OPEN FOREIGN ORDER'!F2159</f>
        <v>0</v>
      </c>
      <c r="C2533">
        <f>'OPEN FOREIGN ORDER'!Z2159</f>
        <v>0</v>
      </c>
      <c r="D2533" s="123">
        <f>'OPEN FOREIGN ORDER'!AA2159</f>
        <v>0</v>
      </c>
      <c r="E2533" s="112">
        <f>'OPEN FOREIGN ORDER'!AB2159</f>
        <v>0</v>
      </c>
      <c r="F2533" s="112">
        <f>'OPEN FOREIGN ORDER'!AC2159</f>
        <v>0</v>
      </c>
      <c r="G2533" s="112">
        <f>'OPEN FOREIGN ORDER'!AD2159</f>
        <v>0</v>
      </c>
      <c r="H2533" s="112">
        <f>'OPEN FOREIGN ORDER'!AE2159</f>
        <v>0</v>
      </c>
      <c r="I2533" s="112">
        <f>'OPEN FOREIGN ORDER'!AF2159</f>
        <v>0</v>
      </c>
      <c r="J2533" s="112">
        <f>'OPEN FOREIGN ORDER'!AG2159</f>
        <v>0</v>
      </c>
    </row>
    <row r="2534" spans="1:10">
      <c r="A2534">
        <f>'OPEN FOREIGN ORDER'!D2160</f>
        <v>0</v>
      </c>
      <c r="B2534">
        <f>'OPEN FOREIGN ORDER'!F2160</f>
        <v>0</v>
      </c>
      <c r="C2534">
        <f>'OPEN FOREIGN ORDER'!Z2160</f>
        <v>0</v>
      </c>
      <c r="D2534" s="123">
        <f>'OPEN FOREIGN ORDER'!AA2160</f>
        <v>0</v>
      </c>
      <c r="E2534" s="112">
        <f>'OPEN FOREIGN ORDER'!AB2160</f>
        <v>0</v>
      </c>
      <c r="F2534" s="112">
        <f>'OPEN FOREIGN ORDER'!AC2160</f>
        <v>0</v>
      </c>
      <c r="G2534" s="112">
        <f>'OPEN FOREIGN ORDER'!AD2160</f>
        <v>0</v>
      </c>
      <c r="H2534" s="112">
        <f>'OPEN FOREIGN ORDER'!AE2160</f>
        <v>0</v>
      </c>
      <c r="I2534" s="112">
        <f>'OPEN FOREIGN ORDER'!AF2160</f>
        <v>0</v>
      </c>
      <c r="J2534" s="112">
        <f>'OPEN FOREIGN ORDER'!AG2160</f>
        <v>0</v>
      </c>
    </row>
    <row r="2535" spans="1:10">
      <c r="A2535">
        <f>'OPEN FOREIGN ORDER'!D2161</f>
        <v>0</v>
      </c>
      <c r="B2535">
        <f>'OPEN FOREIGN ORDER'!F2161</f>
        <v>0</v>
      </c>
      <c r="C2535">
        <f>'OPEN FOREIGN ORDER'!Z2161</f>
        <v>0</v>
      </c>
      <c r="D2535" s="123">
        <f>'OPEN FOREIGN ORDER'!AA2161</f>
        <v>0</v>
      </c>
      <c r="E2535" s="112">
        <f>'OPEN FOREIGN ORDER'!AB2161</f>
        <v>0</v>
      </c>
      <c r="F2535" s="112">
        <f>'OPEN FOREIGN ORDER'!AC2161</f>
        <v>0</v>
      </c>
      <c r="G2535" s="112">
        <f>'OPEN FOREIGN ORDER'!AD2161</f>
        <v>0</v>
      </c>
      <c r="H2535" s="112">
        <f>'OPEN FOREIGN ORDER'!AE2161</f>
        <v>0</v>
      </c>
      <c r="I2535" s="112">
        <f>'OPEN FOREIGN ORDER'!AF2161</f>
        <v>0</v>
      </c>
      <c r="J2535" s="112">
        <f>'OPEN FOREIGN ORDER'!AG2161</f>
        <v>0</v>
      </c>
    </row>
    <row r="2536" spans="1:10">
      <c r="A2536">
        <f>'OPEN FOREIGN ORDER'!D2162</f>
        <v>0</v>
      </c>
      <c r="B2536">
        <f>'OPEN FOREIGN ORDER'!F2162</f>
        <v>0</v>
      </c>
      <c r="C2536">
        <f>'OPEN FOREIGN ORDER'!Z2162</f>
        <v>0</v>
      </c>
      <c r="D2536" s="123">
        <f>'OPEN FOREIGN ORDER'!AA2162</f>
        <v>0</v>
      </c>
      <c r="E2536" s="112">
        <f>'OPEN FOREIGN ORDER'!AB2162</f>
        <v>0</v>
      </c>
      <c r="F2536" s="112">
        <f>'OPEN FOREIGN ORDER'!AC2162</f>
        <v>0</v>
      </c>
      <c r="G2536" s="112">
        <f>'OPEN FOREIGN ORDER'!AD2162</f>
        <v>0</v>
      </c>
      <c r="H2536" s="112">
        <f>'OPEN FOREIGN ORDER'!AE2162</f>
        <v>0</v>
      </c>
      <c r="I2536" s="112">
        <f>'OPEN FOREIGN ORDER'!AF2162</f>
        <v>0</v>
      </c>
      <c r="J2536" s="112">
        <f>'OPEN FOREIGN ORDER'!AG2162</f>
        <v>0</v>
      </c>
    </row>
    <row r="2537" spans="1:10">
      <c r="A2537">
        <f>'OPEN FOREIGN ORDER'!D2163</f>
        <v>0</v>
      </c>
      <c r="B2537">
        <f>'OPEN FOREIGN ORDER'!F2163</f>
        <v>0</v>
      </c>
      <c r="C2537">
        <f>'OPEN FOREIGN ORDER'!Z2163</f>
        <v>0</v>
      </c>
      <c r="D2537" s="123">
        <f>'OPEN FOREIGN ORDER'!AA2163</f>
        <v>0</v>
      </c>
      <c r="E2537" s="112">
        <f>'OPEN FOREIGN ORDER'!AB2163</f>
        <v>0</v>
      </c>
      <c r="F2537" s="112">
        <f>'OPEN FOREIGN ORDER'!AC2163</f>
        <v>0</v>
      </c>
      <c r="G2537" s="112">
        <f>'OPEN FOREIGN ORDER'!AD2163</f>
        <v>0</v>
      </c>
      <c r="H2537" s="112">
        <f>'OPEN FOREIGN ORDER'!AE2163</f>
        <v>0</v>
      </c>
      <c r="I2537" s="112">
        <f>'OPEN FOREIGN ORDER'!AF2163</f>
        <v>0</v>
      </c>
      <c r="J2537" s="112">
        <f>'OPEN FOREIGN ORDER'!AG2163</f>
        <v>0</v>
      </c>
    </row>
    <row r="2538" spans="1:10">
      <c r="A2538">
        <f>'OPEN FOREIGN ORDER'!D2164</f>
        <v>0</v>
      </c>
      <c r="B2538">
        <f>'OPEN FOREIGN ORDER'!F2164</f>
        <v>0</v>
      </c>
      <c r="C2538">
        <f>'OPEN FOREIGN ORDER'!Z2164</f>
        <v>0</v>
      </c>
      <c r="D2538" s="123">
        <f>'OPEN FOREIGN ORDER'!AA2164</f>
        <v>0</v>
      </c>
      <c r="E2538" s="112">
        <f>'OPEN FOREIGN ORDER'!AB2164</f>
        <v>0</v>
      </c>
      <c r="F2538" s="112">
        <f>'OPEN FOREIGN ORDER'!AC2164</f>
        <v>0</v>
      </c>
      <c r="G2538" s="112">
        <f>'OPEN FOREIGN ORDER'!AD2164</f>
        <v>0</v>
      </c>
      <c r="H2538" s="112">
        <f>'OPEN FOREIGN ORDER'!AE2164</f>
        <v>0</v>
      </c>
      <c r="I2538" s="112">
        <f>'OPEN FOREIGN ORDER'!AF2164</f>
        <v>0</v>
      </c>
      <c r="J2538" s="112">
        <f>'OPEN FOREIGN ORDER'!AG2164</f>
        <v>0</v>
      </c>
    </row>
    <row r="2539" spans="1:10">
      <c r="A2539">
        <f>'OPEN FOREIGN ORDER'!D2165</f>
        <v>0</v>
      </c>
      <c r="B2539">
        <f>'OPEN FOREIGN ORDER'!F2165</f>
        <v>0</v>
      </c>
      <c r="C2539">
        <f>'OPEN FOREIGN ORDER'!Z2165</f>
        <v>0</v>
      </c>
      <c r="D2539" s="123">
        <f>'OPEN FOREIGN ORDER'!AA2165</f>
        <v>0</v>
      </c>
      <c r="E2539" s="112">
        <f>'OPEN FOREIGN ORDER'!AB2165</f>
        <v>0</v>
      </c>
      <c r="F2539" s="112">
        <f>'OPEN FOREIGN ORDER'!AC2165</f>
        <v>0</v>
      </c>
      <c r="G2539" s="112">
        <f>'OPEN FOREIGN ORDER'!AD2165</f>
        <v>0</v>
      </c>
      <c r="H2539" s="112">
        <f>'OPEN FOREIGN ORDER'!AE2165</f>
        <v>0</v>
      </c>
      <c r="I2539" s="112">
        <f>'OPEN FOREIGN ORDER'!AF2165</f>
        <v>0</v>
      </c>
      <c r="J2539" s="112">
        <f>'OPEN FOREIGN ORDER'!AG2165</f>
        <v>0</v>
      </c>
    </row>
    <row r="2540" spans="1:10">
      <c r="A2540">
        <f>'OPEN FOREIGN ORDER'!D2166</f>
        <v>0</v>
      </c>
      <c r="B2540">
        <f>'OPEN FOREIGN ORDER'!F2166</f>
        <v>0</v>
      </c>
      <c r="C2540">
        <f>'OPEN FOREIGN ORDER'!Z2166</f>
        <v>0</v>
      </c>
      <c r="D2540" s="123">
        <f>'OPEN FOREIGN ORDER'!AA2166</f>
        <v>0</v>
      </c>
      <c r="E2540" s="112">
        <f>'OPEN FOREIGN ORDER'!AB2166</f>
        <v>0</v>
      </c>
      <c r="F2540" s="112">
        <f>'OPEN FOREIGN ORDER'!AC2166</f>
        <v>0</v>
      </c>
      <c r="G2540" s="112">
        <f>'OPEN FOREIGN ORDER'!AD2166</f>
        <v>0</v>
      </c>
      <c r="H2540" s="112">
        <f>'OPEN FOREIGN ORDER'!AE2166</f>
        <v>0</v>
      </c>
      <c r="I2540" s="112">
        <f>'OPEN FOREIGN ORDER'!AF2166</f>
        <v>0</v>
      </c>
      <c r="J2540" s="112">
        <f>'OPEN FOREIGN ORDER'!AG2166</f>
        <v>0</v>
      </c>
    </row>
    <row r="2541" spans="1:10">
      <c r="A2541">
        <f>'OPEN FOREIGN ORDER'!D2167</f>
        <v>0</v>
      </c>
      <c r="B2541">
        <f>'OPEN FOREIGN ORDER'!F2167</f>
        <v>0</v>
      </c>
      <c r="C2541">
        <f>'OPEN FOREIGN ORDER'!Z2167</f>
        <v>0</v>
      </c>
      <c r="D2541" s="123">
        <f>'OPEN FOREIGN ORDER'!AA2167</f>
        <v>0</v>
      </c>
      <c r="E2541" s="112">
        <f>'OPEN FOREIGN ORDER'!AB2167</f>
        <v>0</v>
      </c>
      <c r="F2541" s="112">
        <f>'OPEN FOREIGN ORDER'!AC2167</f>
        <v>0</v>
      </c>
      <c r="G2541" s="112">
        <f>'OPEN FOREIGN ORDER'!AD2167</f>
        <v>0</v>
      </c>
      <c r="H2541" s="112">
        <f>'OPEN FOREIGN ORDER'!AE2167</f>
        <v>0</v>
      </c>
      <c r="I2541" s="112">
        <f>'OPEN FOREIGN ORDER'!AF2167</f>
        <v>0</v>
      </c>
      <c r="J2541" s="112">
        <f>'OPEN FOREIGN ORDER'!AG2167</f>
        <v>0</v>
      </c>
    </row>
    <row r="2542" spans="1:10">
      <c r="A2542">
        <f>'OPEN FOREIGN ORDER'!D2168</f>
        <v>0</v>
      </c>
      <c r="B2542">
        <f>'OPEN FOREIGN ORDER'!F2168</f>
        <v>0</v>
      </c>
      <c r="C2542">
        <f>'OPEN FOREIGN ORDER'!Z2168</f>
        <v>0</v>
      </c>
      <c r="D2542" s="123">
        <f>'OPEN FOREIGN ORDER'!AA2168</f>
        <v>0</v>
      </c>
      <c r="E2542" s="112">
        <f>'OPEN FOREIGN ORDER'!AB2168</f>
        <v>0</v>
      </c>
      <c r="F2542" s="112">
        <f>'OPEN FOREIGN ORDER'!AC2168</f>
        <v>0</v>
      </c>
      <c r="G2542" s="112">
        <f>'OPEN FOREIGN ORDER'!AD2168</f>
        <v>0</v>
      </c>
      <c r="H2542" s="112">
        <f>'OPEN FOREIGN ORDER'!AE2168</f>
        <v>0</v>
      </c>
      <c r="I2542" s="112">
        <f>'OPEN FOREIGN ORDER'!AF2168</f>
        <v>0</v>
      </c>
      <c r="J2542" s="112">
        <f>'OPEN FOREIGN ORDER'!AG2168</f>
        <v>0</v>
      </c>
    </row>
    <row r="2543" spans="1:10">
      <c r="A2543">
        <f>'OPEN FOREIGN ORDER'!D2169</f>
        <v>0</v>
      </c>
      <c r="B2543">
        <f>'OPEN FOREIGN ORDER'!F2169</f>
        <v>0</v>
      </c>
      <c r="C2543">
        <f>'OPEN FOREIGN ORDER'!Z2169</f>
        <v>0</v>
      </c>
      <c r="D2543" s="123">
        <f>'OPEN FOREIGN ORDER'!AA2169</f>
        <v>0</v>
      </c>
      <c r="E2543" s="112">
        <f>'OPEN FOREIGN ORDER'!AB2169</f>
        <v>0</v>
      </c>
      <c r="F2543" s="112">
        <f>'OPEN FOREIGN ORDER'!AC2169</f>
        <v>0</v>
      </c>
      <c r="G2543" s="112">
        <f>'OPEN FOREIGN ORDER'!AD2169</f>
        <v>0</v>
      </c>
      <c r="H2543" s="112">
        <f>'OPEN FOREIGN ORDER'!AE2169</f>
        <v>0</v>
      </c>
      <c r="I2543" s="112">
        <f>'OPEN FOREIGN ORDER'!AF2169</f>
        <v>0</v>
      </c>
      <c r="J2543" s="112">
        <f>'OPEN FOREIGN ORDER'!AG2169</f>
        <v>0</v>
      </c>
    </row>
    <row r="2544" spans="1:10">
      <c r="A2544">
        <f>'OPEN FOREIGN ORDER'!D2170</f>
        <v>0</v>
      </c>
      <c r="B2544">
        <f>'OPEN FOREIGN ORDER'!F2170</f>
        <v>0</v>
      </c>
      <c r="C2544">
        <f>'OPEN FOREIGN ORDER'!Z2170</f>
        <v>0</v>
      </c>
      <c r="D2544" s="123">
        <f>'OPEN FOREIGN ORDER'!AA2170</f>
        <v>0</v>
      </c>
      <c r="E2544" s="112">
        <f>'OPEN FOREIGN ORDER'!AB2170</f>
        <v>0</v>
      </c>
      <c r="F2544" s="112">
        <f>'OPEN FOREIGN ORDER'!AC2170</f>
        <v>0</v>
      </c>
      <c r="G2544" s="112">
        <f>'OPEN FOREIGN ORDER'!AD2170</f>
        <v>0</v>
      </c>
      <c r="H2544" s="112">
        <f>'OPEN FOREIGN ORDER'!AE2170</f>
        <v>0</v>
      </c>
      <c r="I2544" s="112">
        <f>'OPEN FOREIGN ORDER'!AF2170</f>
        <v>0</v>
      </c>
      <c r="J2544" s="112">
        <f>'OPEN FOREIGN ORDER'!AG2170</f>
        <v>0</v>
      </c>
    </row>
    <row r="2545" spans="1:10">
      <c r="A2545">
        <f>'OPEN FOREIGN ORDER'!D2171</f>
        <v>0</v>
      </c>
      <c r="B2545">
        <f>'OPEN FOREIGN ORDER'!F2171</f>
        <v>0</v>
      </c>
      <c r="C2545">
        <f>'OPEN FOREIGN ORDER'!Z2171</f>
        <v>0</v>
      </c>
      <c r="D2545" s="123">
        <f>'OPEN FOREIGN ORDER'!AA2171</f>
        <v>0</v>
      </c>
      <c r="E2545" s="112">
        <f>'OPEN FOREIGN ORDER'!AB2171</f>
        <v>0</v>
      </c>
      <c r="F2545" s="112">
        <f>'OPEN FOREIGN ORDER'!AC2171</f>
        <v>0</v>
      </c>
      <c r="G2545" s="112">
        <f>'OPEN FOREIGN ORDER'!AD2171</f>
        <v>0</v>
      </c>
      <c r="H2545" s="112">
        <f>'OPEN FOREIGN ORDER'!AE2171</f>
        <v>0</v>
      </c>
      <c r="I2545" s="112">
        <f>'OPEN FOREIGN ORDER'!AF2171</f>
        <v>0</v>
      </c>
      <c r="J2545" s="112">
        <f>'OPEN FOREIGN ORDER'!AG2171</f>
        <v>0</v>
      </c>
    </row>
    <row r="2546" spans="1:10">
      <c r="A2546">
        <f>'OPEN FOREIGN ORDER'!D2172</f>
        <v>0</v>
      </c>
      <c r="B2546">
        <f>'OPEN FOREIGN ORDER'!F2172</f>
        <v>0</v>
      </c>
      <c r="C2546">
        <f>'OPEN FOREIGN ORDER'!Z2172</f>
        <v>0</v>
      </c>
      <c r="D2546" s="123">
        <f>'OPEN FOREIGN ORDER'!AA2172</f>
        <v>0</v>
      </c>
      <c r="E2546" s="112">
        <f>'OPEN FOREIGN ORDER'!AB2172</f>
        <v>0</v>
      </c>
      <c r="F2546" s="112">
        <f>'OPEN FOREIGN ORDER'!AC2172</f>
        <v>0</v>
      </c>
      <c r="G2546" s="112">
        <f>'OPEN FOREIGN ORDER'!AD2172</f>
        <v>0</v>
      </c>
      <c r="H2546" s="112">
        <f>'OPEN FOREIGN ORDER'!AE2172</f>
        <v>0</v>
      </c>
      <c r="I2546" s="112">
        <f>'OPEN FOREIGN ORDER'!AF2172</f>
        <v>0</v>
      </c>
      <c r="J2546" s="112">
        <f>'OPEN FOREIGN ORDER'!AG2172</f>
        <v>0</v>
      </c>
    </row>
    <row r="2547" spans="1:10">
      <c r="A2547">
        <f>'OPEN FOREIGN ORDER'!D2173</f>
        <v>0</v>
      </c>
      <c r="B2547">
        <f>'OPEN FOREIGN ORDER'!F2173</f>
        <v>0</v>
      </c>
      <c r="C2547">
        <f>'OPEN FOREIGN ORDER'!Z2173</f>
        <v>0</v>
      </c>
      <c r="D2547" s="123">
        <f>'OPEN FOREIGN ORDER'!AA2173</f>
        <v>0</v>
      </c>
      <c r="E2547" s="112">
        <f>'OPEN FOREIGN ORDER'!AB2173</f>
        <v>0</v>
      </c>
      <c r="F2547" s="112">
        <f>'OPEN FOREIGN ORDER'!AC2173</f>
        <v>0</v>
      </c>
      <c r="G2547" s="112">
        <f>'OPEN FOREIGN ORDER'!AD2173</f>
        <v>0</v>
      </c>
      <c r="H2547" s="112">
        <f>'OPEN FOREIGN ORDER'!AE2173</f>
        <v>0</v>
      </c>
      <c r="I2547" s="112">
        <f>'OPEN FOREIGN ORDER'!AF2173</f>
        <v>0</v>
      </c>
      <c r="J2547" s="112">
        <f>'OPEN FOREIGN ORDER'!AG2173</f>
        <v>0</v>
      </c>
    </row>
    <row r="2548" spans="1:10">
      <c r="A2548">
        <f>'OPEN FOREIGN ORDER'!D2174</f>
        <v>0</v>
      </c>
      <c r="B2548">
        <f>'OPEN FOREIGN ORDER'!F2174</f>
        <v>0</v>
      </c>
      <c r="C2548">
        <f>'OPEN FOREIGN ORDER'!Z2174</f>
        <v>0</v>
      </c>
      <c r="D2548" s="123">
        <f>'OPEN FOREIGN ORDER'!AA2174</f>
        <v>0</v>
      </c>
      <c r="E2548" s="112">
        <f>'OPEN FOREIGN ORDER'!AB2174</f>
        <v>0</v>
      </c>
      <c r="F2548" s="112">
        <f>'OPEN FOREIGN ORDER'!AC2174</f>
        <v>0</v>
      </c>
      <c r="G2548" s="112">
        <f>'OPEN FOREIGN ORDER'!AD2174</f>
        <v>0</v>
      </c>
      <c r="H2548" s="112">
        <f>'OPEN FOREIGN ORDER'!AE2174</f>
        <v>0</v>
      </c>
      <c r="I2548" s="112">
        <f>'OPEN FOREIGN ORDER'!AF2174</f>
        <v>0</v>
      </c>
      <c r="J2548" s="112">
        <f>'OPEN FOREIGN ORDER'!AG2174</f>
        <v>0</v>
      </c>
    </row>
    <row r="2549" spans="1:10">
      <c r="A2549">
        <f>'OPEN FOREIGN ORDER'!D2175</f>
        <v>0</v>
      </c>
      <c r="B2549">
        <f>'OPEN FOREIGN ORDER'!F2175</f>
        <v>0</v>
      </c>
      <c r="C2549">
        <f>'OPEN FOREIGN ORDER'!Z2175</f>
        <v>0</v>
      </c>
      <c r="D2549" s="123">
        <f>'OPEN FOREIGN ORDER'!AA2175</f>
        <v>0</v>
      </c>
      <c r="E2549" s="112">
        <f>'OPEN FOREIGN ORDER'!AB2175</f>
        <v>0</v>
      </c>
      <c r="F2549" s="112">
        <f>'OPEN FOREIGN ORDER'!AC2175</f>
        <v>0</v>
      </c>
      <c r="G2549" s="112">
        <f>'OPEN FOREIGN ORDER'!AD2175</f>
        <v>0</v>
      </c>
      <c r="H2549" s="112">
        <f>'OPEN FOREIGN ORDER'!AE2175</f>
        <v>0</v>
      </c>
      <c r="I2549" s="112">
        <f>'OPEN FOREIGN ORDER'!AF2175</f>
        <v>0</v>
      </c>
      <c r="J2549" s="112">
        <f>'OPEN FOREIGN ORDER'!AG2175</f>
        <v>0</v>
      </c>
    </row>
    <row r="2550" spans="1:10">
      <c r="A2550">
        <f>'OPEN FOREIGN ORDER'!D2176</f>
        <v>0</v>
      </c>
      <c r="B2550">
        <f>'OPEN FOREIGN ORDER'!F2176</f>
        <v>0</v>
      </c>
      <c r="C2550">
        <f>'OPEN FOREIGN ORDER'!Z2176</f>
        <v>0</v>
      </c>
      <c r="D2550" s="123">
        <f>'OPEN FOREIGN ORDER'!AA2176</f>
        <v>0</v>
      </c>
      <c r="E2550" s="112">
        <f>'OPEN FOREIGN ORDER'!AB2176</f>
        <v>0</v>
      </c>
      <c r="F2550" s="112">
        <f>'OPEN FOREIGN ORDER'!AC2176</f>
        <v>0</v>
      </c>
      <c r="G2550" s="112">
        <f>'OPEN FOREIGN ORDER'!AD2176</f>
        <v>0</v>
      </c>
      <c r="H2550" s="112">
        <f>'OPEN FOREIGN ORDER'!AE2176</f>
        <v>0</v>
      </c>
      <c r="I2550" s="112">
        <f>'OPEN FOREIGN ORDER'!AF2176</f>
        <v>0</v>
      </c>
      <c r="J2550" s="112">
        <f>'OPEN FOREIGN ORDER'!AG2176</f>
        <v>0</v>
      </c>
    </row>
    <row r="2551" spans="1:10">
      <c r="A2551">
        <f>'OPEN FOREIGN ORDER'!D2177</f>
        <v>0</v>
      </c>
      <c r="B2551">
        <f>'OPEN FOREIGN ORDER'!F2177</f>
        <v>0</v>
      </c>
      <c r="C2551">
        <f>'OPEN FOREIGN ORDER'!Z2177</f>
        <v>0</v>
      </c>
      <c r="D2551" s="123">
        <f>'OPEN FOREIGN ORDER'!AA2177</f>
        <v>0</v>
      </c>
      <c r="E2551" s="112">
        <f>'OPEN FOREIGN ORDER'!AB2177</f>
        <v>0</v>
      </c>
      <c r="F2551" s="112">
        <f>'OPEN FOREIGN ORDER'!AC2177</f>
        <v>0</v>
      </c>
      <c r="G2551" s="112">
        <f>'OPEN FOREIGN ORDER'!AD2177</f>
        <v>0</v>
      </c>
      <c r="H2551" s="112">
        <f>'OPEN FOREIGN ORDER'!AE2177</f>
        <v>0</v>
      </c>
      <c r="I2551" s="112">
        <f>'OPEN FOREIGN ORDER'!AF2177</f>
        <v>0</v>
      </c>
      <c r="J2551" s="112">
        <f>'OPEN FOREIGN ORDER'!AG2177</f>
        <v>0</v>
      </c>
    </row>
    <row r="2552" spans="1:10">
      <c r="A2552">
        <f>'OPEN FOREIGN ORDER'!D2178</f>
        <v>0</v>
      </c>
      <c r="B2552">
        <f>'OPEN FOREIGN ORDER'!F2178</f>
        <v>0</v>
      </c>
      <c r="C2552">
        <f>'OPEN FOREIGN ORDER'!Z2178</f>
        <v>0</v>
      </c>
      <c r="D2552" s="123">
        <f>'OPEN FOREIGN ORDER'!AA2178</f>
        <v>0</v>
      </c>
      <c r="E2552" s="112">
        <f>'OPEN FOREIGN ORDER'!AB2178</f>
        <v>0</v>
      </c>
      <c r="F2552" s="112">
        <f>'OPEN FOREIGN ORDER'!AC2178</f>
        <v>0</v>
      </c>
      <c r="G2552" s="112">
        <f>'OPEN FOREIGN ORDER'!AD2178</f>
        <v>0</v>
      </c>
      <c r="H2552" s="112">
        <f>'OPEN FOREIGN ORDER'!AE2178</f>
        <v>0</v>
      </c>
      <c r="I2552" s="112">
        <f>'OPEN FOREIGN ORDER'!AF2178</f>
        <v>0</v>
      </c>
      <c r="J2552" s="112">
        <f>'OPEN FOREIGN ORDER'!AG2178</f>
        <v>0</v>
      </c>
    </row>
    <row r="2553" spans="1:10">
      <c r="A2553">
        <f>'OPEN FOREIGN ORDER'!D2179</f>
        <v>0</v>
      </c>
      <c r="B2553">
        <f>'OPEN FOREIGN ORDER'!F2179</f>
        <v>0</v>
      </c>
      <c r="C2553">
        <f>'OPEN FOREIGN ORDER'!Z2179</f>
        <v>0</v>
      </c>
      <c r="D2553" s="123">
        <f>'OPEN FOREIGN ORDER'!AA2179</f>
        <v>0</v>
      </c>
      <c r="E2553" s="112">
        <f>'OPEN FOREIGN ORDER'!AB2179</f>
        <v>0</v>
      </c>
      <c r="F2553" s="112">
        <f>'OPEN FOREIGN ORDER'!AC2179</f>
        <v>0</v>
      </c>
      <c r="G2553" s="112">
        <f>'OPEN FOREIGN ORDER'!AD2179</f>
        <v>0</v>
      </c>
      <c r="H2553" s="112">
        <f>'OPEN FOREIGN ORDER'!AE2179</f>
        <v>0</v>
      </c>
      <c r="I2553" s="112">
        <f>'OPEN FOREIGN ORDER'!AF2179</f>
        <v>0</v>
      </c>
      <c r="J2553" s="112">
        <f>'OPEN FOREIGN ORDER'!AG2179</f>
        <v>0</v>
      </c>
    </row>
    <row r="2554" spans="1:10">
      <c r="A2554">
        <f>'OPEN FOREIGN ORDER'!D2180</f>
        <v>0</v>
      </c>
      <c r="B2554">
        <f>'OPEN FOREIGN ORDER'!F2180</f>
        <v>0</v>
      </c>
      <c r="C2554">
        <f>'OPEN FOREIGN ORDER'!Z2180</f>
        <v>0</v>
      </c>
      <c r="D2554" s="123">
        <f>'OPEN FOREIGN ORDER'!AA2180</f>
        <v>0</v>
      </c>
      <c r="E2554" s="112">
        <f>'OPEN FOREIGN ORDER'!AB2180</f>
        <v>0</v>
      </c>
      <c r="F2554" s="112">
        <f>'OPEN FOREIGN ORDER'!AC2180</f>
        <v>0</v>
      </c>
      <c r="G2554" s="112">
        <f>'OPEN FOREIGN ORDER'!AD2180</f>
        <v>0</v>
      </c>
      <c r="H2554" s="112">
        <f>'OPEN FOREIGN ORDER'!AE2180</f>
        <v>0</v>
      </c>
      <c r="I2554" s="112">
        <f>'OPEN FOREIGN ORDER'!AF2180</f>
        <v>0</v>
      </c>
      <c r="J2554" s="112">
        <f>'OPEN FOREIGN ORDER'!AG2180</f>
        <v>0</v>
      </c>
    </row>
    <row r="2555" spans="1:10">
      <c r="A2555">
        <f>'OPEN FOREIGN ORDER'!D2181</f>
        <v>0</v>
      </c>
      <c r="B2555">
        <f>'OPEN FOREIGN ORDER'!F2181</f>
        <v>0</v>
      </c>
      <c r="C2555">
        <f>'OPEN FOREIGN ORDER'!Z2181</f>
        <v>0</v>
      </c>
      <c r="D2555" s="123">
        <f>'OPEN FOREIGN ORDER'!AA2181</f>
        <v>0</v>
      </c>
      <c r="E2555" s="112">
        <f>'OPEN FOREIGN ORDER'!AB2181</f>
        <v>0</v>
      </c>
      <c r="F2555" s="112">
        <f>'OPEN FOREIGN ORDER'!AC2181</f>
        <v>0</v>
      </c>
      <c r="G2555" s="112">
        <f>'OPEN FOREIGN ORDER'!AD2181</f>
        <v>0</v>
      </c>
      <c r="H2555" s="112">
        <f>'OPEN FOREIGN ORDER'!AE2181</f>
        <v>0</v>
      </c>
      <c r="I2555" s="112">
        <f>'OPEN FOREIGN ORDER'!AF2181</f>
        <v>0</v>
      </c>
      <c r="J2555" s="112">
        <f>'OPEN FOREIGN ORDER'!AG2181</f>
        <v>0</v>
      </c>
    </row>
    <row r="2556" spans="1:10">
      <c r="A2556">
        <f>'OPEN FOREIGN ORDER'!D2182</f>
        <v>0</v>
      </c>
      <c r="B2556">
        <f>'OPEN FOREIGN ORDER'!F2182</f>
        <v>0</v>
      </c>
      <c r="C2556">
        <f>'OPEN FOREIGN ORDER'!Z2182</f>
        <v>0</v>
      </c>
      <c r="D2556" s="123">
        <f>'OPEN FOREIGN ORDER'!AA2182</f>
        <v>0</v>
      </c>
      <c r="E2556" s="112">
        <f>'OPEN FOREIGN ORDER'!AB2182</f>
        <v>0</v>
      </c>
      <c r="F2556" s="112">
        <f>'OPEN FOREIGN ORDER'!AC2182</f>
        <v>0</v>
      </c>
      <c r="G2556" s="112">
        <f>'OPEN FOREIGN ORDER'!AD2182</f>
        <v>0</v>
      </c>
      <c r="H2556" s="112">
        <f>'OPEN FOREIGN ORDER'!AE2182</f>
        <v>0</v>
      </c>
      <c r="I2556" s="112">
        <f>'OPEN FOREIGN ORDER'!AF2182</f>
        <v>0</v>
      </c>
      <c r="J2556" s="112">
        <f>'OPEN FOREIGN ORDER'!AG2182</f>
        <v>0</v>
      </c>
    </row>
    <row r="2557" spans="1:10">
      <c r="A2557">
        <f>'OPEN FOREIGN ORDER'!D2183</f>
        <v>0</v>
      </c>
      <c r="B2557">
        <f>'OPEN FOREIGN ORDER'!F2183</f>
        <v>0</v>
      </c>
      <c r="C2557">
        <f>'OPEN FOREIGN ORDER'!Z2183</f>
        <v>0</v>
      </c>
      <c r="D2557" s="123">
        <f>'OPEN FOREIGN ORDER'!AA2183</f>
        <v>0</v>
      </c>
      <c r="E2557" s="112">
        <f>'OPEN FOREIGN ORDER'!AB2183</f>
        <v>0</v>
      </c>
      <c r="F2557" s="112">
        <f>'OPEN FOREIGN ORDER'!AC2183</f>
        <v>0</v>
      </c>
      <c r="G2557" s="112">
        <f>'OPEN FOREIGN ORDER'!AD2183</f>
        <v>0</v>
      </c>
      <c r="H2557" s="112">
        <f>'OPEN FOREIGN ORDER'!AE2183</f>
        <v>0</v>
      </c>
      <c r="I2557" s="112">
        <f>'OPEN FOREIGN ORDER'!AF2183</f>
        <v>0</v>
      </c>
      <c r="J2557" s="112">
        <f>'OPEN FOREIGN ORDER'!AG2183</f>
        <v>0</v>
      </c>
    </row>
    <row r="2558" spans="1:10">
      <c r="A2558">
        <f>'OPEN FOREIGN ORDER'!D2184</f>
        <v>0</v>
      </c>
      <c r="B2558">
        <f>'OPEN FOREIGN ORDER'!F2184</f>
        <v>0</v>
      </c>
      <c r="C2558">
        <f>'OPEN FOREIGN ORDER'!Z2184</f>
        <v>0</v>
      </c>
      <c r="D2558" s="123">
        <f>'OPEN FOREIGN ORDER'!AA2184</f>
        <v>0</v>
      </c>
      <c r="E2558" s="112">
        <f>'OPEN FOREIGN ORDER'!AB2184</f>
        <v>0</v>
      </c>
      <c r="F2558" s="112">
        <f>'OPEN FOREIGN ORDER'!AC2184</f>
        <v>0</v>
      </c>
      <c r="G2558" s="112">
        <f>'OPEN FOREIGN ORDER'!AD2184</f>
        <v>0</v>
      </c>
      <c r="H2558" s="112">
        <f>'OPEN FOREIGN ORDER'!AE2184</f>
        <v>0</v>
      </c>
      <c r="I2558" s="112">
        <f>'OPEN FOREIGN ORDER'!AF2184</f>
        <v>0</v>
      </c>
      <c r="J2558" s="112">
        <f>'OPEN FOREIGN ORDER'!AG2184</f>
        <v>0</v>
      </c>
    </row>
    <row r="2559" spans="1:10">
      <c r="A2559">
        <f>'OPEN FOREIGN ORDER'!D2185</f>
        <v>0</v>
      </c>
      <c r="B2559">
        <f>'OPEN FOREIGN ORDER'!F2185</f>
        <v>0</v>
      </c>
      <c r="C2559">
        <f>'OPEN FOREIGN ORDER'!Z2185</f>
        <v>0</v>
      </c>
      <c r="D2559" s="123">
        <f>'OPEN FOREIGN ORDER'!AA2185</f>
        <v>0</v>
      </c>
      <c r="E2559" s="112">
        <f>'OPEN FOREIGN ORDER'!AB2185</f>
        <v>0</v>
      </c>
      <c r="F2559" s="112">
        <f>'OPEN FOREIGN ORDER'!AC2185</f>
        <v>0</v>
      </c>
      <c r="G2559" s="112">
        <f>'OPEN FOREIGN ORDER'!AD2185</f>
        <v>0</v>
      </c>
      <c r="H2559" s="112">
        <f>'OPEN FOREIGN ORDER'!AE2185</f>
        <v>0</v>
      </c>
      <c r="I2559" s="112">
        <f>'OPEN FOREIGN ORDER'!AF2185</f>
        <v>0</v>
      </c>
      <c r="J2559" s="112">
        <f>'OPEN FOREIGN ORDER'!AG2185</f>
        <v>0</v>
      </c>
    </row>
    <row r="2560" spans="1:10">
      <c r="A2560">
        <f>'OPEN FOREIGN ORDER'!D2186</f>
        <v>0</v>
      </c>
      <c r="B2560">
        <f>'OPEN FOREIGN ORDER'!F2186</f>
        <v>0</v>
      </c>
      <c r="C2560">
        <f>'OPEN FOREIGN ORDER'!Z2186</f>
        <v>0</v>
      </c>
      <c r="D2560" s="123">
        <f>'OPEN FOREIGN ORDER'!AA2186</f>
        <v>0</v>
      </c>
      <c r="E2560" s="112">
        <f>'OPEN FOREIGN ORDER'!AB2186</f>
        <v>0</v>
      </c>
      <c r="F2560" s="112">
        <f>'OPEN FOREIGN ORDER'!AC2186</f>
        <v>0</v>
      </c>
      <c r="G2560" s="112">
        <f>'OPEN FOREIGN ORDER'!AD2186</f>
        <v>0</v>
      </c>
      <c r="H2560" s="112">
        <f>'OPEN FOREIGN ORDER'!AE2186</f>
        <v>0</v>
      </c>
      <c r="I2560" s="112">
        <f>'OPEN FOREIGN ORDER'!AF2186</f>
        <v>0</v>
      </c>
      <c r="J2560" s="112">
        <f>'OPEN FOREIGN ORDER'!AG2186</f>
        <v>0</v>
      </c>
    </row>
    <row r="2561" spans="1:10">
      <c r="A2561">
        <f>'OPEN FOREIGN ORDER'!D2187</f>
        <v>0</v>
      </c>
      <c r="B2561">
        <f>'OPEN FOREIGN ORDER'!F2187</f>
        <v>0</v>
      </c>
      <c r="C2561">
        <f>'OPEN FOREIGN ORDER'!Z2187</f>
        <v>0</v>
      </c>
      <c r="D2561" s="123">
        <f>'OPEN FOREIGN ORDER'!AA2187</f>
        <v>0</v>
      </c>
      <c r="E2561" s="112">
        <f>'OPEN FOREIGN ORDER'!AB2187</f>
        <v>0</v>
      </c>
      <c r="F2561" s="112">
        <f>'OPEN FOREIGN ORDER'!AC2187</f>
        <v>0</v>
      </c>
      <c r="G2561" s="112">
        <f>'OPEN FOREIGN ORDER'!AD2187</f>
        <v>0</v>
      </c>
      <c r="H2561" s="112">
        <f>'OPEN FOREIGN ORDER'!AE2187</f>
        <v>0</v>
      </c>
      <c r="I2561" s="112">
        <f>'OPEN FOREIGN ORDER'!AF2187</f>
        <v>0</v>
      </c>
      <c r="J2561" s="112">
        <f>'OPEN FOREIGN ORDER'!AG2187</f>
        <v>0</v>
      </c>
    </row>
    <row r="2562" spans="1:10">
      <c r="A2562">
        <f>'OPEN FOREIGN ORDER'!D2188</f>
        <v>0</v>
      </c>
      <c r="B2562">
        <f>'OPEN FOREIGN ORDER'!F2188</f>
        <v>0</v>
      </c>
      <c r="C2562">
        <f>'OPEN FOREIGN ORDER'!Z2188</f>
        <v>0</v>
      </c>
      <c r="D2562" s="123">
        <f>'OPEN FOREIGN ORDER'!AA2188</f>
        <v>0</v>
      </c>
      <c r="E2562" s="112">
        <f>'OPEN FOREIGN ORDER'!AB2188</f>
        <v>0</v>
      </c>
      <c r="F2562" s="112">
        <f>'OPEN FOREIGN ORDER'!AC2188</f>
        <v>0</v>
      </c>
      <c r="G2562" s="112">
        <f>'OPEN FOREIGN ORDER'!AD2188</f>
        <v>0</v>
      </c>
      <c r="H2562" s="112">
        <f>'OPEN FOREIGN ORDER'!AE2188</f>
        <v>0</v>
      </c>
      <c r="I2562" s="112">
        <f>'OPEN FOREIGN ORDER'!AF2188</f>
        <v>0</v>
      </c>
      <c r="J2562" s="112">
        <f>'OPEN FOREIGN ORDER'!AG2188</f>
        <v>0</v>
      </c>
    </row>
    <row r="2563" spans="1:10">
      <c r="A2563">
        <f>'OPEN FOREIGN ORDER'!D2189</f>
        <v>0</v>
      </c>
      <c r="B2563">
        <f>'OPEN FOREIGN ORDER'!F2189</f>
        <v>0</v>
      </c>
      <c r="C2563">
        <f>'OPEN FOREIGN ORDER'!Z2189</f>
        <v>0</v>
      </c>
      <c r="D2563" s="123">
        <f>'OPEN FOREIGN ORDER'!AA2189</f>
        <v>0</v>
      </c>
      <c r="E2563" s="112">
        <f>'OPEN FOREIGN ORDER'!AB2189</f>
        <v>0</v>
      </c>
      <c r="F2563" s="112">
        <f>'OPEN FOREIGN ORDER'!AC2189</f>
        <v>0</v>
      </c>
      <c r="G2563" s="112">
        <f>'OPEN FOREIGN ORDER'!AD2189</f>
        <v>0</v>
      </c>
      <c r="H2563" s="112">
        <f>'OPEN FOREIGN ORDER'!AE2189</f>
        <v>0</v>
      </c>
      <c r="I2563" s="112">
        <f>'OPEN FOREIGN ORDER'!AF2189</f>
        <v>0</v>
      </c>
      <c r="J2563" s="112">
        <f>'OPEN FOREIGN ORDER'!AG2189</f>
        <v>0</v>
      </c>
    </row>
    <row r="2564" spans="1:10">
      <c r="A2564">
        <f>'OPEN FOREIGN ORDER'!D2190</f>
        <v>0</v>
      </c>
      <c r="B2564">
        <f>'OPEN FOREIGN ORDER'!F2190</f>
        <v>0</v>
      </c>
      <c r="C2564">
        <f>'OPEN FOREIGN ORDER'!Z2190</f>
        <v>0</v>
      </c>
      <c r="D2564" s="123">
        <f>'OPEN FOREIGN ORDER'!AA2190</f>
        <v>0</v>
      </c>
      <c r="E2564" s="112">
        <f>'OPEN FOREIGN ORDER'!AB2190</f>
        <v>0</v>
      </c>
      <c r="F2564" s="112">
        <f>'OPEN FOREIGN ORDER'!AC2190</f>
        <v>0</v>
      </c>
      <c r="G2564" s="112">
        <f>'OPEN FOREIGN ORDER'!AD2190</f>
        <v>0</v>
      </c>
      <c r="H2564" s="112">
        <f>'OPEN FOREIGN ORDER'!AE2190</f>
        <v>0</v>
      </c>
      <c r="I2564" s="112">
        <f>'OPEN FOREIGN ORDER'!AF2190</f>
        <v>0</v>
      </c>
      <c r="J2564" s="112">
        <f>'OPEN FOREIGN ORDER'!AG2190</f>
        <v>0</v>
      </c>
    </row>
    <row r="2565" spans="1:10">
      <c r="A2565">
        <f>'OPEN FOREIGN ORDER'!D2191</f>
        <v>0</v>
      </c>
      <c r="B2565">
        <f>'OPEN FOREIGN ORDER'!F2191</f>
        <v>0</v>
      </c>
      <c r="C2565">
        <f>'OPEN FOREIGN ORDER'!Z2191</f>
        <v>0</v>
      </c>
      <c r="D2565" s="123">
        <f>'OPEN FOREIGN ORDER'!AA2191</f>
        <v>0</v>
      </c>
      <c r="E2565" s="112">
        <f>'OPEN FOREIGN ORDER'!AB2191</f>
        <v>0</v>
      </c>
      <c r="F2565" s="112">
        <f>'OPEN FOREIGN ORDER'!AC2191</f>
        <v>0</v>
      </c>
      <c r="G2565" s="112">
        <f>'OPEN FOREIGN ORDER'!AD2191</f>
        <v>0</v>
      </c>
      <c r="H2565" s="112">
        <f>'OPEN FOREIGN ORDER'!AE2191</f>
        <v>0</v>
      </c>
      <c r="I2565" s="112">
        <f>'OPEN FOREIGN ORDER'!AF2191</f>
        <v>0</v>
      </c>
      <c r="J2565" s="112">
        <f>'OPEN FOREIGN ORDER'!AG2191</f>
        <v>0</v>
      </c>
    </row>
    <row r="2566" spans="1:10">
      <c r="A2566">
        <f>'OPEN FOREIGN ORDER'!D2192</f>
        <v>0</v>
      </c>
      <c r="B2566">
        <f>'OPEN FOREIGN ORDER'!F2192</f>
        <v>0</v>
      </c>
      <c r="C2566">
        <f>'OPEN FOREIGN ORDER'!Z2192</f>
        <v>0</v>
      </c>
      <c r="D2566" s="123">
        <f>'OPEN FOREIGN ORDER'!AA2192</f>
        <v>0</v>
      </c>
      <c r="E2566" s="112">
        <f>'OPEN FOREIGN ORDER'!AB2192</f>
        <v>0</v>
      </c>
      <c r="F2566" s="112">
        <f>'OPEN FOREIGN ORDER'!AC2192</f>
        <v>0</v>
      </c>
      <c r="G2566" s="112">
        <f>'OPEN FOREIGN ORDER'!AD2192</f>
        <v>0</v>
      </c>
      <c r="H2566" s="112">
        <f>'OPEN FOREIGN ORDER'!AE2192</f>
        <v>0</v>
      </c>
      <c r="I2566" s="112">
        <f>'OPEN FOREIGN ORDER'!AF2192</f>
        <v>0</v>
      </c>
      <c r="J2566" s="112">
        <f>'OPEN FOREIGN ORDER'!AG2192</f>
        <v>0</v>
      </c>
    </row>
    <row r="2567" spans="1:10">
      <c r="A2567">
        <f>'OPEN FOREIGN ORDER'!D2193</f>
        <v>0</v>
      </c>
      <c r="B2567">
        <f>'OPEN FOREIGN ORDER'!F2193</f>
        <v>0</v>
      </c>
      <c r="C2567">
        <f>'OPEN FOREIGN ORDER'!Z2193</f>
        <v>0</v>
      </c>
      <c r="D2567" s="123">
        <f>'OPEN FOREIGN ORDER'!AA2193</f>
        <v>0</v>
      </c>
      <c r="E2567" s="112">
        <f>'OPEN FOREIGN ORDER'!AB2193</f>
        <v>0</v>
      </c>
      <c r="F2567" s="112">
        <f>'OPEN FOREIGN ORDER'!AC2193</f>
        <v>0</v>
      </c>
      <c r="G2567" s="112">
        <f>'OPEN FOREIGN ORDER'!AD2193</f>
        <v>0</v>
      </c>
      <c r="H2567" s="112">
        <f>'OPEN FOREIGN ORDER'!AE2193</f>
        <v>0</v>
      </c>
      <c r="I2567" s="112">
        <f>'OPEN FOREIGN ORDER'!AF2193</f>
        <v>0</v>
      </c>
      <c r="J2567" s="112">
        <f>'OPEN FOREIGN ORDER'!AG2193</f>
        <v>0</v>
      </c>
    </row>
    <row r="2568" spans="1:10">
      <c r="A2568">
        <f>'OPEN FOREIGN ORDER'!D2194</f>
        <v>0</v>
      </c>
      <c r="B2568">
        <f>'OPEN FOREIGN ORDER'!F2194</f>
        <v>0</v>
      </c>
      <c r="C2568">
        <f>'OPEN FOREIGN ORDER'!Z2194</f>
        <v>0</v>
      </c>
      <c r="D2568" s="123">
        <f>'OPEN FOREIGN ORDER'!AA2194</f>
        <v>0</v>
      </c>
      <c r="E2568" s="112">
        <f>'OPEN FOREIGN ORDER'!AB2194</f>
        <v>0</v>
      </c>
      <c r="F2568" s="112">
        <f>'OPEN FOREIGN ORDER'!AC2194</f>
        <v>0</v>
      </c>
      <c r="G2568" s="112">
        <f>'OPEN FOREIGN ORDER'!AD2194</f>
        <v>0</v>
      </c>
      <c r="H2568" s="112">
        <f>'OPEN FOREIGN ORDER'!AE2194</f>
        <v>0</v>
      </c>
      <c r="I2568" s="112">
        <f>'OPEN FOREIGN ORDER'!AF2194</f>
        <v>0</v>
      </c>
      <c r="J2568" s="112">
        <f>'OPEN FOREIGN ORDER'!AG2194</f>
        <v>0</v>
      </c>
    </row>
    <row r="2569" spans="1:10">
      <c r="A2569">
        <f>'OPEN FOREIGN ORDER'!D2195</f>
        <v>0</v>
      </c>
      <c r="B2569">
        <f>'OPEN FOREIGN ORDER'!F2195</f>
        <v>0</v>
      </c>
      <c r="C2569">
        <f>'OPEN FOREIGN ORDER'!Z2195</f>
        <v>0</v>
      </c>
      <c r="D2569" s="123">
        <f>'OPEN FOREIGN ORDER'!AA2195</f>
        <v>0</v>
      </c>
      <c r="E2569" s="112">
        <f>'OPEN FOREIGN ORDER'!AB2195</f>
        <v>0</v>
      </c>
      <c r="F2569" s="112">
        <f>'OPEN FOREIGN ORDER'!AC2195</f>
        <v>0</v>
      </c>
      <c r="G2569" s="112">
        <f>'OPEN FOREIGN ORDER'!AD2195</f>
        <v>0</v>
      </c>
      <c r="H2569" s="112">
        <f>'OPEN FOREIGN ORDER'!AE2195</f>
        <v>0</v>
      </c>
      <c r="I2569" s="112">
        <f>'OPEN FOREIGN ORDER'!AF2195</f>
        <v>0</v>
      </c>
      <c r="J2569" s="112">
        <f>'OPEN FOREIGN ORDER'!AG2195</f>
        <v>0</v>
      </c>
    </row>
    <row r="2570" spans="1:10">
      <c r="A2570">
        <f>'OPEN FOREIGN ORDER'!D2196</f>
        <v>0</v>
      </c>
      <c r="B2570">
        <f>'OPEN FOREIGN ORDER'!F2196</f>
        <v>0</v>
      </c>
      <c r="C2570">
        <f>'OPEN FOREIGN ORDER'!Z2196</f>
        <v>0</v>
      </c>
      <c r="D2570" s="123">
        <f>'OPEN FOREIGN ORDER'!AA2196</f>
        <v>0</v>
      </c>
      <c r="E2570" s="112">
        <f>'OPEN FOREIGN ORDER'!AB2196</f>
        <v>0</v>
      </c>
      <c r="F2570" s="112">
        <f>'OPEN FOREIGN ORDER'!AC2196</f>
        <v>0</v>
      </c>
      <c r="G2570" s="112">
        <f>'OPEN FOREIGN ORDER'!AD2196</f>
        <v>0</v>
      </c>
      <c r="H2570" s="112">
        <f>'OPEN FOREIGN ORDER'!AE2196</f>
        <v>0</v>
      </c>
      <c r="I2570" s="112">
        <f>'OPEN FOREIGN ORDER'!AF2196</f>
        <v>0</v>
      </c>
      <c r="J2570" s="112">
        <f>'OPEN FOREIGN ORDER'!AG2196</f>
        <v>0</v>
      </c>
    </row>
    <row r="2571" spans="1:10">
      <c r="A2571">
        <f>'OPEN FOREIGN ORDER'!D2197</f>
        <v>0</v>
      </c>
      <c r="B2571">
        <f>'OPEN FOREIGN ORDER'!F2197</f>
        <v>0</v>
      </c>
      <c r="C2571">
        <f>'OPEN FOREIGN ORDER'!Z2197</f>
        <v>0</v>
      </c>
      <c r="D2571" s="123">
        <f>'OPEN FOREIGN ORDER'!AA2197</f>
        <v>0</v>
      </c>
      <c r="E2571" s="112">
        <f>'OPEN FOREIGN ORDER'!AB2197</f>
        <v>0</v>
      </c>
      <c r="F2571" s="112">
        <f>'OPEN FOREIGN ORDER'!AC2197</f>
        <v>0</v>
      </c>
      <c r="G2571" s="112">
        <f>'OPEN FOREIGN ORDER'!AD2197</f>
        <v>0</v>
      </c>
      <c r="H2571" s="112">
        <f>'OPEN FOREIGN ORDER'!AE2197</f>
        <v>0</v>
      </c>
      <c r="I2571" s="112">
        <f>'OPEN FOREIGN ORDER'!AF2197</f>
        <v>0</v>
      </c>
      <c r="J2571" s="112">
        <f>'OPEN FOREIGN ORDER'!AG2197</f>
        <v>0</v>
      </c>
    </row>
    <row r="2572" spans="1:10">
      <c r="A2572">
        <f>'OPEN FOREIGN ORDER'!D2198</f>
        <v>0</v>
      </c>
      <c r="B2572">
        <f>'OPEN FOREIGN ORDER'!F2198</f>
        <v>0</v>
      </c>
      <c r="C2572">
        <f>'OPEN FOREIGN ORDER'!Z2198</f>
        <v>0</v>
      </c>
      <c r="D2572" s="123">
        <f>'OPEN FOREIGN ORDER'!AA2198</f>
        <v>0</v>
      </c>
      <c r="E2572" s="112">
        <f>'OPEN FOREIGN ORDER'!AB2198</f>
        <v>0</v>
      </c>
      <c r="F2572" s="112">
        <f>'OPEN FOREIGN ORDER'!AC2198</f>
        <v>0</v>
      </c>
      <c r="G2572" s="112">
        <f>'OPEN FOREIGN ORDER'!AD2198</f>
        <v>0</v>
      </c>
      <c r="H2572" s="112">
        <f>'OPEN FOREIGN ORDER'!AE2198</f>
        <v>0</v>
      </c>
      <c r="I2572" s="112">
        <f>'OPEN FOREIGN ORDER'!AF2198</f>
        <v>0</v>
      </c>
      <c r="J2572" s="112">
        <f>'OPEN FOREIGN ORDER'!AG2198</f>
        <v>0</v>
      </c>
    </row>
    <row r="2573" spans="1:10">
      <c r="A2573">
        <f>'OPEN FOREIGN ORDER'!D2199</f>
        <v>0</v>
      </c>
      <c r="B2573">
        <f>'OPEN FOREIGN ORDER'!F2199</f>
        <v>0</v>
      </c>
      <c r="C2573">
        <f>'OPEN FOREIGN ORDER'!Z2199</f>
        <v>0</v>
      </c>
      <c r="D2573" s="123">
        <f>'OPEN FOREIGN ORDER'!AA2199</f>
        <v>0</v>
      </c>
      <c r="E2573" s="112">
        <f>'OPEN FOREIGN ORDER'!AB2199</f>
        <v>0</v>
      </c>
      <c r="F2573" s="112">
        <f>'OPEN FOREIGN ORDER'!AC2199</f>
        <v>0</v>
      </c>
      <c r="G2573" s="112">
        <f>'OPEN FOREIGN ORDER'!AD2199</f>
        <v>0</v>
      </c>
      <c r="H2573" s="112">
        <f>'OPEN FOREIGN ORDER'!AE2199</f>
        <v>0</v>
      </c>
      <c r="I2573" s="112">
        <f>'OPEN FOREIGN ORDER'!AF2199</f>
        <v>0</v>
      </c>
      <c r="J2573" s="112">
        <f>'OPEN FOREIGN ORDER'!AG2199</f>
        <v>0</v>
      </c>
    </row>
    <row r="2574" spans="1:10">
      <c r="A2574">
        <f>'OPEN FOREIGN ORDER'!D2200</f>
        <v>0</v>
      </c>
      <c r="B2574">
        <f>'OPEN FOREIGN ORDER'!F2200</f>
        <v>0</v>
      </c>
      <c r="C2574">
        <f>'OPEN FOREIGN ORDER'!Z2200</f>
        <v>0</v>
      </c>
      <c r="D2574" s="123">
        <f>'OPEN FOREIGN ORDER'!AA2200</f>
        <v>0</v>
      </c>
      <c r="E2574" s="112">
        <f>'OPEN FOREIGN ORDER'!AB2200</f>
        <v>0</v>
      </c>
      <c r="F2574" s="112">
        <f>'OPEN FOREIGN ORDER'!AC2200</f>
        <v>0</v>
      </c>
      <c r="G2574" s="112">
        <f>'OPEN FOREIGN ORDER'!AD2200</f>
        <v>0</v>
      </c>
      <c r="H2574" s="112">
        <f>'OPEN FOREIGN ORDER'!AE2200</f>
        <v>0</v>
      </c>
      <c r="I2574" s="112">
        <f>'OPEN FOREIGN ORDER'!AF2200</f>
        <v>0</v>
      </c>
      <c r="J2574" s="112">
        <f>'OPEN FOREIGN ORDER'!AG2200</f>
        <v>0</v>
      </c>
    </row>
    <row r="2575" spans="1:10">
      <c r="A2575">
        <f>'OPEN FOREIGN ORDER'!D2201</f>
        <v>0</v>
      </c>
      <c r="B2575">
        <f>'OPEN FOREIGN ORDER'!F2201</f>
        <v>0</v>
      </c>
      <c r="C2575">
        <f>'OPEN FOREIGN ORDER'!Z2201</f>
        <v>0</v>
      </c>
      <c r="D2575" s="123">
        <f>'OPEN FOREIGN ORDER'!AA2201</f>
        <v>0</v>
      </c>
      <c r="E2575" s="112">
        <f>'OPEN FOREIGN ORDER'!AB2201</f>
        <v>0</v>
      </c>
      <c r="F2575" s="112">
        <f>'OPEN FOREIGN ORDER'!AC2201</f>
        <v>0</v>
      </c>
      <c r="G2575" s="112">
        <f>'OPEN FOREIGN ORDER'!AD2201</f>
        <v>0</v>
      </c>
      <c r="H2575" s="112">
        <f>'OPEN FOREIGN ORDER'!AE2201</f>
        <v>0</v>
      </c>
      <c r="I2575" s="112">
        <f>'OPEN FOREIGN ORDER'!AF2201</f>
        <v>0</v>
      </c>
      <c r="J2575" s="112">
        <f>'OPEN FOREIGN ORDER'!AG2201</f>
        <v>0</v>
      </c>
    </row>
    <row r="2576" spans="1:10">
      <c r="A2576">
        <f>'OPEN FOREIGN ORDER'!D2202</f>
        <v>0</v>
      </c>
      <c r="B2576">
        <f>'OPEN FOREIGN ORDER'!F2202</f>
        <v>0</v>
      </c>
      <c r="C2576">
        <f>'OPEN FOREIGN ORDER'!Z2202</f>
        <v>0</v>
      </c>
      <c r="D2576" s="123">
        <f>'OPEN FOREIGN ORDER'!AA2202</f>
        <v>0</v>
      </c>
      <c r="E2576" s="112">
        <f>'OPEN FOREIGN ORDER'!AB2202</f>
        <v>0</v>
      </c>
      <c r="F2576" s="112">
        <f>'OPEN FOREIGN ORDER'!AC2202</f>
        <v>0</v>
      </c>
      <c r="G2576" s="112">
        <f>'OPEN FOREIGN ORDER'!AD2202</f>
        <v>0</v>
      </c>
      <c r="H2576" s="112">
        <f>'OPEN FOREIGN ORDER'!AE2202</f>
        <v>0</v>
      </c>
      <c r="I2576" s="112">
        <f>'OPEN FOREIGN ORDER'!AF2202</f>
        <v>0</v>
      </c>
      <c r="J2576" s="112">
        <f>'OPEN FOREIGN ORDER'!AG2202</f>
        <v>0</v>
      </c>
    </row>
    <row r="2577" spans="1:10">
      <c r="A2577">
        <f>'OPEN FOREIGN ORDER'!D2203</f>
        <v>0</v>
      </c>
      <c r="B2577">
        <f>'OPEN FOREIGN ORDER'!F2203</f>
        <v>0</v>
      </c>
      <c r="C2577">
        <f>'OPEN FOREIGN ORDER'!Z2203</f>
        <v>0</v>
      </c>
      <c r="D2577" s="123">
        <f>'OPEN FOREIGN ORDER'!AA2203</f>
        <v>0</v>
      </c>
      <c r="E2577" s="112">
        <f>'OPEN FOREIGN ORDER'!AB2203</f>
        <v>0</v>
      </c>
      <c r="F2577" s="112">
        <f>'OPEN FOREIGN ORDER'!AC2203</f>
        <v>0</v>
      </c>
      <c r="G2577" s="112">
        <f>'OPEN FOREIGN ORDER'!AD2203</f>
        <v>0</v>
      </c>
      <c r="H2577" s="112">
        <f>'OPEN FOREIGN ORDER'!AE2203</f>
        <v>0</v>
      </c>
      <c r="I2577" s="112">
        <f>'OPEN FOREIGN ORDER'!AF2203</f>
        <v>0</v>
      </c>
      <c r="J2577" s="112">
        <f>'OPEN FOREIGN ORDER'!AG2203</f>
        <v>0</v>
      </c>
    </row>
    <row r="2578" spans="1:10">
      <c r="A2578">
        <f>'OPEN FOREIGN ORDER'!D2204</f>
        <v>0</v>
      </c>
      <c r="B2578">
        <f>'OPEN FOREIGN ORDER'!F2204</f>
        <v>0</v>
      </c>
      <c r="C2578">
        <f>'OPEN FOREIGN ORDER'!Z2204</f>
        <v>0</v>
      </c>
      <c r="D2578" s="123">
        <f>'OPEN FOREIGN ORDER'!AA2204</f>
        <v>0</v>
      </c>
      <c r="E2578" s="112">
        <f>'OPEN FOREIGN ORDER'!AB2204</f>
        <v>0</v>
      </c>
      <c r="F2578" s="112">
        <f>'OPEN FOREIGN ORDER'!AC2204</f>
        <v>0</v>
      </c>
      <c r="G2578" s="112">
        <f>'OPEN FOREIGN ORDER'!AD2204</f>
        <v>0</v>
      </c>
      <c r="H2578" s="112">
        <f>'OPEN FOREIGN ORDER'!AE2204</f>
        <v>0</v>
      </c>
      <c r="I2578" s="112">
        <f>'OPEN FOREIGN ORDER'!AF2204</f>
        <v>0</v>
      </c>
      <c r="J2578" s="112">
        <f>'OPEN FOREIGN ORDER'!AG2204</f>
        <v>0</v>
      </c>
    </row>
    <row r="2579" spans="1:10">
      <c r="A2579">
        <f>'OPEN FOREIGN ORDER'!D2205</f>
        <v>0</v>
      </c>
      <c r="B2579">
        <f>'OPEN FOREIGN ORDER'!F2205</f>
        <v>0</v>
      </c>
      <c r="C2579">
        <f>'OPEN FOREIGN ORDER'!Z2205</f>
        <v>0</v>
      </c>
      <c r="D2579" s="123">
        <f>'OPEN FOREIGN ORDER'!AA2205</f>
        <v>0</v>
      </c>
      <c r="E2579" s="112">
        <f>'OPEN FOREIGN ORDER'!AB2205</f>
        <v>0</v>
      </c>
      <c r="F2579" s="112">
        <f>'OPEN FOREIGN ORDER'!AC2205</f>
        <v>0</v>
      </c>
      <c r="G2579" s="112">
        <f>'OPEN FOREIGN ORDER'!AD2205</f>
        <v>0</v>
      </c>
      <c r="H2579" s="112">
        <f>'OPEN FOREIGN ORDER'!AE2205</f>
        <v>0</v>
      </c>
      <c r="I2579" s="112">
        <f>'OPEN FOREIGN ORDER'!AF2205</f>
        <v>0</v>
      </c>
      <c r="J2579" s="112">
        <f>'OPEN FOREIGN ORDER'!AG2205</f>
        <v>0</v>
      </c>
    </row>
    <row r="2580" spans="1:10">
      <c r="A2580">
        <f>'OPEN FOREIGN ORDER'!D2206</f>
        <v>0</v>
      </c>
      <c r="B2580">
        <f>'OPEN FOREIGN ORDER'!F2206</f>
        <v>0</v>
      </c>
      <c r="C2580">
        <f>'OPEN FOREIGN ORDER'!Z2206</f>
        <v>0</v>
      </c>
      <c r="D2580" s="123">
        <f>'OPEN FOREIGN ORDER'!AA2206</f>
        <v>0</v>
      </c>
      <c r="E2580" s="112">
        <f>'OPEN FOREIGN ORDER'!AB2206</f>
        <v>0</v>
      </c>
      <c r="F2580" s="112">
        <f>'OPEN FOREIGN ORDER'!AC2206</f>
        <v>0</v>
      </c>
      <c r="G2580" s="112">
        <f>'OPEN FOREIGN ORDER'!AD2206</f>
        <v>0</v>
      </c>
      <c r="H2580" s="112">
        <f>'OPEN FOREIGN ORDER'!AE2206</f>
        <v>0</v>
      </c>
      <c r="I2580" s="112">
        <f>'OPEN FOREIGN ORDER'!AF2206</f>
        <v>0</v>
      </c>
      <c r="J2580" s="112">
        <f>'OPEN FOREIGN ORDER'!AG2206</f>
        <v>0</v>
      </c>
    </row>
    <row r="2581" spans="1:10">
      <c r="A2581">
        <f>'OPEN FOREIGN ORDER'!D2207</f>
        <v>0</v>
      </c>
      <c r="B2581">
        <f>'OPEN FOREIGN ORDER'!F2207</f>
        <v>0</v>
      </c>
      <c r="C2581">
        <f>'OPEN FOREIGN ORDER'!Z2207</f>
        <v>0</v>
      </c>
      <c r="D2581" s="123">
        <f>'OPEN FOREIGN ORDER'!AA2207</f>
        <v>0</v>
      </c>
      <c r="E2581" s="112">
        <f>'OPEN FOREIGN ORDER'!AB2207</f>
        <v>0</v>
      </c>
      <c r="F2581" s="112">
        <f>'OPEN FOREIGN ORDER'!AC2207</f>
        <v>0</v>
      </c>
      <c r="G2581" s="112">
        <f>'OPEN FOREIGN ORDER'!AD2207</f>
        <v>0</v>
      </c>
      <c r="H2581" s="112">
        <f>'OPEN FOREIGN ORDER'!AE2207</f>
        <v>0</v>
      </c>
      <c r="I2581" s="112">
        <f>'OPEN FOREIGN ORDER'!AF2207</f>
        <v>0</v>
      </c>
      <c r="J2581" s="112">
        <f>'OPEN FOREIGN ORDER'!AG2207</f>
        <v>0</v>
      </c>
    </row>
    <row r="2582" spans="1:10">
      <c r="A2582">
        <f>'OPEN FOREIGN ORDER'!D2208</f>
        <v>0</v>
      </c>
      <c r="B2582">
        <f>'OPEN FOREIGN ORDER'!F2208</f>
        <v>0</v>
      </c>
      <c r="C2582">
        <f>'OPEN FOREIGN ORDER'!Z2208</f>
        <v>0</v>
      </c>
      <c r="D2582" s="123">
        <f>'OPEN FOREIGN ORDER'!AA2208</f>
        <v>0</v>
      </c>
      <c r="E2582" s="112">
        <f>'OPEN FOREIGN ORDER'!AB2208</f>
        <v>0</v>
      </c>
      <c r="F2582" s="112">
        <f>'OPEN FOREIGN ORDER'!AC2208</f>
        <v>0</v>
      </c>
      <c r="G2582" s="112">
        <f>'OPEN FOREIGN ORDER'!AD2208</f>
        <v>0</v>
      </c>
      <c r="H2582" s="112">
        <f>'OPEN FOREIGN ORDER'!AE2208</f>
        <v>0</v>
      </c>
      <c r="I2582" s="112">
        <f>'OPEN FOREIGN ORDER'!AF2208</f>
        <v>0</v>
      </c>
      <c r="J2582" s="112">
        <f>'OPEN FOREIGN ORDER'!AG2208</f>
        <v>0</v>
      </c>
    </row>
    <row r="2583" spans="1:10">
      <c r="A2583">
        <f>'OPEN FOREIGN ORDER'!D2209</f>
        <v>0</v>
      </c>
      <c r="B2583">
        <f>'OPEN FOREIGN ORDER'!F2209</f>
        <v>0</v>
      </c>
      <c r="C2583">
        <f>'OPEN FOREIGN ORDER'!Z2209</f>
        <v>0</v>
      </c>
      <c r="D2583" s="123">
        <f>'OPEN FOREIGN ORDER'!AA2209</f>
        <v>0</v>
      </c>
      <c r="E2583" s="112">
        <f>'OPEN FOREIGN ORDER'!AB2209</f>
        <v>0</v>
      </c>
      <c r="F2583" s="112">
        <f>'OPEN FOREIGN ORDER'!AC2209</f>
        <v>0</v>
      </c>
      <c r="G2583" s="112">
        <f>'OPEN FOREIGN ORDER'!AD2209</f>
        <v>0</v>
      </c>
      <c r="H2583" s="112">
        <f>'OPEN FOREIGN ORDER'!AE2209</f>
        <v>0</v>
      </c>
      <c r="I2583" s="112">
        <f>'OPEN FOREIGN ORDER'!AF2209</f>
        <v>0</v>
      </c>
      <c r="J2583" s="112">
        <f>'OPEN FOREIGN ORDER'!AG2209</f>
        <v>0</v>
      </c>
    </row>
    <row r="2584" spans="1:10">
      <c r="A2584">
        <f>'OPEN FOREIGN ORDER'!D2210</f>
        <v>0</v>
      </c>
      <c r="B2584">
        <f>'OPEN FOREIGN ORDER'!F2210</f>
        <v>0</v>
      </c>
      <c r="C2584">
        <f>'OPEN FOREIGN ORDER'!Z2210</f>
        <v>0</v>
      </c>
      <c r="D2584" s="123">
        <f>'OPEN FOREIGN ORDER'!AA2210</f>
        <v>0</v>
      </c>
      <c r="E2584" s="112">
        <f>'OPEN FOREIGN ORDER'!AB2210</f>
        <v>0</v>
      </c>
      <c r="F2584" s="112">
        <f>'OPEN FOREIGN ORDER'!AC2210</f>
        <v>0</v>
      </c>
      <c r="G2584" s="112">
        <f>'OPEN FOREIGN ORDER'!AD2210</f>
        <v>0</v>
      </c>
      <c r="H2584" s="112">
        <f>'OPEN FOREIGN ORDER'!AE2210</f>
        <v>0</v>
      </c>
      <c r="I2584" s="112">
        <f>'OPEN FOREIGN ORDER'!AF2210</f>
        <v>0</v>
      </c>
      <c r="J2584" s="112">
        <f>'OPEN FOREIGN ORDER'!AG2210</f>
        <v>0</v>
      </c>
    </row>
    <row r="2585" spans="1:10">
      <c r="A2585">
        <f>'OPEN FOREIGN ORDER'!D2211</f>
        <v>0</v>
      </c>
      <c r="B2585">
        <f>'OPEN FOREIGN ORDER'!F2211</f>
        <v>0</v>
      </c>
      <c r="C2585">
        <f>'OPEN FOREIGN ORDER'!Z2211</f>
        <v>0</v>
      </c>
      <c r="D2585" s="123">
        <f>'OPEN FOREIGN ORDER'!AA2211</f>
        <v>0</v>
      </c>
      <c r="E2585" s="112">
        <f>'OPEN FOREIGN ORDER'!AB2211</f>
        <v>0</v>
      </c>
      <c r="F2585" s="112">
        <f>'OPEN FOREIGN ORDER'!AC2211</f>
        <v>0</v>
      </c>
      <c r="G2585" s="112">
        <f>'OPEN FOREIGN ORDER'!AD2211</f>
        <v>0</v>
      </c>
      <c r="H2585" s="112">
        <f>'OPEN FOREIGN ORDER'!AE2211</f>
        <v>0</v>
      </c>
      <c r="I2585" s="112">
        <f>'OPEN FOREIGN ORDER'!AF2211</f>
        <v>0</v>
      </c>
      <c r="J2585" s="112">
        <f>'OPEN FOREIGN ORDER'!AG2211</f>
        <v>0</v>
      </c>
    </row>
    <row r="2586" spans="1:10">
      <c r="A2586">
        <f>'OPEN FOREIGN ORDER'!D2212</f>
        <v>0</v>
      </c>
      <c r="B2586">
        <f>'OPEN FOREIGN ORDER'!F2212</f>
        <v>0</v>
      </c>
      <c r="C2586">
        <f>'OPEN FOREIGN ORDER'!Z2212</f>
        <v>0</v>
      </c>
      <c r="D2586" s="123">
        <f>'OPEN FOREIGN ORDER'!AA2212</f>
        <v>0</v>
      </c>
      <c r="E2586" s="112">
        <f>'OPEN FOREIGN ORDER'!AB2212</f>
        <v>0</v>
      </c>
      <c r="F2586" s="112">
        <f>'OPEN FOREIGN ORDER'!AC2212</f>
        <v>0</v>
      </c>
      <c r="G2586" s="112">
        <f>'OPEN FOREIGN ORDER'!AD2212</f>
        <v>0</v>
      </c>
      <c r="H2586" s="112">
        <f>'OPEN FOREIGN ORDER'!AE2212</f>
        <v>0</v>
      </c>
      <c r="I2586" s="112">
        <f>'OPEN FOREIGN ORDER'!AF2212</f>
        <v>0</v>
      </c>
      <c r="J2586" s="112">
        <f>'OPEN FOREIGN ORDER'!AG2212</f>
        <v>0</v>
      </c>
    </row>
    <row r="2587" spans="1:10">
      <c r="A2587">
        <f>'OPEN FOREIGN ORDER'!D2213</f>
        <v>0</v>
      </c>
      <c r="B2587">
        <f>'OPEN FOREIGN ORDER'!F2213</f>
        <v>0</v>
      </c>
      <c r="C2587">
        <f>'OPEN FOREIGN ORDER'!Z2213</f>
        <v>0</v>
      </c>
      <c r="D2587" s="123">
        <f>'OPEN FOREIGN ORDER'!AA2213</f>
        <v>0</v>
      </c>
      <c r="E2587" s="112">
        <f>'OPEN FOREIGN ORDER'!AB2213</f>
        <v>0</v>
      </c>
      <c r="F2587" s="112">
        <f>'OPEN FOREIGN ORDER'!AC2213</f>
        <v>0</v>
      </c>
      <c r="G2587" s="112">
        <f>'OPEN FOREIGN ORDER'!AD2213</f>
        <v>0</v>
      </c>
      <c r="H2587" s="112">
        <f>'OPEN FOREIGN ORDER'!AE2213</f>
        <v>0</v>
      </c>
      <c r="I2587" s="112">
        <f>'OPEN FOREIGN ORDER'!AF2213</f>
        <v>0</v>
      </c>
      <c r="J2587" s="112">
        <f>'OPEN FOREIGN ORDER'!AG2213</f>
        <v>0</v>
      </c>
    </row>
    <row r="2588" spans="1:10">
      <c r="A2588">
        <f>'OPEN FOREIGN ORDER'!D2214</f>
        <v>0</v>
      </c>
      <c r="B2588">
        <f>'OPEN FOREIGN ORDER'!F2214</f>
        <v>0</v>
      </c>
      <c r="C2588">
        <f>'OPEN FOREIGN ORDER'!Z2214</f>
        <v>0</v>
      </c>
      <c r="D2588" s="123">
        <f>'OPEN FOREIGN ORDER'!AA2214</f>
        <v>0</v>
      </c>
      <c r="E2588" s="112">
        <f>'OPEN FOREIGN ORDER'!AB2214</f>
        <v>0</v>
      </c>
      <c r="F2588" s="112">
        <f>'OPEN FOREIGN ORDER'!AC2214</f>
        <v>0</v>
      </c>
      <c r="G2588" s="112">
        <f>'OPEN FOREIGN ORDER'!AD2214</f>
        <v>0</v>
      </c>
      <c r="H2588" s="112">
        <f>'OPEN FOREIGN ORDER'!AE2214</f>
        <v>0</v>
      </c>
      <c r="I2588" s="112">
        <f>'OPEN FOREIGN ORDER'!AF2214</f>
        <v>0</v>
      </c>
      <c r="J2588" s="112">
        <f>'OPEN FOREIGN ORDER'!AG2214</f>
        <v>0</v>
      </c>
    </row>
    <row r="2589" spans="1:10">
      <c r="A2589">
        <f>'OPEN FOREIGN ORDER'!D2215</f>
        <v>0</v>
      </c>
      <c r="B2589">
        <f>'OPEN FOREIGN ORDER'!F2215</f>
        <v>0</v>
      </c>
      <c r="C2589">
        <f>'OPEN FOREIGN ORDER'!Z2215</f>
        <v>0</v>
      </c>
      <c r="D2589" s="123">
        <f>'OPEN FOREIGN ORDER'!AA2215</f>
        <v>0</v>
      </c>
      <c r="E2589" s="112">
        <f>'OPEN FOREIGN ORDER'!AB2215</f>
        <v>0</v>
      </c>
      <c r="F2589" s="112">
        <f>'OPEN FOREIGN ORDER'!AC2215</f>
        <v>0</v>
      </c>
      <c r="G2589" s="112">
        <f>'OPEN FOREIGN ORDER'!AD2215</f>
        <v>0</v>
      </c>
      <c r="H2589" s="112">
        <f>'OPEN FOREIGN ORDER'!AE2215</f>
        <v>0</v>
      </c>
      <c r="I2589" s="112">
        <f>'OPEN FOREIGN ORDER'!AF2215</f>
        <v>0</v>
      </c>
      <c r="J2589" s="112">
        <f>'OPEN FOREIGN ORDER'!AG2215</f>
        <v>0</v>
      </c>
    </row>
    <row r="2590" spans="1:10">
      <c r="A2590">
        <f>'OPEN FOREIGN ORDER'!D2216</f>
        <v>0</v>
      </c>
      <c r="B2590">
        <f>'OPEN FOREIGN ORDER'!F2216</f>
        <v>0</v>
      </c>
      <c r="C2590">
        <f>'OPEN FOREIGN ORDER'!Z2216</f>
        <v>0</v>
      </c>
      <c r="D2590" s="123">
        <f>'OPEN FOREIGN ORDER'!AA2216</f>
        <v>0</v>
      </c>
      <c r="E2590" s="112">
        <f>'OPEN FOREIGN ORDER'!AB2216</f>
        <v>0</v>
      </c>
      <c r="F2590" s="112">
        <f>'OPEN FOREIGN ORDER'!AC2216</f>
        <v>0</v>
      </c>
      <c r="G2590" s="112">
        <f>'OPEN FOREIGN ORDER'!AD2216</f>
        <v>0</v>
      </c>
      <c r="H2590" s="112">
        <f>'OPEN FOREIGN ORDER'!AE2216</f>
        <v>0</v>
      </c>
      <c r="I2590" s="112">
        <f>'OPEN FOREIGN ORDER'!AF2216</f>
        <v>0</v>
      </c>
      <c r="J2590" s="112">
        <f>'OPEN FOREIGN ORDER'!AG2216</f>
        <v>0</v>
      </c>
    </row>
    <row r="2591" spans="1:10">
      <c r="A2591">
        <f>'OPEN FOREIGN ORDER'!D2217</f>
        <v>0</v>
      </c>
      <c r="B2591">
        <f>'OPEN FOREIGN ORDER'!F2217</f>
        <v>0</v>
      </c>
      <c r="C2591">
        <f>'OPEN FOREIGN ORDER'!Z2217</f>
        <v>0</v>
      </c>
      <c r="D2591" s="123">
        <f>'OPEN FOREIGN ORDER'!AA2217</f>
        <v>0</v>
      </c>
      <c r="E2591" s="112">
        <f>'OPEN FOREIGN ORDER'!AB2217</f>
        <v>0</v>
      </c>
      <c r="F2591" s="112">
        <f>'OPEN FOREIGN ORDER'!AC2217</f>
        <v>0</v>
      </c>
      <c r="G2591" s="112">
        <f>'OPEN FOREIGN ORDER'!AD2217</f>
        <v>0</v>
      </c>
      <c r="H2591" s="112">
        <f>'OPEN FOREIGN ORDER'!AE2217</f>
        <v>0</v>
      </c>
      <c r="I2591" s="112">
        <f>'OPEN FOREIGN ORDER'!AF2217</f>
        <v>0</v>
      </c>
      <c r="J2591" s="112">
        <f>'OPEN FOREIGN ORDER'!AG2217</f>
        <v>0</v>
      </c>
    </row>
    <row r="2592" spans="1:10">
      <c r="A2592">
        <f>'OPEN FOREIGN ORDER'!D2218</f>
        <v>0</v>
      </c>
      <c r="B2592">
        <f>'OPEN FOREIGN ORDER'!F2218</f>
        <v>0</v>
      </c>
      <c r="C2592">
        <f>'OPEN FOREIGN ORDER'!Z2218</f>
        <v>0</v>
      </c>
      <c r="D2592" s="123">
        <f>'OPEN FOREIGN ORDER'!AA2218</f>
        <v>0</v>
      </c>
      <c r="E2592" s="112">
        <f>'OPEN FOREIGN ORDER'!AB2218</f>
        <v>0</v>
      </c>
      <c r="F2592" s="112">
        <f>'OPEN FOREIGN ORDER'!AC2218</f>
        <v>0</v>
      </c>
      <c r="G2592" s="112">
        <f>'OPEN FOREIGN ORDER'!AD2218</f>
        <v>0</v>
      </c>
      <c r="H2592" s="112">
        <f>'OPEN FOREIGN ORDER'!AE2218</f>
        <v>0</v>
      </c>
      <c r="I2592" s="112">
        <f>'OPEN FOREIGN ORDER'!AF2218</f>
        <v>0</v>
      </c>
      <c r="J2592" s="112">
        <f>'OPEN FOREIGN ORDER'!AG2218</f>
        <v>0</v>
      </c>
    </row>
    <row r="2593" spans="1:10">
      <c r="A2593">
        <f>'OPEN FOREIGN ORDER'!D2219</f>
        <v>0</v>
      </c>
      <c r="B2593">
        <f>'OPEN FOREIGN ORDER'!F2219</f>
        <v>0</v>
      </c>
      <c r="C2593">
        <f>'OPEN FOREIGN ORDER'!Z2219</f>
        <v>0</v>
      </c>
      <c r="D2593" s="123">
        <f>'OPEN FOREIGN ORDER'!AA2219</f>
        <v>0</v>
      </c>
      <c r="E2593" s="112">
        <f>'OPEN FOREIGN ORDER'!AB2219</f>
        <v>0</v>
      </c>
      <c r="F2593" s="112">
        <f>'OPEN FOREIGN ORDER'!AC2219</f>
        <v>0</v>
      </c>
      <c r="G2593" s="112">
        <f>'OPEN FOREIGN ORDER'!AD2219</f>
        <v>0</v>
      </c>
      <c r="H2593" s="112">
        <f>'OPEN FOREIGN ORDER'!AE2219</f>
        <v>0</v>
      </c>
      <c r="I2593" s="112">
        <f>'OPEN FOREIGN ORDER'!AF2219</f>
        <v>0</v>
      </c>
      <c r="J2593" s="112">
        <f>'OPEN FOREIGN ORDER'!AG2219</f>
        <v>0</v>
      </c>
    </row>
    <row r="2594" spans="1:10">
      <c r="A2594">
        <f>'OPEN FOREIGN ORDER'!D2220</f>
        <v>0</v>
      </c>
      <c r="B2594">
        <f>'OPEN FOREIGN ORDER'!F2220</f>
        <v>0</v>
      </c>
      <c r="C2594">
        <f>'OPEN FOREIGN ORDER'!Z2220</f>
        <v>0</v>
      </c>
      <c r="D2594" s="123">
        <f>'OPEN FOREIGN ORDER'!AA2220</f>
        <v>0</v>
      </c>
      <c r="E2594" s="112">
        <f>'OPEN FOREIGN ORDER'!AB2220</f>
        <v>0</v>
      </c>
      <c r="F2594" s="112">
        <f>'OPEN FOREIGN ORDER'!AC2220</f>
        <v>0</v>
      </c>
      <c r="G2594" s="112">
        <f>'OPEN FOREIGN ORDER'!AD2220</f>
        <v>0</v>
      </c>
      <c r="H2594" s="112">
        <f>'OPEN FOREIGN ORDER'!AE2220</f>
        <v>0</v>
      </c>
      <c r="I2594" s="112">
        <f>'OPEN FOREIGN ORDER'!AF2220</f>
        <v>0</v>
      </c>
      <c r="J2594" s="112">
        <f>'OPEN FOREIGN ORDER'!AG2220</f>
        <v>0</v>
      </c>
    </row>
    <row r="2595" spans="1:10">
      <c r="A2595">
        <f>'OPEN FOREIGN ORDER'!D2221</f>
        <v>0</v>
      </c>
      <c r="B2595">
        <f>'OPEN FOREIGN ORDER'!F2221</f>
        <v>0</v>
      </c>
      <c r="C2595">
        <f>'OPEN FOREIGN ORDER'!Z2221</f>
        <v>0</v>
      </c>
      <c r="D2595" s="123">
        <f>'OPEN FOREIGN ORDER'!AA2221</f>
        <v>0</v>
      </c>
      <c r="E2595" s="112">
        <f>'OPEN FOREIGN ORDER'!AB2221</f>
        <v>0</v>
      </c>
      <c r="F2595" s="112">
        <f>'OPEN FOREIGN ORDER'!AC2221</f>
        <v>0</v>
      </c>
      <c r="G2595" s="112">
        <f>'OPEN FOREIGN ORDER'!AD2221</f>
        <v>0</v>
      </c>
      <c r="H2595" s="112">
        <f>'OPEN FOREIGN ORDER'!AE2221</f>
        <v>0</v>
      </c>
      <c r="I2595" s="112">
        <f>'OPEN FOREIGN ORDER'!AF2221</f>
        <v>0</v>
      </c>
      <c r="J2595" s="112">
        <f>'OPEN FOREIGN ORDER'!AG2221</f>
        <v>0</v>
      </c>
    </row>
    <row r="2596" spans="1:10">
      <c r="A2596">
        <f>'OPEN FOREIGN ORDER'!D2222</f>
        <v>0</v>
      </c>
      <c r="B2596">
        <f>'OPEN FOREIGN ORDER'!F2222</f>
        <v>0</v>
      </c>
      <c r="C2596">
        <f>'OPEN FOREIGN ORDER'!Z2222</f>
        <v>0</v>
      </c>
      <c r="D2596" s="123">
        <f>'OPEN FOREIGN ORDER'!AA2222</f>
        <v>0</v>
      </c>
      <c r="E2596" s="112">
        <f>'OPEN FOREIGN ORDER'!AB2222</f>
        <v>0</v>
      </c>
      <c r="F2596" s="112">
        <f>'OPEN FOREIGN ORDER'!AC2222</f>
        <v>0</v>
      </c>
      <c r="G2596" s="112">
        <f>'OPEN FOREIGN ORDER'!AD2222</f>
        <v>0</v>
      </c>
      <c r="H2596" s="112">
        <f>'OPEN FOREIGN ORDER'!AE2222</f>
        <v>0</v>
      </c>
      <c r="I2596" s="112">
        <f>'OPEN FOREIGN ORDER'!AF2222</f>
        <v>0</v>
      </c>
      <c r="J2596" s="112">
        <f>'OPEN FOREIGN ORDER'!AG2222</f>
        <v>0</v>
      </c>
    </row>
    <row r="2597" spans="1:10">
      <c r="A2597">
        <f>'OPEN FOREIGN ORDER'!D2223</f>
        <v>0</v>
      </c>
      <c r="B2597">
        <f>'OPEN FOREIGN ORDER'!F2223</f>
        <v>0</v>
      </c>
      <c r="C2597">
        <f>'OPEN FOREIGN ORDER'!Z2223</f>
        <v>0</v>
      </c>
      <c r="D2597" s="123">
        <f>'OPEN FOREIGN ORDER'!AA2223</f>
        <v>0</v>
      </c>
      <c r="E2597" s="112">
        <f>'OPEN FOREIGN ORDER'!AB2223</f>
        <v>0</v>
      </c>
      <c r="F2597" s="112">
        <f>'OPEN FOREIGN ORDER'!AC2223</f>
        <v>0</v>
      </c>
      <c r="G2597" s="112">
        <f>'OPEN FOREIGN ORDER'!AD2223</f>
        <v>0</v>
      </c>
      <c r="H2597" s="112">
        <f>'OPEN FOREIGN ORDER'!AE2223</f>
        <v>0</v>
      </c>
      <c r="I2597" s="112">
        <f>'OPEN FOREIGN ORDER'!AF2223</f>
        <v>0</v>
      </c>
      <c r="J2597" s="112">
        <f>'OPEN FOREIGN ORDER'!AG2223</f>
        <v>0</v>
      </c>
    </row>
    <row r="2598" spans="1:10">
      <c r="A2598">
        <f>'OPEN FOREIGN ORDER'!D2224</f>
        <v>0</v>
      </c>
      <c r="B2598">
        <f>'OPEN FOREIGN ORDER'!F2224</f>
        <v>0</v>
      </c>
      <c r="C2598">
        <f>'OPEN FOREIGN ORDER'!Z2224</f>
        <v>0</v>
      </c>
      <c r="D2598" s="123">
        <f>'OPEN FOREIGN ORDER'!AA2224</f>
        <v>0</v>
      </c>
      <c r="E2598" s="112">
        <f>'OPEN FOREIGN ORDER'!AB2224</f>
        <v>0</v>
      </c>
      <c r="F2598" s="112">
        <f>'OPEN FOREIGN ORDER'!AC2224</f>
        <v>0</v>
      </c>
      <c r="G2598" s="112">
        <f>'OPEN FOREIGN ORDER'!AD2224</f>
        <v>0</v>
      </c>
      <c r="H2598" s="112">
        <f>'OPEN FOREIGN ORDER'!AE2224</f>
        <v>0</v>
      </c>
      <c r="I2598" s="112">
        <f>'OPEN FOREIGN ORDER'!AF2224</f>
        <v>0</v>
      </c>
      <c r="J2598" s="112">
        <f>'OPEN FOREIGN ORDER'!AG2224</f>
        <v>0</v>
      </c>
    </row>
    <row r="2599" spans="1:10">
      <c r="A2599">
        <f>'OPEN FOREIGN ORDER'!D2225</f>
        <v>0</v>
      </c>
      <c r="B2599">
        <f>'OPEN FOREIGN ORDER'!F2225</f>
        <v>0</v>
      </c>
      <c r="C2599">
        <f>'OPEN FOREIGN ORDER'!Z2225</f>
        <v>0</v>
      </c>
      <c r="D2599" s="123">
        <f>'OPEN FOREIGN ORDER'!AA2225</f>
        <v>0</v>
      </c>
      <c r="E2599" s="112">
        <f>'OPEN FOREIGN ORDER'!AB2225</f>
        <v>0</v>
      </c>
      <c r="F2599" s="112">
        <f>'OPEN FOREIGN ORDER'!AC2225</f>
        <v>0</v>
      </c>
      <c r="G2599" s="112">
        <f>'OPEN FOREIGN ORDER'!AD2225</f>
        <v>0</v>
      </c>
      <c r="H2599" s="112">
        <f>'OPEN FOREIGN ORDER'!AE2225</f>
        <v>0</v>
      </c>
      <c r="I2599" s="112">
        <f>'OPEN FOREIGN ORDER'!AF2225</f>
        <v>0</v>
      </c>
      <c r="J2599" s="112">
        <f>'OPEN FOREIGN ORDER'!AG2225</f>
        <v>0</v>
      </c>
    </row>
    <row r="2600" spans="1:10">
      <c r="A2600">
        <f>'OPEN FOREIGN ORDER'!D2226</f>
        <v>0</v>
      </c>
      <c r="B2600">
        <f>'OPEN FOREIGN ORDER'!F2226</f>
        <v>0</v>
      </c>
      <c r="C2600">
        <f>'OPEN FOREIGN ORDER'!Z2226</f>
        <v>0</v>
      </c>
      <c r="D2600" s="123">
        <f>'OPEN FOREIGN ORDER'!AA2226</f>
        <v>0</v>
      </c>
      <c r="E2600" s="112">
        <f>'OPEN FOREIGN ORDER'!AB2226</f>
        <v>0</v>
      </c>
      <c r="F2600" s="112">
        <f>'OPEN FOREIGN ORDER'!AC2226</f>
        <v>0</v>
      </c>
      <c r="G2600" s="112">
        <f>'OPEN FOREIGN ORDER'!AD2226</f>
        <v>0</v>
      </c>
      <c r="H2600" s="112">
        <f>'OPEN FOREIGN ORDER'!AE2226</f>
        <v>0</v>
      </c>
      <c r="I2600" s="112">
        <f>'OPEN FOREIGN ORDER'!AF2226</f>
        <v>0</v>
      </c>
      <c r="J2600" s="112">
        <f>'OPEN FOREIGN ORDER'!AG2226</f>
        <v>0</v>
      </c>
    </row>
    <row r="2601" spans="1:10">
      <c r="A2601">
        <f>'OPEN FOREIGN ORDER'!D2227</f>
        <v>0</v>
      </c>
      <c r="B2601">
        <f>'OPEN FOREIGN ORDER'!F2227</f>
        <v>0</v>
      </c>
      <c r="C2601">
        <f>'OPEN FOREIGN ORDER'!Z2227</f>
        <v>0</v>
      </c>
      <c r="D2601" s="123">
        <f>'OPEN FOREIGN ORDER'!AA2227</f>
        <v>0</v>
      </c>
      <c r="E2601" s="112">
        <f>'OPEN FOREIGN ORDER'!AB2227</f>
        <v>0</v>
      </c>
      <c r="F2601" s="112">
        <f>'OPEN FOREIGN ORDER'!AC2227</f>
        <v>0</v>
      </c>
      <c r="G2601" s="112">
        <f>'OPEN FOREIGN ORDER'!AD2227</f>
        <v>0</v>
      </c>
      <c r="H2601" s="112">
        <f>'OPEN FOREIGN ORDER'!AE2227</f>
        <v>0</v>
      </c>
      <c r="I2601" s="112">
        <f>'OPEN FOREIGN ORDER'!AF2227</f>
        <v>0</v>
      </c>
      <c r="J2601" s="112">
        <f>'OPEN FOREIGN ORDER'!AG2227</f>
        <v>0</v>
      </c>
    </row>
    <row r="2602" spans="1:10">
      <c r="A2602">
        <f>'OPEN FOREIGN ORDER'!D2228</f>
        <v>0</v>
      </c>
      <c r="B2602">
        <f>'OPEN FOREIGN ORDER'!F2228</f>
        <v>0</v>
      </c>
      <c r="C2602">
        <f>'OPEN FOREIGN ORDER'!Z2228</f>
        <v>0</v>
      </c>
      <c r="D2602" s="123">
        <f>'OPEN FOREIGN ORDER'!AA2228</f>
        <v>0</v>
      </c>
      <c r="E2602" s="112">
        <f>'OPEN FOREIGN ORDER'!AB2228</f>
        <v>0</v>
      </c>
      <c r="F2602" s="112">
        <f>'OPEN FOREIGN ORDER'!AC2228</f>
        <v>0</v>
      </c>
      <c r="G2602" s="112">
        <f>'OPEN FOREIGN ORDER'!AD2228</f>
        <v>0</v>
      </c>
      <c r="H2602" s="112">
        <f>'OPEN FOREIGN ORDER'!AE2228</f>
        <v>0</v>
      </c>
      <c r="I2602" s="112">
        <f>'OPEN FOREIGN ORDER'!AF2228</f>
        <v>0</v>
      </c>
      <c r="J2602" s="112">
        <f>'OPEN FOREIGN ORDER'!AG2228</f>
        <v>0</v>
      </c>
    </row>
    <row r="2603" spans="1:10">
      <c r="A2603">
        <f>'OPEN FOREIGN ORDER'!D2229</f>
        <v>0</v>
      </c>
      <c r="B2603">
        <f>'OPEN FOREIGN ORDER'!F2229</f>
        <v>0</v>
      </c>
      <c r="C2603">
        <f>'OPEN FOREIGN ORDER'!Z2229</f>
        <v>0</v>
      </c>
      <c r="D2603" s="123">
        <f>'OPEN FOREIGN ORDER'!AA2229</f>
        <v>0</v>
      </c>
      <c r="E2603" s="112">
        <f>'OPEN FOREIGN ORDER'!AB2229</f>
        <v>0</v>
      </c>
      <c r="F2603" s="112">
        <f>'OPEN FOREIGN ORDER'!AC2229</f>
        <v>0</v>
      </c>
      <c r="G2603" s="112">
        <f>'OPEN FOREIGN ORDER'!AD2229</f>
        <v>0</v>
      </c>
      <c r="H2603" s="112">
        <f>'OPEN FOREIGN ORDER'!AE2229</f>
        <v>0</v>
      </c>
      <c r="I2603" s="112">
        <f>'OPEN FOREIGN ORDER'!AF2229</f>
        <v>0</v>
      </c>
      <c r="J2603" s="112">
        <f>'OPEN FOREIGN ORDER'!AG2229</f>
        <v>0</v>
      </c>
    </row>
    <row r="2604" spans="1:10">
      <c r="A2604">
        <f>'OPEN FOREIGN ORDER'!D2230</f>
        <v>0</v>
      </c>
      <c r="B2604">
        <f>'OPEN FOREIGN ORDER'!F2230</f>
        <v>0</v>
      </c>
      <c r="C2604">
        <f>'OPEN FOREIGN ORDER'!Z2230</f>
        <v>0</v>
      </c>
      <c r="D2604" s="123">
        <f>'OPEN FOREIGN ORDER'!AA2230</f>
        <v>0</v>
      </c>
      <c r="E2604" s="112">
        <f>'OPEN FOREIGN ORDER'!AB2230</f>
        <v>0</v>
      </c>
      <c r="F2604" s="112">
        <f>'OPEN FOREIGN ORDER'!AC2230</f>
        <v>0</v>
      </c>
      <c r="G2604" s="112">
        <f>'OPEN FOREIGN ORDER'!AD2230</f>
        <v>0</v>
      </c>
      <c r="H2604" s="112">
        <f>'OPEN FOREIGN ORDER'!AE2230</f>
        <v>0</v>
      </c>
      <c r="I2604" s="112">
        <f>'OPEN FOREIGN ORDER'!AF2230</f>
        <v>0</v>
      </c>
      <c r="J2604" s="112">
        <f>'OPEN FOREIGN ORDER'!AG2230</f>
        <v>0</v>
      </c>
    </row>
    <row r="2605" spans="1:10">
      <c r="A2605">
        <f>'OPEN FOREIGN ORDER'!D2231</f>
        <v>0</v>
      </c>
      <c r="B2605">
        <f>'OPEN FOREIGN ORDER'!F2231</f>
        <v>0</v>
      </c>
      <c r="C2605">
        <f>'OPEN FOREIGN ORDER'!Z2231</f>
        <v>0</v>
      </c>
      <c r="D2605" s="123">
        <f>'OPEN FOREIGN ORDER'!AA2231</f>
        <v>0</v>
      </c>
      <c r="E2605" s="112">
        <f>'OPEN FOREIGN ORDER'!AB2231</f>
        <v>0</v>
      </c>
      <c r="F2605" s="112">
        <f>'OPEN FOREIGN ORDER'!AC2231</f>
        <v>0</v>
      </c>
      <c r="G2605" s="112">
        <f>'OPEN FOREIGN ORDER'!AD2231</f>
        <v>0</v>
      </c>
      <c r="H2605" s="112">
        <f>'OPEN FOREIGN ORDER'!AE2231</f>
        <v>0</v>
      </c>
      <c r="I2605" s="112">
        <f>'OPEN FOREIGN ORDER'!AF2231</f>
        <v>0</v>
      </c>
      <c r="J2605" s="112">
        <f>'OPEN FOREIGN ORDER'!AG2231</f>
        <v>0</v>
      </c>
    </row>
    <row r="2606" spans="1:10">
      <c r="A2606">
        <f>'OPEN FOREIGN ORDER'!D2232</f>
        <v>0</v>
      </c>
      <c r="B2606">
        <f>'OPEN FOREIGN ORDER'!F2232</f>
        <v>0</v>
      </c>
      <c r="C2606">
        <f>'OPEN FOREIGN ORDER'!Z2232</f>
        <v>0</v>
      </c>
      <c r="D2606" s="123">
        <f>'OPEN FOREIGN ORDER'!AA2232</f>
        <v>0</v>
      </c>
      <c r="E2606" s="112">
        <f>'OPEN FOREIGN ORDER'!AB2232</f>
        <v>0</v>
      </c>
      <c r="F2606" s="112">
        <f>'OPEN FOREIGN ORDER'!AC2232</f>
        <v>0</v>
      </c>
      <c r="G2606" s="112">
        <f>'OPEN FOREIGN ORDER'!AD2232</f>
        <v>0</v>
      </c>
      <c r="H2606" s="112">
        <f>'OPEN FOREIGN ORDER'!AE2232</f>
        <v>0</v>
      </c>
      <c r="I2606" s="112">
        <f>'OPEN FOREIGN ORDER'!AF2232</f>
        <v>0</v>
      </c>
      <c r="J2606" s="112">
        <f>'OPEN FOREIGN ORDER'!AG2232</f>
        <v>0</v>
      </c>
    </row>
    <row r="2607" spans="1:10">
      <c r="A2607">
        <f>'OPEN FOREIGN ORDER'!D2233</f>
        <v>0</v>
      </c>
      <c r="B2607">
        <f>'OPEN FOREIGN ORDER'!F2233</f>
        <v>0</v>
      </c>
      <c r="C2607">
        <f>'OPEN FOREIGN ORDER'!Z2233</f>
        <v>0</v>
      </c>
      <c r="D2607" s="123">
        <f>'OPEN FOREIGN ORDER'!AA2233</f>
        <v>0</v>
      </c>
      <c r="E2607" s="112">
        <f>'OPEN FOREIGN ORDER'!AB2233</f>
        <v>0</v>
      </c>
      <c r="F2607" s="112">
        <f>'OPEN FOREIGN ORDER'!AC2233</f>
        <v>0</v>
      </c>
      <c r="G2607" s="112">
        <f>'OPEN FOREIGN ORDER'!AD2233</f>
        <v>0</v>
      </c>
      <c r="H2607" s="112">
        <f>'OPEN FOREIGN ORDER'!AE2233</f>
        <v>0</v>
      </c>
      <c r="I2607" s="112">
        <f>'OPEN FOREIGN ORDER'!AF2233</f>
        <v>0</v>
      </c>
      <c r="J2607" s="112">
        <f>'OPEN FOREIGN ORDER'!AG2233</f>
        <v>0</v>
      </c>
    </row>
    <row r="2608" spans="1:10">
      <c r="A2608">
        <f>'OPEN FOREIGN ORDER'!D2234</f>
        <v>0</v>
      </c>
      <c r="B2608">
        <f>'OPEN FOREIGN ORDER'!F2234</f>
        <v>0</v>
      </c>
      <c r="C2608">
        <f>'OPEN FOREIGN ORDER'!Z2234</f>
        <v>0</v>
      </c>
      <c r="D2608" s="123">
        <f>'OPEN FOREIGN ORDER'!AA2234</f>
        <v>0</v>
      </c>
      <c r="E2608" s="112">
        <f>'OPEN FOREIGN ORDER'!AB2234</f>
        <v>0</v>
      </c>
      <c r="F2608" s="112">
        <f>'OPEN FOREIGN ORDER'!AC2234</f>
        <v>0</v>
      </c>
      <c r="G2608" s="112">
        <f>'OPEN FOREIGN ORDER'!AD2234</f>
        <v>0</v>
      </c>
      <c r="H2608" s="112">
        <f>'OPEN FOREIGN ORDER'!AE2234</f>
        <v>0</v>
      </c>
      <c r="I2608" s="112">
        <f>'OPEN FOREIGN ORDER'!AF2234</f>
        <v>0</v>
      </c>
      <c r="J2608" s="112">
        <f>'OPEN FOREIGN ORDER'!AG2234</f>
        <v>0</v>
      </c>
    </row>
    <row r="2609" spans="1:10">
      <c r="A2609">
        <f>'OPEN FOREIGN ORDER'!D2235</f>
        <v>0</v>
      </c>
      <c r="B2609">
        <f>'OPEN FOREIGN ORDER'!F2235</f>
        <v>0</v>
      </c>
      <c r="C2609">
        <f>'OPEN FOREIGN ORDER'!Z2235</f>
        <v>0</v>
      </c>
      <c r="D2609" s="123">
        <f>'OPEN FOREIGN ORDER'!AA2235</f>
        <v>0</v>
      </c>
      <c r="E2609" s="112">
        <f>'OPEN FOREIGN ORDER'!AB2235</f>
        <v>0</v>
      </c>
      <c r="F2609" s="112">
        <f>'OPEN FOREIGN ORDER'!AC2235</f>
        <v>0</v>
      </c>
      <c r="G2609" s="112">
        <f>'OPEN FOREIGN ORDER'!AD2235</f>
        <v>0</v>
      </c>
      <c r="H2609" s="112">
        <f>'OPEN FOREIGN ORDER'!AE2235</f>
        <v>0</v>
      </c>
      <c r="I2609" s="112">
        <f>'OPEN FOREIGN ORDER'!AF2235</f>
        <v>0</v>
      </c>
      <c r="J2609" s="112">
        <f>'OPEN FOREIGN ORDER'!AG2235</f>
        <v>0</v>
      </c>
    </row>
    <row r="2610" spans="1:10">
      <c r="A2610">
        <f>'OPEN FOREIGN ORDER'!D2236</f>
        <v>0</v>
      </c>
      <c r="B2610">
        <f>'OPEN FOREIGN ORDER'!F2236</f>
        <v>0</v>
      </c>
      <c r="C2610">
        <f>'OPEN FOREIGN ORDER'!Z2236</f>
        <v>0</v>
      </c>
      <c r="D2610" s="123">
        <f>'OPEN FOREIGN ORDER'!AA2236</f>
        <v>0</v>
      </c>
      <c r="E2610" s="112">
        <f>'OPEN FOREIGN ORDER'!AB2236</f>
        <v>0</v>
      </c>
      <c r="F2610" s="112">
        <f>'OPEN FOREIGN ORDER'!AC2236</f>
        <v>0</v>
      </c>
      <c r="G2610" s="112">
        <f>'OPEN FOREIGN ORDER'!AD2236</f>
        <v>0</v>
      </c>
      <c r="H2610" s="112">
        <f>'OPEN FOREIGN ORDER'!AE2236</f>
        <v>0</v>
      </c>
      <c r="I2610" s="112">
        <f>'OPEN FOREIGN ORDER'!AF2236</f>
        <v>0</v>
      </c>
      <c r="J2610" s="112">
        <f>'OPEN FOREIGN ORDER'!AG2236</f>
        <v>0</v>
      </c>
    </row>
    <row r="2611" spans="1:10">
      <c r="A2611">
        <f>'OPEN FOREIGN ORDER'!D2237</f>
        <v>0</v>
      </c>
      <c r="B2611">
        <f>'OPEN FOREIGN ORDER'!F2237</f>
        <v>0</v>
      </c>
      <c r="C2611">
        <f>'OPEN FOREIGN ORDER'!Z2237</f>
        <v>0</v>
      </c>
      <c r="D2611" s="123">
        <f>'OPEN FOREIGN ORDER'!AA2237</f>
        <v>0</v>
      </c>
      <c r="E2611" s="112">
        <f>'OPEN FOREIGN ORDER'!AB2237</f>
        <v>0</v>
      </c>
      <c r="F2611" s="112">
        <f>'OPEN FOREIGN ORDER'!AC2237</f>
        <v>0</v>
      </c>
      <c r="G2611" s="112">
        <f>'OPEN FOREIGN ORDER'!AD2237</f>
        <v>0</v>
      </c>
      <c r="H2611" s="112">
        <f>'OPEN FOREIGN ORDER'!AE2237</f>
        <v>0</v>
      </c>
      <c r="I2611" s="112">
        <f>'OPEN FOREIGN ORDER'!AF2237</f>
        <v>0</v>
      </c>
      <c r="J2611" s="112">
        <f>'OPEN FOREIGN ORDER'!AG2237</f>
        <v>0</v>
      </c>
    </row>
    <row r="2612" spans="1:10">
      <c r="A2612">
        <f>'OPEN FOREIGN ORDER'!D2238</f>
        <v>0</v>
      </c>
      <c r="B2612">
        <f>'OPEN FOREIGN ORDER'!F2238</f>
        <v>0</v>
      </c>
      <c r="C2612">
        <f>'OPEN FOREIGN ORDER'!Z2238</f>
        <v>0</v>
      </c>
      <c r="D2612" s="123">
        <f>'OPEN FOREIGN ORDER'!AA2238</f>
        <v>0</v>
      </c>
      <c r="E2612" s="112">
        <f>'OPEN FOREIGN ORDER'!AB2238</f>
        <v>0</v>
      </c>
      <c r="F2612" s="112">
        <f>'OPEN FOREIGN ORDER'!AC2238</f>
        <v>0</v>
      </c>
      <c r="G2612" s="112">
        <f>'OPEN FOREIGN ORDER'!AD2238</f>
        <v>0</v>
      </c>
      <c r="H2612" s="112">
        <f>'OPEN FOREIGN ORDER'!AE2238</f>
        <v>0</v>
      </c>
      <c r="I2612" s="112">
        <f>'OPEN FOREIGN ORDER'!AF2238</f>
        <v>0</v>
      </c>
      <c r="J2612" s="112">
        <f>'OPEN FOREIGN ORDER'!AG2238</f>
        <v>0</v>
      </c>
    </row>
    <row r="2613" spans="1:10">
      <c r="A2613">
        <f>'OPEN FOREIGN ORDER'!D2239</f>
        <v>0</v>
      </c>
      <c r="B2613">
        <f>'OPEN FOREIGN ORDER'!F2239</f>
        <v>0</v>
      </c>
      <c r="C2613">
        <f>'OPEN FOREIGN ORDER'!Z2239</f>
        <v>0</v>
      </c>
      <c r="D2613" s="123">
        <f>'OPEN FOREIGN ORDER'!AA2239</f>
        <v>0</v>
      </c>
      <c r="E2613" s="112">
        <f>'OPEN FOREIGN ORDER'!AB2239</f>
        <v>0</v>
      </c>
      <c r="F2613" s="112">
        <f>'OPEN FOREIGN ORDER'!AC2239</f>
        <v>0</v>
      </c>
      <c r="G2613" s="112">
        <f>'OPEN FOREIGN ORDER'!AD2239</f>
        <v>0</v>
      </c>
      <c r="H2613" s="112">
        <f>'OPEN FOREIGN ORDER'!AE2239</f>
        <v>0</v>
      </c>
      <c r="I2613" s="112">
        <f>'OPEN FOREIGN ORDER'!AF2239</f>
        <v>0</v>
      </c>
      <c r="J2613" s="112">
        <f>'OPEN FOREIGN ORDER'!AG2239</f>
        <v>0</v>
      </c>
    </row>
    <row r="2614" spans="1:10">
      <c r="A2614">
        <f>'OPEN FOREIGN ORDER'!D2240</f>
        <v>0</v>
      </c>
      <c r="B2614">
        <f>'OPEN FOREIGN ORDER'!F2240</f>
        <v>0</v>
      </c>
      <c r="C2614">
        <f>'OPEN FOREIGN ORDER'!Z2240</f>
        <v>0</v>
      </c>
      <c r="D2614" s="123">
        <f>'OPEN FOREIGN ORDER'!AA2240</f>
        <v>0</v>
      </c>
      <c r="E2614" s="112">
        <f>'OPEN FOREIGN ORDER'!AB2240</f>
        <v>0</v>
      </c>
      <c r="F2614" s="112">
        <f>'OPEN FOREIGN ORDER'!AC2240</f>
        <v>0</v>
      </c>
      <c r="G2614" s="112">
        <f>'OPEN FOREIGN ORDER'!AD2240</f>
        <v>0</v>
      </c>
      <c r="H2614" s="112">
        <f>'OPEN FOREIGN ORDER'!AE2240</f>
        <v>0</v>
      </c>
      <c r="I2614" s="112">
        <f>'OPEN FOREIGN ORDER'!AF2240</f>
        <v>0</v>
      </c>
      <c r="J2614" s="112">
        <f>'OPEN FOREIGN ORDER'!AG2240</f>
        <v>0</v>
      </c>
    </row>
    <row r="2615" spans="1:10">
      <c r="A2615">
        <f>'OPEN FOREIGN ORDER'!D2241</f>
        <v>0</v>
      </c>
      <c r="B2615">
        <f>'OPEN FOREIGN ORDER'!F2241</f>
        <v>0</v>
      </c>
      <c r="C2615">
        <f>'OPEN FOREIGN ORDER'!Z2241</f>
        <v>0</v>
      </c>
      <c r="D2615" s="123">
        <f>'OPEN FOREIGN ORDER'!AA2241</f>
        <v>0</v>
      </c>
      <c r="E2615" s="112">
        <f>'OPEN FOREIGN ORDER'!AB2241</f>
        <v>0</v>
      </c>
      <c r="F2615" s="112">
        <f>'OPEN FOREIGN ORDER'!AC2241</f>
        <v>0</v>
      </c>
      <c r="G2615" s="112">
        <f>'OPEN FOREIGN ORDER'!AD2241</f>
        <v>0</v>
      </c>
      <c r="H2615" s="112">
        <f>'OPEN FOREIGN ORDER'!AE2241</f>
        <v>0</v>
      </c>
      <c r="I2615" s="112">
        <f>'OPEN FOREIGN ORDER'!AF2241</f>
        <v>0</v>
      </c>
      <c r="J2615" s="112">
        <f>'OPEN FOREIGN ORDER'!AG2241</f>
        <v>0</v>
      </c>
    </row>
    <row r="2616" spans="1:10">
      <c r="A2616">
        <f>'OPEN FOREIGN ORDER'!D2242</f>
        <v>0</v>
      </c>
      <c r="B2616">
        <f>'OPEN FOREIGN ORDER'!F2242</f>
        <v>0</v>
      </c>
      <c r="C2616">
        <f>'OPEN FOREIGN ORDER'!Z2242</f>
        <v>0</v>
      </c>
      <c r="D2616" s="123">
        <f>'OPEN FOREIGN ORDER'!AA2242</f>
        <v>0</v>
      </c>
      <c r="E2616" s="112">
        <f>'OPEN FOREIGN ORDER'!AB2242</f>
        <v>0</v>
      </c>
      <c r="F2616" s="112">
        <f>'OPEN FOREIGN ORDER'!AC2242</f>
        <v>0</v>
      </c>
      <c r="G2616" s="112">
        <f>'OPEN FOREIGN ORDER'!AD2242</f>
        <v>0</v>
      </c>
      <c r="H2616" s="112">
        <f>'OPEN FOREIGN ORDER'!AE2242</f>
        <v>0</v>
      </c>
      <c r="I2616" s="112">
        <f>'OPEN FOREIGN ORDER'!AF2242</f>
        <v>0</v>
      </c>
      <c r="J2616" s="112">
        <f>'OPEN FOREIGN ORDER'!AG2242</f>
        <v>0</v>
      </c>
    </row>
    <row r="2617" spans="1:10">
      <c r="A2617">
        <f>'OPEN FOREIGN ORDER'!D2243</f>
        <v>0</v>
      </c>
      <c r="B2617">
        <f>'OPEN FOREIGN ORDER'!F2243</f>
        <v>0</v>
      </c>
      <c r="C2617">
        <f>'OPEN FOREIGN ORDER'!Z2243</f>
        <v>0</v>
      </c>
      <c r="D2617" s="123">
        <f>'OPEN FOREIGN ORDER'!AA2243</f>
        <v>0</v>
      </c>
      <c r="E2617" s="112">
        <f>'OPEN FOREIGN ORDER'!AB2243</f>
        <v>0</v>
      </c>
      <c r="F2617" s="112">
        <f>'OPEN FOREIGN ORDER'!AC2243</f>
        <v>0</v>
      </c>
      <c r="G2617" s="112">
        <f>'OPEN FOREIGN ORDER'!AD2243</f>
        <v>0</v>
      </c>
      <c r="H2617" s="112">
        <f>'OPEN FOREIGN ORDER'!AE2243</f>
        <v>0</v>
      </c>
      <c r="I2617" s="112">
        <f>'OPEN FOREIGN ORDER'!AF2243</f>
        <v>0</v>
      </c>
      <c r="J2617" s="112">
        <f>'OPEN FOREIGN ORDER'!AG2243</f>
        <v>0</v>
      </c>
    </row>
    <row r="2618" spans="1:10">
      <c r="A2618">
        <f>'OPEN FOREIGN ORDER'!D2244</f>
        <v>0</v>
      </c>
      <c r="B2618">
        <f>'OPEN FOREIGN ORDER'!F2244</f>
        <v>0</v>
      </c>
      <c r="C2618">
        <f>'OPEN FOREIGN ORDER'!Z2244</f>
        <v>0</v>
      </c>
      <c r="D2618" s="123">
        <f>'OPEN FOREIGN ORDER'!AA2244</f>
        <v>0</v>
      </c>
      <c r="E2618" s="112">
        <f>'OPEN FOREIGN ORDER'!AB2244</f>
        <v>0</v>
      </c>
      <c r="F2618" s="112">
        <f>'OPEN FOREIGN ORDER'!AC2244</f>
        <v>0</v>
      </c>
      <c r="G2618" s="112">
        <f>'OPEN FOREIGN ORDER'!AD2244</f>
        <v>0</v>
      </c>
      <c r="H2618" s="112">
        <f>'OPEN FOREIGN ORDER'!AE2244</f>
        <v>0</v>
      </c>
      <c r="I2618" s="112">
        <f>'OPEN FOREIGN ORDER'!AF2244</f>
        <v>0</v>
      </c>
      <c r="J2618" s="112">
        <f>'OPEN FOREIGN ORDER'!AG2244</f>
        <v>0</v>
      </c>
    </row>
    <row r="2619" spans="1:10">
      <c r="A2619">
        <f>'OPEN FOREIGN ORDER'!D2245</f>
        <v>0</v>
      </c>
      <c r="B2619">
        <f>'OPEN FOREIGN ORDER'!F2245</f>
        <v>0</v>
      </c>
      <c r="C2619">
        <f>'OPEN FOREIGN ORDER'!Z2245</f>
        <v>0</v>
      </c>
      <c r="D2619" s="123">
        <f>'OPEN FOREIGN ORDER'!AA2245</f>
        <v>0</v>
      </c>
      <c r="E2619" s="112">
        <f>'OPEN FOREIGN ORDER'!AB2245</f>
        <v>0</v>
      </c>
      <c r="F2619" s="112">
        <f>'OPEN FOREIGN ORDER'!AC2245</f>
        <v>0</v>
      </c>
      <c r="G2619" s="112">
        <f>'OPEN FOREIGN ORDER'!AD2245</f>
        <v>0</v>
      </c>
      <c r="H2619" s="112">
        <f>'OPEN FOREIGN ORDER'!AE2245</f>
        <v>0</v>
      </c>
      <c r="I2619" s="112">
        <f>'OPEN FOREIGN ORDER'!AF2245</f>
        <v>0</v>
      </c>
      <c r="J2619" s="112">
        <f>'OPEN FOREIGN ORDER'!AG2245</f>
        <v>0</v>
      </c>
    </row>
    <row r="2620" spans="1:10">
      <c r="A2620">
        <f>'OPEN FOREIGN ORDER'!D2246</f>
        <v>0</v>
      </c>
      <c r="B2620">
        <f>'OPEN FOREIGN ORDER'!F2246</f>
        <v>0</v>
      </c>
      <c r="C2620">
        <f>'OPEN FOREIGN ORDER'!Z2246</f>
        <v>0</v>
      </c>
      <c r="D2620" s="123">
        <f>'OPEN FOREIGN ORDER'!AA2246</f>
        <v>0</v>
      </c>
      <c r="E2620" s="112">
        <f>'OPEN FOREIGN ORDER'!AB2246</f>
        <v>0</v>
      </c>
      <c r="F2620" s="112">
        <f>'OPEN FOREIGN ORDER'!AC2246</f>
        <v>0</v>
      </c>
      <c r="G2620" s="112">
        <f>'OPEN FOREIGN ORDER'!AD2246</f>
        <v>0</v>
      </c>
      <c r="H2620" s="112">
        <f>'OPEN FOREIGN ORDER'!AE2246</f>
        <v>0</v>
      </c>
      <c r="I2620" s="112">
        <f>'OPEN FOREIGN ORDER'!AF2246</f>
        <v>0</v>
      </c>
      <c r="J2620" s="112">
        <f>'OPEN FOREIGN ORDER'!AG2246</f>
        <v>0</v>
      </c>
    </row>
    <row r="2621" spans="1:10">
      <c r="A2621">
        <f>'OPEN FOREIGN ORDER'!D2247</f>
        <v>0</v>
      </c>
      <c r="B2621">
        <f>'OPEN FOREIGN ORDER'!F2247</f>
        <v>0</v>
      </c>
      <c r="C2621">
        <f>'OPEN FOREIGN ORDER'!Z2247</f>
        <v>0</v>
      </c>
      <c r="D2621" s="123">
        <f>'OPEN FOREIGN ORDER'!AA2247</f>
        <v>0</v>
      </c>
      <c r="E2621" s="112">
        <f>'OPEN FOREIGN ORDER'!AB2247</f>
        <v>0</v>
      </c>
      <c r="F2621" s="112">
        <f>'OPEN FOREIGN ORDER'!AC2247</f>
        <v>0</v>
      </c>
      <c r="G2621" s="112">
        <f>'OPEN FOREIGN ORDER'!AD2247</f>
        <v>0</v>
      </c>
      <c r="H2621" s="112">
        <f>'OPEN FOREIGN ORDER'!AE2247</f>
        <v>0</v>
      </c>
      <c r="I2621" s="112">
        <f>'OPEN FOREIGN ORDER'!AF2247</f>
        <v>0</v>
      </c>
      <c r="J2621" s="112">
        <f>'OPEN FOREIGN ORDER'!AG2247</f>
        <v>0</v>
      </c>
    </row>
    <row r="2622" spans="1:10">
      <c r="A2622">
        <f>'OPEN FOREIGN ORDER'!D2248</f>
        <v>0</v>
      </c>
      <c r="B2622">
        <f>'OPEN FOREIGN ORDER'!F2248</f>
        <v>0</v>
      </c>
      <c r="C2622">
        <f>'OPEN FOREIGN ORDER'!Z2248</f>
        <v>0</v>
      </c>
      <c r="D2622" s="123">
        <f>'OPEN FOREIGN ORDER'!AA2248</f>
        <v>0</v>
      </c>
      <c r="E2622" s="112">
        <f>'OPEN FOREIGN ORDER'!AB2248</f>
        <v>0</v>
      </c>
      <c r="F2622" s="112">
        <f>'OPEN FOREIGN ORDER'!AC2248</f>
        <v>0</v>
      </c>
      <c r="G2622" s="112">
        <f>'OPEN FOREIGN ORDER'!AD2248</f>
        <v>0</v>
      </c>
      <c r="H2622" s="112">
        <f>'OPEN FOREIGN ORDER'!AE2248</f>
        <v>0</v>
      </c>
      <c r="I2622" s="112">
        <f>'OPEN FOREIGN ORDER'!AF2248</f>
        <v>0</v>
      </c>
      <c r="J2622" s="112">
        <f>'OPEN FOREIGN ORDER'!AG2248</f>
        <v>0</v>
      </c>
    </row>
    <row r="2623" spans="1:10">
      <c r="A2623">
        <f>'OPEN FOREIGN ORDER'!D2249</f>
        <v>0</v>
      </c>
      <c r="B2623">
        <f>'OPEN FOREIGN ORDER'!F2249</f>
        <v>0</v>
      </c>
      <c r="C2623">
        <f>'OPEN FOREIGN ORDER'!Z2249</f>
        <v>0</v>
      </c>
      <c r="D2623" s="123">
        <f>'OPEN FOREIGN ORDER'!AA2249</f>
        <v>0</v>
      </c>
      <c r="E2623" s="112">
        <f>'OPEN FOREIGN ORDER'!AB2249</f>
        <v>0</v>
      </c>
      <c r="F2623" s="112">
        <f>'OPEN FOREIGN ORDER'!AC2249</f>
        <v>0</v>
      </c>
      <c r="G2623" s="112">
        <f>'OPEN FOREIGN ORDER'!AD2249</f>
        <v>0</v>
      </c>
      <c r="H2623" s="112">
        <f>'OPEN FOREIGN ORDER'!AE2249</f>
        <v>0</v>
      </c>
      <c r="I2623" s="112">
        <f>'OPEN FOREIGN ORDER'!AF2249</f>
        <v>0</v>
      </c>
      <c r="J2623" s="112">
        <f>'OPEN FOREIGN ORDER'!AG2249</f>
        <v>0</v>
      </c>
    </row>
    <row r="2624" spans="1:10">
      <c r="A2624">
        <f>'OPEN FOREIGN ORDER'!D2250</f>
        <v>0</v>
      </c>
      <c r="B2624">
        <f>'OPEN FOREIGN ORDER'!F2250</f>
        <v>0</v>
      </c>
      <c r="C2624">
        <f>'OPEN FOREIGN ORDER'!Z2250</f>
        <v>0</v>
      </c>
      <c r="D2624" s="123">
        <f>'OPEN FOREIGN ORDER'!AA2250</f>
        <v>0</v>
      </c>
      <c r="E2624" s="112">
        <f>'OPEN FOREIGN ORDER'!AB2250</f>
        <v>0</v>
      </c>
      <c r="F2624" s="112">
        <f>'OPEN FOREIGN ORDER'!AC2250</f>
        <v>0</v>
      </c>
      <c r="G2624" s="112">
        <f>'OPEN FOREIGN ORDER'!AD2250</f>
        <v>0</v>
      </c>
      <c r="H2624" s="112">
        <f>'OPEN FOREIGN ORDER'!AE2250</f>
        <v>0</v>
      </c>
      <c r="I2624" s="112">
        <f>'OPEN FOREIGN ORDER'!AF2250</f>
        <v>0</v>
      </c>
      <c r="J2624" s="112">
        <f>'OPEN FOREIGN ORDER'!AG2250</f>
        <v>0</v>
      </c>
    </row>
    <row r="2625" spans="1:10">
      <c r="A2625">
        <f>'OPEN FOREIGN ORDER'!D2251</f>
        <v>0</v>
      </c>
      <c r="B2625">
        <f>'OPEN FOREIGN ORDER'!F2251</f>
        <v>0</v>
      </c>
      <c r="C2625">
        <f>'OPEN FOREIGN ORDER'!Z2251</f>
        <v>0</v>
      </c>
      <c r="D2625" s="123">
        <f>'OPEN FOREIGN ORDER'!AA2251</f>
        <v>0</v>
      </c>
      <c r="E2625" s="112">
        <f>'OPEN FOREIGN ORDER'!AB2251</f>
        <v>0</v>
      </c>
      <c r="F2625" s="112">
        <f>'OPEN FOREIGN ORDER'!AC2251</f>
        <v>0</v>
      </c>
      <c r="G2625" s="112">
        <f>'OPEN FOREIGN ORDER'!AD2251</f>
        <v>0</v>
      </c>
      <c r="H2625" s="112">
        <f>'OPEN FOREIGN ORDER'!AE2251</f>
        <v>0</v>
      </c>
      <c r="I2625" s="112">
        <f>'OPEN FOREIGN ORDER'!AF2251</f>
        <v>0</v>
      </c>
      <c r="J2625" s="112">
        <f>'OPEN FOREIGN ORDER'!AG2251</f>
        <v>0</v>
      </c>
    </row>
    <row r="2626" spans="1:10">
      <c r="A2626">
        <f>'OPEN FOREIGN ORDER'!D2252</f>
        <v>0</v>
      </c>
      <c r="B2626">
        <f>'OPEN FOREIGN ORDER'!F2252</f>
        <v>0</v>
      </c>
      <c r="C2626">
        <f>'OPEN FOREIGN ORDER'!Z2252</f>
        <v>0</v>
      </c>
      <c r="D2626" s="123">
        <f>'OPEN FOREIGN ORDER'!AA2252</f>
        <v>0</v>
      </c>
      <c r="E2626" s="112">
        <f>'OPEN FOREIGN ORDER'!AB2252</f>
        <v>0</v>
      </c>
      <c r="F2626" s="112">
        <f>'OPEN FOREIGN ORDER'!AC2252</f>
        <v>0</v>
      </c>
      <c r="G2626" s="112">
        <f>'OPEN FOREIGN ORDER'!AD2252</f>
        <v>0</v>
      </c>
      <c r="H2626" s="112">
        <f>'OPEN FOREIGN ORDER'!AE2252</f>
        <v>0</v>
      </c>
      <c r="I2626" s="112">
        <f>'OPEN FOREIGN ORDER'!AF2252</f>
        <v>0</v>
      </c>
      <c r="J2626" s="112">
        <f>'OPEN FOREIGN ORDER'!AG2252</f>
        <v>0</v>
      </c>
    </row>
    <row r="2627" spans="1:10">
      <c r="A2627">
        <f>'OPEN FOREIGN ORDER'!D2253</f>
        <v>0</v>
      </c>
      <c r="B2627">
        <f>'OPEN FOREIGN ORDER'!F2253</f>
        <v>0</v>
      </c>
      <c r="C2627">
        <f>'OPEN FOREIGN ORDER'!Z2253</f>
        <v>0</v>
      </c>
      <c r="D2627" s="123">
        <f>'OPEN FOREIGN ORDER'!AA2253</f>
        <v>0</v>
      </c>
      <c r="E2627" s="112">
        <f>'OPEN FOREIGN ORDER'!AB2253</f>
        <v>0</v>
      </c>
      <c r="F2627" s="112">
        <f>'OPEN FOREIGN ORDER'!AC2253</f>
        <v>0</v>
      </c>
      <c r="G2627" s="112">
        <f>'OPEN FOREIGN ORDER'!AD2253</f>
        <v>0</v>
      </c>
      <c r="H2627" s="112">
        <f>'OPEN FOREIGN ORDER'!AE2253</f>
        <v>0</v>
      </c>
      <c r="I2627" s="112">
        <f>'OPEN FOREIGN ORDER'!AF2253</f>
        <v>0</v>
      </c>
      <c r="J2627" s="112">
        <f>'OPEN FOREIGN ORDER'!AG2253</f>
        <v>0</v>
      </c>
    </row>
    <row r="2628" spans="1:10">
      <c r="A2628">
        <f>'OPEN FOREIGN ORDER'!D2254</f>
        <v>0</v>
      </c>
      <c r="B2628">
        <f>'OPEN FOREIGN ORDER'!F2254</f>
        <v>0</v>
      </c>
      <c r="C2628">
        <f>'OPEN FOREIGN ORDER'!Z2254</f>
        <v>0</v>
      </c>
      <c r="D2628" s="123">
        <f>'OPEN FOREIGN ORDER'!AA2254</f>
        <v>0</v>
      </c>
      <c r="E2628" s="112">
        <f>'OPEN FOREIGN ORDER'!AB2254</f>
        <v>0</v>
      </c>
      <c r="F2628" s="112">
        <f>'OPEN FOREIGN ORDER'!AC2254</f>
        <v>0</v>
      </c>
      <c r="G2628" s="112">
        <f>'OPEN FOREIGN ORDER'!AD2254</f>
        <v>0</v>
      </c>
      <c r="H2628" s="112">
        <f>'OPEN FOREIGN ORDER'!AE2254</f>
        <v>0</v>
      </c>
      <c r="I2628" s="112">
        <f>'OPEN FOREIGN ORDER'!AF2254</f>
        <v>0</v>
      </c>
      <c r="J2628" s="112">
        <f>'OPEN FOREIGN ORDER'!AG2254</f>
        <v>0</v>
      </c>
    </row>
    <row r="2629" spans="1:10">
      <c r="A2629">
        <f>'OPEN FOREIGN ORDER'!D2255</f>
        <v>0</v>
      </c>
      <c r="B2629">
        <f>'OPEN FOREIGN ORDER'!F2255</f>
        <v>0</v>
      </c>
      <c r="C2629">
        <f>'OPEN FOREIGN ORDER'!Z2255</f>
        <v>0</v>
      </c>
      <c r="D2629" s="123">
        <f>'OPEN FOREIGN ORDER'!AA2255</f>
        <v>0</v>
      </c>
      <c r="E2629" s="112">
        <f>'OPEN FOREIGN ORDER'!AB2255</f>
        <v>0</v>
      </c>
      <c r="F2629" s="112">
        <f>'OPEN FOREIGN ORDER'!AC2255</f>
        <v>0</v>
      </c>
      <c r="G2629" s="112">
        <f>'OPEN FOREIGN ORDER'!AD2255</f>
        <v>0</v>
      </c>
      <c r="H2629" s="112">
        <f>'OPEN FOREIGN ORDER'!AE2255</f>
        <v>0</v>
      </c>
      <c r="I2629" s="112">
        <f>'OPEN FOREIGN ORDER'!AF2255</f>
        <v>0</v>
      </c>
      <c r="J2629" s="112">
        <f>'OPEN FOREIGN ORDER'!AG2255</f>
        <v>0</v>
      </c>
    </row>
    <row r="2630" spans="1:10">
      <c r="A2630">
        <f>'OPEN FOREIGN ORDER'!D2256</f>
        <v>0</v>
      </c>
      <c r="B2630">
        <f>'OPEN FOREIGN ORDER'!F2256</f>
        <v>0</v>
      </c>
      <c r="C2630">
        <f>'OPEN FOREIGN ORDER'!Z2256</f>
        <v>0</v>
      </c>
      <c r="D2630" s="123">
        <f>'OPEN FOREIGN ORDER'!AA2256</f>
        <v>0</v>
      </c>
      <c r="E2630" s="112">
        <f>'OPEN FOREIGN ORDER'!AB2256</f>
        <v>0</v>
      </c>
      <c r="F2630" s="112">
        <f>'OPEN FOREIGN ORDER'!AC2256</f>
        <v>0</v>
      </c>
      <c r="G2630" s="112">
        <f>'OPEN FOREIGN ORDER'!AD2256</f>
        <v>0</v>
      </c>
      <c r="H2630" s="112">
        <f>'OPEN FOREIGN ORDER'!AE2256</f>
        <v>0</v>
      </c>
      <c r="I2630" s="112">
        <f>'OPEN FOREIGN ORDER'!AF2256</f>
        <v>0</v>
      </c>
      <c r="J2630" s="112">
        <f>'OPEN FOREIGN ORDER'!AG2256</f>
        <v>0</v>
      </c>
    </row>
    <row r="2631" spans="1:10">
      <c r="A2631">
        <f>'OPEN FOREIGN ORDER'!D2257</f>
        <v>0</v>
      </c>
      <c r="B2631">
        <f>'OPEN FOREIGN ORDER'!F2257</f>
        <v>0</v>
      </c>
      <c r="C2631">
        <f>'OPEN FOREIGN ORDER'!Z2257</f>
        <v>0</v>
      </c>
      <c r="D2631" s="123">
        <f>'OPEN FOREIGN ORDER'!AA2257</f>
        <v>0</v>
      </c>
      <c r="E2631" s="112">
        <f>'OPEN FOREIGN ORDER'!AB2257</f>
        <v>0</v>
      </c>
      <c r="F2631" s="112">
        <f>'OPEN FOREIGN ORDER'!AC2257</f>
        <v>0</v>
      </c>
      <c r="G2631" s="112">
        <f>'OPEN FOREIGN ORDER'!AD2257</f>
        <v>0</v>
      </c>
      <c r="H2631" s="112">
        <f>'OPEN FOREIGN ORDER'!AE2257</f>
        <v>0</v>
      </c>
      <c r="I2631" s="112">
        <f>'OPEN FOREIGN ORDER'!AF2257</f>
        <v>0</v>
      </c>
      <c r="J2631" s="112">
        <f>'OPEN FOREIGN ORDER'!AG2257</f>
        <v>0</v>
      </c>
    </row>
    <row r="2632" spans="1:10">
      <c r="A2632">
        <f>'OPEN FOREIGN ORDER'!D2258</f>
        <v>0</v>
      </c>
      <c r="B2632">
        <f>'OPEN FOREIGN ORDER'!F2258</f>
        <v>0</v>
      </c>
      <c r="C2632">
        <f>'OPEN FOREIGN ORDER'!Z2258</f>
        <v>0</v>
      </c>
      <c r="D2632" s="123">
        <f>'OPEN FOREIGN ORDER'!AA2258</f>
        <v>0</v>
      </c>
      <c r="E2632" s="112">
        <f>'OPEN FOREIGN ORDER'!AB2258</f>
        <v>0</v>
      </c>
      <c r="F2632" s="112">
        <f>'OPEN FOREIGN ORDER'!AC2258</f>
        <v>0</v>
      </c>
      <c r="G2632" s="112">
        <f>'OPEN FOREIGN ORDER'!AD2258</f>
        <v>0</v>
      </c>
      <c r="H2632" s="112">
        <f>'OPEN FOREIGN ORDER'!AE2258</f>
        <v>0</v>
      </c>
      <c r="I2632" s="112">
        <f>'OPEN FOREIGN ORDER'!AF2258</f>
        <v>0</v>
      </c>
      <c r="J2632" s="112">
        <f>'OPEN FOREIGN ORDER'!AG2258</f>
        <v>0</v>
      </c>
    </row>
    <row r="2633" spans="1:10">
      <c r="A2633">
        <f>'OPEN FOREIGN ORDER'!D2259</f>
        <v>0</v>
      </c>
      <c r="B2633">
        <f>'OPEN FOREIGN ORDER'!F2259</f>
        <v>0</v>
      </c>
      <c r="C2633">
        <f>'OPEN FOREIGN ORDER'!Z2259</f>
        <v>0</v>
      </c>
      <c r="D2633" s="123">
        <f>'OPEN FOREIGN ORDER'!AA2259</f>
        <v>0</v>
      </c>
      <c r="E2633" s="112">
        <f>'OPEN FOREIGN ORDER'!AB2259</f>
        <v>0</v>
      </c>
      <c r="F2633" s="112">
        <f>'OPEN FOREIGN ORDER'!AC2259</f>
        <v>0</v>
      </c>
      <c r="G2633" s="112">
        <f>'OPEN FOREIGN ORDER'!AD2259</f>
        <v>0</v>
      </c>
      <c r="H2633" s="112">
        <f>'OPEN FOREIGN ORDER'!AE2259</f>
        <v>0</v>
      </c>
      <c r="I2633" s="112">
        <f>'OPEN FOREIGN ORDER'!AF2259</f>
        <v>0</v>
      </c>
      <c r="J2633" s="112">
        <f>'OPEN FOREIGN ORDER'!AG2259</f>
        <v>0</v>
      </c>
    </row>
    <row r="2634" spans="1:10">
      <c r="A2634">
        <f>'OPEN FOREIGN ORDER'!D2260</f>
        <v>0</v>
      </c>
      <c r="B2634">
        <f>'OPEN FOREIGN ORDER'!F2260</f>
        <v>0</v>
      </c>
      <c r="C2634">
        <f>'OPEN FOREIGN ORDER'!Z2260</f>
        <v>0</v>
      </c>
      <c r="D2634" s="123">
        <f>'OPEN FOREIGN ORDER'!AA2260</f>
        <v>0</v>
      </c>
      <c r="E2634" s="112">
        <f>'OPEN FOREIGN ORDER'!AB2260</f>
        <v>0</v>
      </c>
      <c r="F2634" s="112">
        <f>'OPEN FOREIGN ORDER'!AC2260</f>
        <v>0</v>
      </c>
      <c r="G2634" s="112">
        <f>'OPEN FOREIGN ORDER'!AD2260</f>
        <v>0</v>
      </c>
      <c r="H2634" s="112">
        <f>'OPEN FOREIGN ORDER'!AE2260</f>
        <v>0</v>
      </c>
      <c r="I2634" s="112">
        <f>'OPEN FOREIGN ORDER'!AF2260</f>
        <v>0</v>
      </c>
      <c r="J2634" s="112">
        <f>'OPEN FOREIGN ORDER'!AG2260</f>
        <v>0</v>
      </c>
    </row>
    <row r="2635" spans="1:10">
      <c r="A2635">
        <f>'OPEN FOREIGN ORDER'!D2261</f>
        <v>0</v>
      </c>
      <c r="B2635">
        <f>'OPEN FOREIGN ORDER'!F2261</f>
        <v>0</v>
      </c>
      <c r="C2635">
        <f>'OPEN FOREIGN ORDER'!Z2261</f>
        <v>0</v>
      </c>
      <c r="D2635" s="123">
        <f>'OPEN FOREIGN ORDER'!AA2261</f>
        <v>0</v>
      </c>
      <c r="E2635" s="112">
        <f>'OPEN FOREIGN ORDER'!AB2261</f>
        <v>0</v>
      </c>
      <c r="F2635" s="112">
        <f>'OPEN FOREIGN ORDER'!AC2261</f>
        <v>0</v>
      </c>
      <c r="G2635" s="112">
        <f>'OPEN FOREIGN ORDER'!AD2261</f>
        <v>0</v>
      </c>
      <c r="H2635" s="112">
        <f>'OPEN FOREIGN ORDER'!AE2261</f>
        <v>0</v>
      </c>
      <c r="I2635" s="112">
        <f>'OPEN FOREIGN ORDER'!AF2261</f>
        <v>0</v>
      </c>
      <c r="J2635" s="112">
        <f>'OPEN FOREIGN ORDER'!AG2261</f>
        <v>0</v>
      </c>
    </row>
    <row r="2636" spans="1:10">
      <c r="A2636">
        <f>'OPEN FOREIGN ORDER'!D2262</f>
        <v>0</v>
      </c>
      <c r="B2636">
        <f>'OPEN FOREIGN ORDER'!F2262</f>
        <v>0</v>
      </c>
      <c r="C2636">
        <f>'OPEN FOREIGN ORDER'!Z2262</f>
        <v>0</v>
      </c>
      <c r="D2636" s="123">
        <f>'OPEN FOREIGN ORDER'!AA2262</f>
        <v>0</v>
      </c>
      <c r="E2636" s="112">
        <f>'OPEN FOREIGN ORDER'!AB2262</f>
        <v>0</v>
      </c>
      <c r="F2636" s="112">
        <f>'OPEN FOREIGN ORDER'!AC2262</f>
        <v>0</v>
      </c>
      <c r="G2636" s="112">
        <f>'OPEN FOREIGN ORDER'!AD2262</f>
        <v>0</v>
      </c>
      <c r="H2636" s="112">
        <f>'OPEN FOREIGN ORDER'!AE2262</f>
        <v>0</v>
      </c>
      <c r="I2636" s="112">
        <f>'OPEN FOREIGN ORDER'!AF2262</f>
        <v>0</v>
      </c>
      <c r="J2636" s="112">
        <f>'OPEN FOREIGN ORDER'!AG2262</f>
        <v>0</v>
      </c>
    </row>
    <row r="2637" spans="1:10">
      <c r="A2637">
        <f>'OPEN FOREIGN ORDER'!D2263</f>
        <v>0</v>
      </c>
      <c r="B2637">
        <f>'OPEN FOREIGN ORDER'!F2263</f>
        <v>0</v>
      </c>
      <c r="C2637">
        <f>'OPEN FOREIGN ORDER'!Z2263</f>
        <v>0</v>
      </c>
      <c r="D2637" s="123">
        <f>'OPEN FOREIGN ORDER'!AA2263</f>
        <v>0</v>
      </c>
      <c r="E2637" s="112">
        <f>'OPEN FOREIGN ORDER'!AB2263</f>
        <v>0</v>
      </c>
      <c r="F2637" s="112">
        <f>'OPEN FOREIGN ORDER'!AC2263</f>
        <v>0</v>
      </c>
      <c r="G2637" s="112">
        <f>'OPEN FOREIGN ORDER'!AD2263</f>
        <v>0</v>
      </c>
      <c r="H2637" s="112">
        <f>'OPEN FOREIGN ORDER'!AE2263</f>
        <v>0</v>
      </c>
      <c r="I2637" s="112">
        <f>'OPEN FOREIGN ORDER'!AF2263</f>
        <v>0</v>
      </c>
      <c r="J2637" s="112">
        <f>'OPEN FOREIGN ORDER'!AG2263</f>
        <v>0</v>
      </c>
    </row>
    <row r="2638" spans="1:10">
      <c r="A2638">
        <f>'OPEN FOREIGN ORDER'!D2264</f>
        <v>0</v>
      </c>
      <c r="B2638">
        <f>'OPEN FOREIGN ORDER'!F2264</f>
        <v>0</v>
      </c>
      <c r="C2638">
        <f>'OPEN FOREIGN ORDER'!Z2264</f>
        <v>0</v>
      </c>
      <c r="D2638" s="123">
        <f>'OPEN FOREIGN ORDER'!AA2264</f>
        <v>0</v>
      </c>
      <c r="E2638" s="112">
        <f>'OPEN FOREIGN ORDER'!AB2264</f>
        <v>0</v>
      </c>
      <c r="F2638" s="112">
        <f>'OPEN FOREIGN ORDER'!AC2264</f>
        <v>0</v>
      </c>
      <c r="G2638" s="112">
        <f>'OPEN FOREIGN ORDER'!AD2264</f>
        <v>0</v>
      </c>
      <c r="H2638" s="112">
        <f>'OPEN FOREIGN ORDER'!AE2264</f>
        <v>0</v>
      </c>
      <c r="I2638" s="112">
        <f>'OPEN FOREIGN ORDER'!AF2264</f>
        <v>0</v>
      </c>
      <c r="J2638" s="112">
        <f>'OPEN FOREIGN ORDER'!AG2264</f>
        <v>0</v>
      </c>
    </row>
    <row r="2639" spans="1:10">
      <c r="A2639">
        <f>'OPEN FOREIGN ORDER'!D2265</f>
        <v>0</v>
      </c>
      <c r="B2639">
        <f>'OPEN FOREIGN ORDER'!F2265</f>
        <v>0</v>
      </c>
      <c r="C2639">
        <f>'OPEN FOREIGN ORDER'!Z2265</f>
        <v>0</v>
      </c>
      <c r="D2639" s="123">
        <f>'OPEN FOREIGN ORDER'!AA2265</f>
        <v>0</v>
      </c>
      <c r="E2639" s="112">
        <f>'OPEN FOREIGN ORDER'!AB2265</f>
        <v>0</v>
      </c>
      <c r="F2639" s="112">
        <f>'OPEN FOREIGN ORDER'!AC2265</f>
        <v>0</v>
      </c>
      <c r="G2639" s="112">
        <f>'OPEN FOREIGN ORDER'!AD2265</f>
        <v>0</v>
      </c>
      <c r="H2639" s="112">
        <f>'OPEN FOREIGN ORDER'!AE2265</f>
        <v>0</v>
      </c>
      <c r="I2639" s="112">
        <f>'OPEN FOREIGN ORDER'!AF2265</f>
        <v>0</v>
      </c>
      <c r="J2639" s="112">
        <f>'OPEN FOREIGN ORDER'!AG2265</f>
        <v>0</v>
      </c>
    </row>
    <row r="2640" spans="1:10">
      <c r="A2640">
        <f>'OPEN FOREIGN ORDER'!D2266</f>
        <v>0</v>
      </c>
      <c r="B2640">
        <f>'OPEN FOREIGN ORDER'!F2266</f>
        <v>0</v>
      </c>
      <c r="C2640">
        <f>'OPEN FOREIGN ORDER'!Z2266</f>
        <v>0</v>
      </c>
      <c r="D2640" s="123">
        <f>'OPEN FOREIGN ORDER'!AA2266</f>
        <v>0</v>
      </c>
      <c r="E2640" s="112">
        <f>'OPEN FOREIGN ORDER'!AB2266</f>
        <v>0</v>
      </c>
      <c r="F2640" s="112">
        <f>'OPEN FOREIGN ORDER'!AC2266</f>
        <v>0</v>
      </c>
      <c r="G2640" s="112">
        <f>'OPEN FOREIGN ORDER'!AD2266</f>
        <v>0</v>
      </c>
      <c r="H2640" s="112">
        <f>'OPEN FOREIGN ORDER'!AE2266</f>
        <v>0</v>
      </c>
      <c r="I2640" s="112">
        <f>'OPEN FOREIGN ORDER'!AF2266</f>
        <v>0</v>
      </c>
      <c r="J2640" s="112">
        <f>'OPEN FOREIGN ORDER'!AG2266</f>
        <v>0</v>
      </c>
    </row>
    <row r="2641" spans="1:10">
      <c r="A2641">
        <f>'OPEN FOREIGN ORDER'!D2267</f>
        <v>0</v>
      </c>
      <c r="B2641">
        <f>'OPEN FOREIGN ORDER'!F2267</f>
        <v>0</v>
      </c>
      <c r="C2641">
        <f>'OPEN FOREIGN ORDER'!Z2267</f>
        <v>0</v>
      </c>
      <c r="D2641" s="123">
        <f>'OPEN FOREIGN ORDER'!AA2267</f>
        <v>0</v>
      </c>
      <c r="E2641" s="112">
        <f>'OPEN FOREIGN ORDER'!AB2267</f>
        <v>0</v>
      </c>
      <c r="F2641" s="112">
        <f>'OPEN FOREIGN ORDER'!AC2267</f>
        <v>0</v>
      </c>
      <c r="G2641" s="112">
        <f>'OPEN FOREIGN ORDER'!AD2267</f>
        <v>0</v>
      </c>
      <c r="H2641" s="112">
        <f>'OPEN FOREIGN ORDER'!AE2267</f>
        <v>0</v>
      </c>
      <c r="I2641" s="112">
        <f>'OPEN FOREIGN ORDER'!AF2267</f>
        <v>0</v>
      </c>
      <c r="J2641" s="112">
        <f>'OPEN FOREIGN ORDER'!AG2267</f>
        <v>0</v>
      </c>
    </row>
    <row r="2642" spans="1:10">
      <c r="A2642">
        <f>'OPEN FOREIGN ORDER'!D2268</f>
        <v>0</v>
      </c>
      <c r="B2642">
        <f>'OPEN FOREIGN ORDER'!F2268</f>
        <v>0</v>
      </c>
      <c r="C2642">
        <f>'OPEN FOREIGN ORDER'!Z2268</f>
        <v>0</v>
      </c>
      <c r="D2642" s="123">
        <f>'OPEN FOREIGN ORDER'!AA2268</f>
        <v>0</v>
      </c>
      <c r="E2642" s="112">
        <f>'OPEN FOREIGN ORDER'!AB2268</f>
        <v>0</v>
      </c>
      <c r="F2642" s="112">
        <f>'OPEN FOREIGN ORDER'!AC2268</f>
        <v>0</v>
      </c>
      <c r="G2642" s="112">
        <f>'OPEN FOREIGN ORDER'!AD2268</f>
        <v>0</v>
      </c>
      <c r="H2642" s="112">
        <f>'OPEN FOREIGN ORDER'!AE2268</f>
        <v>0</v>
      </c>
      <c r="I2642" s="112">
        <f>'OPEN FOREIGN ORDER'!AF2268</f>
        <v>0</v>
      </c>
      <c r="J2642" s="112">
        <f>'OPEN FOREIGN ORDER'!AG2268</f>
        <v>0</v>
      </c>
    </row>
    <row r="2643" spans="1:10">
      <c r="A2643">
        <f>'OPEN FOREIGN ORDER'!D2269</f>
        <v>0</v>
      </c>
      <c r="B2643">
        <f>'OPEN FOREIGN ORDER'!F2269</f>
        <v>0</v>
      </c>
      <c r="C2643">
        <f>'OPEN FOREIGN ORDER'!Z2269</f>
        <v>0</v>
      </c>
      <c r="D2643" s="123">
        <f>'OPEN FOREIGN ORDER'!AA2269</f>
        <v>0</v>
      </c>
      <c r="E2643" s="112">
        <f>'OPEN FOREIGN ORDER'!AB2269</f>
        <v>0</v>
      </c>
      <c r="F2643" s="112">
        <f>'OPEN FOREIGN ORDER'!AC2269</f>
        <v>0</v>
      </c>
      <c r="G2643" s="112">
        <f>'OPEN FOREIGN ORDER'!AD2269</f>
        <v>0</v>
      </c>
      <c r="H2643" s="112">
        <f>'OPEN FOREIGN ORDER'!AE2269</f>
        <v>0</v>
      </c>
      <c r="I2643" s="112">
        <f>'OPEN FOREIGN ORDER'!AF2269</f>
        <v>0</v>
      </c>
      <c r="J2643" s="112">
        <f>'OPEN FOREIGN ORDER'!AG2269</f>
        <v>0</v>
      </c>
    </row>
    <row r="2644" spans="1:10">
      <c r="A2644">
        <f>'OPEN FOREIGN ORDER'!D2270</f>
        <v>0</v>
      </c>
      <c r="B2644">
        <f>'OPEN FOREIGN ORDER'!F2270</f>
        <v>0</v>
      </c>
      <c r="C2644">
        <f>'OPEN FOREIGN ORDER'!Z2270</f>
        <v>0</v>
      </c>
      <c r="D2644" s="123">
        <f>'OPEN FOREIGN ORDER'!AA2270</f>
        <v>0</v>
      </c>
      <c r="E2644" s="112">
        <f>'OPEN FOREIGN ORDER'!AB2270</f>
        <v>0</v>
      </c>
      <c r="F2644" s="112">
        <f>'OPEN FOREIGN ORDER'!AC2270</f>
        <v>0</v>
      </c>
      <c r="G2644" s="112">
        <f>'OPEN FOREIGN ORDER'!AD2270</f>
        <v>0</v>
      </c>
      <c r="H2644" s="112">
        <f>'OPEN FOREIGN ORDER'!AE2270</f>
        <v>0</v>
      </c>
      <c r="I2644" s="112">
        <f>'OPEN FOREIGN ORDER'!AF2270</f>
        <v>0</v>
      </c>
      <c r="J2644" s="112">
        <f>'OPEN FOREIGN ORDER'!AG2270</f>
        <v>0</v>
      </c>
    </row>
    <row r="2645" spans="1:10">
      <c r="A2645">
        <f>'OPEN FOREIGN ORDER'!D2271</f>
        <v>0</v>
      </c>
      <c r="B2645">
        <f>'OPEN FOREIGN ORDER'!F2271</f>
        <v>0</v>
      </c>
      <c r="C2645">
        <f>'OPEN FOREIGN ORDER'!Z2271</f>
        <v>0</v>
      </c>
      <c r="D2645" s="123">
        <f>'OPEN FOREIGN ORDER'!AA2271</f>
        <v>0</v>
      </c>
      <c r="E2645" s="112">
        <f>'OPEN FOREIGN ORDER'!AB2271</f>
        <v>0</v>
      </c>
      <c r="F2645" s="112">
        <f>'OPEN FOREIGN ORDER'!AC2271</f>
        <v>0</v>
      </c>
      <c r="G2645" s="112">
        <f>'OPEN FOREIGN ORDER'!AD2271</f>
        <v>0</v>
      </c>
      <c r="H2645" s="112">
        <f>'OPEN FOREIGN ORDER'!AE2271</f>
        <v>0</v>
      </c>
      <c r="I2645" s="112">
        <f>'OPEN FOREIGN ORDER'!AF2271</f>
        <v>0</v>
      </c>
      <c r="J2645" s="112">
        <f>'OPEN FOREIGN ORDER'!AG2271</f>
        <v>0</v>
      </c>
    </row>
    <row r="2646" spans="1:10">
      <c r="A2646">
        <f>'OPEN FOREIGN ORDER'!D2272</f>
        <v>0</v>
      </c>
      <c r="B2646">
        <f>'OPEN FOREIGN ORDER'!F2272</f>
        <v>0</v>
      </c>
      <c r="C2646">
        <f>'OPEN FOREIGN ORDER'!Z2272</f>
        <v>0</v>
      </c>
      <c r="D2646" s="123">
        <f>'OPEN FOREIGN ORDER'!AA2272</f>
        <v>0</v>
      </c>
      <c r="E2646" s="112">
        <f>'OPEN FOREIGN ORDER'!AB2272</f>
        <v>0</v>
      </c>
      <c r="F2646" s="112">
        <f>'OPEN FOREIGN ORDER'!AC2272</f>
        <v>0</v>
      </c>
      <c r="G2646" s="112">
        <f>'OPEN FOREIGN ORDER'!AD2272</f>
        <v>0</v>
      </c>
      <c r="H2646" s="112">
        <f>'OPEN FOREIGN ORDER'!AE2272</f>
        <v>0</v>
      </c>
      <c r="I2646" s="112">
        <f>'OPEN FOREIGN ORDER'!AF2272</f>
        <v>0</v>
      </c>
      <c r="J2646" s="112">
        <f>'OPEN FOREIGN ORDER'!AG2272</f>
        <v>0</v>
      </c>
    </row>
    <row r="2647" spans="1:10">
      <c r="A2647">
        <f>'OPEN FOREIGN ORDER'!D2273</f>
        <v>0</v>
      </c>
      <c r="B2647">
        <f>'OPEN FOREIGN ORDER'!F2273</f>
        <v>0</v>
      </c>
      <c r="C2647">
        <f>'OPEN FOREIGN ORDER'!Z2273</f>
        <v>0</v>
      </c>
      <c r="D2647" s="123">
        <f>'OPEN FOREIGN ORDER'!AA2273</f>
        <v>0</v>
      </c>
      <c r="E2647" s="112">
        <f>'OPEN FOREIGN ORDER'!AB2273</f>
        <v>0</v>
      </c>
      <c r="F2647" s="112">
        <f>'OPEN FOREIGN ORDER'!AC2273</f>
        <v>0</v>
      </c>
      <c r="G2647" s="112">
        <f>'OPEN FOREIGN ORDER'!AD2273</f>
        <v>0</v>
      </c>
      <c r="H2647" s="112">
        <f>'OPEN FOREIGN ORDER'!AE2273</f>
        <v>0</v>
      </c>
      <c r="I2647" s="112">
        <f>'OPEN FOREIGN ORDER'!AF2273</f>
        <v>0</v>
      </c>
      <c r="J2647" s="112">
        <f>'OPEN FOREIGN ORDER'!AG2273</f>
        <v>0</v>
      </c>
    </row>
    <row r="2648" spans="1:10">
      <c r="A2648">
        <f>'OPEN FOREIGN ORDER'!D2274</f>
        <v>0</v>
      </c>
      <c r="B2648">
        <f>'OPEN FOREIGN ORDER'!F2274</f>
        <v>0</v>
      </c>
      <c r="C2648">
        <f>'OPEN FOREIGN ORDER'!Z2274</f>
        <v>0</v>
      </c>
      <c r="D2648" s="123">
        <f>'OPEN FOREIGN ORDER'!AA2274</f>
        <v>0</v>
      </c>
      <c r="E2648" s="112">
        <f>'OPEN FOREIGN ORDER'!AB2274</f>
        <v>0</v>
      </c>
      <c r="F2648" s="112">
        <f>'OPEN FOREIGN ORDER'!AC2274</f>
        <v>0</v>
      </c>
      <c r="G2648" s="112">
        <f>'OPEN FOREIGN ORDER'!AD2274</f>
        <v>0</v>
      </c>
      <c r="H2648" s="112">
        <f>'OPEN FOREIGN ORDER'!AE2274</f>
        <v>0</v>
      </c>
      <c r="I2648" s="112">
        <f>'OPEN FOREIGN ORDER'!AF2274</f>
        <v>0</v>
      </c>
      <c r="J2648" s="112">
        <f>'OPEN FOREIGN ORDER'!AG2274</f>
        <v>0</v>
      </c>
    </row>
    <row r="2649" spans="1:10">
      <c r="A2649">
        <f>'OPEN FOREIGN ORDER'!D2275</f>
        <v>0</v>
      </c>
      <c r="B2649">
        <f>'OPEN FOREIGN ORDER'!F2275</f>
        <v>0</v>
      </c>
      <c r="C2649">
        <f>'OPEN FOREIGN ORDER'!Z2275</f>
        <v>0</v>
      </c>
      <c r="D2649" s="123">
        <f>'OPEN FOREIGN ORDER'!AA2275</f>
        <v>0</v>
      </c>
      <c r="E2649" s="112">
        <f>'OPEN FOREIGN ORDER'!AB2275</f>
        <v>0</v>
      </c>
      <c r="F2649" s="112">
        <f>'OPEN FOREIGN ORDER'!AC2275</f>
        <v>0</v>
      </c>
      <c r="G2649" s="112">
        <f>'OPEN FOREIGN ORDER'!AD2275</f>
        <v>0</v>
      </c>
      <c r="H2649" s="112">
        <f>'OPEN FOREIGN ORDER'!AE2275</f>
        <v>0</v>
      </c>
      <c r="I2649" s="112">
        <f>'OPEN FOREIGN ORDER'!AF2275</f>
        <v>0</v>
      </c>
      <c r="J2649" s="112">
        <f>'OPEN FOREIGN ORDER'!AG2275</f>
        <v>0</v>
      </c>
    </row>
    <row r="2650" spans="1:10">
      <c r="A2650">
        <f>'OPEN FOREIGN ORDER'!D2276</f>
        <v>0</v>
      </c>
      <c r="B2650">
        <f>'OPEN FOREIGN ORDER'!F2276</f>
        <v>0</v>
      </c>
      <c r="C2650">
        <f>'OPEN FOREIGN ORDER'!Z2276</f>
        <v>0</v>
      </c>
      <c r="D2650" s="123">
        <f>'OPEN FOREIGN ORDER'!AA2276</f>
        <v>0</v>
      </c>
      <c r="E2650" s="112">
        <f>'OPEN FOREIGN ORDER'!AB2276</f>
        <v>0</v>
      </c>
      <c r="F2650" s="112">
        <f>'OPEN FOREIGN ORDER'!AC2276</f>
        <v>0</v>
      </c>
      <c r="G2650" s="112">
        <f>'OPEN FOREIGN ORDER'!AD2276</f>
        <v>0</v>
      </c>
      <c r="H2650" s="112">
        <f>'OPEN FOREIGN ORDER'!AE2276</f>
        <v>0</v>
      </c>
      <c r="I2650" s="112">
        <f>'OPEN FOREIGN ORDER'!AF2276</f>
        <v>0</v>
      </c>
      <c r="J2650" s="112">
        <f>'OPEN FOREIGN ORDER'!AG2276</f>
        <v>0</v>
      </c>
    </row>
    <row r="2651" spans="1:10">
      <c r="A2651">
        <f>'OPEN FOREIGN ORDER'!D2277</f>
        <v>0</v>
      </c>
      <c r="B2651">
        <f>'OPEN FOREIGN ORDER'!F2277</f>
        <v>0</v>
      </c>
      <c r="C2651">
        <f>'OPEN FOREIGN ORDER'!Z2277</f>
        <v>0</v>
      </c>
      <c r="D2651" s="123">
        <f>'OPEN FOREIGN ORDER'!AA2277</f>
        <v>0</v>
      </c>
      <c r="E2651" s="112">
        <f>'OPEN FOREIGN ORDER'!AB2277</f>
        <v>0</v>
      </c>
      <c r="F2651" s="112">
        <f>'OPEN FOREIGN ORDER'!AC2277</f>
        <v>0</v>
      </c>
      <c r="G2651" s="112">
        <f>'OPEN FOREIGN ORDER'!AD2277</f>
        <v>0</v>
      </c>
      <c r="H2651" s="112">
        <f>'OPEN FOREIGN ORDER'!AE2277</f>
        <v>0</v>
      </c>
      <c r="I2651" s="112">
        <f>'OPEN FOREIGN ORDER'!AF2277</f>
        <v>0</v>
      </c>
      <c r="J2651" s="112">
        <f>'OPEN FOREIGN ORDER'!AG2277</f>
        <v>0</v>
      </c>
    </row>
    <row r="2652" spans="1:10">
      <c r="A2652">
        <f>'OPEN FOREIGN ORDER'!D2278</f>
        <v>0</v>
      </c>
      <c r="B2652">
        <f>'OPEN FOREIGN ORDER'!F2278</f>
        <v>0</v>
      </c>
      <c r="C2652">
        <f>'OPEN FOREIGN ORDER'!Z2278</f>
        <v>0</v>
      </c>
      <c r="D2652" s="123">
        <f>'OPEN FOREIGN ORDER'!AA2278</f>
        <v>0</v>
      </c>
      <c r="E2652" s="112">
        <f>'OPEN FOREIGN ORDER'!AB2278</f>
        <v>0</v>
      </c>
      <c r="F2652" s="112">
        <f>'OPEN FOREIGN ORDER'!AC2278</f>
        <v>0</v>
      </c>
      <c r="G2652" s="112">
        <f>'OPEN FOREIGN ORDER'!AD2278</f>
        <v>0</v>
      </c>
      <c r="H2652" s="112">
        <f>'OPEN FOREIGN ORDER'!AE2278</f>
        <v>0</v>
      </c>
      <c r="I2652" s="112">
        <f>'OPEN FOREIGN ORDER'!AF2278</f>
        <v>0</v>
      </c>
      <c r="J2652" s="112">
        <f>'OPEN FOREIGN ORDER'!AG2278</f>
        <v>0</v>
      </c>
    </row>
    <row r="2653" spans="1:10">
      <c r="A2653">
        <f>'OPEN FOREIGN ORDER'!D2279</f>
        <v>0</v>
      </c>
      <c r="B2653">
        <f>'OPEN FOREIGN ORDER'!F2279</f>
        <v>0</v>
      </c>
      <c r="C2653">
        <f>'OPEN FOREIGN ORDER'!Z2279</f>
        <v>0</v>
      </c>
      <c r="D2653" s="123">
        <f>'OPEN FOREIGN ORDER'!AA2279</f>
        <v>0</v>
      </c>
      <c r="E2653" s="112">
        <f>'OPEN FOREIGN ORDER'!AB2279</f>
        <v>0</v>
      </c>
      <c r="F2653" s="112">
        <f>'OPEN FOREIGN ORDER'!AC2279</f>
        <v>0</v>
      </c>
      <c r="G2653" s="112">
        <f>'OPEN FOREIGN ORDER'!AD2279</f>
        <v>0</v>
      </c>
      <c r="H2653" s="112">
        <f>'OPEN FOREIGN ORDER'!AE2279</f>
        <v>0</v>
      </c>
      <c r="I2653" s="112">
        <f>'OPEN FOREIGN ORDER'!AF2279</f>
        <v>0</v>
      </c>
      <c r="J2653" s="112">
        <f>'OPEN FOREIGN ORDER'!AG2279</f>
        <v>0</v>
      </c>
    </row>
    <row r="2654" spans="1:10">
      <c r="A2654">
        <f>'OPEN FOREIGN ORDER'!D2280</f>
        <v>0</v>
      </c>
      <c r="B2654">
        <f>'OPEN FOREIGN ORDER'!F2280</f>
        <v>0</v>
      </c>
      <c r="C2654">
        <f>'OPEN FOREIGN ORDER'!Z2280</f>
        <v>0</v>
      </c>
      <c r="D2654" s="123">
        <f>'OPEN FOREIGN ORDER'!AA2280</f>
        <v>0</v>
      </c>
      <c r="E2654" s="112">
        <f>'OPEN FOREIGN ORDER'!AB2280</f>
        <v>0</v>
      </c>
      <c r="F2654" s="112">
        <f>'OPEN FOREIGN ORDER'!AC2280</f>
        <v>0</v>
      </c>
      <c r="G2654" s="112">
        <f>'OPEN FOREIGN ORDER'!AD2280</f>
        <v>0</v>
      </c>
      <c r="H2654" s="112">
        <f>'OPEN FOREIGN ORDER'!AE2280</f>
        <v>0</v>
      </c>
      <c r="I2654" s="112">
        <f>'OPEN FOREIGN ORDER'!AF2280</f>
        <v>0</v>
      </c>
      <c r="J2654" s="112">
        <f>'OPEN FOREIGN ORDER'!AG2280</f>
        <v>0</v>
      </c>
    </row>
    <row r="2655" spans="1:10">
      <c r="A2655">
        <f>'OPEN FOREIGN ORDER'!D2281</f>
        <v>0</v>
      </c>
      <c r="B2655">
        <f>'OPEN FOREIGN ORDER'!F2281</f>
        <v>0</v>
      </c>
      <c r="C2655">
        <f>'OPEN FOREIGN ORDER'!Z2281</f>
        <v>0</v>
      </c>
      <c r="D2655" s="123">
        <f>'OPEN FOREIGN ORDER'!AA2281</f>
        <v>0</v>
      </c>
      <c r="E2655" s="112">
        <f>'OPEN FOREIGN ORDER'!AB2281</f>
        <v>0</v>
      </c>
      <c r="F2655" s="112">
        <f>'OPEN FOREIGN ORDER'!AC2281</f>
        <v>0</v>
      </c>
      <c r="G2655" s="112">
        <f>'OPEN FOREIGN ORDER'!AD2281</f>
        <v>0</v>
      </c>
      <c r="H2655" s="112">
        <f>'OPEN FOREIGN ORDER'!AE2281</f>
        <v>0</v>
      </c>
      <c r="I2655" s="112">
        <f>'OPEN FOREIGN ORDER'!AF2281</f>
        <v>0</v>
      </c>
      <c r="J2655" s="112">
        <f>'OPEN FOREIGN ORDER'!AG2281</f>
        <v>0</v>
      </c>
    </row>
    <row r="2656" spans="1:10">
      <c r="A2656">
        <f>'OPEN FOREIGN ORDER'!D2282</f>
        <v>0</v>
      </c>
      <c r="B2656">
        <f>'OPEN FOREIGN ORDER'!F2282</f>
        <v>0</v>
      </c>
      <c r="C2656">
        <f>'OPEN FOREIGN ORDER'!Z2282</f>
        <v>0</v>
      </c>
      <c r="D2656" s="123">
        <f>'OPEN FOREIGN ORDER'!AA2282</f>
        <v>0</v>
      </c>
      <c r="E2656" s="112">
        <f>'OPEN FOREIGN ORDER'!AB2282</f>
        <v>0</v>
      </c>
      <c r="F2656" s="112">
        <f>'OPEN FOREIGN ORDER'!AC2282</f>
        <v>0</v>
      </c>
      <c r="G2656" s="112">
        <f>'OPEN FOREIGN ORDER'!AD2282</f>
        <v>0</v>
      </c>
      <c r="H2656" s="112">
        <f>'OPEN FOREIGN ORDER'!AE2282</f>
        <v>0</v>
      </c>
      <c r="I2656" s="112">
        <f>'OPEN FOREIGN ORDER'!AF2282</f>
        <v>0</v>
      </c>
      <c r="J2656" s="112">
        <f>'OPEN FOREIGN ORDER'!AG2282</f>
        <v>0</v>
      </c>
    </row>
    <row r="2657" spans="1:10">
      <c r="A2657">
        <f>'OPEN FOREIGN ORDER'!D2283</f>
        <v>0</v>
      </c>
      <c r="B2657">
        <f>'OPEN FOREIGN ORDER'!F2283</f>
        <v>0</v>
      </c>
      <c r="C2657">
        <f>'OPEN FOREIGN ORDER'!Z2283</f>
        <v>0</v>
      </c>
      <c r="D2657" s="123">
        <f>'OPEN FOREIGN ORDER'!AA2283</f>
        <v>0</v>
      </c>
      <c r="E2657" s="112">
        <f>'OPEN FOREIGN ORDER'!AB2283</f>
        <v>0</v>
      </c>
      <c r="F2657" s="112">
        <f>'OPEN FOREIGN ORDER'!AC2283</f>
        <v>0</v>
      </c>
      <c r="G2657" s="112">
        <f>'OPEN FOREIGN ORDER'!AD2283</f>
        <v>0</v>
      </c>
      <c r="H2657" s="112">
        <f>'OPEN FOREIGN ORDER'!AE2283</f>
        <v>0</v>
      </c>
      <c r="I2657" s="112">
        <f>'OPEN FOREIGN ORDER'!AF2283</f>
        <v>0</v>
      </c>
      <c r="J2657" s="112">
        <f>'OPEN FOREIGN ORDER'!AG2283</f>
        <v>0</v>
      </c>
    </row>
    <row r="2658" spans="1:10">
      <c r="A2658">
        <f>'OPEN FOREIGN ORDER'!D2284</f>
        <v>0</v>
      </c>
      <c r="B2658">
        <f>'OPEN FOREIGN ORDER'!F2284</f>
        <v>0</v>
      </c>
      <c r="C2658">
        <f>'OPEN FOREIGN ORDER'!Z2284</f>
        <v>0</v>
      </c>
      <c r="D2658" s="123">
        <f>'OPEN FOREIGN ORDER'!AA2284</f>
        <v>0</v>
      </c>
      <c r="E2658" s="112">
        <f>'OPEN FOREIGN ORDER'!AB2284</f>
        <v>0</v>
      </c>
      <c r="F2658" s="112">
        <f>'OPEN FOREIGN ORDER'!AC2284</f>
        <v>0</v>
      </c>
      <c r="G2658" s="112">
        <f>'OPEN FOREIGN ORDER'!AD2284</f>
        <v>0</v>
      </c>
      <c r="H2658" s="112">
        <f>'OPEN FOREIGN ORDER'!AE2284</f>
        <v>0</v>
      </c>
      <c r="I2658" s="112">
        <f>'OPEN FOREIGN ORDER'!AF2284</f>
        <v>0</v>
      </c>
      <c r="J2658" s="112">
        <f>'OPEN FOREIGN ORDER'!AG2284</f>
        <v>0</v>
      </c>
    </row>
    <row r="2659" spans="1:10">
      <c r="A2659">
        <f>'OPEN FOREIGN ORDER'!D2285</f>
        <v>0</v>
      </c>
      <c r="B2659">
        <f>'OPEN FOREIGN ORDER'!F2285</f>
        <v>0</v>
      </c>
      <c r="C2659">
        <f>'OPEN FOREIGN ORDER'!Z2285</f>
        <v>0</v>
      </c>
      <c r="D2659" s="123">
        <f>'OPEN FOREIGN ORDER'!AA2285</f>
        <v>0</v>
      </c>
      <c r="E2659" s="112">
        <f>'OPEN FOREIGN ORDER'!AB2285</f>
        <v>0</v>
      </c>
      <c r="F2659" s="112">
        <f>'OPEN FOREIGN ORDER'!AC2285</f>
        <v>0</v>
      </c>
      <c r="G2659" s="112">
        <f>'OPEN FOREIGN ORDER'!AD2285</f>
        <v>0</v>
      </c>
      <c r="H2659" s="112">
        <f>'OPEN FOREIGN ORDER'!AE2285</f>
        <v>0</v>
      </c>
      <c r="I2659" s="112">
        <f>'OPEN FOREIGN ORDER'!AF2285</f>
        <v>0</v>
      </c>
      <c r="J2659" s="112">
        <f>'OPEN FOREIGN ORDER'!AG2285</f>
        <v>0</v>
      </c>
    </row>
    <row r="2660" spans="1:10">
      <c r="A2660">
        <f>'OPEN FOREIGN ORDER'!D2286</f>
        <v>0</v>
      </c>
      <c r="B2660">
        <f>'OPEN FOREIGN ORDER'!F2286</f>
        <v>0</v>
      </c>
      <c r="C2660">
        <f>'OPEN FOREIGN ORDER'!Z2286</f>
        <v>0</v>
      </c>
      <c r="D2660" s="123">
        <f>'OPEN FOREIGN ORDER'!AA2286</f>
        <v>0</v>
      </c>
      <c r="E2660" s="112">
        <f>'OPEN FOREIGN ORDER'!AB2286</f>
        <v>0</v>
      </c>
      <c r="F2660" s="112">
        <f>'OPEN FOREIGN ORDER'!AC2286</f>
        <v>0</v>
      </c>
      <c r="G2660" s="112">
        <f>'OPEN FOREIGN ORDER'!AD2286</f>
        <v>0</v>
      </c>
      <c r="H2660" s="112">
        <f>'OPEN FOREIGN ORDER'!AE2286</f>
        <v>0</v>
      </c>
      <c r="I2660" s="112">
        <f>'OPEN FOREIGN ORDER'!AF2286</f>
        <v>0</v>
      </c>
      <c r="J2660" s="112">
        <f>'OPEN FOREIGN ORDER'!AG2286</f>
        <v>0</v>
      </c>
    </row>
    <row r="2661" spans="1:10">
      <c r="A2661">
        <f>'OPEN FOREIGN ORDER'!D2287</f>
        <v>0</v>
      </c>
      <c r="B2661">
        <f>'OPEN FOREIGN ORDER'!F2287</f>
        <v>0</v>
      </c>
      <c r="C2661">
        <f>'OPEN FOREIGN ORDER'!Z2287</f>
        <v>0</v>
      </c>
      <c r="D2661" s="123">
        <f>'OPEN FOREIGN ORDER'!AA2287</f>
        <v>0</v>
      </c>
      <c r="E2661" s="112">
        <f>'OPEN FOREIGN ORDER'!AB2287</f>
        <v>0</v>
      </c>
      <c r="F2661" s="112">
        <f>'OPEN FOREIGN ORDER'!AC2287</f>
        <v>0</v>
      </c>
      <c r="G2661" s="112">
        <f>'OPEN FOREIGN ORDER'!AD2287</f>
        <v>0</v>
      </c>
      <c r="H2661" s="112">
        <f>'OPEN FOREIGN ORDER'!AE2287</f>
        <v>0</v>
      </c>
      <c r="I2661" s="112">
        <f>'OPEN FOREIGN ORDER'!AF2287</f>
        <v>0</v>
      </c>
      <c r="J2661" s="112">
        <f>'OPEN FOREIGN ORDER'!AG2287</f>
        <v>0</v>
      </c>
    </row>
    <row r="2662" spans="1:10">
      <c r="A2662">
        <f>'OPEN FOREIGN ORDER'!D2288</f>
        <v>0</v>
      </c>
      <c r="B2662">
        <f>'OPEN FOREIGN ORDER'!F2288</f>
        <v>0</v>
      </c>
      <c r="C2662">
        <f>'OPEN FOREIGN ORDER'!Z2288</f>
        <v>0</v>
      </c>
      <c r="D2662" s="123">
        <f>'OPEN FOREIGN ORDER'!AA2288</f>
        <v>0</v>
      </c>
      <c r="E2662" s="112">
        <f>'OPEN FOREIGN ORDER'!AB2288</f>
        <v>0</v>
      </c>
      <c r="F2662" s="112">
        <f>'OPEN FOREIGN ORDER'!AC2288</f>
        <v>0</v>
      </c>
      <c r="G2662" s="112">
        <f>'OPEN FOREIGN ORDER'!AD2288</f>
        <v>0</v>
      </c>
      <c r="H2662" s="112">
        <f>'OPEN FOREIGN ORDER'!AE2288</f>
        <v>0</v>
      </c>
      <c r="I2662" s="112">
        <f>'OPEN FOREIGN ORDER'!AF2288</f>
        <v>0</v>
      </c>
      <c r="J2662" s="112">
        <f>'OPEN FOREIGN ORDER'!AG2288</f>
        <v>0</v>
      </c>
    </row>
    <row r="2663" spans="1:10">
      <c r="A2663">
        <f>'OPEN FOREIGN ORDER'!D2289</f>
        <v>0</v>
      </c>
      <c r="B2663">
        <f>'OPEN FOREIGN ORDER'!F2289</f>
        <v>0</v>
      </c>
      <c r="C2663">
        <f>'OPEN FOREIGN ORDER'!Z2289</f>
        <v>0</v>
      </c>
      <c r="D2663" s="123">
        <f>'OPEN FOREIGN ORDER'!AA2289</f>
        <v>0</v>
      </c>
      <c r="E2663" s="112">
        <f>'OPEN FOREIGN ORDER'!AB2289</f>
        <v>0</v>
      </c>
      <c r="F2663" s="112">
        <f>'OPEN FOREIGN ORDER'!AC2289</f>
        <v>0</v>
      </c>
      <c r="G2663" s="112">
        <f>'OPEN FOREIGN ORDER'!AD2289</f>
        <v>0</v>
      </c>
      <c r="H2663" s="112">
        <f>'OPEN FOREIGN ORDER'!AE2289</f>
        <v>0</v>
      </c>
      <c r="I2663" s="112">
        <f>'OPEN FOREIGN ORDER'!AF2289</f>
        <v>0</v>
      </c>
      <c r="J2663" s="112">
        <f>'OPEN FOREIGN ORDER'!AG2289</f>
        <v>0</v>
      </c>
    </row>
    <row r="2664" spans="1:10">
      <c r="A2664">
        <f>'OPEN FOREIGN ORDER'!D2290</f>
        <v>0</v>
      </c>
      <c r="B2664">
        <f>'OPEN FOREIGN ORDER'!F2290</f>
        <v>0</v>
      </c>
      <c r="C2664">
        <f>'OPEN FOREIGN ORDER'!Z2290</f>
        <v>0</v>
      </c>
      <c r="D2664" s="123">
        <f>'OPEN FOREIGN ORDER'!AA2290</f>
        <v>0</v>
      </c>
      <c r="E2664" s="112">
        <f>'OPEN FOREIGN ORDER'!AB2290</f>
        <v>0</v>
      </c>
      <c r="F2664" s="112">
        <f>'OPEN FOREIGN ORDER'!AC2290</f>
        <v>0</v>
      </c>
      <c r="G2664" s="112">
        <f>'OPEN FOREIGN ORDER'!AD2290</f>
        <v>0</v>
      </c>
      <c r="H2664" s="112">
        <f>'OPEN FOREIGN ORDER'!AE2290</f>
        <v>0</v>
      </c>
      <c r="I2664" s="112">
        <f>'OPEN FOREIGN ORDER'!AF2290</f>
        <v>0</v>
      </c>
      <c r="J2664" s="112">
        <f>'OPEN FOREIGN ORDER'!AG2290</f>
        <v>0</v>
      </c>
    </row>
    <row r="2665" spans="1:10">
      <c r="A2665">
        <f>'OPEN FOREIGN ORDER'!D2291</f>
        <v>0</v>
      </c>
      <c r="B2665">
        <f>'OPEN FOREIGN ORDER'!F2291</f>
        <v>0</v>
      </c>
      <c r="C2665">
        <f>'OPEN FOREIGN ORDER'!Z2291</f>
        <v>0</v>
      </c>
      <c r="D2665" s="123">
        <f>'OPEN FOREIGN ORDER'!AA2291</f>
        <v>0</v>
      </c>
      <c r="E2665" s="112">
        <f>'OPEN FOREIGN ORDER'!AB2291</f>
        <v>0</v>
      </c>
      <c r="F2665" s="112">
        <f>'OPEN FOREIGN ORDER'!AC2291</f>
        <v>0</v>
      </c>
      <c r="G2665" s="112">
        <f>'OPEN FOREIGN ORDER'!AD2291</f>
        <v>0</v>
      </c>
      <c r="H2665" s="112">
        <f>'OPEN FOREIGN ORDER'!AE2291</f>
        <v>0</v>
      </c>
      <c r="I2665" s="112">
        <f>'OPEN FOREIGN ORDER'!AF2291</f>
        <v>0</v>
      </c>
      <c r="J2665" s="112">
        <f>'OPEN FOREIGN ORDER'!AG2291</f>
        <v>0</v>
      </c>
    </row>
    <row r="2666" spans="1:10">
      <c r="A2666">
        <f>'OPEN FOREIGN ORDER'!D2292</f>
        <v>0</v>
      </c>
      <c r="B2666">
        <f>'OPEN FOREIGN ORDER'!F2292</f>
        <v>0</v>
      </c>
      <c r="C2666">
        <f>'OPEN FOREIGN ORDER'!Z2292</f>
        <v>0</v>
      </c>
      <c r="D2666" s="123">
        <f>'OPEN FOREIGN ORDER'!AA2292</f>
        <v>0</v>
      </c>
      <c r="E2666" s="112">
        <f>'OPEN FOREIGN ORDER'!AB2292</f>
        <v>0</v>
      </c>
      <c r="F2666" s="112">
        <f>'OPEN FOREIGN ORDER'!AC2292</f>
        <v>0</v>
      </c>
      <c r="G2666" s="112">
        <f>'OPEN FOREIGN ORDER'!AD2292</f>
        <v>0</v>
      </c>
      <c r="H2666" s="112">
        <f>'OPEN FOREIGN ORDER'!AE2292</f>
        <v>0</v>
      </c>
      <c r="I2666" s="112">
        <f>'OPEN FOREIGN ORDER'!AF2292</f>
        <v>0</v>
      </c>
      <c r="J2666" s="112">
        <f>'OPEN FOREIGN ORDER'!AG2292</f>
        <v>0</v>
      </c>
    </row>
    <row r="2667" spans="1:10">
      <c r="A2667">
        <f>'OPEN FOREIGN ORDER'!D2293</f>
        <v>0</v>
      </c>
      <c r="B2667">
        <f>'OPEN FOREIGN ORDER'!F2293</f>
        <v>0</v>
      </c>
      <c r="C2667">
        <f>'OPEN FOREIGN ORDER'!Z2293</f>
        <v>0</v>
      </c>
      <c r="D2667" s="123">
        <f>'OPEN FOREIGN ORDER'!AA2293</f>
        <v>0</v>
      </c>
      <c r="E2667" s="112">
        <f>'OPEN FOREIGN ORDER'!AB2293</f>
        <v>0</v>
      </c>
      <c r="F2667" s="112">
        <f>'OPEN FOREIGN ORDER'!AC2293</f>
        <v>0</v>
      </c>
      <c r="G2667" s="112">
        <f>'OPEN FOREIGN ORDER'!AD2293</f>
        <v>0</v>
      </c>
      <c r="H2667" s="112">
        <f>'OPEN FOREIGN ORDER'!AE2293</f>
        <v>0</v>
      </c>
      <c r="I2667" s="112">
        <f>'OPEN FOREIGN ORDER'!AF2293</f>
        <v>0</v>
      </c>
      <c r="J2667" s="112">
        <f>'OPEN FOREIGN ORDER'!AG2293</f>
        <v>0</v>
      </c>
    </row>
    <row r="2668" spans="1:10">
      <c r="A2668">
        <f>'OPEN FOREIGN ORDER'!D2294</f>
        <v>0</v>
      </c>
      <c r="B2668">
        <f>'OPEN FOREIGN ORDER'!F2294</f>
        <v>0</v>
      </c>
      <c r="C2668">
        <f>'OPEN FOREIGN ORDER'!Z2294</f>
        <v>0</v>
      </c>
      <c r="D2668" s="123">
        <f>'OPEN FOREIGN ORDER'!AA2294</f>
        <v>0</v>
      </c>
      <c r="E2668" s="112">
        <f>'OPEN FOREIGN ORDER'!AB2294</f>
        <v>0</v>
      </c>
      <c r="F2668" s="112">
        <f>'OPEN FOREIGN ORDER'!AC2294</f>
        <v>0</v>
      </c>
      <c r="G2668" s="112">
        <f>'OPEN FOREIGN ORDER'!AD2294</f>
        <v>0</v>
      </c>
      <c r="H2668" s="112">
        <f>'OPEN FOREIGN ORDER'!AE2294</f>
        <v>0</v>
      </c>
      <c r="I2668" s="112">
        <f>'OPEN FOREIGN ORDER'!AF2294</f>
        <v>0</v>
      </c>
      <c r="J2668" s="112">
        <f>'OPEN FOREIGN ORDER'!AG2294</f>
        <v>0</v>
      </c>
    </row>
    <row r="2669" spans="1:10">
      <c r="A2669">
        <f>'OPEN FOREIGN ORDER'!D2295</f>
        <v>0</v>
      </c>
      <c r="B2669">
        <f>'OPEN FOREIGN ORDER'!F2295</f>
        <v>0</v>
      </c>
      <c r="C2669">
        <f>'OPEN FOREIGN ORDER'!Z2295</f>
        <v>0</v>
      </c>
      <c r="D2669" s="123">
        <f>'OPEN FOREIGN ORDER'!AA2295</f>
        <v>0</v>
      </c>
      <c r="E2669" s="112">
        <f>'OPEN FOREIGN ORDER'!AB2295</f>
        <v>0</v>
      </c>
      <c r="F2669" s="112">
        <f>'OPEN FOREIGN ORDER'!AC2295</f>
        <v>0</v>
      </c>
      <c r="G2669" s="112">
        <f>'OPEN FOREIGN ORDER'!AD2295</f>
        <v>0</v>
      </c>
      <c r="H2669" s="112">
        <f>'OPEN FOREIGN ORDER'!AE2295</f>
        <v>0</v>
      </c>
      <c r="I2669" s="112">
        <f>'OPEN FOREIGN ORDER'!AF2295</f>
        <v>0</v>
      </c>
      <c r="J2669" s="112">
        <f>'OPEN FOREIGN ORDER'!AG2295</f>
        <v>0</v>
      </c>
    </row>
    <row r="2670" spans="1:10">
      <c r="A2670">
        <f>'OPEN FOREIGN ORDER'!D2296</f>
        <v>0</v>
      </c>
      <c r="B2670">
        <f>'OPEN FOREIGN ORDER'!F2296</f>
        <v>0</v>
      </c>
      <c r="C2670">
        <f>'OPEN FOREIGN ORDER'!Z2296</f>
        <v>0</v>
      </c>
      <c r="D2670" s="123">
        <f>'OPEN FOREIGN ORDER'!AA2296</f>
        <v>0</v>
      </c>
      <c r="E2670" s="112">
        <f>'OPEN FOREIGN ORDER'!AB2296</f>
        <v>0</v>
      </c>
      <c r="F2670" s="112">
        <f>'OPEN FOREIGN ORDER'!AC2296</f>
        <v>0</v>
      </c>
      <c r="G2670" s="112">
        <f>'OPEN FOREIGN ORDER'!AD2296</f>
        <v>0</v>
      </c>
      <c r="H2670" s="112">
        <f>'OPEN FOREIGN ORDER'!AE2296</f>
        <v>0</v>
      </c>
      <c r="I2670" s="112">
        <f>'OPEN FOREIGN ORDER'!AF2296</f>
        <v>0</v>
      </c>
      <c r="J2670" s="112">
        <f>'OPEN FOREIGN ORDER'!AG2296</f>
        <v>0</v>
      </c>
    </row>
    <row r="2671" spans="1:10">
      <c r="A2671">
        <f>'OPEN FOREIGN ORDER'!D2297</f>
        <v>0</v>
      </c>
      <c r="B2671">
        <f>'OPEN FOREIGN ORDER'!F2297</f>
        <v>0</v>
      </c>
      <c r="C2671">
        <f>'OPEN FOREIGN ORDER'!Z2297</f>
        <v>0</v>
      </c>
      <c r="D2671" s="123">
        <f>'OPEN FOREIGN ORDER'!AA2297</f>
        <v>0</v>
      </c>
      <c r="E2671" s="112">
        <f>'OPEN FOREIGN ORDER'!AB2297</f>
        <v>0</v>
      </c>
      <c r="F2671" s="112">
        <f>'OPEN FOREIGN ORDER'!AC2297</f>
        <v>0</v>
      </c>
      <c r="G2671" s="112">
        <f>'OPEN FOREIGN ORDER'!AD2297</f>
        <v>0</v>
      </c>
      <c r="H2671" s="112">
        <f>'OPEN FOREIGN ORDER'!AE2297</f>
        <v>0</v>
      </c>
      <c r="I2671" s="112">
        <f>'OPEN FOREIGN ORDER'!AF2297</f>
        <v>0</v>
      </c>
      <c r="J2671" s="112">
        <f>'OPEN FOREIGN ORDER'!AG2297</f>
        <v>0</v>
      </c>
    </row>
    <row r="2672" spans="1:10">
      <c r="A2672">
        <f>'OPEN FOREIGN ORDER'!D2298</f>
        <v>0</v>
      </c>
      <c r="B2672">
        <f>'OPEN FOREIGN ORDER'!F2298</f>
        <v>0</v>
      </c>
      <c r="C2672">
        <f>'OPEN FOREIGN ORDER'!Z2298</f>
        <v>0</v>
      </c>
      <c r="D2672" s="123">
        <f>'OPEN FOREIGN ORDER'!AA2298</f>
        <v>0</v>
      </c>
      <c r="E2672" s="112">
        <f>'OPEN FOREIGN ORDER'!AB2298</f>
        <v>0</v>
      </c>
      <c r="F2672" s="112">
        <f>'OPEN FOREIGN ORDER'!AC2298</f>
        <v>0</v>
      </c>
      <c r="G2672" s="112">
        <f>'OPEN FOREIGN ORDER'!AD2298</f>
        <v>0</v>
      </c>
      <c r="H2672" s="112">
        <f>'OPEN FOREIGN ORDER'!AE2298</f>
        <v>0</v>
      </c>
      <c r="I2672" s="112">
        <f>'OPEN FOREIGN ORDER'!AF2298</f>
        <v>0</v>
      </c>
      <c r="J2672" s="112">
        <f>'OPEN FOREIGN ORDER'!AG2298</f>
        <v>0</v>
      </c>
    </row>
    <row r="2673" spans="1:10">
      <c r="A2673">
        <f>'OPEN FOREIGN ORDER'!D2299</f>
        <v>0</v>
      </c>
      <c r="B2673">
        <f>'OPEN FOREIGN ORDER'!F2299</f>
        <v>0</v>
      </c>
      <c r="C2673">
        <f>'OPEN FOREIGN ORDER'!Z2299</f>
        <v>0</v>
      </c>
      <c r="D2673" s="123">
        <f>'OPEN FOREIGN ORDER'!AA2299</f>
        <v>0</v>
      </c>
      <c r="E2673" s="112">
        <f>'OPEN FOREIGN ORDER'!AB2299</f>
        <v>0</v>
      </c>
      <c r="F2673" s="112">
        <f>'OPEN FOREIGN ORDER'!AC2299</f>
        <v>0</v>
      </c>
      <c r="G2673" s="112">
        <f>'OPEN FOREIGN ORDER'!AD2299</f>
        <v>0</v>
      </c>
      <c r="H2673" s="112">
        <f>'OPEN FOREIGN ORDER'!AE2299</f>
        <v>0</v>
      </c>
      <c r="I2673" s="112">
        <f>'OPEN FOREIGN ORDER'!AF2299</f>
        <v>0</v>
      </c>
      <c r="J2673" s="112">
        <f>'OPEN FOREIGN ORDER'!AG2299</f>
        <v>0</v>
      </c>
    </row>
    <row r="2674" spans="1:10">
      <c r="A2674">
        <f>'OPEN FOREIGN ORDER'!D2300</f>
        <v>0</v>
      </c>
      <c r="B2674">
        <f>'OPEN FOREIGN ORDER'!F2300</f>
        <v>0</v>
      </c>
      <c r="C2674">
        <f>'OPEN FOREIGN ORDER'!Z2300</f>
        <v>0</v>
      </c>
      <c r="D2674" s="123">
        <f>'OPEN FOREIGN ORDER'!AA2300</f>
        <v>0</v>
      </c>
      <c r="E2674" s="112">
        <f>'OPEN FOREIGN ORDER'!AB2300</f>
        <v>0</v>
      </c>
      <c r="F2674" s="112">
        <f>'OPEN FOREIGN ORDER'!AC2300</f>
        <v>0</v>
      </c>
      <c r="G2674" s="112">
        <f>'OPEN FOREIGN ORDER'!AD2300</f>
        <v>0</v>
      </c>
      <c r="H2674" s="112">
        <f>'OPEN FOREIGN ORDER'!AE2300</f>
        <v>0</v>
      </c>
      <c r="I2674" s="112">
        <f>'OPEN FOREIGN ORDER'!AF2300</f>
        <v>0</v>
      </c>
      <c r="J2674" s="112">
        <f>'OPEN FOREIGN ORDER'!AG2300</f>
        <v>0</v>
      </c>
    </row>
    <row r="2675" spans="1:10">
      <c r="A2675">
        <f>'OPEN FOREIGN ORDER'!D2301</f>
        <v>0</v>
      </c>
      <c r="B2675">
        <f>'OPEN FOREIGN ORDER'!F2301</f>
        <v>0</v>
      </c>
      <c r="C2675">
        <f>'OPEN FOREIGN ORDER'!Z2301</f>
        <v>0</v>
      </c>
      <c r="D2675" s="123">
        <f>'OPEN FOREIGN ORDER'!AA2301</f>
        <v>0</v>
      </c>
      <c r="E2675" s="112">
        <f>'OPEN FOREIGN ORDER'!AB2301</f>
        <v>0</v>
      </c>
      <c r="F2675" s="112">
        <f>'OPEN FOREIGN ORDER'!AC2301</f>
        <v>0</v>
      </c>
      <c r="G2675" s="112">
        <f>'OPEN FOREIGN ORDER'!AD2301</f>
        <v>0</v>
      </c>
      <c r="H2675" s="112">
        <f>'OPEN FOREIGN ORDER'!AE2301</f>
        <v>0</v>
      </c>
      <c r="I2675" s="112">
        <f>'OPEN FOREIGN ORDER'!AF2301</f>
        <v>0</v>
      </c>
      <c r="J2675" s="112">
        <f>'OPEN FOREIGN ORDER'!AG2301</f>
        <v>0</v>
      </c>
    </row>
    <row r="2676" spans="1:10">
      <c r="A2676">
        <f>'OPEN FOREIGN ORDER'!D2302</f>
        <v>0</v>
      </c>
      <c r="B2676">
        <f>'OPEN FOREIGN ORDER'!F2302</f>
        <v>0</v>
      </c>
      <c r="C2676">
        <f>'OPEN FOREIGN ORDER'!Z2302</f>
        <v>0</v>
      </c>
      <c r="D2676" s="123">
        <f>'OPEN FOREIGN ORDER'!AA2302</f>
        <v>0</v>
      </c>
      <c r="E2676" s="112">
        <f>'OPEN FOREIGN ORDER'!AB2302</f>
        <v>0</v>
      </c>
      <c r="F2676" s="112">
        <f>'OPEN FOREIGN ORDER'!AC2302</f>
        <v>0</v>
      </c>
      <c r="G2676" s="112">
        <f>'OPEN FOREIGN ORDER'!AD2302</f>
        <v>0</v>
      </c>
      <c r="H2676" s="112">
        <f>'OPEN FOREIGN ORDER'!AE2302</f>
        <v>0</v>
      </c>
      <c r="I2676" s="112">
        <f>'OPEN FOREIGN ORDER'!AF2302</f>
        <v>0</v>
      </c>
      <c r="J2676" s="112">
        <f>'OPEN FOREIGN ORDER'!AG2302</f>
        <v>0</v>
      </c>
    </row>
    <row r="2677" spans="1:10">
      <c r="A2677">
        <f>'OPEN FOREIGN ORDER'!D2303</f>
        <v>0</v>
      </c>
      <c r="B2677">
        <f>'OPEN FOREIGN ORDER'!F2303</f>
        <v>0</v>
      </c>
      <c r="C2677">
        <f>'OPEN FOREIGN ORDER'!Z2303</f>
        <v>0</v>
      </c>
      <c r="D2677" s="123">
        <f>'OPEN FOREIGN ORDER'!AA2303</f>
        <v>0</v>
      </c>
      <c r="E2677" s="112">
        <f>'OPEN FOREIGN ORDER'!AB2303</f>
        <v>0</v>
      </c>
      <c r="F2677" s="112">
        <f>'OPEN FOREIGN ORDER'!AC2303</f>
        <v>0</v>
      </c>
      <c r="G2677" s="112">
        <f>'OPEN FOREIGN ORDER'!AD2303</f>
        <v>0</v>
      </c>
      <c r="H2677" s="112">
        <f>'OPEN FOREIGN ORDER'!AE2303</f>
        <v>0</v>
      </c>
      <c r="I2677" s="112">
        <f>'OPEN FOREIGN ORDER'!AF2303</f>
        <v>0</v>
      </c>
      <c r="J2677" s="112">
        <f>'OPEN FOREIGN ORDER'!AG2303</f>
        <v>0</v>
      </c>
    </row>
    <row r="2678" spans="1:10">
      <c r="A2678">
        <f>'OPEN FOREIGN ORDER'!D2304</f>
        <v>0</v>
      </c>
      <c r="B2678">
        <f>'OPEN FOREIGN ORDER'!F2304</f>
        <v>0</v>
      </c>
      <c r="C2678">
        <f>'OPEN FOREIGN ORDER'!Z2304</f>
        <v>0</v>
      </c>
      <c r="D2678" s="123">
        <f>'OPEN FOREIGN ORDER'!AA2304</f>
        <v>0</v>
      </c>
      <c r="E2678" s="112">
        <f>'OPEN FOREIGN ORDER'!AB2304</f>
        <v>0</v>
      </c>
      <c r="F2678" s="112">
        <f>'OPEN FOREIGN ORDER'!AC2304</f>
        <v>0</v>
      </c>
      <c r="G2678" s="112">
        <f>'OPEN FOREIGN ORDER'!AD2304</f>
        <v>0</v>
      </c>
      <c r="H2678" s="112">
        <f>'OPEN FOREIGN ORDER'!AE2304</f>
        <v>0</v>
      </c>
      <c r="I2678" s="112">
        <f>'OPEN FOREIGN ORDER'!AF2304</f>
        <v>0</v>
      </c>
      <c r="J2678" s="112">
        <f>'OPEN FOREIGN ORDER'!AG2304</f>
        <v>0</v>
      </c>
    </row>
    <row r="2679" spans="1:10">
      <c r="A2679">
        <f>'OPEN FOREIGN ORDER'!D2305</f>
        <v>0</v>
      </c>
      <c r="B2679">
        <f>'OPEN FOREIGN ORDER'!F2305</f>
        <v>0</v>
      </c>
      <c r="C2679">
        <f>'OPEN FOREIGN ORDER'!Z2305</f>
        <v>0</v>
      </c>
      <c r="D2679" s="123">
        <f>'OPEN FOREIGN ORDER'!AA2305</f>
        <v>0</v>
      </c>
      <c r="E2679" s="112">
        <f>'OPEN FOREIGN ORDER'!AB2305</f>
        <v>0</v>
      </c>
      <c r="F2679" s="112">
        <f>'OPEN FOREIGN ORDER'!AC2305</f>
        <v>0</v>
      </c>
      <c r="G2679" s="112">
        <f>'OPEN FOREIGN ORDER'!AD2305</f>
        <v>0</v>
      </c>
      <c r="H2679" s="112">
        <f>'OPEN FOREIGN ORDER'!AE2305</f>
        <v>0</v>
      </c>
      <c r="I2679" s="112">
        <f>'OPEN FOREIGN ORDER'!AF2305</f>
        <v>0</v>
      </c>
      <c r="J2679" s="112">
        <f>'OPEN FOREIGN ORDER'!AG2305</f>
        <v>0</v>
      </c>
    </row>
    <row r="2680" spans="1:10">
      <c r="A2680">
        <f>'OPEN FOREIGN ORDER'!D2306</f>
        <v>0</v>
      </c>
      <c r="B2680">
        <f>'OPEN FOREIGN ORDER'!F2306</f>
        <v>0</v>
      </c>
      <c r="C2680">
        <f>'OPEN FOREIGN ORDER'!Z2306</f>
        <v>0</v>
      </c>
      <c r="D2680" s="123">
        <f>'OPEN FOREIGN ORDER'!AA2306</f>
        <v>0</v>
      </c>
      <c r="E2680" s="112">
        <f>'OPEN FOREIGN ORDER'!AB2306</f>
        <v>0</v>
      </c>
      <c r="F2680" s="112">
        <f>'OPEN FOREIGN ORDER'!AC2306</f>
        <v>0</v>
      </c>
      <c r="G2680" s="112">
        <f>'OPEN FOREIGN ORDER'!AD2306</f>
        <v>0</v>
      </c>
      <c r="H2680" s="112">
        <f>'OPEN FOREIGN ORDER'!AE2306</f>
        <v>0</v>
      </c>
      <c r="I2680" s="112">
        <f>'OPEN FOREIGN ORDER'!AF2306</f>
        <v>0</v>
      </c>
      <c r="J2680" s="112">
        <f>'OPEN FOREIGN ORDER'!AG2306</f>
        <v>0</v>
      </c>
    </row>
    <row r="2681" spans="1:10">
      <c r="A2681">
        <f>'OPEN FOREIGN ORDER'!D2307</f>
        <v>0</v>
      </c>
      <c r="B2681">
        <f>'OPEN FOREIGN ORDER'!F2307</f>
        <v>0</v>
      </c>
      <c r="C2681">
        <f>'OPEN FOREIGN ORDER'!Z2307</f>
        <v>0</v>
      </c>
      <c r="D2681" s="123">
        <f>'OPEN FOREIGN ORDER'!AA2307</f>
        <v>0</v>
      </c>
      <c r="E2681" s="112">
        <f>'OPEN FOREIGN ORDER'!AB2307</f>
        <v>0</v>
      </c>
      <c r="F2681" s="112">
        <f>'OPEN FOREIGN ORDER'!AC2307</f>
        <v>0</v>
      </c>
      <c r="G2681" s="112">
        <f>'OPEN FOREIGN ORDER'!AD2307</f>
        <v>0</v>
      </c>
      <c r="H2681" s="112">
        <f>'OPEN FOREIGN ORDER'!AE2307</f>
        <v>0</v>
      </c>
      <c r="I2681" s="112">
        <f>'OPEN FOREIGN ORDER'!AF2307</f>
        <v>0</v>
      </c>
      <c r="J2681" s="112">
        <f>'OPEN FOREIGN ORDER'!AG2307</f>
        <v>0</v>
      </c>
    </row>
    <row r="2682" spans="1:10">
      <c r="A2682">
        <f>'OPEN FOREIGN ORDER'!D2308</f>
        <v>0</v>
      </c>
      <c r="B2682">
        <f>'OPEN FOREIGN ORDER'!F2308</f>
        <v>0</v>
      </c>
      <c r="C2682">
        <f>'OPEN FOREIGN ORDER'!Z2308</f>
        <v>0</v>
      </c>
      <c r="D2682" s="123">
        <f>'OPEN FOREIGN ORDER'!AA2308</f>
        <v>0</v>
      </c>
      <c r="E2682" s="112">
        <f>'OPEN FOREIGN ORDER'!AB2308</f>
        <v>0</v>
      </c>
      <c r="F2682" s="112">
        <f>'OPEN FOREIGN ORDER'!AC2308</f>
        <v>0</v>
      </c>
      <c r="G2682" s="112">
        <f>'OPEN FOREIGN ORDER'!AD2308</f>
        <v>0</v>
      </c>
      <c r="H2682" s="112">
        <f>'OPEN FOREIGN ORDER'!AE2308</f>
        <v>0</v>
      </c>
      <c r="I2682" s="112">
        <f>'OPEN FOREIGN ORDER'!AF2308</f>
        <v>0</v>
      </c>
      <c r="J2682" s="112">
        <f>'OPEN FOREIGN ORDER'!AG2308</f>
        <v>0</v>
      </c>
    </row>
    <row r="2683" spans="1:10">
      <c r="A2683">
        <f>'OPEN FOREIGN ORDER'!D2309</f>
        <v>0</v>
      </c>
      <c r="B2683">
        <f>'OPEN FOREIGN ORDER'!F2309</f>
        <v>0</v>
      </c>
      <c r="C2683">
        <f>'OPEN FOREIGN ORDER'!Z2309</f>
        <v>0</v>
      </c>
      <c r="D2683" s="123">
        <f>'OPEN FOREIGN ORDER'!AA2309</f>
        <v>0</v>
      </c>
      <c r="E2683" s="112">
        <f>'OPEN FOREIGN ORDER'!AB2309</f>
        <v>0</v>
      </c>
      <c r="F2683" s="112">
        <f>'OPEN FOREIGN ORDER'!AC2309</f>
        <v>0</v>
      </c>
      <c r="G2683" s="112">
        <f>'OPEN FOREIGN ORDER'!AD2309</f>
        <v>0</v>
      </c>
      <c r="H2683" s="112">
        <f>'OPEN FOREIGN ORDER'!AE2309</f>
        <v>0</v>
      </c>
      <c r="I2683" s="112">
        <f>'OPEN FOREIGN ORDER'!AF2309</f>
        <v>0</v>
      </c>
      <c r="J2683" s="112">
        <f>'OPEN FOREIGN ORDER'!AG2309</f>
        <v>0</v>
      </c>
    </row>
    <row r="2684" spans="1:10">
      <c r="A2684">
        <f>'OPEN FOREIGN ORDER'!D2310</f>
        <v>0</v>
      </c>
      <c r="B2684">
        <f>'OPEN FOREIGN ORDER'!F2310</f>
        <v>0</v>
      </c>
      <c r="C2684">
        <f>'OPEN FOREIGN ORDER'!Z2310</f>
        <v>0</v>
      </c>
      <c r="D2684" s="123">
        <f>'OPEN FOREIGN ORDER'!AA2310</f>
        <v>0</v>
      </c>
      <c r="E2684" s="112">
        <f>'OPEN FOREIGN ORDER'!AB2310</f>
        <v>0</v>
      </c>
      <c r="F2684" s="112">
        <f>'OPEN FOREIGN ORDER'!AC2310</f>
        <v>0</v>
      </c>
      <c r="G2684" s="112">
        <f>'OPEN FOREIGN ORDER'!AD2310</f>
        <v>0</v>
      </c>
      <c r="H2684" s="112">
        <f>'OPEN FOREIGN ORDER'!AE2310</f>
        <v>0</v>
      </c>
      <c r="I2684" s="112">
        <f>'OPEN FOREIGN ORDER'!AF2310</f>
        <v>0</v>
      </c>
      <c r="J2684" s="112">
        <f>'OPEN FOREIGN ORDER'!AG2310</f>
        <v>0</v>
      </c>
    </row>
    <row r="2685" spans="1:10">
      <c r="A2685">
        <f>'OPEN FOREIGN ORDER'!D2311</f>
        <v>0</v>
      </c>
      <c r="B2685">
        <f>'OPEN FOREIGN ORDER'!F2311</f>
        <v>0</v>
      </c>
      <c r="C2685">
        <f>'OPEN FOREIGN ORDER'!Z2311</f>
        <v>0</v>
      </c>
      <c r="D2685" s="123">
        <f>'OPEN FOREIGN ORDER'!AA2311</f>
        <v>0</v>
      </c>
      <c r="E2685" s="112">
        <f>'OPEN FOREIGN ORDER'!AB2311</f>
        <v>0</v>
      </c>
      <c r="F2685" s="112">
        <f>'OPEN FOREIGN ORDER'!AC2311</f>
        <v>0</v>
      </c>
      <c r="G2685" s="112">
        <f>'OPEN FOREIGN ORDER'!AD2311</f>
        <v>0</v>
      </c>
      <c r="H2685" s="112">
        <f>'OPEN FOREIGN ORDER'!AE2311</f>
        <v>0</v>
      </c>
      <c r="I2685" s="112">
        <f>'OPEN FOREIGN ORDER'!AF2311</f>
        <v>0</v>
      </c>
      <c r="J2685" s="112">
        <f>'OPEN FOREIGN ORDER'!AG2311</f>
        <v>0</v>
      </c>
    </row>
    <row r="2686" spans="1:10">
      <c r="A2686">
        <f>'OPEN FOREIGN ORDER'!D2312</f>
        <v>0</v>
      </c>
      <c r="B2686">
        <f>'OPEN FOREIGN ORDER'!F2312</f>
        <v>0</v>
      </c>
      <c r="C2686">
        <f>'OPEN FOREIGN ORDER'!Z2312</f>
        <v>0</v>
      </c>
      <c r="D2686" s="123">
        <f>'OPEN FOREIGN ORDER'!AA2312</f>
        <v>0</v>
      </c>
      <c r="E2686" s="112">
        <f>'OPEN FOREIGN ORDER'!AB2312</f>
        <v>0</v>
      </c>
      <c r="F2686" s="112">
        <f>'OPEN FOREIGN ORDER'!AC2312</f>
        <v>0</v>
      </c>
      <c r="G2686" s="112">
        <f>'OPEN FOREIGN ORDER'!AD2312</f>
        <v>0</v>
      </c>
      <c r="H2686" s="112">
        <f>'OPEN FOREIGN ORDER'!AE2312</f>
        <v>0</v>
      </c>
      <c r="I2686" s="112">
        <f>'OPEN FOREIGN ORDER'!AF2312</f>
        <v>0</v>
      </c>
      <c r="J2686" s="112">
        <f>'OPEN FOREIGN ORDER'!AG2312</f>
        <v>0</v>
      </c>
    </row>
    <row r="2687" spans="1:10">
      <c r="A2687">
        <f>'OPEN FOREIGN ORDER'!D2313</f>
        <v>0</v>
      </c>
      <c r="B2687">
        <f>'OPEN FOREIGN ORDER'!F2313</f>
        <v>0</v>
      </c>
      <c r="C2687">
        <f>'OPEN FOREIGN ORDER'!Z2313</f>
        <v>0</v>
      </c>
      <c r="D2687" s="123">
        <f>'OPEN FOREIGN ORDER'!AA2313</f>
        <v>0</v>
      </c>
      <c r="E2687" s="112">
        <f>'OPEN FOREIGN ORDER'!AB2313</f>
        <v>0</v>
      </c>
      <c r="F2687" s="112">
        <f>'OPEN FOREIGN ORDER'!AC2313</f>
        <v>0</v>
      </c>
      <c r="G2687" s="112">
        <f>'OPEN FOREIGN ORDER'!AD2313</f>
        <v>0</v>
      </c>
      <c r="H2687" s="112">
        <f>'OPEN FOREIGN ORDER'!AE2313</f>
        <v>0</v>
      </c>
      <c r="I2687" s="112">
        <f>'OPEN FOREIGN ORDER'!AF2313</f>
        <v>0</v>
      </c>
      <c r="J2687" s="112">
        <f>'OPEN FOREIGN ORDER'!AG2313</f>
        <v>0</v>
      </c>
    </row>
    <row r="2688" spans="1:10">
      <c r="A2688">
        <f>'OPEN FOREIGN ORDER'!D2314</f>
        <v>0</v>
      </c>
      <c r="B2688">
        <f>'OPEN FOREIGN ORDER'!F2314</f>
        <v>0</v>
      </c>
      <c r="C2688">
        <f>'OPEN FOREIGN ORDER'!Z2314</f>
        <v>0</v>
      </c>
      <c r="D2688" s="123">
        <f>'OPEN FOREIGN ORDER'!AA2314</f>
        <v>0</v>
      </c>
      <c r="E2688" s="112">
        <f>'OPEN FOREIGN ORDER'!AB2314</f>
        <v>0</v>
      </c>
      <c r="F2688" s="112">
        <f>'OPEN FOREIGN ORDER'!AC2314</f>
        <v>0</v>
      </c>
      <c r="G2688" s="112">
        <f>'OPEN FOREIGN ORDER'!AD2314</f>
        <v>0</v>
      </c>
      <c r="H2688" s="112">
        <f>'OPEN FOREIGN ORDER'!AE2314</f>
        <v>0</v>
      </c>
      <c r="I2688" s="112">
        <f>'OPEN FOREIGN ORDER'!AF2314</f>
        <v>0</v>
      </c>
      <c r="J2688" s="112">
        <f>'OPEN FOREIGN ORDER'!AG2314</f>
        <v>0</v>
      </c>
    </row>
    <row r="2689" spans="1:10">
      <c r="A2689">
        <f>'OPEN FOREIGN ORDER'!D2315</f>
        <v>0</v>
      </c>
      <c r="B2689">
        <f>'OPEN FOREIGN ORDER'!F2315</f>
        <v>0</v>
      </c>
      <c r="C2689">
        <f>'OPEN FOREIGN ORDER'!Z2315</f>
        <v>0</v>
      </c>
      <c r="D2689" s="123">
        <f>'OPEN FOREIGN ORDER'!AA2315</f>
        <v>0</v>
      </c>
      <c r="E2689" s="112">
        <f>'OPEN FOREIGN ORDER'!AB2315</f>
        <v>0</v>
      </c>
      <c r="F2689" s="112">
        <f>'OPEN FOREIGN ORDER'!AC2315</f>
        <v>0</v>
      </c>
      <c r="G2689" s="112">
        <f>'OPEN FOREIGN ORDER'!AD2315</f>
        <v>0</v>
      </c>
      <c r="H2689" s="112">
        <f>'OPEN FOREIGN ORDER'!AE2315</f>
        <v>0</v>
      </c>
      <c r="I2689" s="112">
        <f>'OPEN FOREIGN ORDER'!AF2315</f>
        <v>0</v>
      </c>
      <c r="J2689" s="112">
        <f>'OPEN FOREIGN ORDER'!AG2315</f>
        <v>0</v>
      </c>
    </row>
    <row r="2690" spans="1:10">
      <c r="A2690">
        <f>'OPEN FOREIGN ORDER'!D2316</f>
        <v>0</v>
      </c>
      <c r="B2690">
        <f>'OPEN FOREIGN ORDER'!F2316</f>
        <v>0</v>
      </c>
      <c r="C2690">
        <f>'OPEN FOREIGN ORDER'!Z2316</f>
        <v>0</v>
      </c>
      <c r="D2690" s="123">
        <f>'OPEN FOREIGN ORDER'!AA2316</f>
        <v>0</v>
      </c>
      <c r="E2690" s="112">
        <f>'OPEN FOREIGN ORDER'!AB2316</f>
        <v>0</v>
      </c>
      <c r="F2690" s="112">
        <f>'OPEN FOREIGN ORDER'!AC2316</f>
        <v>0</v>
      </c>
      <c r="G2690" s="112">
        <f>'OPEN FOREIGN ORDER'!AD2316</f>
        <v>0</v>
      </c>
      <c r="H2690" s="112">
        <f>'OPEN FOREIGN ORDER'!AE2316</f>
        <v>0</v>
      </c>
      <c r="I2690" s="112">
        <f>'OPEN FOREIGN ORDER'!AF2316</f>
        <v>0</v>
      </c>
      <c r="J2690" s="112">
        <f>'OPEN FOREIGN ORDER'!AG2316</f>
        <v>0</v>
      </c>
    </row>
    <row r="2691" spans="1:10">
      <c r="A2691">
        <f>'OPEN FOREIGN ORDER'!D2317</f>
        <v>0</v>
      </c>
      <c r="B2691">
        <f>'OPEN FOREIGN ORDER'!F2317</f>
        <v>0</v>
      </c>
      <c r="C2691">
        <f>'OPEN FOREIGN ORDER'!Z2317</f>
        <v>0</v>
      </c>
      <c r="D2691" s="123">
        <f>'OPEN FOREIGN ORDER'!AA2317</f>
        <v>0</v>
      </c>
      <c r="E2691" s="112">
        <f>'OPEN FOREIGN ORDER'!AB2317</f>
        <v>0</v>
      </c>
      <c r="F2691" s="112">
        <f>'OPEN FOREIGN ORDER'!AC2317</f>
        <v>0</v>
      </c>
      <c r="G2691" s="112">
        <f>'OPEN FOREIGN ORDER'!AD2317</f>
        <v>0</v>
      </c>
      <c r="H2691" s="112">
        <f>'OPEN FOREIGN ORDER'!AE2317</f>
        <v>0</v>
      </c>
      <c r="I2691" s="112">
        <f>'OPEN FOREIGN ORDER'!AF2317</f>
        <v>0</v>
      </c>
      <c r="J2691" s="112">
        <f>'OPEN FOREIGN ORDER'!AG2317</f>
        <v>0</v>
      </c>
    </row>
    <row r="2692" spans="1:10">
      <c r="A2692">
        <f>'OPEN FOREIGN ORDER'!D2318</f>
        <v>0</v>
      </c>
      <c r="B2692">
        <f>'OPEN FOREIGN ORDER'!F2318</f>
        <v>0</v>
      </c>
      <c r="C2692">
        <f>'OPEN FOREIGN ORDER'!Z2318</f>
        <v>0</v>
      </c>
      <c r="D2692" s="123">
        <f>'OPEN FOREIGN ORDER'!AA2318</f>
        <v>0</v>
      </c>
      <c r="E2692" s="112">
        <f>'OPEN FOREIGN ORDER'!AB2318</f>
        <v>0</v>
      </c>
      <c r="F2692" s="112">
        <f>'OPEN FOREIGN ORDER'!AC2318</f>
        <v>0</v>
      </c>
      <c r="G2692" s="112">
        <f>'OPEN FOREIGN ORDER'!AD2318</f>
        <v>0</v>
      </c>
      <c r="H2692" s="112">
        <f>'OPEN FOREIGN ORDER'!AE2318</f>
        <v>0</v>
      </c>
      <c r="I2692" s="112">
        <f>'OPEN FOREIGN ORDER'!AF2318</f>
        <v>0</v>
      </c>
      <c r="J2692" s="112">
        <f>'OPEN FOREIGN ORDER'!AG2318</f>
        <v>0</v>
      </c>
    </row>
    <row r="2693" spans="1:10">
      <c r="A2693">
        <f>'OPEN FOREIGN ORDER'!D2319</f>
        <v>0</v>
      </c>
      <c r="B2693">
        <f>'OPEN FOREIGN ORDER'!F2319</f>
        <v>0</v>
      </c>
      <c r="C2693">
        <f>'OPEN FOREIGN ORDER'!Z2319</f>
        <v>0</v>
      </c>
      <c r="D2693" s="123">
        <f>'OPEN FOREIGN ORDER'!AA2319</f>
        <v>0</v>
      </c>
      <c r="E2693" s="112">
        <f>'OPEN FOREIGN ORDER'!AB2319</f>
        <v>0</v>
      </c>
      <c r="F2693" s="112">
        <f>'OPEN FOREIGN ORDER'!AC2319</f>
        <v>0</v>
      </c>
      <c r="G2693" s="112">
        <f>'OPEN FOREIGN ORDER'!AD2319</f>
        <v>0</v>
      </c>
      <c r="H2693" s="112">
        <f>'OPEN FOREIGN ORDER'!AE2319</f>
        <v>0</v>
      </c>
      <c r="I2693" s="112">
        <f>'OPEN FOREIGN ORDER'!AF2319</f>
        <v>0</v>
      </c>
      <c r="J2693" s="112">
        <f>'OPEN FOREIGN ORDER'!AG2319</f>
        <v>0</v>
      </c>
    </row>
    <row r="2694" spans="1:10">
      <c r="A2694">
        <f>'OPEN FOREIGN ORDER'!D2320</f>
        <v>0</v>
      </c>
      <c r="B2694">
        <f>'OPEN FOREIGN ORDER'!F2320</f>
        <v>0</v>
      </c>
      <c r="C2694">
        <f>'OPEN FOREIGN ORDER'!Z2320</f>
        <v>0</v>
      </c>
      <c r="D2694" s="123">
        <f>'OPEN FOREIGN ORDER'!AA2320</f>
        <v>0</v>
      </c>
      <c r="E2694" s="112">
        <f>'OPEN FOREIGN ORDER'!AB2320</f>
        <v>0</v>
      </c>
      <c r="F2694" s="112">
        <f>'OPEN FOREIGN ORDER'!AC2320</f>
        <v>0</v>
      </c>
      <c r="G2694" s="112">
        <f>'OPEN FOREIGN ORDER'!AD2320</f>
        <v>0</v>
      </c>
      <c r="H2694" s="112">
        <f>'OPEN FOREIGN ORDER'!AE2320</f>
        <v>0</v>
      </c>
      <c r="I2694" s="112">
        <f>'OPEN FOREIGN ORDER'!AF2320</f>
        <v>0</v>
      </c>
      <c r="J2694" s="112">
        <f>'OPEN FOREIGN ORDER'!AG2320</f>
        <v>0</v>
      </c>
    </row>
    <row r="2695" spans="1:10">
      <c r="A2695">
        <f>'OPEN FOREIGN ORDER'!D2321</f>
        <v>0</v>
      </c>
      <c r="B2695">
        <f>'OPEN FOREIGN ORDER'!F2321</f>
        <v>0</v>
      </c>
      <c r="C2695">
        <f>'OPEN FOREIGN ORDER'!Z2321</f>
        <v>0</v>
      </c>
      <c r="D2695" s="123">
        <f>'OPEN FOREIGN ORDER'!AA2321</f>
        <v>0</v>
      </c>
      <c r="E2695" s="112">
        <f>'OPEN FOREIGN ORDER'!AB2321</f>
        <v>0</v>
      </c>
      <c r="F2695" s="112">
        <f>'OPEN FOREIGN ORDER'!AC2321</f>
        <v>0</v>
      </c>
      <c r="G2695" s="112">
        <f>'OPEN FOREIGN ORDER'!AD2321</f>
        <v>0</v>
      </c>
      <c r="H2695" s="112">
        <f>'OPEN FOREIGN ORDER'!AE2321</f>
        <v>0</v>
      </c>
      <c r="I2695" s="112">
        <f>'OPEN FOREIGN ORDER'!AF2321</f>
        <v>0</v>
      </c>
      <c r="J2695" s="112">
        <f>'OPEN FOREIGN ORDER'!AG2321</f>
        <v>0</v>
      </c>
    </row>
    <row r="2696" spans="1:10">
      <c r="A2696">
        <f>'OPEN FOREIGN ORDER'!D2322</f>
        <v>0</v>
      </c>
      <c r="B2696">
        <f>'OPEN FOREIGN ORDER'!F2322</f>
        <v>0</v>
      </c>
      <c r="C2696">
        <f>'OPEN FOREIGN ORDER'!Z2322</f>
        <v>0</v>
      </c>
      <c r="D2696" s="123">
        <f>'OPEN FOREIGN ORDER'!AA2322</f>
        <v>0</v>
      </c>
      <c r="E2696" s="112">
        <f>'OPEN FOREIGN ORDER'!AB2322</f>
        <v>0</v>
      </c>
      <c r="F2696" s="112">
        <f>'OPEN FOREIGN ORDER'!AC2322</f>
        <v>0</v>
      </c>
      <c r="G2696" s="112">
        <f>'OPEN FOREIGN ORDER'!AD2322</f>
        <v>0</v>
      </c>
      <c r="H2696" s="112">
        <f>'OPEN FOREIGN ORDER'!AE2322</f>
        <v>0</v>
      </c>
      <c r="I2696" s="112">
        <f>'OPEN FOREIGN ORDER'!AF2322</f>
        <v>0</v>
      </c>
      <c r="J2696" s="112">
        <f>'OPEN FOREIGN ORDER'!AG2322</f>
        <v>0</v>
      </c>
    </row>
    <row r="2697" spans="1:10">
      <c r="A2697">
        <f>'OPEN FOREIGN ORDER'!D2323</f>
        <v>0</v>
      </c>
      <c r="B2697">
        <f>'OPEN FOREIGN ORDER'!F2323</f>
        <v>0</v>
      </c>
      <c r="C2697">
        <f>'OPEN FOREIGN ORDER'!Z2323</f>
        <v>0</v>
      </c>
      <c r="D2697" s="123">
        <f>'OPEN FOREIGN ORDER'!AA2323</f>
        <v>0</v>
      </c>
      <c r="E2697" s="112">
        <f>'OPEN FOREIGN ORDER'!AB2323</f>
        <v>0</v>
      </c>
      <c r="F2697" s="112">
        <f>'OPEN FOREIGN ORDER'!AC2323</f>
        <v>0</v>
      </c>
      <c r="G2697" s="112">
        <f>'OPEN FOREIGN ORDER'!AD2323</f>
        <v>0</v>
      </c>
      <c r="H2697" s="112">
        <f>'OPEN FOREIGN ORDER'!AE2323</f>
        <v>0</v>
      </c>
      <c r="I2697" s="112">
        <f>'OPEN FOREIGN ORDER'!AF2323</f>
        <v>0</v>
      </c>
      <c r="J2697" s="112">
        <f>'OPEN FOREIGN ORDER'!AG2323</f>
        <v>0</v>
      </c>
    </row>
    <row r="2698" spans="1:10">
      <c r="A2698">
        <f>'OPEN FOREIGN ORDER'!D2324</f>
        <v>0</v>
      </c>
      <c r="B2698">
        <f>'OPEN FOREIGN ORDER'!F2324</f>
        <v>0</v>
      </c>
      <c r="C2698">
        <f>'OPEN FOREIGN ORDER'!Z2324</f>
        <v>0</v>
      </c>
      <c r="D2698" s="123">
        <f>'OPEN FOREIGN ORDER'!AA2324</f>
        <v>0</v>
      </c>
      <c r="E2698" s="112">
        <f>'OPEN FOREIGN ORDER'!AB2324</f>
        <v>0</v>
      </c>
      <c r="F2698" s="112">
        <f>'OPEN FOREIGN ORDER'!AC2324</f>
        <v>0</v>
      </c>
      <c r="G2698" s="112">
        <f>'OPEN FOREIGN ORDER'!AD2324</f>
        <v>0</v>
      </c>
      <c r="H2698" s="112">
        <f>'OPEN FOREIGN ORDER'!AE2324</f>
        <v>0</v>
      </c>
      <c r="I2698" s="112">
        <f>'OPEN FOREIGN ORDER'!AF2324</f>
        <v>0</v>
      </c>
      <c r="J2698" s="112">
        <f>'OPEN FOREIGN ORDER'!AG2324</f>
        <v>0</v>
      </c>
    </row>
    <row r="2699" spans="1:10">
      <c r="A2699">
        <f>'OPEN FOREIGN ORDER'!D2325</f>
        <v>0</v>
      </c>
      <c r="B2699">
        <f>'OPEN FOREIGN ORDER'!F2325</f>
        <v>0</v>
      </c>
      <c r="C2699">
        <f>'OPEN FOREIGN ORDER'!Z2325</f>
        <v>0</v>
      </c>
      <c r="D2699" s="123">
        <f>'OPEN FOREIGN ORDER'!AA2325</f>
        <v>0</v>
      </c>
      <c r="E2699" s="112">
        <f>'OPEN FOREIGN ORDER'!AB2325</f>
        <v>0</v>
      </c>
      <c r="F2699" s="112">
        <f>'OPEN FOREIGN ORDER'!AC2325</f>
        <v>0</v>
      </c>
      <c r="G2699" s="112">
        <f>'OPEN FOREIGN ORDER'!AD2325</f>
        <v>0</v>
      </c>
      <c r="H2699" s="112">
        <f>'OPEN FOREIGN ORDER'!AE2325</f>
        <v>0</v>
      </c>
      <c r="I2699" s="112">
        <f>'OPEN FOREIGN ORDER'!AF2325</f>
        <v>0</v>
      </c>
      <c r="J2699" s="112">
        <f>'OPEN FOREIGN ORDER'!AG2325</f>
        <v>0</v>
      </c>
    </row>
    <row r="2700" spans="1:10">
      <c r="A2700">
        <f>'OPEN FOREIGN ORDER'!D2326</f>
        <v>0</v>
      </c>
      <c r="B2700">
        <f>'OPEN FOREIGN ORDER'!F2326</f>
        <v>0</v>
      </c>
      <c r="C2700">
        <f>'OPEN FOREIGN ORDER'!Z2326</f>
        <v>0</v>
      </c>
      <c r="D2700" s="123">
        <f>'OPEN FOREIGN ORDER'!AA2326</f>
        <v>0</v>
      </c>
      <c r="E2700" s="112">
        <f>'OPEN FOREIGN ORDER'!AB2326</f>
        <v>0</v>
      </c>
      <c r="F2700" s="112">
        <f>'OPEN FOREIGN ORDER'!AC2326</f>
        <v>0</v>
      </c>
      <c r="G2700" s="112">
        <f>'OPEN FOREIGN ORDER'!AD2326</f>
        <v>0</v>
      </c>
      <c r="H2700" s="112">
        <f>'OPEN FOREIGN ORDER'!AE2326</f>
        <v>0</v>
      </c>
      <c r="I2700" s="112">
        <f>'OPEN FOREIGN ORDER'!AF2326</f>
        <v>0</v>
      </c>
      <c r="J2700" s="112">
        <f>'OPEN FOREIGN ORDER'!AG2326</f>
        <v>0</v>
      </c>
    </row>
    <row r="2701" spans="1:10">
      <c r="A2701">
        <f>'OPEN FOREIGN ORDER'!D2327</f>
        <v>0</v>
      </c>
      <c r="B2701">
        <f>'OPEN FOREIGN ORDER'!F2327</f>
        <v>0</v>
      </c>
      <c r="C2701">
        <f>'OPEN FOREIGN ORDER'!Z2327</f>
        <v>0</v>
      </c>
      <c r="D2701" s="123">
        <f>'OPEN FOREIGN ORDER'!AA2327</f>
        <v>0</v>
      </c>
      <c r="E2701" s="112">
        <f>'OPEN FOREIGN ORDER'!AB2327</f>
        <v>0</v>
      </c>
      <c r="F2701" s="112">
        <f>'OPEN FOREIGN ORDER'!AC2327</f>
        <v>0</v>
      </c>
      <c r="G2701" s="112">
        <f>'OPEN FOREIGN ORDER'!AD2327</f>
        <v>0</v>
      </c>
      <c r="H2701" s="112">
        <f>'OPEN FOREIGN ORDER'!AE2327</f>
        <v>0</v>
      </c>
      <c r="I2701" s="112">
        <f>'OPEN FOREIGN ORDER'!AF2327</f>
        <v>0</v>
      </c>
      <c r="J2701" s="112">
        <f>'OPEN FOREIGN ORDER'!AG2327</f>
        <v>0</v>
      </c>
    </row>
    <row r="2702" spans="1:10">
      <c r="A2702">
        <f>'OPEN FOREIGN ORDER'!D2328</f>
        <v>0</v>
      </c>
      <c r="B2702">
        <f>'OPEN FOREIGN ORDER'!F2328</f>
        <v>0</v>
      </c>
      <c r="C2702">
        <f>'OPEN FOREIGN ORDER'!Z2328</f>
        <v>0</v>
      </c>
      <c r="D2702" s="123">
        <f>'OPEN FOREIGN ORDER'!AA2328</f>
        <v>0</v>
      </c>
      <c r="E2702" s="112">
        <f>'OPEN FOREIGN ORDER'!AB2328</f>
        <v>0</v>
      </c>
      <c r="F2702" s="112">
        <f>'OPEN FOREIGN ORDER'!AC2328</f>
        <v>0</v>
      </c>
      <c r="G2702" s="112">
        <f>'OPEN FOREIGN ORDER'!AD2328</f>
        <v>0</v>
      </c>
      <c r="H2702" s="112">
        <f>'OPEN FOREIGN ORDER'!AE2328</f>
        <v>0</v>
      </c>
      <c r="I2702" s="112">
        <f>'OPEN FOREIGN ORDER'!AF2328</f>
        <v>0</v>
      </c>
      <c r="J2702" s="112">
        <f>'OPEN FOREIGN ORDER'!AG2328</f>
        <v>0</v>
      </c>
    </row>
    <row r="2703" spans="1:10">
      <c r="A2703">
        <f>'OPEN FOREIGN ORDER'!D2329</f>
        <v>0</v>
      </c>
      <c r="B2703">
        <f>'OPEN FOREIGN ORDER'!F2329</f>
        <v>0</v>
      </c>
      <c r="C2703">
        <f>'OPEN FOREIGN ORDER'!Z2329</f>
        <v>0</v>
      </c>
      <c r="D2703" s="123">
        <f>'OPEN FOREIGN ORDER'!AA2329</f>
        <v>0</v>
      </c>
      <c r="E2703" s="112">
        <f>'OPEN FOREIGN ORDER'!AB2329</f>
        <v>0</v>
      </c>
      <c r="F2703" s="112">
        <f>'OPEN FOREIGN ORDER'!AC2329</f>
        <v>0</v>
      </c>
      <c r="G2703" s="112">
        <f>'OPEN FOREIGN ORDER'!AD2329</f>
        <v>0</v>
      </c>
      <c r="H2703" s="112">
        <f>'OPEN FOREIGN ORDER'!AE2329</f>
        <v>0</v>
      </c>
      <c r="I2703" s="112">
        <f>'OPEN FOREIGN ORDER'!AF2329</f>
        <v>0</v>
      </c>
      <c r="J2703" s="112">
        <f>'OPEN FOREIGN ORDER'!AG2329</f>
        <v>0</v>
      </c>
    </row>
    <row r="2704" spans="1:10">
      <c r="A2704">
        <f>'OPEN FOREIGN ORDER'!D2330</f>
        <v>0</v>
      </c>
      <c r="B2704">
        <f>'OPEN FOREIGN ORDER'!F2330</f>
        <v>0</v>
      </c>
      <c r="C2704">
        <f>'OPEN FOREIGN ORDER'!Z2330</f>
        <v>0</v>
      </c>
      <c r="D2704" s="123">
        <f>'OPEN FOREIGN ORDER'!AA2330</f>
        <v>0</v>
      </c>
      <c r="E2704" s="112">
        <f>'OPEN FOREIGN ORDER'!AB2330</f>
        <v>0</v>
      </c>
      <c r="F2704" s="112">
        <f>'OPEN FOREIGN ORDER'!AC2330</f>
        <v>0</v>
      </c>
      <c r="G2704" s="112">
        <f>'OPEN FOREIGN ORDER'!AD2330</f>
        <v>0</v>
      </c>
      <c r="H2704" s="112">
        <f>'OPEN FOREIGN ORDER'!AE2330</f>
        <v>0</v>
      </c>
      <c r="I2704" s="112">
        <f>'OPEN FOREIGN ORDER'!AF2330</f>
        <v>0</v>
      </c>
      <c r="J2704" s="112">
        <f>'OPEN FOREIGN ORDER'!AG2330</f>
        <v>0</v>
      </c>
    </row>
    <row r="2705" spans="1:10">
      <c r="A2705">
        <f>'OPEN FOREIGN ORDER'!D2331</f>
        <v>0</v>
      </c>
      <c r="B2705">
        <f>'OPEN FOREIGN ORDER'!F2331</f>
        <v>0</v>
      </c>
      <c r="C2705">
        <f>'OPEN FOREIGN ORDER'!Z2331</f>
        <v>0</v>
      </c>
      <c r="D2705" s="123">
        <f>'OPEN FOREIGN ORDER'!AA2331</f>
        <v>0</v>
      </c>
      <c r="E2705" s="112">
        <f>'OPEN FOREIGN ORDER'!AB2331</f>
        <v>0</v>
      </c>
      <c r="F2705" s="112">
        <f>'OPEN FOREIGN ORDER'!AC2331</f>
        <v>0</v>
      </c>
      <c r="G2705" s="112">
        <f>'OPEN FOREIGN ORDER'!AD2331</f>
        <v>0</v>
      </c>
      <c r="H2705" s="112">
        <f>'OPEN FOREIGN ORDER'!AE2331</f>
        <v>0</v>
      </c>
      <c r="I2705" s="112">
        <f>'OPEN FOREIGN ORDER'!AF2331</f>
        <v>0</v>
      </c>
      <c r="J2705" s="112">
        <f>'OPEN FOREIGN ORDER'!AG2331</f>
        <v>0</v>
      </c>
    </row>
    <row r="2706" spans="1:10">
      <c r="A2706">
        <f>'OPEN FOREIGN ORDER'!D2332</f>
        <v>0</v>
      </c>
      <c r="B2706">
        <f>'OPEN FOREIGN ORDER'!F2332</f>
        <v>0</v>
      </c>
      <c r="C2706">
        <f>'OPEN FOREIGN ORDER'!Z2332</f>
        <v>0</v>
      </c>
      <c r="D2706" s="123">
        <f>'OPEN FOREIGN ORDER'!AA2332</f>
        <v>0</v>
      </c>
      <c r="E2706" s="112">
        <f>'OPEN FOREIGN ORDER'!AB2332</f>
        <v>0</v>
      </c>
      <c r="F2706" s="112">
        <f>'OPEN FOREIGN ORDER'!AC2332</f>
        <v>0</v>
      </c>
      <c r="G2706" s="112">
        <f>'OPEN FOREIGN ORDER'!AD2332</f>
        <v>0</v>
      </c>
      <c r="H2706" s="112">
        <f>'OPEN FOREIGN ORDER'!AE2332</f>
        <v>0</v>
      </c>
      <c r="I2706" s="112">
        <f>'OPEN FOREIGN ORDER'!AF2332</f>
        <v>0</v>
      </c>
      <c r="J2706" s="112">
        <f>'OPEN FOREIGN ORDER'!AG2332</f>
        <v>0</v>
      </c>
    </row>
    <row r="2707" spans="1:10">
      <c r="A2707">
        <f>'OPEN FOREIGN ORDER'!D2333</f>
        <v>0</v>
      </c>
      <c r="B2707">
        <f>'OPEN FOREIGN ORDER'!F2333</f>
        <v>0</v>
      </c>
      <c r="C2707">
        <f>'OPEN FOREIGN ORDER'!Z2333</f>
        <v>0</v>
      </c>
      <c r="D2707" s="123">
        <f>'OPEN FOREIGN ORDER'!AA2333</f>
        <v>0</v>
      </c>
      <c r="E2707" s="112">
        <f>'OPEN FOREIGN ORDER'!AB2333</f>
        <v>0</v>
      </c>
      <c r="F2707" s="112">
        <f>'OPEN FOREIGN ORDER'!AC2333</f>
        <v>0</v>
      </c>
      <c r="G2707" s="112">
        <f>'OPEN FOREIGN ORDER'!AD2333</f>
        <v>0</v>
      </c>
      <c r="H2707" s="112">
        <f>'OPEN FOREIGN ORDER'!AE2333</f>
        <v>0</v>
      </c>
      <c r="I2707" s="112">
        <f>'OPEN FOREIGN ORDER'!AF2333</f>
        <v>0</v>
      </c>
      <c r="J2707" s="112">
        <f>'OPEN FOREIGN ORDER'!AG2333</f>
        <v>0</v>
      </c>
    </row>
    <row r="2708" spans="1:10">
      <c r="A2708">
        <f>'OPEN FOREIGN ORDER'!D2334</f>
        <v>0</v>
      </c>
      <c r="B2708">
        <f>'OPEN FOREIGN ORDER'!F2334</f>
        <v>0</v>
      </c>
      <c r="C2708">
        <f>'OPEN FOREIGN ORDER'!Z2334</f>
        <v>0</v>
      </c>
      <c r="D2708" s="123">
        <f>'OPEN FOREIGN ORDER'!AA2334</f>
        <v>0</v>
      </c>
      <c r="E2708" s="112">
        <f>'OPEN FOREIGN ORDER'!AB2334</f>
        <v>0</v>
      </c>
      <c r="F2708" s="112">
        <f>'OPEN FOREIGN ORDER'!AC2334</f>
        <v>0</v>
      </c>
      <c r="G2708" s="112">
        <f>'OPEN FOREIGN ORDER'!AD2334</f>
        <v>0</v>
      </c>
      <c r="H2708" s="112">
        <f>'OPEN FOREIGN ORDER'!AE2334</f>
        <v>0</v>
      </c>
      <c r="I2708" s="112">
        <f>'OPEN FOREIGN ORDER'!AF2334</f>
        <v>0</v>
      </c>
      <c r="J2708" s="112">
        <f>'OPEN FOREIGN ORDER'!AG2334</f>
        <v>0</v>
      </c>
    </row>
    <row r="2709" spans="1:10">
      <c r="A2709">
        <f>'OPEN FOREIGN ORDER'!D2335</f>
        <v>0</v>
      </c>
      <c r="B2709">
        <f>'OPEN FOREIGN ORDER'!F2335</f>
        <v>0</v>
      </c>
      <c r="C2709">
        <f>'OPEN FOREIGN ORDER'!Z2335</f>
        <v>0</v>
      </c>
      <c r="D2709" s="123">
        <f>'OPEN FOREIGN ORDER'!AA2335</f>
        <v>0</v>
      </c>
      <c r="E2709" s="112">
        <f>'OPEN FOREIGN ORDER'!AB2335</f>
        <v>0</v>
      </c>
      <c r="F2709" s="112">
        <f>'OPEN FOREIGN ORDER'!AC2335</f>
        <v>0</v>
      </c>
      <c r="G2709" s="112">
        <f>'OPEN FOREIGN ORDER'!AD2335</f>
        <v>0</v>
      </c>
      <c r="H2709" s="112">
        <f>'OPEN FOREIGN ORDER'!AE2335</f>
        <v>0</v>
      </c>
      <c r="I2709" s="112">
        <f>'OPEN FOREIGN ORDER'!AF2335</f>
        <v>0</v>
      </c>
      <c r="J2709" s="112">
        <f>'OPEN FOREIGN ORDER'!AG2335</f>
        <v>0</v>
      </c>
    </row>
    <row r="2710" spans="1:10">
      <c r="A2710">
        <f>'OPEN FOREIGN ORDER'!D2336</f>
        <v>0</v>
      </c>
      <c r="B2710">
        <f>'OPEN FOREIGN ORDER'!F2336</f>
        <v>0</v>
      </c>
      <c r="C2710">
        <f>'OPEN FOREIGN ORDER'!Z2336</f>
        <v>0</v>
      </c>
      <c r="D2710" s="123">
        <f>'OPEN FOREIGN ORDER'!AA2336</f>
        <v>0</v>
      </c>
      <c r="E2710" s="112">
        <f>'OPEN FOREIGN ORDER'!AB2336</f>
        <v>0</v>
      </c>
      <c r="F2710" s="112">
        <f>'OPEN FOREIGN ORDER'!AC2336</f>
        <v>0</v>
      </c>
      <c r="G2710" s="112">
        <f>'OPEN FOREIGN ORDER'!AD2336</f>
        <v>0</v>
      </c>
      <c r="H2710" s="112">
        <f>'OPEN FOREIGN ORDER'!AE2336</f>
        <v>0</v>
      </c>
      <c r="I2710" s="112">
        <f>'OPEN FOREIGN ORDER'!AF2336</f>
        <v>0</v>
      </c>
      <c r="J2710" s="112">
        <f>'OPEN FOREIGN ORDER'!AG2336</f>
        <v>0</v>
      </c>
    </row>
    <row r="2711" spans="1:10">
      <c r="A2711">
        <f>'OPEN FOREIGN ORDER'!D2337</f>
        <v>0</v>
      </c>
      <c r="B2711">
        <f>'OPEN FOREIGN ORDER'!F2337</f>
        <v>0</v>
      </c>
      <c r="C2711">
        <f>'OPEN FOREIGN ORDER'!Z2337</f>
        <v>0</v>
      </c>
      <c r="D2711" s="123">
        <f>'OPEN FOREIGN ORDER'!AA2337</f>
        <v>0</v>
      </c>
      <c r="E2711" s="112">
        <f>'OPEN FOREIGN ORDER'!AB2337</f>
        <v>0</v>
      </c>
      <c r="F2711" s="112">
        <f>'OPEN FOREIGN ORDER'!AC2337</f>
        <v>0</v>
      </c>
      <c r="G2711" s="112">
        <f>'OPEN FOREIGN ORDER'!AD2337</f>
        <v>0</v>
      </c>
      <c r="H2711" s="112">
        <f>'OPEN FOREIGN ORDER'!AE2337</f>
        <v>0</v>
      </c>
      <c r="I2711" s="112">
        <f>'OPEN FOREIGN ORDER'!AF2337</f>
        <v>0</v>
      </c>
      <c r="J2711" s="112">
        <f>'OPEN FOREIGN ORDER'!AG2337</f>
        <v>0</v>
      </c>
    </row>
    <row r="2712" spans="1:10">
      <c r="A2712">
        <f>'OPEN FOREIGN ORDER'!D2338</f>
        <v>0</v>
      </c>
      <c r="B2712">
        <f>'OPEN FOREIGN ORDER'!F2338</f>
        <v>0</v>
      </c>
      <c r="C2712">
        <f>'OPEN FOREIGN ORDER'!Z2338</f>
        <v>0</v>
      </c>
      <c r="D2712" s="123">
        <f>'OPEN FOREIGN ORDER'!AA2338</f>
        <v>0</v>
      </c>
      <c r="E2712" s="112">
        <f>'OPEN FOREIGN ORDER'!AB2338</f>
        <v>0</v>
      </c>
      <c r="F2712" s="112">
        <f>'OPEN FOREIGN ORDER'!AC2338</f>
        <v>0</v>
      </c>
      <c r="G2712" s="112">
        <f>'OPEN FOREIGN ORDER'!AD2338</f>
        <v>0</v>
      </c>
      <c r="H2712" s="112">
        <f>'OPEN FOREIGN ORDER'!AE2338</f>
        <v>0</v>
      </c>
      <c r="I2712" s="112">
        <f>'OPEN FOREIGN ORDER'!AF2338</f>
        <v>0</v>
      </c>
      <c r="J2712" s="112">
        <f>'OPEN FOREIGN ORDER'!AG2338</f>
        <v>0</v>
      </c>
    </row>
    <row r="2713" spans="1:10">
      <c r="A2713">
        <f>'OPEN FOREIGN ORDER'!D2339</f>
        <v>0</v>
      </c>
      <c r="B2713">
        <f>'OPEN FOREIGN ORDER'!F2339</f>
        <v>0</v>
      </c>
      <c r="C2713">
        <f>'OPEN FOREIGN ORDER'!Z2339</f>
        <v>0</v>
      </c>
      <c r="D2713" s="123">
        <f>'OPEN FOREIGN ORDER'!AA2339</f>
        <v>0</v>
      </c>
      <c r="E2713" s="112">
        <f>'OPEN FOREIGN ORDER'!AB2339</f>
        <v>0</v>
      </c>
      <c r="F2713" s="112">
        <f>'OPEN FOREIGN ORDER'!AC2339</f>
        <v>0</v>
      </c>
      <c r="G2713" s="112">
        <f>'OPEN FOREIGN ORDER'!AD2339</f>
        <v>0</v>
      </c>
      <c r="H2713" s="112">
        <f>'OPEN FOREIGN ORDER'!AE2339</f>
        <v>0</v>
      </c>
      <c r="I2713" s="112">
        <f>'OPEN FOREIGN ORDER'!AF2339</f>
        <v>0</v>
      </c>
      <c r="J2713" s="112">
        <f>'OPEN FOREIGN ORDER'!AG2339</f>
        <v>0</v>
      </c>
    </row>
    <row r="2714" spans="1:10">
      <c r="A2714">
        <f>'OPEN FOREIGN ORDER'!D2340</f>
        <v>0</v>
      </c>
      <c r="B2714">
        <f>'OPEN FOREIGN ORDER'!F2340</f>
        <v>0</v>
      </c>
      <c r="C2714">
        <f>'OPEN FOREIGN ORDER'!Z2340</f>
        <v>0</v>
      </c>
      <c r="D2714" s="123">
        <f>'OPEN FOREIGN ORDER'!AA2340</f>
        <v>0</v>
      </c>
      <c r="E2714" s="112">
        <f>'OPEN FOREIGN ORDER'!AB2340</f>
        <v>0</v>
      </c>
      <c r="F2714" s="112">
        <f>'OPEN FOREIGN ORDER'!AC2340</f>
        <v>0</v>
      </c>
      <c r="G2714" s="112">
        <f>'OPEN FOREIGN ORDER'!AD2340</f>
        <v>0</v>
      </c>
      <c r="H2714" s="112">
        <f>'OPEN FOREIGN ORDER'!AE2340</f>
        <v>0</v>
      </c>
      <c r="I2714" s="112">
        <f>'OPEN FOREIGN ORDER'!AF2340</f>
        <v>0</v>
      </c>
      <c r="J2714" s="112">
        <f>'OPEN FOREIGN ORDER'!AG2340</f>
        <v>0</v>
      </c>
    </row>
    <row r="2715" spans="1:10">
      <c r="A2715">
        <f>'OPEN FOREIGN ORDER'!D2341</f>
        <v>0</v>
      </c>
      <c r="B2715">
        <f>'OPEN FOREIGN ORDER'!F2341</f>
        <v>0</v>
      </c>
      <c r="C2715">
        <f>'OPEN FOREIGN ORDER'!Z2341</f>
        <v>0</v>
      </c>
      <c r="D2715" s="123">
        <f>'OPEN FOREIGN ORDER'!AA2341</f>
        <v>0</v>
      </c>
      <c r="E2715" s="112">
        <f>'OPEN FOREIGN ORDER'!AB2341</f>
        <v>0</v>
      </c>
      <c r="F2715" s="112">
        <f>'OPEN FOREIGN ORDER'!AC2341</f>
        <v>0</v>
      </c>
      <c r="G2715" s="112">
        <f>'OPEN FOREIGN ORDER'!AD2341</f>
        <v>0</v>
      </c>
      <c r="H2715" s="112">
        <f>'OPEN FOREIGN ORDER'!AE2341</f>
        <v>0</v>
      </c>
      <c r="I2715" s="112">
        <f>'OPEN FOREIGN ORDER'!AF2341</f>
        <v>0</v>
      </c>
      <c r="J2715" s="112">
        <f>'OPEN FOREIGN ORDER'!AG2341</f>
        <v>0</v>
      </c>
    </row>
    <row r="2716" spans="1:10">
      <c r="A2716">
        <f>'OPEN FOREIGN ORDER'!D2342</f>
        <v>0</v>
      </c>
      <c r="B2716">
        <f>'OPEN FOREIGN ORDER'!F2342</f>
        <v>0</v>
      </c>
      <c r="C2716">
        <f>'OPEN FOREIGN ORDER'!Z2342</f>
        <v>0</v>
      </c>
      <c r="D2716" s="123">
        <f>'OPEN FOREIGN ORDER'!AA2342</f>
        <v>0</v>
      </c>
      <c r="E2716" s="112">
        <f>'OPEN FOREIGN ORDER'!AB2342</f>
        <v>0</v>
      </c>
      <c r="F2716" s="112">
        <f>'OPEN FOREIGN ORDER'!AC2342</f>
        <v>0</v>
      </c>
      <c r="G2716" s="112">
        <f>'OPEN FOREIGN ORDER'!AD2342</f>
        <v>0</v>
      </c>
      <c r="H2716" s="112">
        <f>'OPEN FOREIGN ORDER'!AE2342</f>
        <v>0</v>
      </c>
      <c r="I2716" s="112">
        <f>'OPEN FOREIGN ORDER'!AF2342</f>
        <v>0</v>
      </c>
      <c r="J2716" s="112">
        <f>'OPEN FOREIGN ORDER'!AG2342</f>
        <v>0</v>
      </c>
    </row>
    <row r="2717" spans="1:10">
      <c r="A2717">
        <f>'OPEN FOREIGN ORDER'!D2343</f>
        <v>0</v>
      </c>
      <c r="B2717">
        <f>'OPEN FOREIGN ORDER'!F2343</f>
        <v>0</v>
      </c>
      <c r="C2717">
        <f>'OPEN FOREIGN ORDER'!Z2343</f>
        <v>0</v>
      </c>
      <c r="D2717" s="123">
        <f>'OPEN FOREIGN ORDER'!AA2343</f>
        <v>0</v>
      </c>
      <c r="E2717" s="112">
        <f>'OPEN FOREIGN ORDER'!AB2343</f>
        <v>0</v>
      </c>
      <c r="F2717" s="112">
        <f>'OPEN FOREIGN ORDER'!AC2343</f>
        <v>0</v>
      </c>
      <c r="G2717" s="112">
        <f>'OPEN FOREIGN ORDER'!AD2343</f>
        <v>0</v>
      </c>
      <c r="H2717" s="112">
        <f>'OPEN FOREIGN ORDER'!AE2343</f>
        <v>0</v>
      </c>
      <c r="I2717" s="112">
        <f>'OPEN FOREIGN ORDER'!AF2343</f>
        <v>0</v>
      </c>
      <c r="J2717" s="112">
        <f>'OPEN FOREIGN ORDER'!AG2343</f>
        <v>0</v>
      </c>
    </row>
    <row r="2718" spans="1:10">
      <c r="A2718">
        <f>'OPEN FOREIGN ORDER'!D2344</f>
        <v>0</v>
      </c>
      <c r="B2718">
        <f>'OPEN FOREIGN ORDER'!F2344</f>
        <v>0</v>
      </c>
      <c r="C2718">
        <f>'OPEN FOREIGN ORDER'!Z2344</f>
        <v>0</v>
      </c>
      <c r="D2718" s="123">
        <f>'OPEN FOREIGN ORDER'!AA2344</f>
        <v>0</v>
      </c>
      <c r="E2718" s="112">
        <f>'OPEN FOREIGN ORDER'!AB2344</f>
        <v>0</v>
      </c>
      <c r="F2718" s="112">
        <f>'OPEN FOREIGN ORDER'!AC2344</f>
        <v>0</v>
      </c>
      <c r="G2718" s="112">
        <f>'OPEN FOREIGN ORDER'!AD2344</f>
        <v>0</v>
      </c>
      <c r="H2718" s="112">
        <f>'OPEN FOREIGN ORDER'!AE2344</f>
        <v>0</v>
      </c>
      <c r="I2718" s="112">
        <f>'OPEN FOREIGN ORDER'!AF2344</f>
        <v>0</v>
      </c>
      <c r="J2718" s="112">
        <f>'OPEN FOREIGN ORDER'!AG2344</f>
        <v>0</v>
      </c>
    </row>
    <row r="2719" spans="1:10">
      <c r="A2719">
        <f>'OPEN FOREIGN ORDER'!D2345</f>
        <v>0</v>
      </c>
      <c r="B2719">
        <f>'OPEN FOREIGN ORDER'!F2345</f>
        <v>0</v>
      </c>
      <c r="C2719">
        <f>'OPEN FOREIGN ORDER'!Z2345</f>
        <v>0</v>
      </c>
      <c r="D2719" s="123">
        <f>'OPEN FOREIGN ORDER'!AA2345</f>
        <v>0</v>
      </c>
      <c r="E2719" s="112">
        <f>'OPEN FOREIGN ORDER'!AB2345</f>
        <v>0</v>
      </c>
      <c r="F2719" s="112">
        <f>'OPEN FOREIGN ORDER'!AC2345</f>
        <v>0</v>
      </c>
      <c r="G2719" s="112">
        <f>'OPEN FOREIGN ORDER'!AD2345</f>
        <v>0</v>
      </c>
      <c r="H2719" s="112">
        <f>'OPEN FOREIGN ORDER'!AE2345</f>
        <v>0</v>
      </c>
      <c r="I2719" s="112">
        <f>'OPEN FOREIGN ORDER'!AF2345</f>
        <v>0</v>
      </c>
      <c r="J2719" s="112">
        <f>'OPEN FOREIGN ORDER'!AG2345</f>
        <v>0</v>
      </c>
    </row>
    <row r="2720" spans="1:10">
      <c r="A2720">
        <f>'OPEN FOREIGN ORDER'!D2346</f>
        <v>0</v>
      </c>
      <c r="B2720">
        <f>'OPEN FOREIGN ORDER'!F2346</f>
        <v>0</v>
      </c>
      <c r="C2720">
        <f>'OPEN FOREIGN ORDER'!Z2346</f>
        <v>0</v>
      </c>
      <c r="D2720" s="123">
        <f>'OPEN FOREIGN ORDER'!AA2346</f>
        <v>0</v>
      </c>
      <c r="E2720" s="112">
        <f>'OPEN FOREIGN ORDER'!AB2346</f>
        <v>0</v>
      </c>
      <c r="F2720" s="112">
        <f>'OPEN FOREIGN ORDER'!AC2346</f>
        <v>0</v>
      </c>
      <c r="G2720" s="112">
        <f>'OPEN FOREIGN ORDER'!AD2346</f>
        <v>0</v>
      </c>
      <c r="H2720" s="112">
        <f>'OPEN FOREIGN ORDER'!AE2346</f>
        <v>0</v>
      </c>
      <c r="I2720" s="112">
        <f>'OPEN FOREIGN ORDER'!AF2346</f>
        <v>0</v>
      </c>
      <c r="J2720" s="112">
        <f>'OPEN FOREIGN ORDER'!AG2346</f>
        <v>0</v>
      </c>
    </row>
    <row r="2721" spans="1:10">
      <c r="A2721">
        <f>'OPEN FOREIGN ORDER'!D2347</f>
        <v>0</v>
      </c>
      <c r="B2721">
        <f>'OPEN FOREIGN ORDER'!F2347</f>
        <v>0</v>
      </c>
      <c r="C2721">
        <f>'OPEN FOREIGN ORDER'!Z2347</f>
        <v>0</v>
      </c>
      <c r="D2721" s="123">
        <f>'OPEN FOREIGN ORDER'!AA2347</f>
        <v>0</v>
      </c>
      <c r="E2721" s="112">
        <f>'OPEN FOREIGN ORDER'!AB2347</f>
        <v>0</v>
      </c>
      <c r="F2721" s="112">
        <f>'OPEN FOREIGN ORDER'!AC2347</f>
        <v>0</v>
      </c>
      <c r="G2721" s="112">
        <f>'OPEN FOREIGN ORDER'!AD2347</f>
        <v>0</v>
      </c>
      <c r="H2721" s="112">
        <f>'OPEN FOREIGN ORDER'!AE2347</f>
        <v>0</v>
      </c>
      <c r="I2721" s="112">
        <f>'OPEN FOREIGN ORDER'!AF2347</f>
        <v>0</v>
      </c>
      <c r="J2721" s="112">
        <f>'OPEN FOREIGN ORDER'!AG2347</f>
        <v>0</v>
      </c>
    </row>
    <row r="2722" spans="1:10">
      <c r="A2722">
        <f>'OPEN FOREIGN ORDER'!D2348</f>
        <v>0</v>
      </c>
      <c r="B2722">
        <f>'OPEN FOREIGN ORDER'!F2348</f>
        <v>0</v>
      </c>
      <c r="C2722">
        <f>'OPEN FOREIGN ORDER'!Z2348</f>
        <v>0</v>
      </c>
      <c r="D2722" s="123">
        <f>'OPEN FOREIGN ORDER'!AA2348</f>
        <v>0</v>
      </c>
      <c r="E2722" s="112">
        <f>'OPEN FOREIGN ORDER'!AB2348</f>
        <v>0</v>
      </c>
      <c r="F2722" s="112">
        <f>'OPEN FOREIGN ORDER'!AC2348</f>
        <v>0</v>
      </c>
      <c r="G2722" s="112">
        <f>'OPEN FOREIGN ORDER'!AD2348</f>
        <v>0</v>
      </c>
      <c r="H2722" s="112">
        <f>'OPEN FOREIGN ORDER'!AE2348</f>
        <v>0</v>
      </c>
      <c r="I2722" s="112">
        <f>'OPEN FOREIGN ORDER'!AF2348</f>
        <v>0</v>
      </c>
      <c r="J2722" s="112">
        <f>'OPEN FOREIGN ORDER'!AG2348</f>
        <v>0</v>
      </c>
    </row>
    <row r="2723" spans="1:10">
      <c r="A2723">
        <f>'OPEN FOREIGN ORDER'!D2349</f>
        <v>0</v>
      </c>
      <c r="B2723">
        <f>'OPEN FOREIGN ORDER'!F2349</f>
        <v>0</v>
      </c>
      <c r="C2723">
        <f>'OPEN FOREIGN ORDER'!Z2349</f>
        <v>0</v>
      </c>
      <c r="D2723" s="123">
        <f>'OPEN FOREIGN ORDER'!AA2349</f>
        <v>0</v>
      </c>
      <c r="E2723" s="112">
        <f>'OPEN FOREIGN ORDER'!AB2349</f>
        <v>0</v>
      </c>
      <c r="F2723" s="112">
        <f>'OPEN FOREIGN ORDER'!AC2349</f>
        <v>0</v>
      </c>
      <c r="G2723" s="112">
        <f>'OPEN FOREIGN ORDER'!AD2349</f>
        <v>0</v>
      </c>
      <c r="H2723" s="112">
        <f>'OPEN FOREIGN ORDER'!AE2349</f>
        <v>0</v>
      </c>
      <c r="I2723" s="112">
        <f>'OPEN FOREIGN ORDER'!AF2349</f>
        <v>0</v>
      </c>
      <c r="J2723" s="112">
        <f>'OPEN FOREIGN ORDER'!AG2349</f>
        <v>0</v>
      </c>
    </row>
    <row r="2724" spans="1:10">
      <c r="A2724">
        <f>'OPEN FOREIGN ORDER'!D2350</f>
        <v>0</v>
      </c>
      <c r="B2724">
        <f>'OPEN FOREIGN ORDER'!F2350</f>
        <v>0</v>
      </c>
      <c r="C2724">
        <f>'OPEN FOREIGN ORDER'!Z2350</f>
        <v>0</v>
      </c>
      <c r="D2724" s="123">
        <f>'OPEN FOREIGN ORDER'!AA2350</f>
        <v>0</v>
      </c>
      <c r="E2724" s="112">
        <f>'OPEN FOREIGN ORDER'!AB2350</f>
        <v>0</v>
      </c>
      <c r="F2724" s="112">
        <f>'OPEN FOREIGN ORDER'!AC2350</f>
        <v>0</v>
      </c>
      <c r="G2724" s="112">
        <f>'OPEN FOREIGN ORDER'!AD2350</f>
        <v>0</v>
      </c>
      <c r="H2724" s="112">
        <f>'OPEN FOREIGN ORDER'!AE2350</f>
        <v>0</v>
      </c>
      <c r="I2724" s="112">
        <f>'OPEN FOREIGN ORDER'!AF2350</f>
        <v>0</v>
      </c>
      <c r="J2724" s="112">
        <f>'OPEN FOREIGN ORDER'!AG2350</f>
        <v>0</v>
      </c>
    </row>
    <row r="2725" spans="1:10">
      <c r="A2725">
        <f>'OPEN FOREIGN ORDER'!D2351</f>
        <v>0</v>
      </c>
      <c r="B2725">
        <f>'OPEN FOREIGN ORDER'!F2351</f>
        <v>0</v>
      </c>
      <c r="C2725">
        <f>'OPEN FOREIGN ORDER'!Z2351</f>
        <v>0</v>
      </c>
      <c r="D2725" s="123">
        <f>'OPEN FOREIGN ORDER'!AA2351</f>
        <v>0</v>
      </c>
      <c r="E2725" s="112">
        <f>'OPEN FOREIGN ORDER'!AB2351</f>
        <v>0</v>
      </c>
      <c r="F2725" s="112">
        <f>'OPEN FOREIGN ORDER'!AC2351</f>
        <v>0</v>
      </c>
      <c r="G2725" s="112">
        <f>'OPEN FOREIGN ORDER'!AD2351</f>
        <v>0</v>
      </c>
      <c r="H2725" s="112">
        <f>'OPEN FOREIGN ORDER'!AE2351</f>
        <v>0</v>
      </c>
      <c r="I2725" s="112">
        <f>'OPEN FOREIGN ORDER'!AF2351</f>
        <v>0</v>
      </c>
      <c r="J2725" s="112">
        <f>'OPEN FOREIGN ORDER'!AG2351</f>
        <v>0</v>
      </c>
    </row>
    <row r="2726" spans="1:10">
      <c r="A2726">
        <f>'OPEN FOREIGN ORDER'!D2352</f>
        <v>0</v>
      </c>
      <c r="B2726">
        <f>'OPEN FOREIGN ORDER'!F2352</f>
        <v>0</v>
      </c>
      <c r="C2726">
        <f>'OPEN FOREIGN ORDER'!Z2352</f>
        <v>0</v>
      </c>
      <c r="D2726" s="123">
        <f>'OPEN FOREIGN ORDER'!AA2352</f>
        <v>0</v>
      </c>
      <c r="E2726" s="112">
        <f>'OPEN FOREIGN ORDER'!AB2352</f>
        <v>0</v>
      </c>
      <c r="F2726" s="112">
        <f>'OPEN FOREIGN ORDER'!AC2352</f>
        <v>0</v>
      </c>
      <c r="G2726" s="112">
        <f>'OPEN FOREIGN ORDER'!AD2352</f>
        <v>0</v>
      </c>
      <c r="H2726" s="112">
        <f>'OPEN FOREIGN ORDER'!AE2352</f>
        <v>0</v>
      </c>
      <c r="I2726" s="112">
        <f>'OPEN FOREIGN ORDER'!AF2352</f>
        <v>0</v>
      </c>
      <c r="J2726" s="112">
        <f>'OPEN FOREIGN ORDER'!AG2352</f>
        <v>0</v>
      </c>
    </row>
    <row r="2727" spans="1:10">
      <c r="A2727">
        <f>'OPEN FOREIGN ORDER'!D2353</f>
        <v>0</v>
      </c>
      <c r="B2727">
        <f>'OPEN FOREIGN ORDER'!F2353</f>
        <v>0</v>
      </c>
      <c r="C2727">
        <f>'OPEN FOREIGN ORDER'!Z2353</f>
        <v>0</v>
      </c>
      <c r="D2727" s="123">
        <f>'OPEN FOREIGN ORDER'!AA2353</f>
        <v>0</v>
      </c>
      <c r="E2727" s="112">
        <f>'OPEN FOREIGN ORDER'!AB2353</f>
        <v>0</v>
      </c>
      <c r="F2727" s="112">
        <f>'OPEN FOREIGN ORDER'!AC2353</f>
        <v>0</v>
      </c>
      <c r="G2727" s="112">
        <f>'OPEN FOREIGN ORDER'!AD2353</f>
        <v>0</v>
      </c>
      <c r="H2727" s="112">
        <f>'OPEN FOREIGN ORDER'!AE2353</f>
        <v>0</v>
      </c>
      <c r="I2727" s="112">
        <f>'OPEN FOREIGN ORDER'!AF2353</f>
        <v>0</v>
      </c>
      <c r="J2727" s="112">
        <f>'OPEN FOREIGN ORDER'!AG2353</f>
        <v>0</v>
      </c>
    </row>
    <row r="2728" spans="1:10">
      <c r="A2728">
        <f>'OPEN FOREIGN ORDER'!D2354</f>
        <v>0</v>
      </c>
      <c r="B2728">
        <f>'OPEN FOREIGN ORDER'!F2354</f>
        <v>0</v>
      </c>
      <c r="C2728">
        <f>'OPEN FOREIGN ORDER'!Z2354</f>
        <v>0</v>
      </c>
      <c r="D2728" s="123">
        <f>'OPEN FOREIGN ORDER'!AA2354</f>
        <v>0</v>
      </c>
      <c r="E2728" s="112">
        <f>'OPEN FOREIGN ORDER'!AB2354</f>
        <v>0</v>
      </c>
      <c r="F2728" s="112">
        <f>'OPEN FOREIGN ORDER'!AC2354</f>
        <v>0</v>
      </c>
      <c r="G2728" s="112">
        <f>'OPEN FOREIGN ORDER'!AD2354</f>
        <v>0</v>
      </c>
      <c r="H2728" s="112">
        <f>'OPEN FOREIGN ORDER'!AE2354</f>
        <v>0</v>
      </c>
      <c r="I2728" s="112">
        <f>'OPEN FOREIGN ORDER'!AF2354</f>
        <v>0</v>
      </c>
      <c r="J2728" s="112">
        <f>'OPEN FOREIGN ORDER'!AG2354</f>
        <v>0</v>
      </c>
    </row>
    <row r="2729" spans="1:10">
      <c r="A2729">
        <f>'OPEN FOREIGN ORDER'!D2355</f>
        <v>0</v>
      </c>
      <c r="B2729">
        <f>'OPEN FOREIGN ORDER'!F2355</f>
        <v>0</v>
      </c>
      <c r="C2729">
        <f>'OPEN FOREIGN ORDER'!Z2355</f>
        <v>0</v>
      </c>
      <c r="D2729" s="123">
        <f>'OPEN FOREIGN ORDER'!AA2355</f>
        <v>0</v>
      </c>
      <c r="E2729" s="112">
        <f>'OPEN FOREIGN ORDER'!AB2355</f>
        <v>0</v>
      </c>
      <c r="F2729" s="112">
        <f>'OPEN FOREIGN ORDER'!AC2355</f>
        <v>0</v>
      </c>
      <c r="G2729" s="112">
        <f>'OPEN FOREIGN ORDER'!AD2355</f>
        <v>0</v>
      </c>
      <c r="H2729" s="112">
        <f>'OPEN FOREIGN ORDER'!AE2355</f>
        <v>0</v>
      </c>
      <c r="I2729" s="112">
        <f>'OPEN FOREIGN ORDER'!AF2355</f>
        <v>0</v>
      </c>
      <c r="J2729" s="112">
        <f>'OPEN FOREIGN ORDER'!AG2355</f>
        <v>0</v>
      </c>
    </row>
    <row r="2730" spans="1:10">
      <c r="A2730">
        <f>'OPEN FOREIGN ORDER'!D2356</f>
        <v>0</v>
      </c>
      <c r="B2730">
        <f>'OPEN FOREIGN ORDER'!F2356</f>
        <v>0</v>
      </c>
      <c r="C2730">
        <f>'OPEN FOREIGN ORDER'!Z2356</f>
        <v>0</v>
      </c>
      <c r="D2730" s="123">
        <f>'OPEN FOREIGN ORDER'!AA2356</f>
        <v>0</v>
      </c>
      <c r="E2730" s="112">
        <f>'OPEN FOREIGN ORDER'!AB2356</f>
        <v>0</v>
      </c>
      <c r="F2730" s="112">
        <f>'OPEN FOREIGN ORDER'!AC2356</f>
        <v>0</v>
      </c>
      <c r="G2730" s="112">
        <f>'OPEN FOREIGN ORDER'!AD2356</f>
        <v>0</v>
      </c>
      <c r="H2730" s="112">
        <f>'OPEN FOREIGN ORDER'!AE2356</f>
        <v>0</v>
      </c>
      <c r="I2730" s="112">
        <f>'OPEN FOREIGN ORDER'!AF2356</f>
        <v>0</v>
      </c>
      <c r="J2730" s="112">
        <f>'OPEN FOREIGN ORDER'!AG2356</f>
        <v>0</v>
      </c>
    </row>
    <row r="2731" spans="1:10">
      <c r="A2731">
        <f>'OPEN FOREIGN ORDER'!D2357</f>
        <v>0</v>
      </c>
      <c r="B2731">
        <f>'OPEN FOREIGN ORDER'!F2357</f>
        <v>0</v>
      </c>
      <c r="C2731">
        <f>'OPEN FOREIGN ORDER'!Z2357</f>
        <v>0</v>
      </c>
      <c r="D2731" s="123">
        <f>'OPEN FOREIGN ORDER'!AA2357</f>
        <v>0</v>
      </c>
      <c r="E2731" s="112">
        <f>'OPEN FOREIGN ORDER'!AB2357</f>
        <v>0</v>
      </c>
      <c r="F2731" s="112">
        <f>'OPEN FOREIGN ORDER'!AC2357</f>
        <v>0</v>
      </c>
      <c r="G2731" s="112">
        <f>'OPEN FOREIGN ORDER'!AD2357</f>
        <v>0</v>
      </c>
      <c r="H2731" s="112">
        <f>'OPEN FOREIGN ORDER'!AE2357</f>
        <v>0</v>
      </c>
      <c r="I2731" s="112">
        <f>'OPEN FOREIGN ORDER'!AF2357</f>
        <v>0</v>
      </c>
      <c r="J2731" s="112">
        <f>'OPEN FOREIGN ORDER'!AG2357</f>
        <v>0</v>
      </c>
    </row>
    <row r="2732" spans="1:10">
      <c r="A2732">
        <f>'OPEN FOREIGN ORDER'!D2358</f>
        <v>0</v>
      </c>
      <c r="B2732">
        <f>'OPEN FOREIGN ORDER'!F2358</f>
        <v>0</v>
      </c>
      <c r="C2732">
        <f>'OPEN FOREIGN ORDER'!Z2358</f>
        <v>0</v>
      </c>
      <c r="D2732" s="123">
        <f>'OPEN FOREIGN ORDER'!AA2358</f>
        <v>0</v>
      </c>
      <c r="E2732" s="112">
        <f>'OPEN FOREIGN ORDER'!AB2358</f>
        <v>0</v>
      </c>
      <c r="F2732" s="112">
        <f>'OPEN FOREIGN ORDER'!AC2358</f>
        <v>0</v>
      </c>
      <c r="G2732" s="112">
        <f>'OPEN FOREIGN ORDER'!AD2358</f>
        <v>0</v>
      </c>
      <c r="H2732" s="112">
        <f>'OPEN FOREIGN ORDER'!AE2358</f>
        <v>0</v>
      </c>
      <c r="I2732" s="112">
        <f>'OPEN FOREIGN ORDER'!AF2358</f>
        <v>0</v>
      </c>
      <c r="J2732" s="112">
        <f>'OPEN FOREIGN ORDER'!AG2358</f>
        <v>0</v>
      </c>
    </row>
    <row r="2733" spans="1:10">
      <c r="A2733">
        <f>'OPEN FOREIGN ORDER'!D2359</f>
        <v>0</v>
      </c>
      <c r="B2733">
        <f>'OPEN FOREIGN ORDER'!F2359</f>
        <v>0</v>
      </c>
      <c r="C2733">
        <f>'OPEN FOREIGN ORDER'!Z2359</f>
        <v>0</v>
      </c>
      <c r="D2733" s="123">
        <f>'OPEN FOREIGN ORDER'!AA2359</f>
        <v>0</v>
      </c>
      <c r="E2733" s="112">
        <f>'OPEN FOREIGN ORDER'!AB2359</f>
        <v>0</v>
      </c>
      <c r="F2733" s="112">
        <f>'OPEN FOREIGN ORDER'!AC2359</f>
        <v>0</v>
      </c>
      <c r="G2733" s="112">
        <f>'OPEN FOREIGN ORDER'!AD2359</f>
        <v>0</v>
      </c>
      <c r="H2733" s="112">
        <f>'OPEN FOREIGN ORDER'!AE2359</f>
        <v>0</v>
      </c>
      <c r="I2733" s="112">
        <f>'OPEN FOREIGN ORDER'!AF2359</f>
        <v>0</v>
      </c>
      <c r="J2733" s="112">
        <f>'OPEN FOREIGN ORDER'!AG2359</f>
        <v>0</v>
      </c>
    </row>
    <row r="2734" spans="1:10">
      <c r="A2734">
        <f>'OPEN FOREIGN ORDER'!D2360</f>
        <v>0</v>
      </c>
      <c r="B2734">
        <f>'OPEN FOREIGN ORDER'!F2360</f>
        <v>0</v>
      </c>
      <c r="C2734">
        <f>'OPEN FOREIGN ORDER'!Z2360</f>
        <v>0</v>
      </c>
      <c r="D2734" s="123">
        <f>'OPEN FOREIGN ORDER'!AA2360</f>
        <v>0</v>
      </c>
      <c r="E2734" s="112">
        <f>'OPEN FOREIGN ORDER'!AB2360</f>
        <v>0</v>
      </c>
      <c r="F2734" s="112">
        <f>'OPEN FOREIGN ORDER'!AC2360</f>
        <v>0</v>
      </c>
      <c r="G2734" s="112">
        <f>'OPEN FOREIGN ORDER'!AD2360</f>
        <v>0</v>
      </c>
      <c r="H2734" s="112">
        <f>'OPEN FOREIGN ORDER'!AE2360</f>
        <v>0</v>
      </c>
      <c r="I2734" s="112">
        <f>'OPEN FOREIGN ORDER'!AF2360</f>
        <v>0</v>
      </c>
      <c r="J2734" s="112">
        <f>'OPEN FOREIGN ORDER'!AG2360</f>
        <v>0</v>
      </c>
    </row>
    <row r="2735" spans="1:10">
      <c r="A2735">
        <f>'OPEN FOREIGN ORDER'!D2361</f>
        <v>0</v>
      </c>
      <c r="B2735">
        <f>'OPEN FOREIGN ORDER'!F2361</f>
        <v>0</v>
      </c>
      <c r="C2735">
        <f>'OPEN FOREIGN ORDER'!Z2361</f>
        <v>0</v>
      </c>
      <c r="D2735" s="123">
        <f>'OPEN FOREIGN ORDER'!AA2361</f>
        <v>0</v>
      </c>
      <c r="E2735" s="112">
        <f>'OPEN FOREIGN ORDER'!AB2361</f>
        <v>0</v>
      </c>
      <c r="F2735" s="112">
        <f>'OPEN FOREIGN ORDER'!AC2361</f>
        <v>0</v>
      </c>
      <c r="G2735" s="112">
        <f>'OPEN FOREIGN ORDER'!AD2361</f>
        <v>0</v>
      </c>
      <c r="H2735" s="112">
        <f>'OPEN FOREIGN ORDER'!AE2361</f>
        <v>0</v>
      </c>
      <c r="I2735" s="112">
        <f>'OPEN FOREIGN ORDER'!AF2361</f>
        <v>0</v>
      </c>
      <c r="J2735" s="112">
        <f>'OPEN FOREIGN ORDER'!AG2361</f>
        <v>0</v>
      </c>
    </row>
    <row r="2736" spans="1:10">
      <c r="A2736">
        <f>'OPEN FOREIGN ORDER'!D2362</f>
        <v>0</v>
      </c>
      <c r="B2736">
        <f>'OPEN FOREIGN ORDER'!F2362</f>
        <v>0</v>
      </c>
      <c r="C2736">
        <f>'OPEN FOREIGN ORDER'!Z2362</f>
        <v>0</v>
      </c>
      <c r="D2736" s="123">
        <f>'OPEN FOREIGN ORDER'!AA2362</f>
        <v>0</v>
      </c>
      <c r="E2736" s="112">
        <f>'OPEN FOREIGN ORDER'!AB2362</f>
        <v>0</v>
      </c>
      <c r="F2736" s="112">
        <f>'OPEN FOREIGN ORDER'!AC2362</f>
        <v>0</v>
      </c>
      <c r="G2736" s="112">
        <f>'OPEN FOREIGN ORDER'!AD2362</f>
        <v>0</v>
      </c>
      <c r="H2736" s="112">
        <f>'OPEN FOREIGN ORDER'!AE2362</f>
        <v>0</v>
      </c>
      <c r="I2736" s="112">
        <f>'OPEN FOREIGN ORDER'!AF2362</f>
        <v>0</v>
      </c>
      <c r="J2736" s="112">
        <f>'OPEN FOREIGN ORDER'!AG2362</f>
        <v>0</v>
      </c>
    </row>
    <row r="2737" spans="1:10">
      <c r="A2737">
        <f>'OPEN FOREIGN ORDER'!D2363</f>
        <v>0</v>
      </c>
      <c r="B2737">
        <f>'OPEN FOREIGN ORDER'!F2363</f>
        <v>0</v>
      </c>
      <c r="C2737">
        <f>'OPEN FOREIGN ORDER'!Z2363</f>
        <v>0</v>
      </c>
      <c r="D2737" s="123">
        <f>'OPEN FOREIGN ORDER'!AA2363</f>
        <v>0</v>
      </c>
      <c r="E2737" s="112">
        <f>'OPEN FOREIGN ORDER'!AB2363</f>
        <v>0</v>
      </c>
      <c r="F2737" s="112">
        <f>'OPEN FOREIGN ORDER'!AC2363</f>
        <v>0</v>
      </c>
      <c r="G2737" s="112">
        <f>'OPEN FOREIGN ORDER'!AD2363</f>
        <v>0</v>
      </c>
      <c r="H2737" s="112">
        <f>'OPEN FOREIGN ORDER'!AE2363</f>
        <v>0</v>
      </c>
      <c r="I2737" s="112">
        <f>'OPEN FOREIGN ORDER'!AF2363</f>
        <v>0</v>
      </c>
      <c r="J2737" s="112">
        <f>'OPEN FOREIGN ORDER'!AG2363</f>
        <v>0</v>
      </c>
    </row>
    <row r="2738" spans="1:10">
      <c r="A2738">
        <f>'OPEN FOREIGN ORDER'!D2364</f>
        <v>0</v>
      </c>
      <c r="B2738">
        <f>'OPEN FOREIGN ORDER'!F2364</f>
        <v>0</v>
      </c>
      <c r="C2738">
        <f>'OPEN FOREIGN ORDER'!Z2364</f>
        <v>0</v>
      </c>
      <c r="D2738" s="123">
        <f>'OPEN FOREIGN ORDER'!AA2364</f>
        <v>0</v>
      </c>
      <c r="E2738" s="112">
        <f>'OPEN FOREIGN ORDER'!AB2364</f>
        <v>0</v>
      </c>
      <c r="F2738" s="112">
        <f>'OPEN FOREIGN ORDER'!AC2364</f>
        <v>0</v>
      </c>
      <c r="G2738" s="112">
        <f>'OPEN FOREIGN ORDER'!AD2364</f>
        <v>0</v>
      </c>
      <c r="H2738" s="112">
        <f>'OPEN FOREIGN ORDER'!AE2364</f>
        <v>0</v>
      </c>
      <c r="I2738" s="112">
        <f>'OPEN FOREIGN ORDER'!AF2364</f>
        <v>0</v>
      </c>
      <c r="J2738" s="112">
        <f>'OPEN FOREIGN ORDER'!AG2364</f>
        <v>0</v>
      </c>
    </row>
    <row r="2739" spans="1:10">
      <c r="A2739">
        <f>'OPEN FOREIGN ORDER'!D2365</f>
        <v>0</v>
      </c>
      <c r="B2739">
        <f>'OPEN FOREIGN ORDER'!F2365</f>
        <v>0</v>
      </c>
      <c r="C2739">
        <f>'OPEN FOREIGN ORDER'!Z2365</f>
        <v>0</v>
      </c>
      <c r="D2739" s="123">
        <f>'OPEN FOREIGN ORDER'!AA2365</f>
        <v>0</v>
      </c>
      <c r="E2739" s="112">
        <f>'OPEN FOREIGN ORDER'!AB2365</f>
        <v>0</v>
      </c>
      <c r="F2739" s="112">
        <f>'OPEN FOREIGN ORDER'!AC2365</f>
        <v>0</v>
      </c>
      <c r="G2739" s="112">
        <f>'OPEN FOREIGN ORDER'!AD2365</f>
        <v>0</v>
      </c>
      <c r="H2739" s="112">
        <f>'OPEN FOREIGN ORDER'!AE2365</f>
        <v>0</v>
      </c>
      <c r="I2739" s="112">
        <f>'OPEN FOREIGN ORDER'!AF2365</f>
        <v>0</v>
      </c>
      <c r="J2739" s="112">
        <f>'OPEN FOREIGN ORDER'!AG2365</f>
        <v>0</v>
      </c>
    </row>
    <row r="2740" spans="1:10">
      <c r="A2740">
        <f>'OPEN FOREIGN ORDER'!D2366</f>
        <v>0</v>
      </c>
      <c r="B2740">
        <f>'OPEN FOREIGN ORDER'!F2366</f>
        <v>0</v>
      </c>
      <c r="C2740">
        <f>'OPEN FOREIGN ORDER'!Z2366</f>
        <v>0</v>
      </c>
      <c r="D2740" s="123">
        <f>'OPEN FOREIGN ORDER'!AA2366</f>
        <v>0</v>
      </c>
      <c r="E2740" s="112">
        <f>'OPEN FOREIGN ORDER'!AB2366</f>
        <v>0</v>
      </c>
      <c r="F2740" s="112">
        <f>'OPEN FOREIGN ORDER'!AC2366</f>
        <v>0</v>
      </c>
      <c r="G2740" s="112">
        <f>'OPEN FOREIGN ORDER'!AD2366</f>
        <v>0</v>
      </c>
      <c r="H2740" s="112">
        <f>'OPEN FOREIGN ORDER'!AE2366</f>
        <v>0</v>
      </c>
      <c r="I2740" s="112">
        <f>'OPEN FOREIGN ORDER'!AF2366</f>
        <v>0</v>
      </c>
      <c r="J2740" s="112">
        <f>'OPEN FOREIGN ORDER'!AG2366</f>
        <v>0</v>
      </c>
    </row>
    <row r="2741" spans="1:10">
      <c r="A2741">
        <f>'OPEN FOREIGN ORDER'!D2367</f>
        <v>0</v>
      </c>
      <c r="B2741">
        <f>'OPEN FOREIGN ORDER'!F2367</f>
        <v>0</v>
      </c>
      <c r="C2741">
        <f>'OPEN FOREIGN ORDER'!Z2367</f>
        <v>0</v>
      </c>
      <c r="D2741" s="123">
        <f>'OPEN FOREIGN ORDER'!AA2367</f>
        <v>0</v>
      </c>
      <c r="E2741" s="112">
        <f>'OPEN FOREIGN ORDER'!AB2367</f>
        <v>0</v>
      </c>
      <c r="F2741" s="112">
        <f>'OPEN FOREIGN ORDER'!AC2367</f>
        <v>0</v>
      </c>
      <c r="G2741" s="112">
        <f>'OPEN FOREIGN ORDER'!AD2367</f>
        <v>0</v>
      </c>
      <c r="H2741" s="112">
        <f>'OPEN FOREIGN ORDER'!AE2367</f>
        <v>0</v>
      </c>
      <c r="I2741" s="112">
        <f>'OPEN FOREIGN ORDER'!AF2367</f>
        <v>0</v>
      </c>
      <c r="J2741" s="112">
        <f>'OPEN FOREIGN ORDER'!AG2367</f>
        <v>0</v>
      </c>
    </row>
    <row r="2742" spans="1:10">
      <c r="A2742">
        <f>'OPEN FOREIGN ORDER'!D2368</f>
        <v>0</v>
      </c>
      <c r="B2742">
        <f>'OPEN FOREIGN ORDER'!F2368</f>
        <v>0</v>
      </c>
      <c r="C2742">
        <f>'OPEN FOREIGN ORDER'!Z2368</f>
        <v>0</v>
      </c>
      <c r="D2742" s="123">
        <f>'OPEN FOREIGN ORDER'!AA2368</f>
        <v>0</v>
      </c>
      <c r="E2742" s="112">
        <f>'OPEN FOREIGN ORDER'!AB2368</f>
        <v>0</v>
      </c>
      <c r="F2742" s="112">
        <f>'OPEN FOREIGN ORDER'!AC2368</f>
        <v>0</v>
      </c>
      <c r="G2742" s="112">
        <f>'OPEN FOREIGN ORDER'!AD2368</f>
        <v>0</v>
      </c>
      <c r="H2742" s="112">
        <f>'OPEN FOREIGN ORDER'!AE2368</f>
        <v>0</v>
      </c>
      <c r="I2742" s="112">
        <f>'OPEN FOREIGN ORDER'!AF2368</f>
        <v>0</v>
      </c>
      <c r="J2742" s="112">
        <f>'OPEN FOREIGN ORDER'!AG2368</f>
        <v>0</v>
      </c>
    </row>
    <row r="2743" spans="1:10">
      <c r="A2743">
        <f>'OPEN FOREIGN ORDER'!D2369</f>
        <v>0</v>
      </c>
      <c r="B2743">
        <f>'OPEN FOREIGN ORDER'!F2369</f>
        <v>0</v>
      </c>
      <c r="C2743">
        <f>'OPEN FOREIGN ORDER'!Z2369</f>
        <v>0</v>
      </c>
      <c r="D2743" s="123">
        <f>'OPEN FOREIGN ORDER'!AA2369</f>
        <v>0</v>
      </c>
      <c r="E2743" s="112">
        <f>'OPEN FOREIGN ORDER'!AB2369</f>
        <v>0</v>
      </c>
      <c r="F2743" s="112">
        <f>'OPEN FOREIGN ORDER'!AC2369</f>
        <v>0</v>
      </c>
      <c r="G2743" s="112">
        <f>'OPEN FOREIGN ORDER'!AD2369</f>
        <v>0</v>
      </c>
      <c r="H2743" s="112">
        <f>'OPEN FOREIGN ORDER'!AE2369</f>
        <v>0</v>
      </c>
      <c r="I2743" s="112">
        <f>'OPEN FOREIGN ORDER'!AF2369</f>
        <v>0</v>
      </c>
      <c r="J2743" s="112">
        <f>'OPEN FOREIGN ORDER'!AG2369</f>
        <v>0</v>
      </c>
    </row>
    <row r="2744" spans="1:10">
      <c r="A2744">
        <f>'OPEN FOREIGN ORDER'!D2370</f>
        <v>0</v>
      </c>
      <c r="B2744">
        <f>'OPEN FOREIGN ORDER'!F2370</f>
        <v>0</v>
      </c>
      <c r="C2744">
        <f>'OPEN FOREIGN ORDER'!Z2370</f>
        <v>0</v>
      </c>
      <c r="D2744" s="123">
        <f>'OPEN FOREIGN ORDER'!AA2370</f>
        <v>0</v>
      </c>
      <c r="E2744" s="112">
        <f>'OPEN FOREIGN ORDER'!AB2370</f>
        <v>0</v>
      </c>
      <c r="F2744" s="112">
        <f>'OPEN FOREIGN ORDER'!AC2370</f>
        <v>0</v>
      </c>
      <c r="G2744" s="112">
        <f>'OPEN FOREIGN ORDER'!AD2370</f>
        <v>0</v>
      </c>
      <c r="H2744" s="112">
        <f>'OPEN FOREIGN ORDER'!AE2370</f>
        <v>0</v>
      </c>
      <c r="I2744" s="112">
        <f>'OPEN FOREIGN ORDER'!AF2370</f>
        <v>0</v>
      </c>
      <c r="J2744" s="112">
        <f>'OPEN FOREIGN ORDER'!AG2370</f>
        <v>0</v>
      </c>
    </row>
    <row r="2745" spans="1:10">
      <c r="A2745">
        <f>'OPEN FOREIGN ORDER'!D2371</f>
        <v>0</v>
      </c>
      <c r="B2745">
        <f>'OPEN FOREIGN ORDER'!F2371</f>
        <v>0</v>
      </c>
      <c r="C2745">
        <f>'OPEN FOREIGN ORDER'!Z2371</f>
        <v>0</v>
      </c>
      <c r="D2745" s="123">
        <f>'OPEN FOREIGN ORDER'!AA2371</f>
        <v>0</v>
      </c>
      <c r="E2745" s="112">
        <f>'OPEN FOREIGN ORDER'!AB2371</f>
        <v>0</v>
      </c>
      <c r="F2745" s="112">
        <f>'OPEN FOREIGN ORDER'!AC2371</f>
        <v>0</v>
      </c>
      <c r="G2745" s="112">
        <f>'OPEN FOREIGN ORDER'!AD2371</f>
        <v>0</v>
      </c>
      <c r="H2745" s="112">
        <f>'OPEN FOREIGN ORDER'!AE2371</f>
        <v>0</v>
      </c>
      <c r="I2745" s="112">
        <f>'OPEN FOREIGN ORDER'!AF2371</f>
        <v>0</v>
      </c>
      <c r="J2745" s="112">
        <f>'OPEN FOREIGN ORDER'!AG2371</f>
        <v>0</v>
      </c>
    </row>
    <row r="2746" spans="1:10">
      <c r="A2746">
        <f>'OPEN FOREIGN ORDER'!D2372</f>
        <v>0</v>
      </c>
      <c r="B2746">
        <f>'OPEN FOREIGN ORDER'!F2372</f>
        <v>0</v>
      </c>
      <c r="C2746">
        <f>'OPEN FOREIGN ORDER'!Z2372</f>
        <v>0</v>
      </c>
      <c r="D2746" s="123">
        <f>'OPEN FOREIGN ORDER'!AA2372</f>
        <v>0</v>
      </c>
      <c r="E2746" s="112">
        <f>'OPEN FOREIGN ORDER'!AB2372</f>
        <v>0</v>
      </c>
      <c r="F2746" s="112">
        <f>'OPEN FOREIGN ORDER'!AC2372</f>
        <v>0</v>
      </c>
      <c r="G2746" s="112">
        <f>'OPEN FOREIGN ORDER'!AD2372</f>
        <v>0</v>
      </c>
      <c r="H2746" s="112">
        <f>'OPEN FOREIGN ORDER'!AE2372</f>
        <v>0</v>
      </c>
      <c r="I2746" s="112">
        <f>'OPEN FOREIGN ORDER'!AF2372</f>
        <v>0</v>
      </c>
      <c r="J2746" s="112">
        <f>'OPEN FOREIGN ORDER'!AG2372</f>
        <v>0</v>
      </c>
    </row>
    <row r="2747" spans="1:10">
      <c r="A2747">
        <f>'OPEN FOREIGN ORDER'!D2373</f>
        <v>0</v>
      </c>
      <c r="B2747">
        <f>'OPEN FOREIGN ORDER'!F2373</f>
        <v>0</v>
      </c>
      <c r="C2747">
        <f>'OPEN FOREIGN ORDER'!Z2373</f>
        <v>0</v>
      </c>
      <c r="D2747" s="123">
        <f>'OPEN FOREIGN ORDER'!AA2373</f>
        <v>0</v>
      </c>
      <c r="E2747" s="112">
        <f>'OPEN FOREIGN ORDER'!AB2373</f>
        <v>0</v>
      </c>
      <c r="F2747" s="112">
        <f>'OPEN FOREIGN ORDER'!AC2373</f>
        <v>0</v>
      </c>
      <c r="G2747" s="112">
        <f>'OPEN FOREIGN ORDER'!AD2373</f>
        <v>0</v>
      </c>
      <c r="H2747" s="112">
        <f>'OPEN FOREIGN ORDER'!AE2373</f>
        <v>0</v>
      </c>
      <c r="I2747" s="112">
        <f>'OPEN FOREIGN ORDER'!AF2373</f>
        <v>0</v>
      </c>
      <c r="J2747" s="112">
        <f>'OPEN FOREIGN ORDER'!AG2373</f>
        <v>0</v>
      </c>
    </row>
    <row r="2748" spans="1:10">
      <c r="A2748">
        <f>'OPEN FOREIGN ORDER'!D2374</f>
        <v>0</v>
      </c>
      <c r="B2748">
        <f>'OPEN FOREIGN ORDER'!F2374</f>
        <v>0</v>
      </c>
      <c r="C2748">
        <f>'OPEN FOREIGN ORDER'!Z2374</f>
        <v>0</v>
      </c>
      <c r="D2748" s="123">
        <f>'OPEN FOREIGN ORDER'!AA2374</f>
        <v>0</v>
      </c>
      <c r="E2748" s="112">
        <f>'OPEN FOREIGN ORDER'!AB2374</f>
        <v>0</v>
      </c>
      <c r="F2748" s="112">
        <f>'OPEN FOREIGN ORDER'!AC2374</f>
        <v>0</v>
      </c>
      <c r="G2748" s="112">
        <f>'OPEN FOREIGN ORDER'!AD2374</f>
        <v>0</v>
      </c>
      <c r="H2748" s="112">
        <f>'OPEN FOREIGN ORDER'!AE2374</f>
        <v>0</v>
      </c>
      <c r="I2748" s="112">
        <f>'OPEN FOREIGN ORDER'!AF2374</f>
        <v>0</v>
      </c>
      <c r="J2748" s="112">
        <f>'OPEN FOREIGN ORDER'!AG2374</f>
        <v>0</v>
      </c>
    </row>
    <row r="2749" spans="1:10">
      <c r="A2749">
        <f>'OPEN FOREIGN ORDER'!D2375</f>
        <v>0</v>
      </c>
      <c r="B2749">
        <f>'OPEN FOREIGN ORDER'!F2375</f>
        <v>0</v>
      </c>
      <c r="C2749">
        <f>'OPEN FOREIGN ORDER'!Z2375</f>
        <v>0</v>
      </c>
      <c r="D2749" s="123">
        <f>'OPEN FOREIGN ORDER'!AA2375</f>
        <v>0</v>
      </c>
      <c r="E2749" s="112">
        <f>'OPEN FOREIGN ORDER'!AB2375</f>
        <v>0</v>
      </c>
      <c r="F2749" s="112">
        <f>'OPEN FOREIGN ORDER'!AC2375</f>
        <v>0</v>
      </c>
      <c r="G2749" s="112">
        <f>'OPEN FOREIGN ORDER'!AD2375</f>
        <v>0</v>
      </c>
      <c r="H2749" s="112">
        <f>'OPEN FOREIGN ORDER'!AE2375</f>
        <v>0</v>
      </c>
      <c r="I2749" s="112">
        <f>'OPEN FOREIGN ORDER'!AF2375</f>
        <v>0</v>
      </c>
      <c r="J2749" s="112">
        <f>'OPEN FOREIGN ORDER'!AG2375</f>
        <v>0</v>
      </c>
    </row>
    <row r="2750" spans="1:10">
      <c r="A2750">
        <f>'OPEN FOREIGN ORDER'!D2376</f>
        <v>0</v>
      </c>
      <c r="B2750">
        <f>'OPEN FOREIGN ORDER'!F2376</f>
        <v>0</v>
      </c>
      <c r="C2750">
        <f>'OPEN FOREIGN ORDER'!Z2376</f>
        <v>0</v>
      </c>
      <c r="D2750" s="123">
        <f>'OPEN FOREIGN ORDER'!AA2376</f>
        <v>0</v>
      </c>
      <c r="E2750" s="112">
        <f>'OPEN FOREIGN ORDER'!AB2376</f>
        <v>0</v>
      </c>
      <c r="F2750" s="112">
        <f>'OPEN FOREIGN ORDER'!AC2376</f>
        <v>0</v>
      </c>
      <c r="G2750" s="112">
        <f>'OPEN FOREIGN ORDER'!AD2376</f>
        <v>0</v>
      </c>
      <c r="H2750" s="112">
        <f>'OPEN FOREIGN ORDER'!AE2376</f>
        <v>0</v>
      </c>
      <c r="I2750" s="112">
        <f>'OPEN FOREIGN ORDER'!AF2376</f>
        <v>0</v>
      </c>
      <c r="J2750" s="112">
        <f>'OPEN FOREIGN ORDER'!AG2376</f>
        <v>0</v>
      </c>
    </row>
    <row r="2751" spans="1:10">
      <c r="A2751">
        <f>'OPEN FOREIGN ORDER'!D2377</f>
        <v>0</v>
      </c>
      <c r="B2751">
        <f>'OPEN FOREIGN ORDER'!F2377</f>
        <v>0</v>
      </c>
      <c r="C2751">
        <f>'OPEN FOREIGN ORDER'!Z2377</f>
        <v>0</v>
      </c>
      <c r="D2751" s="123">
        <f>'OPEN FOREIGN ORDER'!AA2377</f>
        <v>0</v>
      </c>
      <c r="E2751" s="112">
        <f>'OPEN FOREIGN ORDER'!AB2377</f>
        <v>0</v>
      </c>
      <c r="F2751" s="112">
        <f>'OPEN FOREIGN ORDER'!AC2377</f>
        <v>0</v>
      </c>
      <c r="G2751" s="112">
        <f>'OPEN FOREIGN ORDER'!AD2377</f>
        <v>0</v>
      </c>
      <c r="H2751" s="112">
        <f>'OPEN FOREIGN ORDER'!AE2377</f>
        <v>0</v>
      </c>
      <c r="I2751" s="112">
        <f>'OPEN FOREIGN ORDER'!AF2377</f>
        <v>0</v>
      </c>
      <c r="J2751" s="112">
        <f>'OPEN FOREIGN ORDER'!AG2377</f>
        <v>0</v>
      </c>
    </row>
    <row r="2752" spans="1:10">
      <c r="A2752">
        <f>'OPEN FOREIGN ORDER'!D2378</f>
        <v>0</v>
      </c>
      <c r="B2752">
        <f>'OPEN FOREIGN ORDER'!F2378</f>
        <v>0</v>
      </c>
      <c r="C2752">
        <f>'OPEN FOREIGN ORDER'!Z2378</f>
        <v>0</v>
      </c>
      <c r="D2752" s="123">
        <f>'OPEN FOREIGN ORDER'!AA2378</f>
        <v>0</v>
      </c>
      <c r="E2752" s="112">
        <f>'OPEN FOREIGN ORDER'!AB2378</f>
        <v>0</v>
      </c>
      <c r="F2752" s="112">
        <f>'OPEN FOREIGN ORDER'!AC2378</f>
        <v>0</v>
      </c>
      <c r="G2752" s="112">
        <f>'OPEN FOREIGN ORDER'!AD2378</f>
        <v>0</v>
      </c>
      <c r="H2752" s="112">
        <f>'OPEN FOREIGN ORDER'!AE2378</f>
        <v>0</v>
      </c>
      <c r="I2752" s="112">
        <f>'OPEN FOREIGN ORDER'!AF2378</f>
        <v>0</v>
      </c>
      <c r="J2752" s="112">
        <f>'OPEN FOREIGN ORDER'!AG2378</f>
        <v>0</v>
      </c>
    </row>
    <row r="2753" spans="1:10">
      <c r="A2753">
        <f>'OPEN FOREIGN ORDER'!D2379</f>
        <v>0</v>
      </c>
      <c r="B2753">
        <f>'OPEN FOREIGN ORDER'!F2379</f>
        <v>0</v>
      </c>
      <c r="C2753">
        <f>'OPEN FOREIGN ORDER'!Z2379</f>
        <v>0</v>
      </c>
      <c r="D2753" s="123">
        <f>'OPEN FOREIGN ORDER'!AA2379</f>
        <v>0</v>
      </c>
      <c r="E2753" s="112">
        <f>'OPEN FOREIGN ORDER'!AB2379</f>
        <v>0</v>
      </c>
      <c r="F2753" s="112">
        <f>'OPEN FOREIGN ORDER'!AC2379</f>
        <v>0</v>
      </c>
      <c r="G2753" s="112">
        <f>'OPEN FOREIGN ORDER'!AD2379</f>
        <v>0</v>
      </c>
      <c r="H2753" s="112">
        <f>'OPEN FOREIGN ORDER'!AE2379</f>
        <v>0</v>
      </c>
      <c r="I2753" s="112">
        <f>'OPEN FOREIGN ORDER'!AF2379</f>
        <v>0</v>
      </c>
      <c r="J2753" s="112">
        <f>'OPEN FOREIGN ORDER'!AG2379</f>
        <v>0</v>
      </c>
    </row>
    <row r="2754" spans="1:10">
      <c r="A2754">
        <f>'OPEN FOREIGN ORDER'!D2380</f>
        <v>0</v>
      </c>
      <c r="B2754">
        <f>'OPEN FOREIGN ORDER'!F2380</f>
        <v>0</v>
      </c>
      <c r="C2754">
        <f>'OPEN FOREIGN ORDER'!Z2380</f>
        <v>0</v>
      </c>
      <c r="D2754" s="123">
        <f>'OPEN FOREIGN ORDER'!AA2380</f>
        <v>0</v>
      </c>
      <c r="E2754" s="112">
        <f>'OPEN FOREIGN ORDER'!AB2380</f>
        <v>0</v>
      </c>
      <c r="F2754" s="112">
        <f>'OPEN FOREIGN ORDER'!AC2380</f>
        <v>0</v>
      </c>
      <c r="G2754" s="112">
        <f>'OPEN FOREIGN ORDER'!AD2380</f>
        <v>0</v>
      </c>
      <c r="H2754" s="112">
        <f>'OPEN FOREIGN ORDER'!AE2380</f>
        <v>0</v>
      </c>
      <c r="I2754" s="112">
        <f>'OPEN FOREIGN ORDER'!AF2380</f>
        <v>0</v>
      </c>
      <c r="J2754" s="112">
        <f>'OPEN FOREIGN ORDER'!AG2380</f>
        <v>0</v>
      </c>
    </row>
    <row r="2755" spans="1:10">
      <c r="A2755">
        <f>'OPEN FOREIGN ORDER'!D2381</f>
        <v>0</v>
      </c>
      <c r="B2755">
        <f>'OPEN FOREIGN ORDER'!F2381</f>
        <v>0</v>
      </c>
      <c r="C2755">
        <f>'OPEN FOREIGN ORDER'!Z2381</f>
        <v>0</v>
      </c>
      <c r="D2755" s="123">
        <f>'OPEN FOREIGN ORDER'!AA2381</f>
        <v>0</v>
      </c>
      <c r="E2755" s="112">
        <f>'OPEN FOREIGN ORDER'!AB2381</f>
        <v>0</v>
      </c>
      <c r="F2755" s="112">
        <f>'OPEN FOREIGN ORDER'!AC2381</f>
        <v>0</v>
      </c>
      <c r="G2755" s="112">
        <f>'OPEN FOREIGN ORDER'!AD2381</f>
        <v>0</v>
      </c>
      <c r="H2755" s="112">
        <f>'OPEN FOREIGN ORDER'!AE2381</f>
        <v>0</v>
      </c>
      <c r="I2755" s="112">
        <f>'OPEN FOREIGN ORDER'!AF2381</f>
        <v>0</v>
      </c>
      <c r="J2755" s="112">
        <f>'OPEN FOREIGN ORDER'!AG2381</f>
        <v>0</v>
      </c>
    </row>
    <row r="2756" spans="1:10">
      <c r="A2756">
        <f>'OPEN FOREIGN ORDER'!D2382</f>
        <v>0</v>
      </c>
      <c r="B2756">
        <f>'OPEN FOREIGN ORDER'!F2382</f>
        <v>0</v>
      </c>
      <c r="C2756">
        <f>'OPEN FOREIGN ORDER'!Z2382</f>
        <v>0</v>
      </c>
      <c r="D2756" s="123">
        <f>'OPEN FOREIGN ORDER'!AA2382</f>
        <v>0</v>
      </c>
      <c r="E2756" s="112">
        <f>'OPEN FOREIGN ORDER'!AB2382</f>
        <v>0</v>
      </c>
      <c r="F2756" s="112">
        <f>'OPEN FOREIGN ORDER'!AC2382</f>
        <v>0</v>
      </c>
      <c r="G2756" s="112">
        <f>'OPEN FOREIGN ORDER'!AD2382</f>
        <v>0</v>
      </c>
      <c r="H2756" s="112">
        <f>'OPEN FOREIGN ORDER'!AE2382</f>
        <v>0</v>
      </c>
      <c r="I2756" s="112">
        <f>'OPEN FOREIGN ORDER'!AF2382</f>
        <v>0</v>
      </c>
      <c r="J2756" s="112">
        <f>'OPEN FOREIGN ORDER'!AG2382</f>
        <v>0</v>
      </c>
    </row>
    <row r="2757" spans="1:10">
      <c r="A2757">
        <f>'OPEN FOREIGN ORDER'!D2383</f>
        <v>0</v>
      </c>
      <c r="B2757">
        <f>'OPEN FOREIGN ORDER'!F2383</f>
        <v>0</v>
      </c>
      <c r="C2757">
        <f>'OPEN FOREIGN ORDER'!Z2383</f>
        <v>0</v>
      </c>
      <c r="D2757" s="123">
        <f>'OPEN FOREIGN ORDER'!AA2383</f>
        <v>0</v>
      </c>
      <c r="E2757" s="112">
        <f>'OPEN FOREIGN ORDER'!AB2383</f>
        <v>0</v>
      </c>
      <c r="F2757" s="112">
        <f>'OPEN FOREIGN ORDER'!AC2383</f>
        <v>0</v>
      </c>
      <c r="G2757" s="112">
        <f>'OPEN FOREIGN ORDER'!AD2383</f>
        <v>0</v>
      </c>
      <c r="H2757" s="112">
        <f>'OPEN FOREIGN ORDER'!AE2383</f>
        <v>0</v>
      </c>
      <c r="I2757" s="112">
        <f>'OPEN FOREIGN ORDER'!AF2383</f>
        <v>0</v>
      </c>
      <c r="J2757" s="112">
        <f>'OPEN FOREIGN ORDER'!AG2383</f>
        <v>0</v>
      </c>
    </row>
    <row r="2758" spans="1:10">
      <c r="A2758">
        <f>'OPEN FOREIGN ORDER'!D2384</f>
        <v>0</v>
      </c>
      <c r="B2758">
        <f>'OPEN FOREIGN ORDER'!F2384</f>
        <v>0</v>
      </c>
      <c r="C2758">
        <f>'OPEN FOREIGN ORDER'!Z2384</f>
        <v>0</v>
      </c>
      <c r="D2758" s="123">
        <f>'OPEN FOREIGN ORDER'!AA2384</f>
        <v>0</v>
      </c>
      <c r="E2758" s="112">
        <f>'OPEN FOREIGN ORDER'!AB2384</f>
        <v>0</v>
      </c>
      <c r="F2758" s="112">
        <f>'OPEN FOREIGN ORDER'!AC2384</f>
        <v>0</v>
      </c>
      <c r="G2758" s="112">
        <f>'OPEN FOREIGN ORDER'!AD2384</f>
        <v>0</v>
      </c>
      <c r="H2758" s="112">
        <f>'OPEN FOREIGN ORDER'!AE2384</f>
        <v>0</v>
      </c>
      <c r="I2758" s="112">
        <f>'OPEN FOREIGN ORDER'!AF2384</f>
        <v>0</v>
      </c>
      <c r="J2758" s="112">
        <f>'OPEN FOREIGN ORDER'!AG2384</f>
        <v>0</v>
      </c>
    </row>
    <row r="2759" spans="1:10">
      <c r="A2759">
        <f>'OPEN FOREIGN ORDER'!D2385</f>
        <v>0</v>
      </c>
      <c r="B2759">
        <f>'OPEN FOREIGN ORDER'!F2385</f>
        <v>0</v>
      </c>
      <c r="C2759">
        <f>'OPEN FOREIGN ORDER'!Z2385</f>
        <v>0</v>
      </c>
      <c r="D2759" s="123">
        <f>'OPEN FOREIGN ORDER'!AA2385</f>
        <v>0</v>
      </c>
      <c r="E2759" s="112">
        <f>'OPEN FOREIGN ORDER'!AB2385</f>
        <v>0</v>
      </c>
      <c r="F2759" s="112">
        <f>'OPEN FOREIGN ORDER'!AC2385</f>
        <v>0</v>
      </c>
      <c r="G2759" s="112">
        <f>'OPEN FOREIGN ORDER'!AD2385</f>
        <v>0</v>
      </c>
      <c r="H2759" s="112">
        <f>'OPEN FOREIGN ORDER'!AE2385</f>
        <v>0</v>
      </c>
      <c r="I2759" s="112">
        <f>'OPEN FOREIGN ORDER'!AF2385</f>
        <v>0</v>
      </c>
      <c r="J2759" s="112">
        <f>'OPEN FOREIGN ORDER'!AG2385</f>
        <v>0</v>
      </c>
    </row>
    <row r="2760" spans="1:10">
      <c r="A2760">
        <f>'OPEN FOREIGN ORDER'!D2386</f>
        <v>0</v>
      </c>
      <c r="B2760">
        <f>'OPEN FOREIGN ORDER'!F2386</f>
        <v>0</v>
      </c>
      <c r="C2760">
        <f>'OPEN FOREIGN ORDER'!Z2386</f>
        <v>0</v>
      </c>
      <c r="D2760" s="123">
        <f>'OPEN FOREIGN ORDER'!AA2386</f>
        <v>0</v>
      </c>
      <c r="E2760" s="112">
        <f>'OPEN FOREIGN ORDER'!AB2386</f>
        <v>0</v>
      </c>
      <c r="F2760" s="112">
        <f>'OPEN FOREIGN ORDER'!AC2386</f>
        <v>0</v>
      </c>
      <c r="G2760" s="112">
        <f>'OPEN FOREIGN ORDER'!AD2386</f>
        <v>0</v>
      </c>
      <c r="H2760" s="112">
        <f>'OPEN FOREIGN ORDER'!AE2386</f>
        <v>0</v>
      </c>
      <c r="I2760" s="112">
        <f>'OPEN FOREIGN ORDER'!AF2386</f>
        <v>0</v>
      </c>
      <c r="J2760" s="112">
        <f>'OPEN FOREIGN ORDER'!AG2386</f>
        <v>0</v>
      </c>
    </row>
    <row r="2761" spans="1:10">
      <c r="A2761">
        <f>'OPEN FOREIGN ORDER'!D2387</f>
        <v>0</v>
      </c>
      <c r="B2761">
        <f>'OPEN FOREIGN ORDER'!F2387</f>
        <v>0</v>
      </c>
      <c r="C2761">
        <f>'OPEN FOREIGN ORDER'!Z2387</f>
        <v>0</v>
      </c>
      <c r="D2761" s="123">
        <f>'OPEN FOREIGN ORDER'!AA2387</f>
        <v>0</v>
      </c>
      <c r="E2761" s="112">
        <f>'OPEN FOREIGN ORDER'!AB2387</f>
        <v>0</v>
      </c>
      <c r="F2761" s="112">
        <f>'OPEN FOREIGN ORDER'!AC2387</f>
        <v>0</v>
      </c>
      <c r="G2761" s="112">
        <f>'OPEN FOREIGN ORDER'!AD2387</f>
        <v>0</v>
      </c>
      <c r="H2761" s="112">
        <f>'OPEN FOREIGN ORDER'!AE2387</f>
        <v>0</v>
      </c>
      <c r="I2761" s="112">
        <f>'OPEN FOREIGN ORDER'!AF2387</f>
        <v>0</v>
      </c>
      <c r="J2761" s="112">
        <f>'OPEN FOREIGN ORDER'!AG2387</f>
        <v>0</v>
      </c>
    </row>
    <row r="2762" spans="1:10">
      <c r="A2762">
        <f>'OPEN FOREIGN ORDER'!D2388</f>
        <v>0</v>
      </c>
      <c r="B2762">
        <f>'OPEN FOREIGN ORDER'!F2388</f>
        <v>0</v>
      </c>
      <c r="C2762">
        <f>'OPEN FOREIGN ORDER'!Z2388</f>
        <v>0</v>
      </c>
      <c r="D2762" s="123">
        <f>'OPEN FOREIGN ORDER'!AA2388</f>
        <v>0</v>
      </c>
      <c r="E2762" s="112">
        <f>'OPEN FOREIGN ORDER'!AB2388</f>
        <v>0</v>
      </c>
      <c r="F2762" s="112">
        <f>'OPEN FOREIGN ORDER'!AC2388</f>
        <v>0</v>
      </c>
      <c r="G2762" s="112">
        <f>'OPEN FOREIGN ORDER'!AD2388</f>
        <v>0</v>
      </c>
      <c r="H2762" s="112">
        <f>'OPEN FOREIGN ORDER'!AE2388</f>
        <v>0</v>
      </c>
      <c r="I2762" s="112">
        <f>'OPEN FOREIGN ORDER'!AF2388</f>
        <v>0</v>
      </c>
      <c r="J2762" s="112">
        <f>'OPEN FOREIGN ORDER'!AG2388</f>
        <v>0</v>
      </c>
    </row>
    <row r="2763" spans="1:10">
      <c r="A2763">
        <f>'OPEN FOREIGN ORDER'!D2389</f>
        <v>0</v>
      </c>
      <c r="B2763">
        <f>'OPEN FOREIGN ORDER'!F2389</f>
        <v>0</v>
      </c>
      <c r="C2763">
        <f>'OPEN FOREIGN ORDER'!Z2389</f>
        <v>0</v>
      </c>
      <c r="D2763" s="123">
        <f>'OPEN FOREIGN ORDER'!AA2389</f>
        <v>0</v>
      </c>
      <c r="E2763" s="112">
        <f>'OPEN FOREIGN ORDER'!AB2389</f>
        <v>0</v>
      </c>
      <c r="F2763" s="112">
        <f>'OPEN FOREIGN ORDER'!AC2389</f>
        <v>0</v>
      </c>
      <c r="G2763" s="112">
        <f>'OPEN FOREIGN ORDER'!AD2389</f>
        <v>0</v>
      </c>
      <c r="H2763" s="112">
        <f>'OPEN FOREIGN ORDER'!AE2389</f>
        <v>0</v>
      </c>
      <c r="I2763" s="112">
        <f>'OPEN FOREIGN ORDER'!AF2389</f>
        <v>0</v>
      </c>
      <c r="J2763" s="112">
        <f>'OPEN FOREIGN ORDER'!AG2389</f>
        <v>0</v>
      </c>
    </row>
    <row r="2764" spans="1:10">
      <c r="A2764">
        <f>'OPEN FOREIGN ORDER'!D2390</f>
        <v>0</v>
      </c>
      <c r="B2764">
        <f>'OPEN FOREIGN ORDER'!F2390</f>
        <v>0</v>
      </c>
      <c r="C2764">
        <f>'OPEN FOREIGN ORDER'!Z2390</f>
        <v>0</v>
      </c>
      <c r="D2764" s="123">
        <f>'OPEN FOREIGN ORDER'!AA2390</f>
        <v>0</v>
      </c>
      <c r="E2764" s="112">
        <f>'OPEN FOREIGN ORDER'!AB2390</f>
        <v>0</v>
      </c>
      <c r="F2764" s="112">
        <f>'OPEN FOREIGN ORDER'!AC2390</f>
        <v>0</v>
      </c>
      <c r="G2764" s="112">
        <f>'OPEN FOREIGN ORDER'!AD2390</f>
        <v>0</v>
      </c>
      <c r="H2764" s="112">
        <f>'OPEN FOREIGN ORDER'!AE2390</f>
        <v>0</v>
      </c>
      <c r="I2764" s="112">
        <f>'OPEN FOREIGN ORDER'!AF2390</f>
        <v>0</v>
      </c>
      <c r="J2764" s="112">
        <f>'OPEN FOREIGN ORDER'!AG2390</f>
        <v>0</v>
      </c>
    </row>
    <row r="2765" spans="1:10">
      <c r="A2765">
        <f>'OPEN FOREIGN ORDER'!D2391</f>
        <v>0</v>
      </c>
      <c r="B2765">
        <f>'OPEN FOREIGN ORDER'!F2391</f>
        <v>0</v>
      </c>
      <c r="C2765">
        <f>'OPEN FOREIGN ORDER'!Z2391</f>
        <v>0</v>
      </c>
      <c r="D2765" s="123">
        <f>'OPEN FOREIGN ORDER'!AA2391</f>
        <v>0</v>
      </c>
      <c r="E2765" s="112">
        <f>'OPEN FOREIGN ORDER'!AB2391</f>
        <v>0</v>
      </c>
      <c r="F2765" s="112">
        <f>'OPEN FOREIGN ORDER'!AC2391</f>
        <v>0</v>
      </c>
      <c r="G2765" s="112">
        <f>'OPEN FOREIGN ORDER'!AD2391</f>
        <v>0</v>
      </c>
      <c r="H2765" s="112">
        <f>'OPEN FOREIGN ORDER'!AE2391</f>
        <v>0</v>
      </c>
      <c r="I2765" s="112">
        <f>'OPEN FOREIGN ORDER'!AF2391</f>
        <v>0</v>
      </c>
      <c r="J2765" s="112">
        <f>'OPEN FOREIGN ORDER'!AG2391</f>
        <v>0</v>
      </c>
    </row>
    <row r="2766" spans="1:10">
      <c r="A2766">
        <f>'OPEN FOREIGN ORDER'!D2392</f>
        <v>0</v>
      </c>
      <c r="B2766">
        <f>'OPEN FOREIGN ORDER'!F2392</f>
        <v>0</v>
      </c>
      <c r="C2766">
        <f>'OPEN FOREIGN ORDER'!Z2392</f>
        <v>0</v>
      </c>
      <c r="D2766" s="123">
        <f>'OPEN FOREIGN ORDER'!AA2392</f>
        <v>0</v>
      </c>
      <c r="E2766" s="112">
        <f>'OPEN FOREIGN ORDER'!AB2392</f>
        <v>0</v>
      </c>
      <c r="F2766" s="112">
        <f>'OPEN FOREIGN ORDER'!AC2392</f>
        <v>0</v>
      </c>
      <c r="G2766" s="112">
        <f>'OPEN FOREIGN ORDER'!AD2392</f>
        <v>0</v>
      </c>
      <c r="H2766" s="112">
        <f>'OPEN FOREIGN ORDER'!AE2392</f>
        <v>0</v>
      </c>
      <c r="I2766" s="112">
        <f>'OPEN FOREIGN ORDER'!AF2392</f>
        <v>0</v>
      </c>
      <c r="J2766" s="112">
        <f>'OPEN FOREIGN ORDER'!AG2392</f>
        <v>0</v>
      </c>
    </row>
    <row r="2767" spans="1:10">
      <c r="A2767">
        <f>'OPEN FOREIGN ORDER'!D2393</f>
        <v>0</v>
      </c>
      <c r="B2767">
        <f>'OPEN FOREIGN ORDER'!F2393</f>
        <v>0</v>
      </c>
      <c r="C2767">
        <f>'OPEN FOREIGN ORDER'!Z2393</f>
        <v>0</v>
      </c>
      <c r="D2767" s="123">
        <f>'OPEN FOREIGN ORDER'!AA2393</f>
        <v>0</v>
      </c>
      <c r="E2767" s="112">
        <f>'OPEN FOREIGN ORDER'!AB2393</f>
        <v>0</v>
      </c>
      <c r="F2767" s="112">
        <f>'OPEN FOREIGN ORDER'!AC2393</f>
        <v>0</v>
      </c>
      <c r="G2767" s="112">
        <f>'OPEN FOREIGN ORDER'!AD2393</f>
        <v>0</v>
      </c>
      <c r="H2767" s="112">
        <f>'OPEN FOREIGN ORDER'!AE2393</f>
        <v>0</v>
      </c>
      <c r="I2767" s="112">
        <f>'OPEN FOREIGN ORDER'!AF2393</f>
        <v>0</v>
      </c>
      <c r="J2767" s="112">
        <f>'OPEN FOREIGN ORDER'!AG2393</f>
        <v>0</v>
      </c>
    </row>
    <row r="2768" spans="1:10">
      <c r="A2768">
        <f>'OPEN FOREIGN ORDER'!D2394</f>
        <v>0</v>
      </c>
      <c r="B2768">
        <f>'OPEN FOREIGN ORDER'!F2394</f>
        <v>0</v>
      </c>
      <c r="C2768">
        <f>'OPEN FOREIGN ORDER'!Z2394</f>
        <v>0</v>
      </c>
      <c r="D2768" s="123">
        <f>'OPEN FOREIGN ORDER'!AA2394</f>
        <v>0</v>
      </c>
      <c r="E2768" s="112">
        <f>'OPEN FOREIGN ORDER'!AB2394</f>
        <v>0</v>
      </c>
      <c r="F2768" s="112">
        <f>'OPEN FOREIGN ORDER'!AC2394</f>
        <v>0</v>
      </c>
      <c r="G2768" s="112">
        <f>'OPEN FOREIGN ORDER'!AD2394</f>
        <v>0</v>
      </c>
      <c r="H2768" s="112">
        <f>'OPEN FOREIGN ORDER'!AE2394</f>
        <v>0</v>
      </c>
      <c r="I2768" s="112">
        <f>'OPEN FOREIGN ORDER'!AF2394</f>
        <v>0</v>
      </c>
      <c r="J2768" s="112">
        <f>'OPEN FOREIGN ORDER'!AG2394</f>
        <v>0</v>
      </c>
    </row>
    <row r="2769" spans="1:10">
      <c r="A2769">
        <f>'OPEN FOREIGN ORDER'!D2395</f>
        <v>0</v>
      </c>
      <c r="B2769">
        <f>'OPEN FOREIGN ORDER'!F2395</f>
        <v>0</v>
      </c>
      <c r="C2769">
        <f>'OPEN FOREIGN ORDER'!Z2395</f>
        <v>0</v>
      </c>
      <c r="D2769" s="123">
        <f>'OPEN FOREIGN ORDER'!AA2395</f>
        <v>0</v>
      </c>
      <c r="E2769" s="112">
        <f>'OPEN FOREIGN ORDER'!AB2395</f>
        <v>0</v>
      </c>
      <c r="F2769" s="112">
        <f>'OPEN FOREIGN ORDER'!AC2395</f>
        <v>0</v>
      </c>
      <c r="G2769" s="112">
        <f>'OPEN FOREIGN ORDER'!AD2395</f>
        <v>0</v>
      </c>
      <c r="H2769" s="112">
        <f>'OPEN FOREIGN ORDER'!AE2395</f>
        <v>0</v>
      </c>
      <c r="I2769" s="112">
        <f>'OPEN FOREIGN ORDER'!AF2395</f>
        <v>0</v>
      </c>
      <c r="J2769" s="112">
        <f>'OPEN FOREIGN ORDER'!AG2395</f>
        <v>0</v>
      </c>
    </row>
    <row r="2770" spans="1:10">
      <c r="A2770">
        <f>'OPEN FOREIGN ORDER'!D2396</f>
        <v>0</v>
      </c>
      <c r="B2770">
        <f>'OPEN FOREIGN ORDER'!F2396</f>
        <v>0</v>
      </c>
      <c r="C2770">
        <f>'OPEN FOREIGN ORDER'!Z2396</f>
        <v>0</v>
      </c>
      <c r="D2770" s="123">
        <f>'OPEN FOREIGN ORDER'!AA2396</f>
        <v>0</v>
      </c>
      <c r="E2770" s="112">
        <f>'OPEN FOREIGN ORDER'!AB2396</f>
        <v>0</v>
      </c>
      <c r="F2770" s="112">
        <f>'OPEN FOREIGN ORDER'!AC2396</f>
        <v>0</v>
      </c>
      <c r="G2770" s="112">
        <f>'OPEN FOREIGN ORDER'!AD2396</f>
        <v>0</v>
      </c>
      <c r="H2770" s="112">
        <f>'OPEN FOREIGN ORDER'!AE2396</f>
        <v>0</v>
      </c>
      <c r="I2770" s="112">
        <f>'OPEN FOREIGN ORDER'!AF2396</f>
        <v>0</v>
      </c>
      <c r="J2770" s="112">
        <f>'OPEN FOREIGN ORDER'!AG2396</f>
        <v>0</v>
      </c>
    </row>
    <row r="2771" spans="1:10">
      <c r="A2771">
        <f>'OPEN FOREIGN ORDER'!D2397</f>
        <v>0</v>
      </c>
      <c r="B2771">
        <f>'OPEN FOREIGN ORDER'!F2397</f>
        <v>0</v>
      </c>
      <c r="C2771">
        <f>'OPEN FOREIGN ORDER'!Z2397</f>
        <v>0</v>
      </c>
      <c r="D2771" s="123">
        <f>'OPEN FOREIGN ORDER'!AA2397</f>
        <v>0</v>
      </c>
      <c r="E2771" s="112">
        <f>'OPEN FOREIGN ORDER'!AB2397</f>
        <v>0</v>
      </c>
      <c r="F2771" s="112">
        <f>'OPEN FOREIGN ORDER'!AC2397</f>
        <v>0</v>
      </c>
      <c r="G2771" s="112">
        <f>'OPEN FOREIGN ORDER'!AD2397</f>
        <v>0</v>
      </c>
      <c r="H2771" s="112">
        <f>'OPEN FOREIGN ORDER'!AE2397</f>
        <v>0</v>
      </c>
      <c r="I2771" s="112">
        <f>'OPEN FOREIGN ORDER'!AF2397</f>
        <v>0</v>
      </c>
      <c r="J2771" s="112">
        <f>'OPEN FOREIGN ORDER'!AG2397</f>
        <v>0</v>
      </c>
    </row>
    <row r="2772" spans="1:10">
      <c r="A2772">
        <f>'OPEN FOREIGN ORDER'!D2398</f>
        <v>0</v>
      </c>
      <c r="B2772">
        <f>'OPEN FOREIGN ORDER'!F2398</f>
        <v>0</v>
      </c>
      <c r="C2772">
        <f>'OPEN FOREIGN ORDER'!Z2398</f>
        <v>0</v>
      </c>
      <c r="D2772" s="123">
        <f>'OPEN FOREIGN ORDER'!AA2398</f>
        <v>0</v>
      </c>
      <c r="E2772" s="112">
        <f>'OPEN FOREIGN ORDER'!AB2398</f>
        <v>0</v>
      </c>
      <c r="F2772" s="112">
        <f>'OPEN FOREIGN ORDER'!AC2398</f>
        <v>0</v>
      </c>
      <c r="G2772" s="112">
        <f>'OPEN FOREIGN ORDER'!AD2398</f>
        <v>0</v>
      </c>
      <c r="H2772" s="112">
        <f>'OPEN FOREIGN ORDER'!AE2398</f>
        <v>0</v>
      </c>
      <c r="I2772" s="112">
        <f>'OPEN FOREIGN ORDER'!AF2398</f>
        <v>0</v>
      </c>
      <c r="J2772" s="112">
        <f>'OPEN FOREIGN ORDER'!AG2398</f>
        <v>0</v>
      </c>
    </row>
    <row r="2773" spans="1:10">
      <c r="A2773">
        <f>'OPEN FOREIGN ORDER'!D2399</f>
        <v>0</v>
      </c>
      <c r="B2773">
        <f>'OPEN FOREIGN ORDER'!F2399</f>
        <v>0</v>
      </c>
      <c r="C2773">
        <f>'OPEN FOREIGN ORDER'!Z2399</f>
        <v>0</v>
      </c>
      <c r="D2773" s="123">
        <f>'OPEN FOREIGN ORDER'!AA2399</f>
        <v>0</v>
      </c>
      <c r="E2773" s="112">
        <f>'OPEN FOREIGN ORDER'!AB2399</f>
        <v>0</v>
      </c>
      <c r="F2773" s="112">
        <f>'OPEN FOREIGN ORDER'!AC2399</f>
        <v>0</v>
      </c>
      <c r="G2773" s="112">
        <f>'OPEN FOREIGN ORDER'!AD2399</f>
        <v>0</v>
      </c>
      <c r="H2773" s="112">
        <f>'OPEN FOREIGN ORDER'!AE2399</f>
        <v>0</v>
      </c>
      <c r="I2773" s="112">
        <f>'OPEN FOREIGN ORDER'!AF2399</f>
        <v>0</v>
      </c>
      <c r="J2773" s="112">
        <f>'OPEN FOREIGN ORDER'!AG2399</f>
        <v>0</v>
      </c>
    </row>
    <row r="2774" spans="1:10">
      <c r="A2774">
        <f>'OPEN FOREIGN ORDER'!D2400</f>
        <v>0</v>
      </c>
      <c r="B2774">
        <f>'OPEN FOREIGN ORDER'!F2400</f>
        <v>0</v>
      </c>
      <c r="C2774">
        <f>'OPEN FOREIGN ORDER'!Z2400</f>
        <v>0</v>
      </c>
      <c r="D2774" s="123">
        <f>'OPEN FOREIGN ORDER'!AA2400</f>
        <v>0</v>
      </c>
      <c r="E2774" s="112">
        <f>'OPEN FOREIGN ORDER'!AB2400</f>
        <v>0</v>
      </c>
      <c r="F2774" s="112">
        <f>'OPEN FOREIGN ORDER'!AC2400</f>
        <v>0</v>
      </c>
      <c r="G2774" s="112">
        <f>'OPEN FOREIGN ORDER'!AD2400</f>
        <v>0</v>
      </c>
      <c r="H2774" s="112">
        <f>'OPEN FOREIGN ORDER'!AE2400</f>
        <v>0</v>
      </c>
      <c r="I2774" s="112">
        <f>'OPEN FOREIGN ORDER'!AF2400</f>
        <v>0</v>
      </c>
      <c r="J2774" s="112">
        <f>'OPEN FOREIGN ORDER'!AG2400</f>
        <v>0</v>
      </c>
    </row>
    <row r="2775" spans="1:10">
      <c r="A2775">
        <f>'OPEN FOREIGN ORDER'!D2401</f>
        <v>0</v>
      </c>
      <c r="B2775">
        <f>'OPEN FOREIGN ORDER'!F2401</f>
        <v>0</v>
      </c>
      <c r="C2775">
        <f>'OPEN FOREIGN ORDER'!Z2401</f>
        <v>0</v>
      </c>
      <c r="D2775" s="123">
        <f>'OPEN FOREIGN ORDER'!AA2401</f>
        <v>0</v>
      </c>
      <c r="E2775" s="112">
        <f>'OPEN FOREIGN ORDER'!AB2401</f>
        <v>0</v>
      </c>
      <c r="F2775" s="112">
        <f>'OPEN FOREIGN ORDER'!AC2401</f>
        <v>0</v>
      </c>
      <c r="G2775" s="112">
        <f>'OPEN FOREIGN ORDER'!AD2401</f>
        <v>0</v>
      </c>
      <c r="H2775" s="112">
        <f>'OPEN FOREIGN ORDER'!AE2401</f>
        <v>0</v>
      </c>
      <c r="I2775" s="112">
        <f>'OPEN FOREIGN ORDER'!AF2401</f>
        <v>0</v>
      </c>
      <c r="J2775" s="112">
        <f>'OPEN FOREIGN ORDER'!AG2401</f>
        <v>0</v>
      </c>
    </row>
    <row r="2776" spans="1:10">
      <c r="A2776">
        <f>'OPEN FOREIGN ORDER'!D2402</f>
        <v>0</v>
      </c>
      <c r="B2776">
        <f>'OPEN FOREIGN ORDER'!F2402</f>
        <v>0</v>
      </c>
      <c r="C2776">
        <f>'OPEN FOREIGN ORDER'!Z2402</f>
        <v>0</v>
      </c>
      <c r="D2776" s="123">
        <f>'OPEN FOREIGN ORDER'!AA2402</f>
        <v>0</v>
      </c>
      <c r="E2776" s="112">
        <f>'OPEN FOREIGN ORDER'!AB2402</f>
        <v>0</v>
      </c>
      <c r="F2776" s="112">
        <f>'OPEN FOREIGN ORDER'!AC2402</f>
        <v>0</v>
      </c>
      <c r="G2776" s="112">
        <f>'OPEN FOREIGN ORDER'!AD2402</f>
        <v>0</v>
      </c>
      <c r="H2776" s="112">
        <f>'OPEN FOREIGN ORDER'!AE2402</f>
        <v>0</v>
      </c>
      <c r="I2776" s="112">
        <f>'OPEN FOREIGN ORDER'!AF2402</f>
        <v>0</v>
      </c>
      <c r="J2776" s="112">
        <f>'OPEN FOREIGN ORDER'!AG2402</f>
        <v>0</v>
      </c>
    </row>
    <row r="2777" spans="1:10">
      <c r="A2777">
        <f>'OPEN FOREIGN ORDER'!D2403</f>
        <v>0</v>
      </c>
      <c r="B2777">
        <f>'OPEN FOREIGN ORDER'!F2403</f>
        <v>0</v>
      </c>
      <c r="C2777">
        <f>'OPEN FOREIGN ORDER'!Z2403</f>
        <v>0</v>
      </c>
      <c r="D2777" s="123">
        <f>'OPEN FOREIGN ORDER'!AA2403</f>
        <v>0</v>
      </c>
      <c r="E2777" s="112">
        <f>'OPEN FOREIGN ORDER'!AB2403</f>
        <v>0</v>
      </c>
      <c r="F2777" s="112">
        <f>'OPEN FOREIGN ORDER'!AC2403</f>
        <v>0</v>
      </c>
      <c r="G2777" s="112">
        <f>'OPEN FOREIGN ORDER'!AD2403</f>
        <v>0</v>
      </c>
      <c r="H2777" s="112">
        <f>'OPEN FOREIGN ORDER'!AE2403</f>
        <v>0</v>
      </c>
      <c r="I2777" s="112">
        <f>'OPEN FOREIGN ORDER'!AF2403</f>
        <v>0</v>
      </c>
      <c r="J2777" s="112">
        <f>'OPEN FOREIGN ORDER'!AG2403</f>
        <v>0</v>
      </c>
    </row>
    <row r="2778" spans="1:10">
      <c r="A2778">
        <f>'OPEN FOREIGN ORDER'!D2404</f>
        <v>0</v>
      </c>
      <c r="B2778">
        <f>'OPEN FOREIGN ORDER'!F2404</f>
        <v>0</v>
      </c>
      <c r="C2778">
        <f>'OPEN FOREIGN ORDER'!Z2404</f>
        <v>0</v>
      </c>
      <c r="D2778" s="123">
        <f>'OPEN FOREIGN ORDER'!AA2404</f>
        <v>0</v>
      </c>
      <c r="E2778" s="112">
        <f>'OPEN FOREIGN ORDER'!AB2404</f>
        <v>0</v>
      </c>
      <c r="F2778" s="112">
        <f>'OPEN FOREIGN ORDER'!AC2404</f>
        <v>0</v>
      </c>
      <c r="G2778" s="112">
        <f>'OPEN FOREIGN ORDER'!AD2404</f>
        <v>0</v>
      </c>
      <c r="H2778" s="112">
        <f>'OPEN FOREIGN ORDER'!AE2404</f>
        <v>0</v>
      </c>
      <c r="I2778" s="112">
        <f>'OPEN FOREIGN ORDER'!AF2404</f>
        <v>0</v>
      </c>
      <c r="J2778" s="112">
        <f>'OPEN FOREIGN ORDER'!AG2404</f>
        <v>0</v>
      </c>
    </row>
    <row r="2779" spans="1:10">
      <c r="A2779">
        <f>'OPEN FOREIGN ORDER'!D2405</f>
        <v>0</v>
      </c>
      <c r="B2779">
        <f>'OPEN FOREIGN ORDER'!F2405</f>
        <v>0</v>
      </c>
      <c r="C2779">
        <f>'OPEN FOREIGN ORDER'!Z2405</f>
        <v>0</v>
      </c>
      <c r="D2779" s="123">
        <f>'OPEN FOREIGN ORDER'!AA2405</f>
        <v>0</v>
      </c>
      <c r="E2779" s="112">
        <f>'OPEN FOREIGN ORDER'!AB2405</f>
        <v>0</v>
      </c>
      <c r="F2779" s="112">
        <f>'OPEN FOREIGN ORDER'!AC2405</f>
        <v>0</v>
      </c>
      <c r="G2779" s="112">
        <f>'OPEN FOREIGN ORDER'!AD2405</f>
        <v>0</v>
      </c>
      <c r="H2779" s="112">
        <f>'OPEN FOREIGN ORDER'!AE2405</f>
        <v>0</v>
      </c>
      <c r="I2779" s="112">
        <f>'OPEN FOREIGN ORDER'!AF2405</f>
        <v>0</v>
      </c>
      <c r="J2779" s="112">
        <f>'OPEN FOREIGN ORDER'!AG2405</f>
        <v>0</v>
      </c>
    </row>
    <row r="2780" spans="1:10">
      <c r="A2780">
        <f>'OPEN FOREIGN ORDER'!D2406</f>
        <v>0</v>
      </c>
      <c r="B2780">
        <f>'OPEN FOREIGN ORDER'!F2406</f>
        <v>0</v>
      </c>
      <c r="C2780">
        <f>'OPEN FOREIGN ORDER'!Z2406</f>
        <v>0</v>
      </c>
      <c r="D2780" s="123">
        <f>'OPEN FOREIGN ORDER'!AA2406</f>
        <v>0</v>
      </c>
      <c r="E2780" s="112">
        <f>'OPEN FOREIGN ORDER'!AB2406</f>
        <v>0</v>
      </c>
      <c r="F2780" s="112">
        <f>'OPEN FOREIGN ORDER'!AC2406</f>
        <v>0</v>
      </c>
      <c r="G2780" s="112">
        <f>'OPEN FOREIGN ORDER'!AD2406</f>
        <v>0</v>
      </c>
      <c r="H2780" s="112">
        <f>'OPEN FOREIGN ORDER'!AE2406</f>
        <v>0</v>
      </c>
      <c r="I2780" s="112">
        <f>'OPEN FOREIGN ORDER'!AF2406</f>
        <v>0</v>
      </c>
      <c r="J2780" s="112">
        <f>'OPEN FOREIGN ORDER'!AG2406</f>
        <v>0</v>
      </c>
    </row>
    <row r="2781" spans="1:10">
      <c r="A2781">
        <f>'OPEN FOREIGN ORDER'!D2407</f>
        <v>0</v>
      </c>
      <c r="B2781">
        <f>'OPEN FOREIGN ORDER'!F2407</f>
        <v>0</v>
      </c>
      <c r="C2781">
        <f>'OPEN FOREIGN ORDER'!Z2407</f>
        <v>0</v>
      </c>
      <c r="D2781" s="123">
        <f>'OPEN FOREIGN ORDER'!AA2407</f>
        <v>0</v>
      </c>
      <c r="E2781" s="112">
        <f>'OPEN FOREIGN ORDER'!AB2407</f>
        <v>0</v>
      </c>
      <c r="F2781" s="112">
        <f>'OPEN FOREIGN ORDER'!AC2407</f>
        <v>0</v>
      </c>
      <c r="G2781" s="112">
        <f>'OPEN FOREIGN ORDER'!AD2407</f>
        <v>0</v>
      </c>
      <c r="H2781" s="112">
        <f>'OPEN FOREIGN ORDER'!AE2407</f>
        <v>0</v>
      </c>
      <c r="I2781" s="112">
        <f>'OPEN FOREIGN ORDER'!AF2407</f>
        <v>0</v>
      </c>
      <c r="J2781" s="112">
        <f>'OPEN FOREIGN ORDER'!AG2407</f>
        <v>0</v>
      </c>
    </row>
    <row r="2782" spans="1:10">
      <c r="A2782">
        <f>'OPEN FOREIGN ORDER'!D2408</f>
        <v>0</v>
      </c>
      <c r="B2782">
        <f>'OPEN FOREIGN ORDER'!F2408</f>
        <v>0</v>
      </c>
      <c r="C2782">
        <f>'OPEN FOREIGN ORDER'!Z2408</f>
        <v>0</v>
      </c>
      <c r="D2782" s="123">
        <f>'OPEN FOREIGN ORDER'!AA2408</f>
        <v>0</v>
      </c>
      <c r="E2782" s="112">
        <f>'OPEN FOREIGN ORDER'!AB2408</f>
        <v>0</v>
      </c>
      <c r="F2782" s="112">
        <f>'OPEN FOREIGN ORDER'!AC2408</f>
        <v>0</v>
      </c>
      <c r="G2782" s="112">
        <f>'OPEN FOREIGN ORDER'!AD2408</f>
        <v>0</v>
      </c>
      <c r="H2782" s="112">
        <f>'OPEN FOREIGN ORDER'!AE2408</f>
        <v>0</v>
      </c>
      <c r="I2782" s="112">
        <f>'OPEN FOREIGN ORDER'!AF2408</f>
        <v>0</v>
      </c>
      <c r="J2782" s="112">
        <f>'OPEN FOREIGN ORDER'!AG2408</f>
        <v>0</v>
      </c>
    </row>
    <row r="2783" spans="1:10">
      <c r="A2783">
        <f>'OPEN FOREIGN ORDER'!D2409</f>
        <v>0</v>
      </c>
      <c r="B2783">
        <f>'OPEN FOREIGN ORDER'!F2409</f>
        <v>0</v>
      </c>
      <c r="C2783">
        <f>'OPEN FOREIGN ORDER'!Z2409</f>
        <v>0</v>
      </c>
      <c r="D2783" s="123">
        <f>'OPEN FOREIGN ORDER'!AA2409</f>
        <v>0</v>
      </c>
      <c r="E2783" s="112">
        <f>'OPEN FOREIGN ORDER'!AB2409</f>
        <v>0</v>
      </c>
      <c r="F2783" s="112">
        <f>'OPEN FOREIGN ORDER'!AC2409</f>
        <v>0</v>
      </c>
      <c r="G2783" s="112">
        <f>'OPEN FOREIGN ORDER'!AD2409</f>
        <v>0</v>
      </c>
      <c r="H2783" s="112">
        <f>'OPEN FOREIGN ORDER'!AE2409</f>
        <v>0</v>
      </c>
      <c r="I2783" s="112">
        <f>'OPEN FOREIGN ORDER'!AF2409</f>
        <v>0</v>
      </c>
      <c r="J2783" s="112">
        <f>'OPEN FOREIGN ORDER'!AG2409</f>
        <v>0</v>
      </c>
    </row>
    <row r="2784" spans="1:10">
      <c r="A2784">
        <f>'OPEN FOREIGN ORDER'!D2410</f>
        <v>0</v>
      </c>
      <c r="B2784">
        <f>'OPEN FOREIGN ORDER'!F2410</f>
        <v>0</v>
      </c>
      <c r="C2784">
        <f>'OPEN FOREIGN ORDER'!Z2410</f>
        <v>0</v>
      </c>
      <c r="D2784" s="123">
        <f>'OPEN FOREIGN ORDER'!AA2410</f>
        <v>0</v>
      </c>
      <c r="E2784" s="112">
        <f>'OPEN FOREIGN ORDER'!AB2410</f>
        <v>0</v>
      </c>
      <c r="F2784" s="112">
        <f>'OPEN FOREIGN ORDER'!AC2410</f>
        <v>0</v>
      </c>
      <c r="G2784" s="112">
        <f>'OPEN FOREIGN ORDER'!AD2410</f>
        <v>0</v>
      </c>
      <c r="H2784" s="112">
        <f>'OPEN FOREIGN ORDER'!AE2410</f>
        <v>0</v>
      </c>
      <c r="I2784" s="112">
        <f>'OPEN FOREIGN ORDER'!AF2410</f>
        <v>0</v>
      </c>
      <c r="J2784" s="112">
        <f>'OPEN FOREIGN ORDER'!AG2410</f>
        <v>0</v>
      </c>
    </row>
    <row r="2785" spans="1:10">
      <c r="A2785">
        <f>'OPEN FOREIGN ORDER'!D2411</f>
        <v>0</v>
      </c>
      <c r="B2785">
        <f>'OPEN FOREIGN ORDER'!F2411</f>
        <v>0</v>
      </c>
      <c r="C2785">
        <f>'OPEN FOREIGN ORDER'!Z2411</f>
        <v>0</v>
      </c>
      <c r="D2785" s="123">
        <f>'OPEN FOREIGN ORDER'!AA2411</f>
        <v>0</v>
      </c>
      <c r="E2785" s="112">
        <f>'OPEN FOREIGN ORDER'!AB2411</f>
        <v>0</v>
      </c>
      <c r="F2785" s="112">
        <f>'OPEN FOREIGN ORDER'!AC2411</f>
        <v>0</v>
      </c>
      <c r="G2785" s="112">
        <f>'OPEN FOREIGN ORDER'!AD2411</f>
        <v>0</v>
      </c>
      <c r="H2785" s="112">
        <f>'OPEN FOREIGN ORDER'!AE2411</f>
        <v>0</v>
      </c>
      <c r="I2785" s="112">
        <f>'OPEN FOREIGN ORDER'!AF2411</f>
        <v>0</v>
      </c>
      <c r="J2785" s="112">
        <f>'OPEN FOREIGN ORDER'!AG2411</f>
        <v>0</v>
      </c>
    </row>
    <row r="2786" spans="1:10">
      <c r="A2786">
        <f>'OPEN FOREIGN ORDER'!D2412</f>
        <v>0</v>
      </c>
      <c r="B2786">
        <f>'OPEN FOREIGN ORDER'!F2412</f>
        <v>0</v>
      </c>
      <c r="C2786">
        <f>'OPEN FOREIGN ORDER'!Z2412</f>
        <v>0</v>
      </c>
      <c r="D2786" s="123">
        <f>'OPEN FOREIGN ORDER'!AA2412</f>
        <v>0</v>
      </c>
      <c r="E2786" s="112">
        <f>'OPEN FOREIGN ORDER'!AB2412</f>
        <v>0</v>
      </c>
      <c r="F2786" s="112">
        <f>'OPEN FOREIGN ORDER'!AC2412</f>
        <v>0</v>
      </c>
      <c r="G2786" s="112">
        <f>'OPEN FOREIGN ORDER'!AD2412</f>
        <v>0</v>
      </c>
      <c r="H2786" s="112">
        <f>'OPEN FOREIGN ORDER'!AE2412</f>
        <v>0</v>
      </c>
      <c r="I2786" s="112">
        <f>'OPEN FOREIGN ORDER'!AF2412</f>
        <v>0</v>
      </c>
      <c r="J2786" s="112">
        <f>'OPEN FOREIGN ORDER'!AG2412</f>
        <v>0</v>
      </c>
    </row>
    <row r="2787" spans="1:10">
      <c r="A2787">
        <f>'OPEN FOREIGN ORDER'!D2413</f>
        <v>0</v>
      </c>
      <c r="B2787">
        <f>'OPEN FOREIGN ORDER'!F2413</f>
        <v>0</v>
      </c>
      <c r="C2787">
        <f>'OPEN FOREIGN ORDER'!Z2413</f>
        <v>0</v>
      </c>
      <c r="D2787" s="123">
        <f>'OPEN FOREIGN ORDER'!AA2413</f>
        <v>0</v>
      </c>
      <c r="E2787" s="112">
        <f>'OPEN FOREIGN ORDER'!AB2413</f>
        <v>0</v>
      </c>
      <c r="F2787" s="112">
        <f>'OPEN FOREIGN ORDER'!AC2413</f>
        <v>0</v>
      </c>
      <c r="G2787" s="112">
        <f>'OPEN FOREIGN ORDER'!AD2413</f>
        <v>0</v>
      </c>
      <c r="H2787" s="112">
        <f>'OPEN FOREIGN ORDER'!AE2413</f>
        <v>0</v>
      </c>
      <c r="I2787" s="112">
        <f>'OPEN FOREIGN ORDER'!AF2413</f>
        <v>0</v>
      </c>
      <c r="J2787" s="112">
        <f>'OPEN FOREIGN ORDER'!AG2413</f>
        <v>0</v>
      </c>
    </row>
    <row r="2788" spans="1:10">
      <c r="A2788">
        <f>'OPEN FOREIGN ORDER'!D2414</f>
        <v>0</v>
      </c>
      <c r="B2788">
        <f>'OPEN FOREIGN ORDER'!F2414</f>
        <v>0</v>
      </c>
      <c r="C2788">
        <f>'OPEN FOREIGN ORDER'!Z2414</f>
        <v>0</v>
      </c>
      <c r="D2788" s="123">
        <f>'OPEN FOREIGN ORDER'!AA2414</f>
        <v>0</v>
      </c>
      <c r="E2788" s="112">
        <f>'OPEN FOREIGN ORDER'!AB2414</f>
        <v>0</v>
      </c>
      <c r="F2788" s="112">
        <f>'OPEN FOREIGN ORDER'!AC2414</f>
        <v>0</v>
      </c>
      <c r="G2788" s="112">
        <f>'OPEN FOREIGN ORDER'!AD2414</f>
        <v>0</v>
      </c>
      <c r="H2788" s="112">
        <f>'OPEN FOREIGN ORDER'!AE2414</f>
        <v>0</v>
      </c>
      <c r="I2788" s="112">
        <f>'OPEN FOREIGN ORDER'!AF2414</f>
        <v>0</v>
      </c>
      <c r="J2788" s="112">
        <f>'OPEN FOREIGN ORDER'!AG2414</f>
        <v>0</v>
      </c>
    </row>
    <row r="2789" spans="1:10">
      <c r="A2789">
        <f>'OPEN FOREIGN ORDER'!D2415</f>
        <v>0</v>
      </c>
      <c r="B2789">
        <f>'OPEN FOREIGN ORDER'!F2415</f>
        <v>0</v>
      </c>
      <c r="C2789">
        <f>'OPEN FOREIGN ORDER'!Z2415</f>
        <v>0</v>
      </c>
      <c r="D2789" s="123">
        <f>'OPEN FOREIGN ORDER'!AA2415</f>
        <v>0</v>
      </c>
      <c r="E2789" s="112">
        <f>'OPEN FOREIGN ORDER'!AB2415</f>
        <v>0</v>
      </c>
      <c r="F2789" s="112">
        <f>'OPEN FOREIGN ORDER'!AC2415</f>
        <v>0</v>
      </c>
      <c r="G2789" s="112">
        <f>'OPEN FOREIGN ORDER'!AD2415</f>
        <v>0</v>
      </c>
      <c r="H2789" s="112">
        <f>'OPEN FOREIGN ORDER'!AE2415</f>
        <v>0</v>
      </c>
      <c r="I2789" s="112">
        <f>'OPEN FOREIGN ORDER'!AF2415</f>
        <v>0</v>
      </c>
      <c r="J2789" s="112">
        <f>'OPEN FOREIGN ORDER'!AG2415</f>
        <v>0</v>
      </c>
    </row>
    <row r="2790" spans="1:10">
      <c r="A2790">
        <f>'OPEN FOREIGN ORDER'!D2416</f>
        <v>0</v>
      </c>
      <c r="B2790">
        <f>'OPEN FOREIGN ORDER'!F2416</f>
        <v>0</v>
      </c>
      <c r="C2790">
        <f>'OPEN FOREIGN ORDER'!Z2416</f>
        <v>0</v>
      </c>
      <c r="D2790" s="123">
        <f>'OPEN FOREIGN ORDER'!AA2416</f>
        <v>0</v>
      </c>
      <c r="E2790" s="112">
        <f>'OPEN FOREIGN ORDER'!AB2416</f>
        <v>0</v>
      </c>
      <c r="F2790" s="112">
        <f>'OPEN FOREIGN ORDER'!AC2416</f>
        <v>0</v>
      </c>
      <c r="G2790" s="112">
        <f>'OPEN FOREIGN ORDER'!AD2416</f>
        <v>0</v>
      </c>
      <c r="H2790" s="112">
        <f>'OPEN FOREIGN ORDER'!AE2416</f>
        <v>0</v>
      </c>
      <c r="I2790" s="112">
        <f>'OPEN FOREIGN ORDER'!AF2416</f>
        <v>0</v>
      </c>
      <c r="J2790" s="112">
        <f>'OPEN FOREIGN ORDER'!AG2416</f>
        <v>0</v>
      </c>
    </row>
    <row r="2791" spans="1:10">
      <c r="A2791">
        <f>'OPEN FOREIGN ORDER'!D2417</f>
        <v>0</v>
      </c>
      <c r="B2791">
        <f>'OPEN FOREIGN ORDER'!F2417</f>
        <v>0</v>
      </c>
      <c r="C2791">
        <f>'OPEN FOREIGN ORDER'!Z2417</f>
        <v>0</v>
      </c>
      <c r="D2791" s="123">
        <f>'OPEN FOREIGN ORDER'!AA2417</f>
        <v>0</v>
      </c>
      <c r="E2791" s="112">
        <f>'OPEN FOREIGN ORDER'!AB2417</f>
        <v>0</v>
      </c>
      <c r="F2791" s="112">
        <f>'OPEN FOREIGN ORDER'!AC2417</f>
        <v>0</v>
      </c>
      <c r="G2791" s="112">
        <f>'OPEN FOREIGN ORDER'!AD2417</f>
        <v>0</v>
      </c>
      <c r="H2791" s="112">
        <f>'OPEN FOREIGN ORDER'!AE2417</f>
        <v>0</v>
      </c>
      <c r="I2791" s="112">
        <f>'OPEN FOREIGN ORDER'!AF2417</f>
        <v>0</v>
      </c>
      <c r="J2791" s="112">
        <f>'OPEN FOREIGN ORDER'!AG2417</f>
        <v>0</v>
      </c>
    </row>
    <row r="2792" spans="1:10">
      <c r="A2792">
        <f>'OPEN FOREIGN ORDER'!D2418</f>
        <v>0</v>
      </c>
      <c r="B2792">
        <f>'OPEN FOREIGN ORDER'!F2418</f>
        <v>0</v>
      </c>
      <c r="C2792">
        <f>'OPEN FOREIGN ORDER'!Z2418</f>
        <v>0</v>
      </c>
      <c r="D2792" s="123">
        <f>'OPEN FOREIGN ORDER'!AA2418</f>
        <v>0</v>
      </c>
      <c r="E2792" s="112">
        <f>'OPEN FOREIGN ORDER'!AB2418</f>
        <v>0</v>
      </c>
      <c r="F2792" s="112">
        <f>'OPEN FOREIGN ORDER'!AC2418</f>
        <v>0</v>
      </c>
      <c r="G2792" s="112">
        <f>'OPEN FOREIGN ORDER'!AD2418</f>
        <v>0</v>
      </c>
      <c r="H2792" s="112">
        <f>'OPEN FOREIGN ORDER'!AE2418</f>
        <v>0</v>
      </c>
      <c r="I2792" s="112">
        <f>'OPEN FOREIGN ORDER'!AF2418</f>
        <v>0</v>
      </c>
      <c r="J2792" s="112">
        <f>'OPEN FOREIGN ORDER'!AG2418</f>
        <v>0</v>
      </c>
    </row>
    <row r="2793" spans="1:10">
      <c r="A2793">
        <f>'OPEN FOREIGN ORDER'!D2419</f>
        <v>0</v>
      </c>
      <c r="B2793">
        <f>'OPEN FOREIGN ORDER'!F2419</f>
        <v>0</v>
      </c>
      <c r="C2793">
        <f>'OPEN FOREIGN ORDER'!Z2419</f>
        <v>0</v>
      </c>
      <c r="D2793" s="123">
        <f>'OPEN FOREIGN ORDER'!AA2419</f>
        <v>0</v>
      </c>
      <c r="E2793" s="112">
        <f>'OPEN FOREIGN ORDER'!AB2419</f>
        <v>0</v>
      </c>
      <c r="F2793" s="112">
        <f>'OPEN FOREIGN ORDER'!AC2419</f>
        <v>0</v>
      </c>
      <c r="G2793" s="112">
        <f>'OPEN FOREIGN ORDER'!AD2419</f>
        <v>0</v>
      </c>
      <c r="H2793" s="112">
        <f>'OPEN FOREIGN ORDER'!AE2419</f>
        <v>0</v>
      </c>
      <c r="I2793" s="112">
        <f>'OPEN FOREIGN ORDER'!AF2419</f>
        <v>0</v>
      </c>
      <c r="J2793" s="112">
        <f>'OPEN FOREIGN ORDER'!AG2419</f>
        <v>0</v>
      </c>
    </row>
    <row r="2794" spans="1:10">
      <c r="A2794">
        <f>'OPEN FOREIGN ORDER'!D2420</f>
        <v>0</v>
      </c>
      <c r="B2794">
        <f>'OPEN FOREIGN ORDER'!F2420</f>
        <v>0</v>
      </c>
      <c r="C2794">
        <f>'OPEN FOREIGN ORDER'!Z2420</f>
        <v>0</v>
      </c>
      <c r="D2794" s="123">
        <f>'OPEN FOREIGN ORDER'!AA2420</f>
        <v>0</v>
      </c>
      <c r="E2794" s="112">
        <f>'OPEN FOREIGN ORDER'!AB2420</f>
        <v>0</v>
      </c>
      <c r="F2794" s="112">
        <f>'OPEN FOREIGN ORDER'!AC2420</f>
        <v>0</v>
      </c>
      <c r="G2794" s="112">
        <f>'OPEN FOREIGN ORDER'!AD2420</f>
        <v>0</v>
      </c>
      <c r="H2794" s="112">
        <f>'OPEN FOREIGN ORDER'!AE2420</f>
        <v>0</v>
      </c>
      <c r="I2794" s="112">
        <f>'OPEN FOREIGN ORDER'!AF2420</f>
        <v>0</v>
      </c>
      <c r="J2794" s="112">
        <f>'OPEN FOREIGN ORDER'!AG2420</f>
        <v>0</v>
      </c>
    </row>
    <row r="2795" spans="1:10">
      <c r="A2795">
        <f>'OPEN FOREIGN ORDER'!D2421</f>
        <v>0</v>
      </c>
      <c r="B2795">
        <f>'OPEN FOREIGN ORDER'!F2421</f>
        <v>0</v>
      </c>
      <c r="C2795">
        <f>'OPEN FOREIGN ORDER'!Z2421</f>
        <v>0</v>
      </c>
      <c r="D2795" s="123">
        <f>'OPEN FOREIGN ORDER'!AA2421</f>
        <v>0</v>
      </c>
      <c r="E2795" s="112">
        <f>'OPEN FOREIGN ORDER'!AB2421</f>
        <v>0</v>
      </c>
      <c r="F2795" s="112">
        <f>'OPEN FOREIGN ORDER'!AC2421</f>
        <v>0</v>
      </c>
      <c r="G2795" s="112">
        <f>'OPEN FOREIGN ORDER'!AD2421</f>
        <v>0</v>
      </c>
      <c r="H2795" s="112">
        <f>'OPEN FOREIGN ORDER'!AE2421</f>
        <v>0</v>
      </c>
      <c r="I2795" s="112">
        <f>'OPEN FOREIGN ORDER'!AF2421</f>
        <v>0</v>
      </c>
      <c r="J2795" s="112">
        <f>'OPEN FOREIGN ORDER'!AG2421</f>
        <v>0</v>
      </c>
    </row>
    <row r="2796" spans="1:10">
      <c r="A2796">
        <f>'OPEN FOREIGN ORDER'!D2422</f>
        <v>0</v>
      </c>
      <c r="B2796">
        <f>'OPEN FOREIGN ORDER'!F2422</f>
        <v>0</v>
      </c>
      <c r="C2796">
        <f>'OPEN FOREIGN ORDER'!Z2422</f>
        <v>0</v>
      </c>
      <c r="D2796" s="123">
        <f>'OPEN FOREIGN ORDER'!AA2422</f>
        <v>0</v>
      </c>
      <c r="E2796" s="112">
        <f>'OPEN FOREIGN ORDER'!AB2422</f>
        <v>0</v>
      </c>
      <c r="F2796" s="112">
        <f>'OPEN FOREIGN ORDER'!AC2422</f>
        <v>0</v>
      </c>
      <c r="G2796" s="112">
        <f>'OPEN FOREIGN ORDER'!AD2422</f>
        <v>0</v>
      </c>
      <c r="H2796" s="112">
        <f>'OPEN FOREIGN ORDER'!AE2422</f>
        <v>0</v>
      </c>
      <c r="I2796" s="112">
        <f>'OPEN FOREIGN ORDER'!AF2422</f>
        <v>0</v>
      </c>
      <c r="J2796" s="112">
        <f>'OPEN FOREIGN ORDER'!AG2422</f>
        <v>0</v>
      </c>
    </row>
    <row r="2797" spans="1:10">
      <c r="A2797">
        <f>'OPEN FOREIGN ORDER'!D2423</f>
        <v>0</v>
      </c>
      <c r="B2797">
        <f>'OPEN FOREIGN ORDER'!F2423</f>
        <v>0</v>
      </c>
      <c r="C2797">
        <f>'OPEN FOREIGN ORDER'!Z2423</f>
        <v>0</v>
      </c>
      <c r="D2797" s="123">
        <f>'OPEN FOREIGN ORDER'!AA2423</f>
        <v>0</v>
      </c>
      <c r="E2797" s="112">
        <f>'OPEN FOREIGN ORDER'!AB2423</f>
        <v>0</v>
      </c>
      <c r="F2797" s="112">
        <f>'OPEN FOREIGN ORDER'!AC2423</f>
        <v>0</v>
      </c>
      <c r="G2797" s="112">
        <f>'OPEN FOREIGN ORDER'!AD2423</f>
        <v>0</v>
      </c>
      <c r="H2797" s="112">
        <f>'OPEN FOREIGN ORDER'!AE2423</f>
        <v>0</v>
      </c>
      <c r="I2797" s="112">
        <f>'OPEN FOREIGN ORDER'!AF2423</f>
        <v>0</v>
      </c>
      <c r="J2797" s="112">
        <f>'OPEN FOREIGN ORDER'!AG2423</f>
        <v>0</v>
      </c>
    </row>
    <row r="2798" spans="1:10">
      <c r="A2798">
        <f>'OPEN FOREIGN ORDER'!D2424</f>
        <v>0</v>
      </c>
      <c r="B2798">
        <f>'OPEN FOREIGN ORDER'!F2424</f>
        <v>0</v>
      </c>
      <c r="C2798">
        <f>'OPEN FOREIGN ORDER'!Z2424</f>
        <v>0</v>
      </c>
      <c r="D2798" s="123">
        <f>'OPEN FOREIGN ORDER'!AA2424</f>
        <v>0</v>
      </c>
      <c r="E2798" s="112">
        <f>'OPEN FOREIGN ORDER'!AB2424</f>
        <v>0</v>
      </c>
      <c r="F2798" s="112">
        <f>'OPEN FOREIGN ORDER'!AC2424</f>
        <v>0</v>
      </c>
      <c r="G2798" s="112">
        <f>'OPEN FOREIGN ORDER'!AD2424</f>
        <v>0</v>
      </c>
      <c r="H2798" s="112">
        <f>'OPEN FOREIGN ORDER'!AE2424</f>
        <v>0</v>
      </c>
      <c r="I2798" s="112">
        <f>'OPEN FOREIGN ORDER'!AF2424</f>
        <v>0</v>
      </c>
      <c r="J2798" s="112">
        <f>'OPEN FOREIGN ORDER'!AG2424</f>
        <v>0</v>
      </c>
    </row>
    <row r="2799" spans="1:10">
      <c r="A2799">
        <f>'OPEN FOREIGN ORDER'!D2425</f>
        <v>0</v>
      </c>
      <c r="B2799">
        <f>'OPEN FOREIGN ORDER'!F2425</f>
        <v>0</v>
      </c>
      <c r="C2799">
        <f>'OPEN FOREIGN ORDER'!Z2425</f>
        <v>0</v>
      </c>
      <c r="D2799" s="123">
        <f>'OPEN FOREIGN ORDER'!AA2425</f>
        <v>0</v>
      </c>
      <c r="E2799" s="112">
        <f>'OPEN FOREIGN ORDER'!AB2425</f>
        <v>0</v>
      </c>
      <c r="F2799" s="112">
        <f>'OPEN FOREIGN ORDER'!AC2425</f>
        <v>0</v>
      </c>
      <c r="G2799" s="112">
        <f>'OPEN FOREIGN ORDER'!AD2425</f>
        <v>0</v>
      </c>
      <c r="H2799" s="112">
        <f>'OPEN FOREIGN ORDER'!AE2425</f>
        <v>0</v>
      </c>
      <c r="I2799" s="112">
        <f>'OPEN FOREIGN ORDER'!AF2425</f>
        <v>0</v>
      </c>
      <c r="J2799" s="112">
        <f>'OPEN FOREIGN ORDER'!AG2425</f>
        <v>0</v>
      </c>
    </row>
    <row r="2800" spans="1:10">
      <c r="A2800">
        <f>'OPEN FOREIGN ORDER'!D2426</f>
        <v>0</v>
      </c>
      <c r="B2800">
        <f>'OPEN FOREIGN ORDER'!F2426</f>
        <v>0</v>
      </c>
      <c r="C2800">
        <f>'OPEN FOREIGN ORDER'!Z2426</f>
        <v>0</v>
      </c>
      <c r="D2800" s="123">
        <f>'OPEN FOREIGN ORDER'!AA2426</f>
        <v>0</v>
      </c>
      <c r="E2800" s="112">
        <f>'OPEN FOREIGN ORDER'!AB2426</f>
        <v>0</v>
      </c>
      <c r="F2800" s="112">
        <f>'OPEN FOREIGN ORDER'!AC2426</f>
        <v>0</v>
      </c>
      <c r="G2800" s="112">
        <f>'OPEN FOREIGN ORDER'!AD2426</f>
        <v>0</v>
      </c>
      <c r="H2800" s="112">
        <f>'OPEN FOREIGN ORDER'!AE2426</f>
        <v>0</v>
      </c>
      <c r="I2800" s="112">
        <f>'OPEN FOREIGN ORDER'!AF2426</f>
        <v>0</v>
      </c>
      <c r="J2800" s="112">
        <f>'OPEN FOREIGN ORDER'!AG2426</f>
        <v>0</v>
      </c>
    </row>
    <row r="2801" spans="1:10">
      <c r="A2801">
        <f>'OPEN FOREIGN ORDER'!D2427</f>
        <v>0</v>
      </c>
      <c r="B2801">
        <f>'OPEN FOREIGN ORDER'!F2427</f>
        <v>0</v>
      </c>
      <c r="C2801">
        <f>'OPEN FOREIGN ORDER'!Z2427</f>
        <v>0</v>
      </c>
      <c r="D2801" s="123">
        <f>'OPEN FOREIGN ORDER'!AA2427</f>
        <v>0</v>
      </c>
      <c r="E2801" s="112">
        <f>'OPEN FOREIGN ORDER'!AB2427</f>
        <v>0</v>
      </c>
      <c r="F2801" s="112">
        <f>'OPEN FOREIGN ORDER'!AC2427</f>
        <v>0</v>
      </c>
      <c r="G2801" s="112">
        <f>'OPEN FOREIGN ORDER'!AD2427</f>
        <v>0</v>
      </c>
      <c r="H2801" s="112">
        <f>'OPEN FOREIGN ORDER'!AE2427</f>
        <v>0</v>
      </c>
      <c r="I2801" s="112">
        <f>'OPEN FOREIGN ORDER'!AF2427</f>
        <v>0</v>
      </c>
      <c r="J2801" s="112">
        <f>'OPEN FOREIGN ORDER'!AG2427</f>
        <v>0</v>
      </c>
    </row>
    <row r="2802" spans="1:10">
      <c r="A2802">
        <f>'OPEN FOREIGN ORDER'!D2428</f>
        <v>0</v>
      </c>
      <c r="B2802">
        <f>'OPEN FOREIGN ORDER'!F2428</f>
        <v>0</v>
      </c>
      <c r="C2802">
        <f>'OPEN FOREIGN ORDER'!Z2428</f>
        <v>0</v>
      </c>
      <c r="D2802" s="123">
        <f>'OPEN FOREIGN ORDER'!AA2428</f>
        <v>0</v>
      </c>
      <c r="E2802" s="112">
        <f>'OPEN FOREIGN ORDER'!AB2428</f>
        <v>0</v>
      </c>
      <c r="F2802" s="112">
        <f>'OPEN FOREIGN ORDER'!AC2428</f>
        <v>0</v>
      </c>
      <c r="G2802" s="112">
        <f>'OPEN FOREIGN ORDER'!AD2428</f>
        <v>0</v>
      </c>
      <c r="H2802" s="112">
        <f>'OPEN FOREIGN ORDER'!AE2428</f>
        <v>0</v>
      </c>
      <c r="I2802" s="112">
        <f>'OPEN FOREIGN ORDER'!AF2428</f>
        <v>0</v>
      </c>
      <c r="J2802" s="112">
        <f>'OPEN FOREIGN ORDER'!AG2428</f>
        <v>0</v>
      </c>
    </row>
    <row r="2803" spans="1:10">
      <c r="A2803">
        <f>'OPEN FOREIGN ORDER'!D2429</f>
        <v>0</v>
      </c>
      <c r="B2803">
        <f>'OPEN FOREIGN ORDER'!F2429</f>
        <v>0</v>
      </c>
      <c r="C2803">
        <f>'OPEN FOREIGN ORDER'!Z2429</f>
        <v>0</v>
      </c>
      <c r="D2803" s="123">
        <f>'OPEN FOREIGN ORDER'!AA2429</f>
        <v>0</v>
      </c>
      <c r="E2803" s="112">
        <f>'OPEN FOREIGN ORDER'!AB2429</f>
        <v>0</v>
      </c>
      <c r="F2803" s="112">
        <f>'OPEN FOREIGN ORDER'!AC2429</f>
        <v>0</v>
      </c>
      <c r="G2803" s="112">
        <f>'OPEN FOREIGN ORDER'!AD2429</f>
        <v>0</v>
      </c>
      <c r="H2803" s="112">
        <f>'OPEN FOREIGN ORDER'!AE2429</f>
        <v>0</v>
      </c>
      <c r="I2803" s="112">
        <f>'OPEN FOREIGN ORDER'!AF2429</f>
        <v>0</v>
      </c>
      <c r="J2803" s="112">
        <f>'OPEN FOREIGN ORDER'!AG2429</f>
        <v>0</v>
      </c>
    </row>
    <row r="2804" spans="1:10">
      <c r="A2804">
        <f>'OPEN FOREIGN ORDER'!D2430</f>
        <v>0</v>
      </c>
      <c r="B2804">
        <f>'OPEN FOREIGN ORDER'!F2430</f>
        <v>0</v>
      </c>
      <c r="C2804">
        <f>'OPEN FOREIGN ORDER'!Z2430</f>
        <v>0</v>
      </c>
      <c r="D2804" s="123">
        <f>'OPEN FOREIGN ORDER'!AA2430</f>
        <v>0</v>
      </c>
      <c r="E2804" s="112">
        <f>'OPEN FOREIGN ORDER'!AB2430</f>
        <v>0</v>
      </c>
      <c r="F2804" s="112">
        <f>'OPEN FOREIGN ORDER'!AC2430</f>
        <v>0</v>
      </c>
      <c r="G2804" s="112">
        <f>'OPEN FOREIGN ORDER'!AD2430</f>
        <v>0</v>
      </c>
      <c r="H2804" s="112">
        <f>'OPEN FOREIGN ORDER'!AE2430</f>
        <v>0</v>
      </c>
      <c r="I2804" s="112">
        <f>'OPEN FOREIGN ORDER'!AF2430</f>
        <v>0</v>
      </c>
      <c r="J2804" s="112">
        <f>'OPEN FOREIGN ORDER'!AG2430</f>
        <v>0</v>
      </c>
    </row>
    <row r="2805" spans="1:10">
      <c r="A2805">
        <f>'OPEN FOREIGN ORDER'!D2431</f>
        <v>0</v>
      </c>
      <c r="B2805">
        <f>'OPEN FOREIGN ORDER'!F2431</f>
        <v>0</v>
      </c>
      <c r="C2805">
        <f>'OPEN FOREIGN ORDER'!Z2431</f>
        <v>0</v>
      </c>
      <c r="D2805" s="123">
        <f>'OPEN FOREIGN ORDER'!AA2431</f>
        <v>0</v>
      </c>
      <c r="E2805" s="112">
        <f>'OPEN FOREIGN ORDER'!AB2431</f>
        <v>0</v>
      </c>
      <c r="F2805" s="112">
        <f>'OPEN FOREIGN ORDER'!AC2431</f>
        <v>0</v>
      </c>
      <c r="G2805" s="112">
        <f>'OPEN FOREIGN ORDER'!AD2431</f>
        <v>0</v>
      </c>
      <c r="H2805" s="112">
        <f>'OPEN FOREIGN ORDER'!AE2431</f>
        <v>0</v>
      </c>
      <c r="I2805" s="112">
        <f>'OPEN FOREIGN ORDER'!AF2431</f>
        <v>0</v>
      </c>
      <c r="J2805" s="112">
        <f>'OPEN FOREIGN ORDER'!AG2431</f>
        <v>0</v>
      </c>
    </row>
    <row r="2806" spans="1:10">
      <c r="A2806">
        <f>'OPEN FOREIGN ORDER'!D2432</f>
        <v>0</v>
      </c>
      <c r="B2806">
        <f>'OPEN FOREIGN ORDER'!F2432</f>
        <v>0</v>
      </c>
      <c r="C2806">
        <f>'OPEN FOREIGN ORDER'!Z2432</f>
        <v>0</v>
      </c>
      <c r="D2806" s="123">
        <f>'OPEN FOREIGN ORDER'!AA2432</f>
        <v>0</v>
      </c>
      <c r="E2806" s="112">
        <f>'OPEN FOREIGN ORDER'!AB2432</f>
        <v>0</v>
      </c>
      <c r="F2806" s="112">
        <f>'OPEN FOREIGN ORDER'!AC2432</f>
        <v>0</v>
      </c>
      <c r="G2806" s="112">
        <f>'OPEN FOREIGN ORDER'!AD2432</f>
        <v>0</v>
      </c>
      <c r="H2806" s="112">
        <f>'OPEN FOREIGN ORDER'!AE2432</f>
        <v>0</v>
      </c>
      <c r="I2806" s="112">
        <f>'OPEN FOREIGN ORDER'!AF2432</f>
        <v>0</v>
      </c>
      <c r="J2806" s="112">
        <f>'OPEN FOREIGN ORDER'!AG2432</f>
        <v>0</v>
      </c>
    </row>
    <row r="2807" spans="1:10">
      <c r="A2807">
        <f>'OPEN FOREIGN ORDER'!D2433</f>
        <v>0</v>
      </c>
      <c r="B2807">
        <f>'OPEN FOREIGN ORDER'!F2433</f>
        <v>0</v>
      </c>
      <c r="C2807">
        <f>'OPEN FOREIGN ORDER'!Z2433</f>
        <v>0</v>
      </c>
      <c r="D2807" s="123">
        <f>'OPEN FOREIGN ORDER'!AA2433</f>
        <v>0</v>
      </c>
      <c r="E2807" s="112">
        <f>'OPEN FOREIGN ORDER'!AB2433</f>
        <v>0</v>
      </c>
      <c r="F2807" s="112">
        <f>'OPEN FOREIGN ORDER'!AC2433</f>
        <v>0</v>
      </c>
      <c r="G2807" s="112">
        <f>'OPEN FOREIGN ORDER'!AD2433</f>
        <v>0</v>
      </c>
      <c r="H2807" s="112">
        <f>'OPEN FOREIGN ORDER'!AE2433</f>
        <v>0</v>
      </c>
      <c r="I2807" s="112">
        <f>'OPEN FOREIGN ORDER'!AF2433</f>
        <v>0</v>
      </c>
      <c r="J2807" s="112">
        <f>'OPEN FOREIGN ORDER'!AG2433</f>
        <v>0</v>
      </c>
    </row>
    <row r="2808" spans="1:10">
      <c r="A2808">
        <f>'OPEN FOREIGN ORDER'!D2434</f>
        <v>0</v>
      </c>
      <c r="B2808">
        <f>'OPEN FOREIGN ORDER'!F2434</f>
        <v>0</v>
      </c>
      <c r="C2808">
        <f>'OPEN FOREIGN ORDER'!Z2434</f>
        <v>0</v>
      </c>
      <c r="D2808" s="123">
        <f>'OPEN FOREIGN ORDER'!AA2434</f>
        <v>0</v>
      </c>
      <c r="E2808" s="112">
        <f>'OPEN FOREIGN ORDER'!AB2434</f>
        <v>0</v>
      </c>
      <c r="F2808" s="112">
        <f>'OPEN FOREIGN ORDER'!AC2434</f>
        <v>0</v>
      </c>
      <c r="G2808" s="112">
        <f>'OPEN FOREIGN ORDER'!AD2434</f>
        <v>0</v>
      </c>
      <c r="H2808" s="112">
        <f>'OPEN FOREIGN ORDER'!AE2434</f>
        <v>0</v>
      </c>
      <c r="I2808" s="112">
        <f>'OPEN FOREIGN ORDER'!AF2434</f>
        <v>0</v>
      </c>
      <c r="J2808" s="112">
        <f>'OPEN FOREIGN ORDER'!AG2434</f>
        <v>0</v>
      </c>
    </row>
    <row r="2809" spans="1:10">
      <c r="A2809">
        <f>'OPEN FOREIGN ORDER'!D2435</f>
        <v>0</v>
      </c>
      <c r="B2809">
        <f>'OPEN FOREIGN ORDER'!F2435</f>
        <v>0</v>
      </c>
      <c r="C2809">
        <f>'OPEN FOREIGN ORDER'!Z2435</f>
        <v>0</v>
      </c>
      <c r="D2809" s="123">
        <f>'OPEN FOREIGN ORDER'!AA2435</f>
        <v>0</v>
      </c>
      <c r="E2809" s="112">
        <f>'OPEN FOREIGN ORDER'!AB2435</f>
        <v>0</v>
      </c>
      <c r="F2809" s="112">
        <f>'OPEN FOREIGN ORDER'!AC2435</f>
        <v>0</v>
      </c>
      <c r="G2809" s="112">
        <f>'OPEN FOREIGN ORDER'!AD2435</f>
        <v>0</v>
      </c>
      <c r="H2809" s="112">
        <f>'OPEN FOREIGN ORDER'!AE2435</f>
        <v>0</v>
      </c>
      <c r="I2809" s="112">
        <f>'OPEN FOREIGN ORDER'!AF2435</f>
        <v>0</v>
      </c>
      <c r="J2809" s="112">
        <f>'OPEN FOREIGN ORDER'!AG2435</f>
        <v>0</v>
      </c>
    </row>
    <row r="2810" spans="1:10">
      <c r="A2810">
        <f>'OPEN FOREIGN ORDER'!D2436</f>
        <v>0</v>
      </c>
      <c r="B2810">
        <f>'OPEN FOREIGN ORDER'!F2436</f>
        <v>0</v>
      </c>
      <c r="C2810">
        <f>'OPEN FOREIGN ORDER'!Z2436</f>
        <v>0</v>
      </c>
      <c r="D2810" s="123">
        <f>'OPEN FOREIGN ORDER'!AA2436</f>
        <v>0</v>
      </c>
      <c r="E2810" s="112">
        <f>'OPEN FOREIGN ORDER'!AB2436</f>
        <v>0</v>
      </c>
      <c r="F2810" s="112">
        <f>'OPEN FOREIGN ORDER'!AC2436</f>
        <v>0</v>
      </c>
      <c r="G2810" s="112">
        <f>'OPEN FOREIGN ORDER'!AD2436</f>
        <v>0</v>
      </c>
      <c r="H2810" s="112">
        <f>'OPEN FOREIGN ORDER'!AE2436</f>
        <v>0</v>
      </c>
      <c r="I2810" s="112">
        <f>'OPEN FOREIGN ORDER'!AF2436</f>
        <v>0</v>
      </c>
      <c r="J2810" s="112">
        <f>'OPEN FOREIGN ORDER'!AG2436</f>
        <v>0</v>
      </c>
    </row>
    <row r="2811" spans="1:10">
      <c r="A2811">
        <f>'OPEN FOREIGN ORDER'!D2437</f>
        <v>0</v>
      </c>
      <c r="B2811">
        <f>'OPEN FOREIGN ORDER'!F2437</f>
        <v>0</v>
      </c>
      <c r="C2811">
        <f>'OPEN FOREIGN ORDER'!Z2437</f>
        <v>0</v>
      </c>
      <c r="D2811" s="123">
        <f>'OPEN FOREIGN ORDER'!AA2437</f>
        <v>0</v>
      </c>
      <c r="E2811" s="112">
        <f>'OPEN FOREIGN ORDER'!AB2437</f>
        <v>0</v>
      </c>
      <c r="F2811" s="112">
        <f>'OPEN FOREIGN ORDER'!AC2437</f>
        <v>0</v>
      </c>
      <c r="G2811" s="112">
        <f>'OPEN FOREIGN ORDER'!AD2437</f>
        <v>0</v>
      </c>
      <c r="H2811" s="112">
        <f>'OPEN FOREIGN ORDER'!AE2437</f>
        <v>0</v>
      </c>
      <c r="I2811" s="112">
        <f>'OPEN FOREIGN ORDER'!AF2437</f>
        <v>0</v>
      </c>
      <c r="J2811" s="112">
        <f>'OPEN FOREIGN ORDER'!AG2437</f>
        <v>0</v>
      </c>
    </row>
    <row r="2812" spans="1:10">
      <c r="A2812">
        <f>'OPEN FOREIGN ORDER'!D2438</f>
        <v>0</v>
      </c>
      <c r="B2812">
        <f>'OPEN FOREIGN ORDER'!F2438</f>
        <v>0</v>
      </c>
      <c r="C2812">
        <f>'OPEN FOREIGN ORDER'!Z2438</f>
        <v>0</v>
      </c>
      <c r="D2812" s="123">
        <f>'OPEN FOREIGN ORDER'!AA2438</f>
        <v>0</v>
      </c>
      <c r="E2812" s="112">
        <f>'OPEN FOREIGN ORDER'!AB2438</f>
        <v>0</v>
      </c>
      <c r="F2812" s="112">
        <f>'OPEN FOREIGN ORDER'!AC2438</f>
        <v>0</v>
      </c>
      <c r="G2812" s="112">
        <f>'OPEN FOREIGN ORDER'!AD2438</f>
        <v>0</v>
      </c>
      <c r="H2812" s="112">
        <f>'OPEN FOREIGN ORDER'!AE2438</f>
        <v>0</v>
      </c>
      <c r="I2812" s="112">
        <f>'OPEN FOREIGN ORDER'!AF2438</f>
        <v>0</v>
      </c>
      <c r="J2812" s="112">
        <f>'OPEN FOREIGN ORDER'!AG2438</f>
        <v>0</v>
      </c>
    </row>
    <row r="2813" spans="1:10">
      <c r="A2813">
        <f>'OPEN FOREIGN ORDER'!D2439</f>
        <v>0</v>
      </c>
      <c r="B2813">
        <f>'OPEN FOREIGN ORDER'!F2439</f>
        <v>0</v>
      </c>
      <c r="C2813">
        <f>'OPEN FOREIGN ORDER'!Z2439</f>
        <v>0</v>
      </c>
      <c r="D2813" s="123">
        <f>'OPEN FOREIGN ORDER'!AA2439</f>
        <v>0</v>
      </c>
      <c r="E2813" s="112">
        <f>'OPEN FOREIGN ORDER'!AB2439</f>
        <v>0</v>
      </c>
      <c r="F2813" s="112">
        <f>'OPEN FOREIGN ORDER'!AC2439</f>
        <v>0</v>
      </c>
      <c r="G2813" s="112">
        <f>'OPEN FOREIGN ORDER'!AD2439</f>
        <v>0</v>
      </c>
      <c r="H2813" s="112">
        <f>'OPEN FOREIGN ORDER'!AE2439</f>
        <v>0</v>
      </c>
      <c r="I2813" s="112">
        <f>'OPEN FOREIGN ORDER'!AF2439</f>
        <v>0</v>
      </c>
      <c r="J2813" s="112">
        <f>'OPEN FOREIGN ORDER'!AG2439</f>
        <v>0</v>
      </c>
    </row>
    <row r="2814" spans="1:10">
      <c r="A2814">
        <f>'OPEN FOREIGN ORDER'!D2440</f>
        <v>0</v>
      </c>
      <c r="B2814">
        <f>'OPEN FOREIGN ORDER'!F2440</f>
        <v>0</v>
      </c>
      <c r="C2814">
        <f>'OPEN FOREIGN ORDER'!Z2440</f>
        <v>0</v>
      </c>
      <c r="D2814" s="123">
        <f>'OPEN FOREIGN ORDER'!AA2440</f>
        <v>0</v>
      </c>
      <c r="E2814" s="112">
        <f>'OPEN FOREIGN ORDER'!AB2440</f>
        <v>0</v>
      </c>
      <c r="F2814" s="112">
        <f>'OPEN FOREIGN ORDER'!AC2440</f>
        <v>0</v>
      </c>
      <c r="G2814" s="112">
        <f>'OPEN FOREIGN ORDER'!AD2440</f>
        <v>0</v>
      </c>
      <c r="H2814" s="112">
        <f>'OPEN FOREIGN ORDER'!AE2440</f>
        <v>0</v>
      </c>
      <c r="I2814" s="112">
        <f>'OPEN FOREIGN ORDER'!AF2440</f>
        <v>0</v>
      </c>
      <c r="J2814" s="112">
        <f>'OPEN FOREIGN ORDER'!AG2440</f>
        <v>0</v>
      </c>
    </row>
    <row r="2815" spans="1:10">
      <c r="A2815">
        <f>'OPEN FOREIGN ORDER'!D2441</f>
        <v>0</v>
      </c>
      <c r="B2815">
        <f>'OPEN FOREIGN ORDER'!F2441</f>
        <v>0</v>
      </c>
      <c r="C2815">
        <f>'OPEN FOREIGN ORDER'!Z2441</f>
        <v>0</v>
      </c>
      <c r="D2815" s="123">
        <f>'OPEN FOREIGN ORDER'!AA2441</f>
        <v>0</v>
      </c>
      <c r="E2815" s="112">
        <f>'OPEN FOREIGN ORDER'!AB2441</f>
        <v>0</v>
      </c>
      <c r="F2815" s="112">
        <f>'OPEN FOREIGN ORDER'!AC2441</f>
        <v>0</v>
      </c>
      <c r="G2815" s="112">
        <f>'OPEN FOREIGN ORDER'!AD2441</f>
        <v>0</v>
      </c>
      <c r="H2815" s="112">
        <f>'OPEN FOREIGN ORDER'!AE2441</f>
        <v>0</v>
      </c>
      <c r="I2815" s="112">
        <f>'OPEN FOREIGN ORDER'!AF2441</f>
        <v>0</v>
      </c>
      <c r="J2815" s="112">
        <f>'OPEN FOREIGN ORDER'!AG2441</f>
        <v>0</v>
      </c>
    </row>
    <row r="2816" spans="1:10">
      <c r="A2816">
        <f>'OPEN FOREIGN ORDER'!D2442</f>
        <v>0</v>
      </c>
      <c r="B2816">
        <f>'OPEN FOREIGN ORDER'!F2442</f>
        <v>0</v>
      </c>
      <c r="C2816">
        <f>'OPEN FOREIGN ORDER'!Z2442</f>
        <v>0</v>
      </c>
      <c r="D2816" s="123">
        <f>'OPEN FOREIGN ORDER'!AA2442</f>
        <v>0</v>
      </c>
      <c r="E2816" s="112">
        <f>'OPEN FOREIGN ORDER'!AB2442</f>
        <v>0</v>
      </c>
      <c r="F2816" s="112">
        <f>'OPEN FOREIGN ORDER'!AC2442</f>
        <v>0</v>
      </c>
      <c r="G2816" s="112">
        <f>'OPEN FOREIGN ORDER'!AD2442</f>
        <v>0</v>
      </c>
      <c r="H2816" s="112">
        <f>'OPEN FOREIGN ORDER'!AE2442</f>
        <v>0</v>
      </c>
      <c r="I2816" s="112">
        <f>'OPEN FOREIGN ORDER'!AF2442</f>
        <v>0</v>
      </c>
      <c r="J2816" s="112">
        <f>'OPEN FOREIGN ORDER'!AG2442</f>
        <v>0</v>
      </c>
    </row>
    <row r="2817" spans="1:10">
      <c r="A2817">
        <f>'OPEN FOREIGN ORDER'!D2443</f>
        <v>0</v>
      </c>
      <c r="B2817">
        <f>'OPEN FOREIGN ORDER'!F2443</f>
        <v>0</v>
      </c>
      <c r="C2817">
        <f>'OPEN FOREIGN ORDER'!Z2443</f>
        <v>0</v>
      </c>
      <c r="D2817" s="123">
        <f>'OPEN FOREIGN ORDER'!AA2443</f>
        <v>0</v>
      </c>
      <c r="E2817" s="112">
        <f>'OPEN FOREIGN ORDER'!AB2443</f>
        <v>0</v>
      </c>
      <c r="F2817" s="112">
        <f>'OPEN FOREIGN ORDER'!AC2443</f>
        <v>0</v>
      </c>
      <c r="G2817" s="112">
        <f>'OPEN FOREIGN ORDER'!AD2443</f>
        <v>0</v>
      </c>
      <c r="H2817" s="112">
        <f>'OPEN FOREIGN ORDER'!AE2443</f>
        <v>0</v>
      </c>
      <c r="I2817" s="112">
        <f>'OPEN FOREIGN ORDER'!AF2443</f>
        <v>0</v>
      </c>
      <c r="J2817" s="112">
        <f>'OPEN FOREIGN ORDER'!AG2443</f>
        <v>0</v>
      </c>
    </row>
    <row r="2818" spans="1:10">
      <c r="A2818">
        <f>'OPEN FOREIGN ORDER'!D2444</f>
        <v>0</v>
      </c>
      <c r="B2818">
        <f>'OPEN FOREIGN ORDER'!F2444</f>
        <v>0</v>
      </c>
      <c r="C2818">
        <f>'OPEN FOREIGN ORDER'!Z2444</f>
        <v>0</v>
      </c>
      <c r="D2818" s="123">
        <f>'OPEN FOREIGN ORDER'!AA2444</f>
        <v>0</v>
      </c>
      <c r="E2818" s="112">
        <f>'OPEN FOREIGN ORDER'!AB2444</f>
        <v>0</v>
      </c>
      <c r="F2818" s="112">
        <f>'OPEN FOREIGN ORDER'!AC2444</f>
        <v>0</v>
      </c>
      <c r="G2818" s="112">
        <f>'OPEN FOREIGN ORDER'!AD2444</f>
        <v>0</v>
      </c>
      <c r="H2818" s="112">
        <f>'OPEN FOREIGN ORDER'!AE2444</f>
        <v>0</v>
      </c>
      <c r="I2818" s="112">
        <f>'OPEN FOREIGN ORDER'!AF2444</f>
        <v>0</v>
      </c>
      <c r="J2818" s="112">
        <f>'OPEN FOREIGN ORDER'!AG2444</f>
        <v>0</v>
      </c>
    </row>
    <row r="2819" spans="1:10">
      <c r="A2819">
        <f>'OPEN FOREIGN ORDER'!D2445</f>
        <v>0</v>
      </c>
      <c r="B2819">
        <f>'OPEN FOREIGN ORDER'!F2445</f>
        <v>0</v>
      </c>
      <c r="C2819">
        <f>'OPEN FOREIGN ORDER'!Z2445</f>
        <v>0</v>
      </c>
      <c r="D2819" s="123">
        <f>'OPEN FOREIGN ORDER'!AA2445</f>
        <v>0</v>
      </c>
      <c r="E2819" s="112">
        <f>'OPEN FOREIGN ORDER'!AB2445</f>
        <v>0</v>
      </c>
      <c r="F2819" s="112">
        <f>'OPEN FOREIGN ORDER'!AC2445</f>
        <v>0</v>
      </c>
      <c r="G2819" s="112">
        <f>'OPEN FOREIGN ORDER'!AD2445</f>
        <v>0</v>
      </c>
      <c r="H2819" s="112">
        <f>'OPEN FOREIGN ORDER'!AE2445</f>
        <v>0</v>
      </c>
      <c r="I2819" s="112">
        <f>'OPEN FOREIGN ORDER'!AF2445</f>
        <v>0</v>
      </c>
      <c r="J2819" s="112">
        <f>'OPEN FOREIGN ORDER'!AG2445</f>
        <v>0</v>
      </c>
    </row>
    <row r="2820" spans="1:10">
      <c r="A2820">
        <f>'OPEN FOREIGN ORDER'!D2446</f>
        <v>0</v>
      </c>
      <c r="B2820">
        <f>'OPEN FOREIGN ORDER'!F2446</f>
        <v>0</v>
      </c>
      <c r="C2820">
        <f>'OPEN FOREIGN ORDER'!Z2446</f>
        <v>0</v>
      </c>
      <c r="D2820" s="123">
        <f>'OPEN FOREIGN ORDER'!AA2446</f>
        <v>0</v>
      </c>
      <c r="E2820" s="112">
        <f>'OPEN FOREIGN ORDER'!AB2446</f>
        <v>0</v>
      </c>
      <c r="F2820" s="112">
        <f>'OPEN FOREIGN ORDER'!AC2446</f>
        <v>0</v>
      </c>
      <c r="G2820" s="112">
        <f>'OPEN FOREIGN ORDER'!AD2446</f>
        <v>0</v>
      </c>
      <c r="H2820" s="112">
        <f>'OPEN FOREIGN ORDER'!AE2446</f>
        <v>0</v>
      </c>
      <c r="I2820" s="112">
        <f>'OPEN FOREIGN ORDER'!AF2446</f>
        <v>0</v>
      </c>
      <c r="J2820" s="112">
        <f>'OPEN FOREIGN ORDER'!AG2446</f>
        <v>0</v>
      </c>
    </row>
    <row r="2821" spans="1:10">
      <c r="A2821">
        <f>'OPEN FOREIGN ORDER'!D2447</f>
        <v>0</v>
      </c>
      <c r="B2821">
        <f>'OPEN FOREIGN ORDER'!F2447</f>
        <v>0</v>
      </c>
      <c r="C2821">
        <f>'OPEN FOREIGN ORDER'!Z2447</f>
        <v>0</v>
      </c>
      <c r="D2821" s="123">
        <f>'OPEN FOREIGN ORDER'!AA2447</f>
        <v>0</v>
      </c>
      <c r="E2821" s="112">
        <f>'OPEN FOREIGN ORDER'!AB2447</f>
        <v>0</v>
      </c>
      <c r="F2821" s="112">
        <f>'OPEN FOREIGN ORDER'!AC2447</f>
        <v>0</v>
      </c>
      <c r="G2821" s="112">
        <f>'OPEN FOREIGN ORDER'!AD2447</f>
        <v>0</v>
      </c>
      <c r="H2821" s="112">
        <f>'OPEN FOREIGN ORDER'!AE2447</f>
        <v>0</v>
      </c>
      <c r="I2821" s="112">
        <f>'OPEN FOREIGN ORDER'!AF2447</f>
        <v>0</v>
      </c>
      <c r="J2821" s="112">
        <f>'OPEN FOREIGN ORDER'!AG2447</f>
        <v>0</v>
      </c>
    </row>
    <row r="2822" spans="1:10">
      <c r="A2822">
        <f>'OPEN FOREIGN ORDER'!D2448</f>
        <v>0</v>
      </c>
      <c r="B2822">
        <f>'OPEN FOREIGN ORDER'!F2448</f>
        <v>0</v>
      </c>
      <c r="C2822">
        <f>'OPEN FOREIGN ORDER'!Z2448</f>
        <v>0</v>
      </c>
      <c r="D2822" s="123">
        <f>'OPEN FOREIGN ORDER'!AA2448</f>
        <v>0</v>
      </c>
      <c r="E2822" s="112">
        <f>'OPEN FOREIGN ORDER'!AB2448</f>
        <v>0</v>
      </c>
      <c r="F2822" s="112">
        <f>'OPEN FOREIGN ORDER'!AC2448</f>
        <v>0</v>
      </c>
      <c r="G2822" s="112">
        <f>'OPEN FOREIGN ORDER'!AD2448</f>
        <v>0</v>
      </c>
      <c r="H2822" s="112">
        <f>'OPEN FOREIGN ORDER'!AE2448</f>
        <v>0</v>
      </c>
      <c r="I2822" s="112">
        <f>'OPEN FOREIGN ORDER'!AF2448</f>
        <v>0</v>
      </c>
      <c r="J2822" s="112">
        <f>'OPEN FOREIGN ORDER'!AG2448</f>
        <v>0</v>
      </c>
    </row>
    <row r="2823" spans="1:10">
      <c r="A2823">
        <f>'OPEN FOREIGN ORDER'!D2449</f>
        <v>0</v>
      </c>
      <c r="B2823">
        <f>'OPEN FOREIGN ORDER'!F2449</f>
        <v>0</v>
      </c>
      <c r="C2823">
        <f>'OPEN FOREIGN ORDER'!Z2449</f>
        <v>0</v>
      </c>
      <c r="D2823" s="123">
        <f>'OPEN FOREIGN ORDER'!AA2449</f>
        <v>0</v>
      </c>
      <c r="E2823" s="112">
        <f>'OPEN FOREIGN ORDER'!AB2449</f>
        <v>0</v>
      </c>
      <c r="F2823" s="112">
        <f>'OPEN FOREIGN ORDER'!AC2449</f>
        <v>0</v>
      </c>
      <c r="G2823" s="112">
        <f>'OPEN FOREIGN ORDER'!AD2449</f>
        <v>0</v>
      </c>
      <c r="H2823" s="112">
        <f>'OPEN FOREIGN ORDER'!AE2449</f>
        <v>0</v>
      </c>
      <c r="I2823" s="112">
        <f>'OPEN FOREIGN ORDER'!AF2449</f>
        <v>0</v>
      </c>
      <c r="J2823" s="112">
        <f>'OPEN FOREIGN ORDER'!AG2449</f>
        <v>0</v>
      </c>
    </row>
    <row r="2824" spans="1:10">
      <c r="A2824">
        <f>'OPEN FOREIGN ORDER'!D2450</f>
        <v>0</v>
      </c>
      <c r="B2824">
        <f>'OPEN FOREIGN ORDER'!F2450</f>
        <v>0</v>
      </c>
      <c r="C2824">
        <f>'OPEN FOREIGN ORDER'!Z2450</f>
        <v>0</v>
      </c>
      <c r="D2824" s="123">
        <f>'OPEN FOREIGN ORDER'!AA2450</f>
        <v>0</v>
      </c>
      <c r="E2824" s="112">
        <f>'OPEN FOREIGN ORDER'!AB2450</f>
        <v>0</v>
      </c>
      <c r="F2824" s="112">
        <f>'OPEN FOREIGN ORDER'!AC2450</f>
        <v>0</v>
      </c>
      <c r="G2824" s="112">
        <f>'OPEN FOREIGN ORDER'!AD2450</f>
        <v>0</v>
      </c>
      <c r="H2824" s="112">
        <f>'OPEN FOREIGN ORDER'!AE2450</f>
        <v>0</v>
      </c>
      <c r="I2824" s="112">
        <f>'OPEN FOREIGN ORDER'!AF2450</f>
        <v>0</v>
      </c>
      <c r="J2824" s="112">
        <f>'OPEN FOREIGN ORDER'!AG2450</f>
        <v>0</v>
      </c>
    </row>
    <row r="2825" spans="1:10">
      <c r="A2825">
        <f>'OPEN FOREIGN ORDER'!D2451</f>
        <v>0</v>
      </c>
      <c r="B2825">
        <f>'OPEN FOREIGN ORDER'!F2451</f>
        <v>0</v>
      </c>
      <c r="C2825">
        <f>'OPEN FOREIGN ORDER'!Z2451</f>
        <v>0</v>
      </c>
      <c r="D2825" s="123">
        <f>'OPEN FOREIGN ORDER'!AA2451</f>
        <v>0</v>
      </c>
      <c r="E2825" s="112">
        <f>'OPEN FOREIGN ORDER'!AB2451</f>
        <v>0</v>
      </c>
      <c r="F2825" s="112">
        <f>'OPEN FOREIGN ORDER'!AC2451</f>
        <v>0</v>
      </c>
      <c r="G2825" s="112">
        <f>'OPEN FOREIGN ORDER'!AD2451</f>
        <v>0</v>
      </c>
      <c r="H2825" s="112">
        <f>'OPEN FOREIGN ORDER'!AE2451</f>
        <v>0</v>
      </c>
      <c r="I2825" s="112">
        <f>'OPEN FOREIGN ORDER'!AF2451</f>
        <v>0</v>
      </c>
      <c r="J2825" s="112">
        <f>'OPEN FOREIGN ORDER'!AG2451</f>
        <v>0</v>
      </c>
    </row>
    <row r="2826" spans="1:10">
      <c r="A2826">
        <f>'OPEN FOREIGN ORDER'!D2452</f>
        <v>0</v>
      </c>
      <c r="B2826">
        <f>'OPEN FOREIGN ORDER'!F2452</f>
        <v>0</v>
      </c>
      <c r="C2826">
        <f>'OPEN FOREIGN ORDER'!Z2452</f>
        <v>0</v>
      </c>
      <c r="D2826" s="123">
        <f>'OPEN FOREIGN ORDER'!AA2452</f>
        <v>0</v>
      </c>
      <c r="E2826" s="112">
        <f>'OPEN FOREIGN ORDER'!AB2452</f>
        <v>0</v>
      </c>
      <c r="F2826" s="112">
        <f>'OPEN FOREIGN ORDER'!AC2452</f>
        <v>0</v>
      </c>
      <c r="G2826" s="112">
        <f>'OPEN FOREIGN ORDER'!AD2452</f>
        <v>0</v>
      </c>
      <c r="H2826" s="112">
        <f>'OPEN FOREIGN ORDER'!AE2452</f>
        <v>0</v>
      </c>
      <c r="I2826" s="112">
        <f>'OPEN FOREIGN ORDER'!AF2452</f>
        <v>0</v>
      </c>
      <c r="J2826" s="112">
        <f>'OPEN FOREIGN ORDER'!AG2452</f>
        <v>0</v>
      </c>
    </row>
    <row r="2827" spans="1:10">
      <c r="A2827">
        <f>'OPEN FOREIGN ORDER'!D2453</f>
        <v>0</v>
      </c>
      <c r="B2827">
        <f>'OPEN FOREIGN ORDER'!F2453</f>
        <v>0</v>
      </c>
      <c r="C2827">
        <f>'OPEN FOREIGN ORDER'!Z2453</f>
        <v>0</v>
      </c>
      <c r="D2827" s="123">
        <f>'OPEN FOREIGN ORDER'!AA2453</f>
        <v>0</v>
      </c>
      <c r="E2827" s="112">
        <f>'OPEN FOREIGN ORDER'!AB2453</f>
        <v>0</v>
      </c>
      <c r="F2827" s="112">
        <f>'OPEN FOREIGN ORDER'!AC2453</f>
        <v>0</v>
      </c>
      <c r="G2827" s="112">
        <f>'OPEN FOREIGN ORDER'!AD2453</f>
        <v>0</v>
      </c>
      <c r="H2827" s="112">
        <f>'OPEN FOREIGN ORDER'!AE2453</f>
        <v>0</v>
      </c>
      <c r="I2827" s="112">
        <f>'OPEN FOREIGN ORDER'!AF2453</f>
        <v>0</v>
      </c>
      <c r="J2827" s="112">
        <f>'OPEN FOREIGN ORDER'!AG2453</f>
        <v>0</v>
      </c>
    </row>
    <row r="2828" spans="1:10">
      <c r="A2828">
        <f>'OPEN FOREIGN ORDER'!D2454</f>
        <v>0</v>
      </c>
      <c r="B2828">
        <f>'OPEN FOREIGN ORDER'!F2454</f>
        <v>0</v>
      </c>
      <c r="C2828">
        <f>'OPEN FOREIGN ORDER'!Z2454</f>
        <v>0</v>
      </c>
      <c r="D2828" s="123">
        <f>'OPEN FOREIGN ORDER'!AA2454</f>
        <v>0</v>
      </c>
      <c r="E2828" s="112">
        <f>'OPEN FOREIGN ORDER'!AB2454</f>
        <v>0</v>
      </c>
      <c r="F2828" s="112">
        <f>'OPEN FOREIGN ORDER'!AC2454</f>
        <v>0</v>
      </c>
      <c r="G2828" s="112">
        <f>'OPEN FOREIGN ORDER'!AD2454</f>
        <v>0</v>
      </c>
      <c r="H2828" s="112">
        <f>'OPEN FOREIGN ORDER'!AE2454</f>
        <v>0</v>
      </c>
      <c r="I2828" s="112">
        <f>'OPEN FOREIGN ORDER'!AF2454</f>
        <v>0</v>
      </c>
      <c r="J2828" s="112">
        <f>'OPEN FOREIGN ORDER'!AG2454</f>
        <v>0</v>
      </c>
    </row>
    <row r="2829" spans="1:10">
      <c r="A2829">
        <f>'OPEN FOREIGN ORDER'!D2455</f>
        <v>0</v>
      </c>
      <c r="B2829">
        <f>'OPEN FOREIGN ORDER'!F2455</f>
        <v>0</v>
      </c>
      <c r="C2829">
        <f>'OPEN FOREIGN ORDER'!Z2455</f>
        <v>0</v>
      </c>
      <c r="D2829" s="123">
        <f>'OPEN FOREIGN ORDER'!AA2455</f>
        <v>0</v>
      </c>
      <c r="E2829" s="112">
        <f>'OPEN FOREIGN ORDER'!AB2455</f>
        <v>0</v>
      </c>
      <c r="F2829" s="112">
        <f>'OPEN FOREIGN ORDER'!AC2455</f>
        <v>0</v>
      </c>
      <c r="G2829" s="112">
        <f>'OPEN FOREIGN ORDER'!AD2455</f>
        <v>0</v>
      </c>
      <c r="H2829" s="112">
        <f>'OPEN FOREIGN ORDER'!AE2455</f>
        <v>0</v>
      </c>
      <c r="I2829" s="112">
        <f>'OPEN FOREIGN ORDER'!AF2455</f>
        <v>0</v>
      </c>
      <c r="J2829" s="112">
        <f>'OPEN FOREIGN ORDER'!AG2455</f>
        <v>0</v>
      </c>
    </row>
    <row r="2830" spans="1:10">
      <c r="A2830">
        <f>'OPEN FOREIGN ORDER'!D2456</f>
        <v>0</v>
      </c>
      <c r="B2830">
        <f>'OPEN FOREIGN ORDER'!F2456</f>
        <v>0</v>
      </c>
      <c r="C2830">
        <f>'OPEN FOREIGN ORDER'!Z2456</f>
        <v>0</v>
      </c>
      <c r="D2830" s="123">
        <f>'OPEN FOREIGN ORDER'!AA2456</f>
        <v>0</v>
      </c>
      <c r="E2830" s="112">
        <f>'OPEN FOREIGN ORDER'!AB2456</f>
        <v>0</v>
      </c>
      <c r="F2830" s="112">
        <f>'OPEN FOREIGN ORDER'!AC2456</f>
        <v>0</v>
      </c>
      <c r="G2830" s="112">
        <f>'OPEN FOREIGN ORDER'!AD2456</f>
        <v>0</v>
      </c>
      <c r="H2830" s="112">
        <f>'OPEN FOREIGN ORDER'!AE2456</f>
        <v>0</v>
      </c>
      <c r="I2830" s="112">
        <f>'OPEN FOREIGN ORDER'!AF2456</f>
        <v>0</v>
      </c>
      <c r="J2830" s="112">
        <f>'OPEN FOREIGN ORDER'!AG2456</f>
        <v>0</v>
      </c>
    </row>
    <row r="2831" spans="1:10">
      <c r="A2831">
        <f>'OPEN FOREIGN ORDER'!D2457</f>
        <v>0</v>
      </c>
      <c r="B2831">
        <f>'OPEN FOREIGN ORDER'!F2457</f>
        <v>0</v>
      </c>
      <c r="C2831">
        <f>'OPEN FOREIGN ORDER'!Z2457</f>
        <v>0</v>
      </c>
      <c r="D2831" s="123">
        <f>'OPEN FOREIGN ORDER'!AA2457</f>
        <v>0</v>
      </c>
      <c r="E2831" s="112">
        <f>'OPEN FOREIGN ORDER'!AB2457</f>
        <v>0</v>
      </c>
      <c r="F2831" s="112">
        <f>'OPEN FOREIGN ORDER'!AC2457</f>
        <v>0</v>
      </c>
      <c r="G2831" s="112">
        <f>'OPEN FOREIGN ORDER'!AD2457</f>
        <v>0</v>
      </c>
      <c r="H2831" s="112">
        <f>'OPEN FOREIGN ORDER'!AE2457</f>
        <v>0</v>
      </c>
      <c r="I2831" s="112">
        <f>'OPEN FOREIGN ORDER'!AF2457</f>
        <v>0</v>
      </c>
      <c r="J2831" s="112">
        <f>'OPEN FOREIGN ORDER'!AG2457</f>
        <v>0</v>
      </c>
    </row>
    <row r="2832" spans="1:10">
      <c r="A2832">
        <f>'OPEN FOREIGN ORDER'!D2458</f>
        <v>0</v>
      </c>
      <c r="B2832">
        <f>'OPEN FOREIGN ORDER'!F2458</f>
        <v>0</v>
      </c>
      <c r="C2832">
        <f>'OPEN FOREIGN ORDER'!Z2458</f>
        <v>0</v>
      </c>
      <c r="D2832" s="123">
        <f>'OPEN FOREIGN ORDER'!AA2458</f>
        <v>0</v>
      </c>
      <c r="E2832" s="112">
        <f>'OPEN FOREIGN ORDER'!AB2458</f>
        <v>0</v>
      </c>
      <c r="F2832" s="112">
        <f>'OPEN FOREIGN ORDER'!AC2458</f>
        <v>0</v>
      </c>
      <c r="G2832" s="112">
        <f>'OPEN FOREIGN ORDER'!AD2458</f>
        <v>0</v>
      </c>
      <c r="H2832" s="112">
        <f>'OPEN FOREIGN ORDER'!AE2458</f>
        <v>0</v>
      </c>
      <c r="I2832" s="112">
        <f>'OPEN FOREIGN ORDER'!AF2458</f>
        <v>0</v>
      </c>
      <c r="J2832" s="112">
        <f>'OPEN FOREIGN ORDER'!AG2458</f>
        <v>0</v>
      </c>
    </row>
    <row r="2833" spans="1:10">
      <c r="A2833">
        <f>'OPEN FOREIGN ORDER'!D2459</f>
        <v>0</v>
      </c>
      <c r="B2833">
        <f>'OPEN FOREIGN ORDER'!F2459</f>
        <v>0</v>
      </c>
      <c r="C2833">
        <f>'OPEN FOREIGN ORDER'!Z2459</f>
        <v>0</v>
      </c>
      <c r="D2833" s="123">
        <f>'OPEN FOREIGN ORDER'!AA2459</f>
        <v>0</v>
      </c>
      <c r="E2833" s="112">
        <f>'OPEN FOREIGN ORDER'!AB2459</f>
        <v>0</v>
      </c>
      <c r="F2833" s="112">
        <f>'OPEN FOREIGN ORDER'!AC2459</f>
        <v>0</v>
      </c>
      <c r="G2833" s="112">
        <f>'OPEN FOREIGN ORDER'!AD2459</f>
        <v>0</v>
      </c>
      <c r="H2833" s="112">
        <f>'OPEN FOREIGN ORDER'!AE2459</f>
        <v>0</v>
      </c>
      <c r="I2833" s="112">
        <f>'OPEN FOREIGN ORDER'!AF2459</f>
        <v>0</v>
      </c>
      <c r="J2833" s="112">
        <f>'OPEN FOREIGN ORDER'!AG2459</f>
        <v>0</v>
      </c>
    </row>
    <row r="2834" spans="1:10">
      <c r="A2834">
        <f>'OPEN FOREIGN ORDER'!D2460</f>
        <v>0</v>
      </c>
      <c r="B2834">
        <f>'OPEN FOREIGN ORDER'!F2460</f>
        <v>0</v>
      </c>
      <c r="C2834">
        <f>'OPEN FOREIGN ORDER'!Z2460</f>
        <v>0</v>
      </c>
      <c r="D2834" s="123">
        <f>'OPEN FOREIGN ORDER'!AA2460</f>
        <v>0</v>
      </c>
      <c r="E2834" s="112">
        <f>'OPEN FOREIGN ORDER'!AB2460</f>
        <v>0</v>
      </c>
      <c r="F2834" s="112">
        <f>'OPEN FOREIGN ORDER'!AC2460</f>
        <v>0</v>
      </c>
      <c r="G2834" s="112">
        <f>'OPEN FOREIGN ORDER'!AD2460</f>
        <v>0</v>
      </c>
      <c r="H2834" s="112">
        <f>'OPEN FOREIGN ORDER'!AE2460</f>
        <v>0</v>
      </c>
      <c r="I2834" s="112">
        <f>'OPEN FOREIGN ORDER'!AF2460</f>
        <v>0</v>
      </c>
      <c r="J2834" s="112">
        <f>'OPEN FOREIGN ORDER'!AG2460</f>
        <v>0</v>
      </c>
    </row>
    <row r="2835" spans="1:10">
      <c r="A2835">
        <f>'OPEN FOREIGN ORDER'!D2461</f>
        <v>0</v>
      </c>
      <c r="B2835">
        <f>'OPEN FOREIGN ORDER'!F2461</f>
        <v>0</v>
      </c>
      <c r="C2835">
        <f>'OPEN FOREIGN ORDER'!Z2461</f>
        <v>0</v>
      </c>
      <c r="D2835" s="123">
        <f>'OPEN FOREIGN ORDER'!AA2461</f>
        <v>0</v>
      </c>
      <c r="E2835" s="112">
        <f>'OPEN FOREIGN ORDER'!AB2461</f>
        <v>0</v>
      </c>
      <c r="F2835" s="112">
        <f>'OPEN FOREIGN ORDER'!AC2461</f>
        <v>0</v>
      </c>
      <c r="G2835" s="112">
        <f>'OPEN FOREIGN ORDER'!AD2461</f>
        <v>0</v>
      </c>
      <c r="H2835" s="112">
        <f>'OPEN FOREIGN ORDER'!AE2461</f>
        <v>0</v>
      </c>
      <c r="I2835" s="112">
        <f>'OPEN FOREIGN ORDER'!AF2461</f>
        <v>0</v>
      </c>
      <c r="J2835" s="112">
        <f>'OPEN FOREIGN ORDER'!AG2461</f>
        <v>0</v>
      </c>
    </row>
    <row r="2836" spans="1:10">
      <c r="A2836">
        <f>'OPEN FOREIGN ORDER'!D2462</f>
        <v>0</v>
      </c>
      <c r="B2836">
        <f>'OPEN FOREIGN ORDER'!F2462</f>
        <v>0</v>
      </c>
      <c r="C2836">
        <f>'OPEN FOREIGN ORDER'!Z2462</f>
        <v>0</v>
      </c>
      <c r="D2836" s="123">
        <f>'OPEN FOREIGN ORDER'!AA2462</f>
        <v>0</v>
      </c>
      <c r="E2836" s="112">
        <f>'OPEN FOREIGN ORDER'!AB2462</f>
        <v>0</v>
      </c>
      <c r="F2836" s="112">
        <f>'OPEN FOREIGN ORDER'!AC2462</f>
        <v>0</v>
      </c>
      <c r="G2836" s="112">
        <f>'OPEN FOREIGN ORDER'!AD2462</f>
        <v>0</v>
      </c>
      <c r="H2836" s="112">
        <f>'OPEN FOREIGN ORDER'!AE2462</f>
        <v>0</v>
      </c>
      <c r="I2836" s="112">
        <f>'OPEN FOREIGN ORDER'!AF2462</f>
        <v>0</v>
      </c>
      <c r="J2836" s="112">
        <f>'OPEN FOREIGN ORDER'!AG2462</f>
        <v>0</v>
      </c>
    </row>
    <row r="2837" spans="1:10">
      <c r="A2837">
        <f>'OPEN FOREIGN ORDER'!D2463</f>
        <v>0</v>
      </c>
      <c r="B2837">
        <f>'OPEN FOREIGN ORDER'!F2463</f>
        <v>0</v>
      </c>
      <c r="C2837">
        <f>'OPEN FOREIGN ORDER'!Z2463</f>
        <v>0</v>
      </c>
      <c r="D2837" s="123">
        <f>'OPEN FOREIGN ORDER'!AA2463</f>
        <v>0</v>
      </c>
      <c r="E2837" s="112">
        <f>'OPEN FOREIGN ORDER'!AB2463</f>
        <v>0</v>
      </c>
      <c r="F2837" s="112">
        <f>'OPEN FOREIGN ORDER'!AC2463</f>
        <v>0</v>
      </c>
      <c r="G2837" s="112">
        <f>'OPEN FOREIGN ORDER'!AD2463</f>
        <v>0</v>
      </c>
      <c r="H2837" s="112">
        <f>'OPEN FOREIGN ORDER'!AE2463</f>
        <v>0</v>
      </c>
      <c r="I2837" s="112">
        <f>'OPEN FOREIGN ORDER'!AF2463</f>
        <v>0</v>
      </c>
      <c r="J2837" s="112">
        <f>'OPEN FOREIGN ORDER'!AG2463</f>
        <v>0</v>
      </c>
    </row>
    <row r="2838" spans="1:10">
      <c r="A2838">
        <f>'OPEN FOREIGN ORDER'!D2464</f>
        <v>0</v>
      </c>
      <c r="B2838">
        <f>'OPEN FOREIGN ORDER'!F2464</f>
        <v>0</v>
      </c>
      <c r="C2838">
        <f>'OPEN FOREIGN ORDER'!Z2464</f>
        <v>0</v>
      </c>
      <c r="D2838" s="123">
        <f>'OPEN FOREIGN ORDER'!AA2464</f>
        <v>0</v>
      </c>
      <c r="E2838" s="112">
        <f>'OPEN FOREIGN ORDER'!AB2464</f>
        <v>0</v>
      </c>
      <c r="F2838" s="112">
        <f>'OPEN FOREIGN ORDER'!AC2464</f>
        <v>0</v>
      </c>
      <c r="G2838" s="112">
        <f>'OPEN FOREIGN ORDER'!AD2464</f>
        <v>0</v>
      </c>
      <c r="H2838" s="112">
        <f>'OPEN FOREIGN ORDER'!AE2464</f>
        <v>0</v>
      </c>
      <c r="I2838" s="112">
        <f>'OPEN FOREIGN ORDER'!AF2464</f>
        <v>0</v>
      </c>
      <c r="J2838" s="112">
        <f>'OPEN FOREIGN ORDER'!AG2464</f>
        <v>0</v>
      </c>
    </row>
    <row r="2839" spans="1:10">
      <c r="A2839">
        <f>'OPEN FOREIGN ORDER'!D2465</f>
        <v>0</v>
      </c>
      <c r="B2839">
        <f>'OPEN FOREIGN ORDER'!F2465</f>
        <v>0</v>
      </c>
      <c r="C2839">
        <f>'OPEN FOREIGN ORDER'!Z2465</f>
        <v>0</v>
      </c>
      <c r="D2839" s="123">
        <f>'OPEN FOREIGN ORDER'!AA2465</f>
        <v>0</v>
      </c>
      <c r="E2839" s="112">
        <f>'OPEN FOREIGN ORDER'!AB2465</f>
        <v>0</v>
      </c>
      <c r="F2839" s="112">
        <f>'OPEN FOREIGN ORDER'!AC2465</f>
        <v>0</v>
      </c>
      <c r="G2839" s="112">
        <f>'OPEN FOREIGN ORDER'!AD2465</f>
        <v>0</v>
      </c>
      <c r="H2839" s="112">
        <f>'OPEN FOREIGN ORDER'!AE2465</f>
        <v>0</v>
      </c>
      <c r="I2839" s="112">
        <f>'OPEN FOREIGN ORDER'!AF2465</f>
        <v>0</v>
      </c>
      <c r="J2839" s="112">
        <f>'OPEN FOREIGN ORDER'!AG2465</f>
        <v>0</v>
      </c>
    </row>
    <row r="2840" spans="1:10">
      <c r="A2840">
        <f>'OPEN FOREIGN ORDER'!D2466</f>
        <v>0</v>
      </c>
      <c r="B2840">
        <f>'OPEN FOREIGN ORDER'!F2466</f>
        <v>0</v>
      </c>
      <c r="C2840">
        <f>'OPEN FOREIGN ORDER'!Z2466</f>
        <v>0</v>
      </c>
      <c r="D2840" s="123">
        <f>'OPEN FOREIGN ORDER'!AA2466</f>
        <v>0</v>
      </c>
      <c r="E2840" s="112">
        <f>'OPEN FOREIGN ORDER'!AB2466</f>
        <v>0</v>
      </c>
      <c r="F2840" s="112">
        <f>'OPEN FOREIGN ORDER'!AC2466</f>
        <v>0</v>
      </c>
      <c r="G2840" s="112">
        <f>'OPEN FOREIGN ORDER'!AD2466</f>
        <v>0</v>
      </c>
      <c r="H2840" s="112">
        <f>'OPEN FOREIGN ORDER'!AE2466</f>
        <v>0</v>
      </c>
      <c r="I2840" s="112">
        <f>'OPEN FOREIGN ORDER'!AF2466</f>
        <v>0</v>
      </c>
      <c r="J2840" s="112">
        <f>'OPEN FOREIGN ORDER'!AG2466</f>
        <v>0</v>
      </c>
    </row>
    <row r="2841" spans="1:10">
      <c r="A2841">
        <f>'OPEN FOREIGN ORDER'!D2467</f>
        <v>0</v>
      </c>
      <c r="B2841">
        <f>'OPEN FOREIGN ORDER'!F2467</f>
        <v>0</v>
      </c>
      <c r="C2841">
        <f>'OPEN FOREIGN ORDER'!Z2467</f>
        <v>0</v>
      </c>
      <c r="D2841" s="123">
        <f>'OPEN FOREIGN ORDER'!AA2467</f>
        <v>0</v>
      </c>
      <c r="E2841" s="112">
        <f>'OPEN FOREIGN ORDER'!AB2467</f>
        <v>0</v>
      </c>
      <c r="F2841" s="112">
        <f>'OPEN FOREIGN ORDER'!AC2467</f>
        <v>0</v>
      </c>
      <c r="G2841" s="112">
        <f>'OPEN FOREIGN ORDER'!AD2467</f>
        <v>0</v>
      </c>
      <c r="H2841" s="112">
        <f>'OPEN FOREIGN ORDER'!AE2467</f>
        <v>0</v>
      </c>
      <c r="I2841" s="112">
        <f>'OPEN FOREIGN ORDER'!AF2467</f>
        <v>0</v>
      </c>
      <c r="J2841" s="112">
        <f>'OPEN FOREIGN ORDER'!AG2467</f>
        <v>0</v>
      </c>
    </row>
    <row r="2842" spans="1:10">
      <c r="A2842">
        <f>'OPEN FOREIGN ORDER'!D2468</f>
        <v>0</v>
      </c>
      <c r="B2842">
        <f>'OPEN FOREIGN ORDER'!F2468</f>
        <v>0</v>
      </c>
      <c r="C2842">
        <f>'OPEN FOREIGN ORDER'!Z2468</f>
        <v>0</v>
      </c>
      <c r="D2842" s="123">
        <f>'OPEN FOREIGN ORDER'!AA2468</f>
        <v>0</v>
      </c>
      <c r="E2842" s="112">
        <f>'OPEN FOREIGN ORDER'!AB2468</f>
        <v>0</v>
      </c>
      <c r="F2842" s="112">
        <f>'OPEN FOREIGN ORDER'!AC2468</f>
        <v>0</v>
      </c>
      <c r="G2842" s="112">
        <f>'OPEN FOREIGN ORDER'!AD2468</f>
        <v>0</v>
      </c>
      <c r="H2842" s="112">
        <f>'OPEN FOREIGN ORDER'!AE2468</f>
        <v>0</v>
      </c>
      <c r="I2842" s="112">
        <f>'OPEN FOREIGN ORDER'!AF2468</f>
        <v>0</v>
      </c>
      <c r="J2842" s="112">
        <f>'OPEN FOREIGN ORDER'!AG2468</f>
        <v>0</v>
      </c>
    </row>
    <row r="2843" spans="1:10">
      <c r="A2843">
        <f>'OPEN FOREIGN ORDER'!D2469</f>
        <v>0</v>
      </c>
      <c r="B2843">
        <f>'OPEN FOREIGN ORDER'!F2469</f>
        <v>0</v>
      </c>
      <c r="C2843">
        <f>'OPEN FOREIGN ORDER'!Z2469</f>
        <v>0</v>
      </c>
      <c r="D2843" s="123">
        <f>'OPEN FOREIGN ORDER'!AA2469</f>
        <v>0</v>
      </c>
      <c r="E2843" s="112">
        <f>'OPEN FOREIGN ORDER'!AB2469</f>
        <v>0</v>
      </c>
      <c r="F2843" s="112">
        <f>'OPEN FOREIGN ORDER'!AC2469</f>
        <v>0</v>
      </c>
      <c r="G2843" s="112">
        <f>'OPEN FOREIGN ORDER'!AD2469</f>
        <v>0</v>
      </c>
      <c r="H2843" s="112">
        <f>'OPEN FOREIGN ORDER'!AE2469</f>
        <v>0</v>
      </c>
      <c r="I2843" s="112">
        <f>'OPEN FOREIGN ORDER'!AF2469</f>
        <v>0</v>
      </c>
      <c r="J2843" s="112">
        <f>'OPEN FOREIGN ORDER'!AG2469</f>
        <v>0</v>
      </c>
    </row>
    <row r="2844" spans="1:10">
      <c r="A2844">
        <f>'OPEN FOREIGN ORDER'!D2470</f>
        <v>0</v>
      </c>
      <c r="B2844">
        <f>'OPEN FOREIGN ORDER'!F2470</f>
        <v>0</v>
      </c>
      <c r="C2844">
        <f>'OPEN FOREIGN ORDER'!Z2470</f>
        <v>0</v>
      </c>
      <c r="D2844" s="123">
        <f>'OPEN FOREIGN ORDER'!AA2470</f>
        <v>0</v>
      </c>
      <c r="E2844" s="112">
        <f>'OPEN FOREIGN ORDER'!AB2470</f>
        <v>0</v>
      </c>
      <c r="F2844" s="112">
        <f>'OPEN FOREIGN ORDER'!AC2470</f>
        <v>0</v>
      </c>
      <c r="G2844" s="112">
        <f>'OPEN FOREIGN ORDER'!AD2470</f>
        <v>0</v>
      </c>
      <c r="H2844" s="112">
        <f>'OPEN FOREIGN ORDER'!AE2470</f>
        <v>0</v>
      </c>
      <c r="I2844" s="112">
        <f>'OPEN FOREIGN ORDER'!AF2470</f>
        <v>0</v>
      </c>
      <c r="J2844" s="112">
        <f>'OPEN FOREIGN ORDER'!AG2470</f>
        <v>0</v>
      </c>
    </row>
    <row r="2845" spans="1:10">
      <c r="A2845">
        <f>'OPEN FOREIGN ORDER'!D2471</f>
        <v>0</v>
      </c>
      <c r="B2845">
        <f>'OPEN FOREIGN ORDER'!F2471</f>
        <v>0</v>
      </c>
      <c r="C2845">
        <f>'OPEN FOREIGN ORDER'!Z2471</f>
        <v>0</v>
      </c>
      <c r="D2845" s="123">
        <f>'OPEN FOREIGN ORDER'!AA2471</f>
        <v>0</v>
      </c>
      <c r="E2845" s="112">
        <f>'OPEN FOREIGN ORDER'!AB2471</f>
        <v>0</v>
      </c>
      <c r="F2845" s="112">
        <f>'OPEN FOREIGN ORDER'!AC2471</f>
        <v>0</v>
      </c>
      <c r="G2845" s="112">
        <f>'OPEN FOREIGN ORDER'!AD2471</f>
        <v>0</v>
      </c>
      <c r="H2845" s="112">
        <f>'OPEN FOREIGN ORDER'!AE2471</f>
        <v>0</v>
      </c>
      <c r="I2845" s="112">
        <f>'OPEN FOREIGN ORDER'!AF2471</f>
        <v>0</v>
      </c>
      <c r="J2845" s="112">
        <f>'OPEN FOREIGN ORDER'!AG2471</f>
        <v>0</v>
      </c>
    </row>
    <row r="2846" spans="1:10">
      <c r="A2846">
        <f>'OPEN FOREIGN ORDER'!D2472</f>
        <v>0</v>
      </c>
      <c r="B2846">
        <f>'OPEN FOREIGN ORDER'!F2472</f>
        <v>0</v>
      </c>
      <c r="C2846">
        <f>'OPEN FOREIGN ORDER'!Z2472</f>
        <v>0</v>
      </c>
      <c r="D2846" s="123">
        <f>'OPEN FOREIGN ORDER'!AA2472</f>
        <v>0</v>
      </c>
      <c r="E2846" s="112">
        <f>'OPEN FOREIGN ORDER'!AB2472</f>
        <v>0</v>
      </c>
      <c r="F2846" s="112">
        <f>'OPEN FOREIGN ORDER'!AC2472</f>
        <v>0</v>
      </c>
      <c r="G2846" s="112">
        <f>'OPEN FOREIGN ORDER'!AD2472</f>
        <v>0</v>
      </c>
      <c r="H2846" s="112">
        <f>'OPEN FOREIGN ORDER'!AE2472</f>
        <v>0</v>
      </c>
      <c r="I2846" s="112">
        <f>'OPEN FOREIGN ORDER'!AF2472</f>
        <v>0</v>
      </c>
      <c r="J2846" s="112">
        <f>'OPEN FOREIGN ORDER'!AG2472</f>
        <v>0</v>
      </c>
    </row>
    <row r="2847" spans="1:10">
      <c r="A2847">
        <f>'OPEN FOREIGN ORDER'!D2473</f>
        <v>0</v>
      </c>
      <c r="B2847">
        <f>'OPEN FOREIGN ORDER'!F2473</f>
        <v>0</v>
      </c>
      <c r="C2847">
        <f>'OPEN FOREIGN ORDER'!Z2473</f>
        <v>0</v>
      </c>
      <c r="D2847" s="123">
        <f>'OPEN FOREIGN ORDER'!AA2473</f>
        <v>0</v>
      </c>
      <c r="E2847" s="112">
        <f>'OPEN FOREIGN ORDER'!AB2473</f>
        <v>0</v>
      </c>
      <c r="F2847" s="112">
        <f>'OPEN FOREIGN ORDER'!AC2473</f>
        <v>0</v>
      </c>
      <c r="G2847" s="112">
        <f>'OPEN FOREIGN ORDER'!AD2473</f>
        <v>0</v>
      </c>
      <c r="H2847" s="112">
        <f>'OPEN FOREIGN ORDER'!AE2473</f>
        <v>0</v>
      </c>
      <c r="I2847" s="112">
        <f>'OPEN FOREIGN ORDER'!AF2473</f>
        <v>0</v>
      </c>
      <c r="J2847" s="112">
        <f>'OPEN FOREIGN ORDER'!AG2473</f>
        <v>0</v>
      </c>
    </row>
    <row r="2848" spans="1:10">
      <c r="A2848">
        <f>'OPEN FOREIGN ORDER'!D2474</f>
        <v>0</v>
      </c>
      <c r="B2848">
        <f>'OPEN FOREIGN ORDER'!F2474</f>
        <v>0</v>
      </c>
      <c r="C2848">
        <f>'OPEN FOREIGN ORDER'!Z2474</f>
        <v>0</v>
      </c>
      <c r="D2848" s="123">
        <f>'OPEN FOREIGN ORDER'!AA2474</f>
        <v>0</v>
      </c>
      <c r="E2848" s="112">
        <f>'OPEN FOREIGN ORDER'!AB2474</f>
        <v>0</v>
      </c>
      <c r="F2848" s="112">
        <f>'OPEN FOREIGN ORDER'!AC2474</f>
        <v>0</v>
      </c>
      <c r="G2848" s="112">
        <f>'OPEN FOREIGN ORDER'!AD2474</f>
        <v>0</v>
      </c>
      <c r="H2848" s="112">
        <f>'OPEN FOREIGN ORDER'!AE2474</f>
        <v>0</v>
      </c>
      <c r="I2848" s="112">
        <f>'OPEN FOREIGN ORDER'!AF2474</f>
        <v>0</v>
      </c>
      <c r="J2848" s="112">
        <f>'OPEN FOREIGN ORDER'!AG2474</f>
        <v>0</v>
      </c>
    </row>
    <row r="2849" spans="1:10">
      <c r="A2849">
        <f>'OPEN FOREIGN ORDER'!D2475</f>
        <v>0</v>
      </c>
      <c r="B2849">
        <f>'OPEN FOREIGN ORDER'!F2475</f>
        <v>0</v>
      </c>
      <c r="C2849">
        <f>'OPEN FOREIGN ORDER'!Z2475</f>
        <v>0</v>
      </c>
      <c r="D2849" s="123">
        <f>'OPEN FOREIGN ORDER'!AA2475</f>
        <v>0</v>
      </c>
      <c r="E2849" s="112">
        <f>'OPEN FOREIGN ORDER'!AB2475</f>
        <v>0</v>
      </c>
      <c r="F2849" s="112">
        <f>'OPEN FOREIGN ORDER'!AC2475</f>
        <v>0</v>
      </c>
      <c r="G2849" s="112">
        <f>'OPEN FOREIGN ORDER'!AD2475</f>
        <v>0</v>
      </c>
      <c r="H2849" s="112">
        <f>'OPEN FOREIGN ORDER'!AE2475</f>
        <v>0</v>
      </c>
      <c r="I2849" s="112">
        <f>'OPEN FOREIGN ORDER'!AF2475</f>
        <v>0</v>
      </c>
      <c r="J2849" s="112">
        <f>'OPEN FOREIGN ORDER'!AG2475</f>
        <v>0</v>
      </c>
    </row>
    <row r="2850" spans="1:10">
      <c r="A2850">
        <f>'OPEN FOREIGN ORDER'!D2476</f>
        <v>0</v>
      </c>
      <c r="B2850">
        <f>'OPEN FOREIGN ORDER'!F2476</f>
        <v>0</v>
      </c>
      <c r="C2850">
        <f>'OPEN FOREIGN ORDER'!Z2476</f>
        <v>0</v>
      </c>
      <c r="D2850" s="123">
        <f>'OPEN FOREIGN ORDER'!AA2476</f>
        <v>0</v>
      </c>
      <c r="E2850" s="112">
        <f>'OPEN FOREIGN ORDER'!AB2476</f>
        <v>0</v>
      </c>
      <c r="F2850" s="112">
        <f>'OPEN FOREIGN ORDER'!AC2476</f>
        <v>0</v>
      </c>
      <c r="G2850" s="112">
        <f>'OPEN FOREIGN ORDER'!AD2476</f>
        <v>0</v>
      </c>
      <c r="H2850" s="112">
        <f>'OPEN FOREIGN ORDER'!AE2476</f>
        <v>0</v>
      </c>
      <c r="I2850" s="112">
        <f>'OPEN FOREIGN ORDER'!AF2476</f>
        <v>0</v>
      </c>
      <c r="J2850" s="112">
        <f>'OPEN FOREIGN ORDER'!AG2476</f>
        <v>0</v>
      </c>
    </row>
    <row r="2851" spans="1:10">
      <c r="A2851">
        <f>'OPEN FOREIGN ORDER'!D2477</f>
        <v>0</v>
      </c>
      <c r="B2851">
        <f>'OPEN FOREIGN ORDER'!F2477</f>
        <v>0</v>
      </c>
      <c r="C2851">
        <f>'OPEN FOREIGN ORDER'!Z2477</f>
        <v>0</v>
      </c>
      <c r="D2851" s="123">
        <f>'OPEN FOREIGN ORDER'!AA2477</f>
        <v>0</v>
      </c>
      <c r="E2851" s="112">
        <f>'OPEN FOREIGN ORDER'!AB2477</f>
        <v>0</v>
      </c>
      <c r="F2851" s="112">
        <f>'OPEN FOREIGN ORDER'!AC2477</f>
        <v>0</v>
      </c>
      <c r="G2851" s="112">
        <f>'OPEN FOREIGN ORDER'!AD2477</f>
        <v>0</v>
      </c>
      <c r="H2851" s="112">
        <f>'OPEN FOREIGN ORDER'!AE2477</f>
        <v>0</v>
      </c>
      <c r="I2851" s="112">
        <f>'OPEN FOREIGN ORDER'!AF2477</f>
        <v>0</v>
      </c>
      <c r="J2851" s="112">
        <f>'OPEN FOREIGN ORDER'!AG2477</f>
        <v>0</v>
      </c>
    </row>
    <row r="2852" spans="1:10">
      <c r="A2852">
        <f>'OPEN FOREIGN ORDER'!D2478</f>
        <v>0</v>
      </c>
      <c r="B2852">
        <f>'OPEN FOREIGN ORDER'!F2478</f>
        <v>0</v>
      </c>
      <c r="C2852">
        <f>'OPEN FOREIGN ORDER'!Z2478</f>
        <v>0</v>
      </c>
      <c r="D2852" s="123">
        <f>'OPEN FOREIGN ORDER'!AA2478</f>
        <v>0</v>
      </c>
      <c r="E2852" s="112">
        <f>'OPEN FOREIGN ORDER'!AB2478</f>
        <v>0</v>
      </c>
      <c r="F2852" s="112">
        <f>'OPEN FOREIGN ORDER'!AC2478</f>
        <v>0</v>
      </c>
      <c r="G2852" s="112">
        <f>'OPEN FOREIGN ORDER'!AD2478</f>
        <v>0</v>
      </c>
      <c r="H2852" s="112">
        <f>'OPEN FOREIGN ORDER'!AE2478</f>
        <v>0</v>
      </c>
      <c r="I2852" s="112">
        <f>'OPEN FOREIGN ORDER'!AF2478</f>
        <v>0</v>
      </c>
      <c r="J2852" s="112">
        <f>'OPEN FOREIGN ORDER'!AG2478</f>
        <v>0</v>
      </c>
    </row>
    <row r="2853" spans="1:10">
      <c r="A2853">
        <f>'OPEN FOREIGN ORDER'!D2479</f>
        <v>0</v>
      </c>
      <c r="B2853">
        <f>'OPEN FOREIGN ORDER'!F2479</f>
        <v>0</v>
      </c>
      <c r="C2853">
        <f>'OPEN FOREIGN ORDER'!Z2479</f>
        <v>0</v>
      </c>
      <c r="D2853" s="123">
        <f>'OPEN FOREIGN ORDER'!AA2479</f>
        <v>0</v>
      </c>
      <c r="E2853" s="112">
        <f>'OPEN FOREIGN ORDER'!AB2479</f>
        <v>0</v>
      </c>
      <c r="F2853" s="112">
        <f>'OPEN FOREIGN ORDER'!AC2479</f>
        <v>0</v>
      </c>
      <c r="G2853" s="112">
        <f>'OPEN FOREIGN ORDER'!AD2479</f>
        <v>0</v>
      </c>
      <c r="H2853" s="112">
        <f>'OPEN FOREIGN ORDER'!AE2479</f>
        <v>0</v>
      </c>
      <c r="I2853" s="112">
        <f>'OPEN FOREIGN ORDER'!AF2479</f>
        <v>0</v>
      </c>
      <c r="J2853" s="112">
        <f>'OPEN FOREIGN ORDER'!AG2479</f>
        <v>0</v>
      </c>
    </row>
    <row r="2854" spans="1:10">
      <c r="A2854">
        <f>'OPEN FOREIGN ORDER'!D2480</f>
        <v>0</v>
      </c>
      <c r="B2854">
        <f>'OPEN FOREIGN ORDER'!F2480</f>
        <v>0</v>
      </c>
      <c r="C2854">
        <f>'OPEN FOREIGN ORDER'!Z2480</f>
        <v>0</v>
      </c>
      <c r="D2854" s="123">
        <f>'OPEN FOREIGN ORDER'!AA2480</f>
        <v>0</v>
      </c>
      <c r="E2854" s="112">
        <f>'OPEN FOREIGN ORDER'!AB2480</f>
        <v>0</v>
      </c>
      <c r="F2854" s="112">
        <f>'OPEN FOREIGN ORDER'!AC2480</f>
        <v>0</v>
      </c>
      <c r="G2854" s="112">
        <f>'OPEN FOREIGN ORDER'!AD2480</f>
        <v>0</v>
      </c>
      <c r="H2854" s="112">
        <f>'OPEN FOREIGN ORDER'!AE2480</f>
        <v>0</v>
      </c>
      <c r="I2854" s="112">
        <f>'OPEN FOREIGN ORDER'!AF2480</f>
        <v>0</v>
      </c>
      <c r="J2854" s="112">
        <f>'OPEN FOREIGN ORDER'!AG2480</f>
        <v>0</v>
      </c>
    </row>
    <row r="2855" spans="1:10">
      <c r="A2855">
        <f>'OPEN FOREIGN ORDER'!D2481</f>
        <v>0</v>
      </c>
      <c r="B2855">
        <f>'OPEN FOREIGN ORDER'!F2481</f>
        <v>0</v>
      </c>
      <c r="C2855">
        <f>'OPEN FOREIGN ORDER'!Z2481</f>
        <v>0</v>
      </c>
      <c r="D2855" s="123">
        <f>'OPEN FOREIGN ORDER'!AA2481</f>
        <v>0</v>
      </c>
      <c r="E2855" s="112">
        <f>'OPEN FOREIGN ORDER'!AB2481</f>
        <v>0</v>
      </c>
      <c r="F2855" s="112">
        <f>'OPEN FOREIGN ORDER'!AC2481</f>
        <v>0</v>
      </c>
      <c r="G2855" s="112">
        <f>'OPEN FOREIGN ORDER'!AD2481</f>
        <v>0</v>
      </c>
      <c r="H2855" s="112">
        <f>'OPEN FOREIGN ORDER'!AE2481</f>
        <v>0</v>
      </c>
      <c r="I2855" s="112">
        <f>'OPEN FOREIGN ORDER'!AF2481</f>
        <v>0</v>
      </c>
      <c r="J2855" s="112">
        <f>'OPEN FOREIGN ORDER'!AG2481</f>
        <v>0</v>
      </c>
    </row>
    <row r="2856" spans="1:10">
      <c r="A2856">
        <f>'OPEN FOREIGN ORDER'!D2482</f>
        <v>0</v>
      </c>
      <c r="B2856">
        <f>'OPEN FOREIGN ORDER'!F2482</f>
        <v>0</v>
      </c>
      <c r="C2856">
        <f>'OPEN FOREIGN ORDER'!Z2482</f>
        <v>0</v>
      </c>
      <c r="D2856" s="123">
        <f>'OPEN FOREIGN ORDER'!AA2482</f>
        <v>0</v>
      </c>
      <c r="E2856" s="112">
        <f>'OPEN FOREIGN ORDER'!AB2482</f>
        <v>0</v>
      </c>
      <c r="F2856" s="112">
        <f>'OPEN FOREIGN ORDER'!AC2482</f>
        <v>0</v>
      </c>
      <c r="G2856" s="112">
        <f>'OPEN FOREIGN ORDER'!AD2482</f>
        <v>0</v>
      </c>
      <c r="H2856" s="112">
        <f>'OPEN FOREIGN ORDER'!AE2482</f>
        <v>0</v>
      </c>
      <c r="I2856" s="112">
        <f>'OPEN FOREIGN ORDER'!AF2482</f>
        <v>0</v>
      </c>
      <c r="J2856" s="112">
        <f>'OPEN FOREIGN ORDER'!AG2482</f>
        <v>0</v>
      </c>
    </row>
    <row r="2857" spans="1:10">
      <c r="A2857">
        <f>'OPEN FOREIGN ORDER'!D2483</f>
        <v>0</v>
      </c>
      <c r="B2857">
        <f>'OPEN FOREIGN ORDER'!F2483</f>
        <v>0</v>
      </c>
      <c r="C2857">
        <f>'OPEN FOREIGN ORDER'!Z2483</f>
        <v>0</v>
      </c>
      <c r="D2857" s="123">
        <f>'OPEN FOREIGN ORDER'!AA2483</f>
        <v>0</v>
      </c>
      <c r="E2857" s="112">
        <f>'OPEN FOREIGN ORDER'!AB2483</f>
        <v>0</v>
      </c>
      <c r="F2857" s="112">
        <f>'OPEN FOREIGN ORDER'!AC2483</f>
        <v>0</v>
      </c>
      <c r="G2857" s="112">
        <f>'OPEN FOREIGN ORDER'!AD2483</f>
        <v>0</v>
      </c>
      <c r="H2857" s="112">
        <f>'OPEN FOREIGN ORDER'!AE2483</f>
        <v>0</v>
      </c>
      <c r="I2857" s="112">
        <f>'OPEN FOREIGN ORDER'!AF2483</f>
        <v>0</v>
      </c>
      <c r="J2857" s="112">
        <f>'OPEN FOREIGN ORDER'!AG2483</f>
        <v>0</v>
      </c>
    </row>
    <row r="2858" spans="1:10">
      <c r="A2858">
        <f>'OPEN FOREIGN ORDER'!D2484</f>
        <v>0</v>
      </c>
      <c r="B2858">
        <f>'OPEN FOREIGN ORDER'!F2484</f>
        <v>0</v>
      </c>
      <c r="C2858">
        <f>'OPEN FOREIGN ORDER'!Z2484</f>
        <v>0</v>
      </c>
      <c r="D2858" s="123">
        <f>'OPEN FOREIGN ORDER'!AA2484</f>
        <v>0</v>
      </c>
      <c r="E2858" s="112">
        <f>'OPEN FOREIGN ORDER'!AB2484</f>
        <v>0</v>
      </c>
      <c r="F2858" s="112">
        <f>'OPEN FOREIGN ORDER'!AC2484</f>
        <v>0</v>
      </c>
      <c r="G2858" s="112">
        <f>'OPEN FOREIGN ORDER'!AD2484</f>
        <v>0</v>
      </c>
      <c r="H2858" s="112">
        <f>'OPEN FOREIGN ORDER'!AE2484</f>
        <v>0</v>
      </c>
      <c r="I2858" s="112">
        <f>'OPEN FOREIGN ORDER'!AF2484</f>
        <v>0</v>
      </c>
      <c r="J2858" s="112">
        <f>'OPEN FOREIGN ORDER'!AG2484</f>
        <v>0</v>
      </c>
    </row>
    <row r="2859" spans="1:10">
      <c r="A2859">
        <f>'OPEN FOREIGN ORDER'!D2485</f>
        <v>0</v>
      </c>
      <c r="B2859">
        <f>'OPEN FOREIGN ORDER'!F2485</f>
        <v>0</v>
      </c>
      <c r="C2859">
        <f>'OPEN FOREIGN ORDER'!Z2485</f>
        <v>0</v>
      </c>
      <c r="D2859" s="123">
        <f>'OPEN FOREIGN ORDER'!AA2485</f>
        <v>0</v>
      </c>
      <c r="E2859" s="112">
        <f>'OPEN FOREIGN ORDER'!AB2485</f>
        <v>0</v>
      </c>
      <c r="F2859" s="112">
        <f>'OPEN FOREIGN ORDER'!AC2485</f>
        <v>0</v>
      </c>
      <c r="G2859" s="112">
        <f>'OPEN FOREIGN ORDER'!AD2485</f>
        <v>0</v>
      </c>
      <c r="H2859" s="112">
        <f>'OPEN FOREIGN ORDER'!AE2485</f>
        <v>0</v>
      </c>
      <c r="I2859" s="112">
        <f>'OPEN FOREIGN ORDER'!AF2485</f>
        <v>0</v>
      </c>
      <c r="J2859" s="112">
        <f>'OPEN FOREIGN ORDER'!AG2485</f>
        <v>0</v>
      </c>
    </row>
    <row r="2860" spans="1:10">
      <c r="A2860">
        <f>'OPEN FOREIGN ORDER'!D2486</f>
        <v>0</v>
      </c>
      <c r="B2860">
        <f>'OPEN FOREIGN ORDER'!F2486</f>
        <v>0</v>
      </c>
      <c r="C2860">
        <f>'OPEN FOREIGN ORDER'!Z2486</f>
        <v>0</v>
      </c>
      <c r="D2860" s="123">
        <f>'OPEN FOREIGN ORDER'!AA2486</f>
        <v>0</v>
      </c>
      <c r="E2860" s="112">
        <f>'OPEN FOREIGN ORDER'!AB2486</f>
        <v>0</v>
      </c>
      <c r="F2860" s="112">
        <f>'OPEN FOREIGN ORDER'!AC2486</f>
        <v>0</v>
      </c>
      <c r="G2860" s="112">
        <f>'OPEN FOREIGN ORDER'!AD2486</f>
        <v>0</v>
      </c>
      <c r="H2860" s="112">
        <f>'OPEN FOREIGN ORDER'!AE2486</f>
        <v>0</v>
      </c>
      <c r="I2860" s="112">
        <f>'OPEN FOREIGN ORDER'!AF2486</f>
        <v>0</v>
      </c>
      <c r="J2860" s="112">
        <f>'OPEN FOREIGN ORDER'!AG2486</f>
        <v>0</v>
      </c>
    </row>
    <row r="2861" spans="1:10">
      <c r="A2861">
        <f>'OPEN FOREIGN ORDER'!D2487</f>
        <v>0</v>
      </c>
      <c r="B2861">
        <f>'OPEN FOREIGN ORDER'!F2487</f>
        <v>0</v>
      </c>
      <c r="C2861">
        <f>'OPEN FOREIGN ORDER'!Z2487</f>
        <v>0</v>
      </c>
      <c r="D2861" s="123">
        <f>'OPEN FOREIGN ORDER'!AA2487</f>
        <v>0</v>
      </c>
      <c r="E2861" s="112">
        <f>'OPEN FOREIGN ORDER'!AB2487</f>
        <v>0</v>
      </c>
      <c r="F2861" s="112">
        <f>'OPEN FOREIGN ORDER'!AC2487</f>
        <v>0</v>
      </c>
      <c r="G2861" s="112">
        <f>'OPEN FOREIGN ORDER'!AD2487</f>
        <v>0</v>
      </c>
      <c r="H2861" s="112">
        <f>'OPEN FOREIGN ORDER'!AE2487</f>
        <v>0</v>
      </c>
      <c r="I2861" s="112">
        <f>'OPEN FOREIGN ORDER'!AF2487</f>
        <v>0</v>
      </c>
      <c r="J2861" s="112">
        <f>'OPEN FOREIGN ORDER'!AG2487</f>
        <v>0</v>
      </c>
    </row>
    <row r="2862" spans="1:10">
      <c r="A2862">
        <f>'OPEN FOREIGN ORDER'!D2488</f>
        <v>0</v>
      </c>
      <c r="B2862">
        <f>'OPEN FOREIGN ORDER'!F2488</f>
        <v>0</v>
      </c>
      <c r="C2862">
        <f>'OPEN FOREIGN ORDER'!Z2488</f>
        <v>0</v>
      </c>
      <c r="D2862" s="123">
        <f>'OPEN FOREIGN ORDER'!AA2488</f>
        <v>0</v>
      </c>
      <c r="E2862" s="112">
        <f>'OPEN FOREIGN ORDER'!AB2488</f>
        <v>0</v>
      </c>
      <c r="F2862" s="112">
        <f>'OPEN FOREIGN ORDER'!AC2488</f>
        <v>0</v>
      </c>
      <c r="G2862" s="112">
        <f>'OPEN FOREIGN ORDER'!AD2488</f>
        <v>0</v>
      </c>
      <c r="H2862" s="112">
        <f>'OPEN FOREIGN ORDER'!AE2488</f>
        <v>0</v>
      </c>
      <c r="I2862" s="112">
        <f>'OPEN FOREIGN ORDER'!AF2488</f>
        <v>0</v>
      </c>
      <c r="J2862" s="112">
        <f>'OPEN FOREIGN ORDER'!AG2488</f>
        <v>0</v>
      </c>
    </row>
    <row r="2863" spans="1:10">
      <c r="A2863">
        <f>'OPEN FOREIGN ORDER'!D2489</f>
        <v>0</v>
      </c>
      <c r="B2863">
        <f>'OPEN FOREIGN ORDER'!F2489</f>
        <v>0</v>
      </c>
      <c r="C2863">
        <f>'OPEN FOREIGN ORDER'!Z2489</f>
        <v>0</v>
      </c>
      <c r="D2863" s="123">
        <f>'OPEN FOREIGN ORDER'!AA2489</f>
        <v>0</v>
      </c>
      <c r="E2863" s="112">
        <f>'OPEN FOREIGN ORDER'!AB2489</f>
        <v>0</v>
      </c>
      <c r="F2863" s="112">
        <f>'OPEN FOREIGN ORDER'!AC2489</f>
        <v>0</v>
      </c>
      <c r="G2863" s="112">
        <f>'OPEN FOREIGN ORDER'!AD2489</f>
        <v>0</v>
      </c>
      <c r="H2863" s="112">
        <f>'OPEN FOREIGN ORDER'!AE2489</f>
        <v>0</v>
      </c>
      <c r="I2863" s="112">
        <f>'OPEN FOREIGN ORDER'!AF2489</f>
        <v>0</v>
      </c>
      <c r="J2863" s="112">
        <f>'OPEN FOREIGN ORDER'!AG2489</f>
        <v>0</v>
      </c>
    </row>
    <row r="2864" spans="1:10">
      <c r="A2864">
        <f>'OPEN FOREIGN ORDER'!D2490</f>
        <v>0</v>
      </c>
      <c r="B2864">
        <f>'OPEN FOREIGN ORDER'!F2490</f>
        <v>0</v>
      </c>
      <c r="C2864">
        <f>'OPEN FOREIGN ORDER'!Z2490</f>
        <v>0</v>
      </c>
      <c r="D2864" s="123">
        <f>'OPEN FOREIGN ORDER'!AA2490</f>
        <v>0</v>
      </c>
      <c r="E2864" s="112">
        <f>'OPEN FOREIGN ORDER'!AB2490</f>
        <v>0</v>
      </c>
      <c r="F2864" s="112">
        <f>'OPEN FOREIGN ORDER'!AC2490</f>
        <v>0</v>
      </c>
      <c r="G2864" s="112">
        <f>'OPEN FOREIGN ORDER'!AD2490</f>
        <v>0</v>
      </c>
      <c r="H2864" s="112">
        <f>'OPEN FOREIGN ORDER'!AE2490</f>
        <v>0</v>
      </c>
      <c r="I2864" s="112">
        <f>'OPEN FOREIGN ORDER'!AF2490</f>
        <v>0</v>
      </c>
      <c r="J2864" s="112">
        <f>'OPEN FOREIGN ORDER'!AG2490</f>
        <v>0</v>
      </c>
    </row>
    <row r="2865" spans="1:10">
      <c r="A2865">
        <f>'OPEN FOREIGN ORDER'!D2491</f>
        <v>0</v>
      </c>
      <c r="B2865">
        <f>'OPEN FOREIGN ORDER'!F2491</f>
        <v>0</v>
      </c>
      <c r="C2865">
        <f>'OPEN FOREIGN ORDER'!Z2491</f>
        <v>0</v>
      </c>
      <c r="D2865" s="123">
        <f>'OPEN FOREIGN ORDER'!AA2491</f>
        <v>0</v>
      </c>
      <c r="E2865" s="112">
        <f>'OPEN FOREIGN ORDER'!AB2491</f>
        <v>0</v>
      </c>
      <c r="F2865" s="112">
        <f>'OPEN FOREIGN ORDER'!AC2491</f>
        <v>0</v>
      </c>
      <c r="G2865" s="112">
        <f>'OPEN FOREIGN ORDER'!AD2491</f>
        <v>0</v>
      </c>
      <c r="H2865" s="112">
        <f>'OPEN FOREIGN ORDER'!AE2491</f>
        <v>0</v>
      </c>
      <c r="I2865" s="112">
        <f>'OPEN FOREIGN ORDER'!AF2491</f>
        <v>0</v>
      </c>
      <c r="J2865" s="112">
        <f>'OPEN FOREIGN ORDER'!AG2491</f>
        <v>0</v>
      </c>
    </row>
    <row r="2866" spans="1:10">
      <c r="A2866">
        <f>'OPEN FOREIGN ORDER'!D2492</f>
        <v>0</v>
      </c>
      <c r="B2866">
        <f>'OPEN FOREIGN ORDER'!F2492</f>
        <v>0</v>
      </c>
      <c r="C2866">
        <f>'OPEN FOREIGN ORDER'!Z2492</f>
        <v>0</v>
      </c>
      <c r="D2866" s="123">
        <f>'OPEN FOREIGN ORDER'!AA2492</f>
        <v>0</v>
      </c>
      <c r="E2866" s="112">
        <f>'OPEN FOREIGN ORDER'!AB2492</f>
        <v>0</v>
      </c>
      <c r="F2866" s="112">
        <f>'OPEN FOREIGN ORDER'!AC2492</f>
        <v>0</v>
      </c>
      <c r="G2866" s="112">
        <f>'OPEN FOREIGN ORDER'!AD2492</f>
        <v>0</v>
      </c>
      <c r="H2866" s="112">
        <f>'OPEN FOREIGN ORDER'!AE2492</f>
        <v>0</v>
      </c>
      <c r="I2866" s="112">
        <f>'OPEN FOREIGN ORDER'!AF2492</f>
        <v>0</v>
      </c>
      <c r="J2866" s="112">
        <f>'OPEN FOREIGN ORDER'!AG2492</f>
        <v>0</v>
      </c>
    </row>
    <row r="2867" spans="1:10">
      <c r="A2867">
        <f>'OPEN FOREIGN ORDER'!D2493</f>
        <v>0</v>
      </c>
      <c r="B2867">
        <f>'OPEN FOREIGN ORDER'!F2493</f>
        <v>0</v>
      </c>
      <c r="C2867">
        <f>'OPEN FOREIGN ORDER'!Z2493</f>
        <v>0</v>
      </c>
      <c r="D2867" s="123">
        <f>'OPEN FOREIGN ORDER'!AA2493</f>
        <v>0</v>
      </c>
      <c r="E2867" s="112">
        <f>'OPEN FOREIGN ORDER'!AB2493</f>
        <v>0</v>
      </c>
      <c r="F2867" s="112">
        <f>'OPEN FOREIGN ORDER'!AC2493</f>
        <v>0</v>
      </c>
      <c r="G2867" s="112">
        <f>'OPEN FOREIGN ORDER'!AD2493</f>
        <v>0</v>
      </c>
      <c r="H2867" s="112">
        <f>'OPEN FOREIGN ORDER'!AE2493</f>
        <v>0</v>
      </c>
      <c r="I2867" s="112">
        <f>'OPEN FOREIGN ORDER'!AF2493</f>
        <v>0</v>
      </c>
      <c r="J2867" s="112">
        <f>'OPEN FOREIGN ORDER'!AG2493</f>
        <v>0</v>
      </c>
    </row>
    <row r="2868" spans="1:10">
      <c r="A2868">
        <f>'OPEN FOREIGN ORDER'!D2494</f>
        <v>0</v>
      </c>
      <c r="B2868">
        <f>'OPEN FOREIGN ORDER'!F2494</f>
        <v>0</v>
      </c>
      <c r="C2868">
        <f>'OPEN FOREIGN ORDER'!Z2494</f>
        <v>0</v>
      </c>
      <c r="D2868" s="123">
        <f>'OPEN FOREIGN ORDER'!AA2494</f>
        <v>0</v>
      </c>
      <c r="E2868" s="112">
        <f>'OPEN FOREIGN ORDER'!AB2494</f>
        <v>0</v>
      </c>
      <c r="F2868" s="112">
        <f>'OPEN FOREIGN ORDER'!AC2494</f>
        <v>0</v>
      </c>
      <c r="G2868" s="112">
        <f>'OPEN FOREIGN ORDER'!AD2494</f>
        <v>0</v>
      </c>
      <c r="H2868" s="112">
        <f>'OPEN FOREIGN ORDER'!AE2494</f>
        <v>0</v>
      </c>
      <c r="I2868" s="112">
        <f>'OPEN FOREIGN ORDER'!AF2494</f>
        <v>0</v>
      </c>
      <c r="J2868" s="112">
        <f>'OPEN FOREIGN ORDER'!AG2494</f>
        <v>0</v>
      </c>
    </row>
    <row r="2869" spans="1:10">
      <c r="A2869">
        <f>'OPEN FOREIGN ORDER'!D2495</f>
        <v>0</v>
      </c>
      <c r="B2869">
        <f>'OPEN FOREIGN ORDER'!F2495</f>
        <v>0</v>
      </c>
      <c r="C2869">
        <f>'OPEN FOREIGN ORDER'!Z2495</f>
        <v>0</v>
      </c>
      <c r="D2869" s="123">
        <f>'OPEN FOREIGN ORDER'!AA2495</f>
        <v>0</v>
      </c>
      <c r="E2869" s="112">
        <f>'OPEN FOREIGN ORDER'!AB2495</f>
        <v>0</v>
      </c>
      <c r="F2869" s="112">
        <f>'OPEN FOREIGN ORDER'!AC2495</f>
        <v>0</v>
      </c>
      <c r="G2869" s="112">
        <f>'OPEN FOREIGN ORDER'!AD2495</f>
        <v>0</v>
      </c>
      <c r="H2869" s="112">
        <f>'OPEN FOREIGN ORDER'!AE2495</f>
        <v>0</v>
      </c>
      <c r="I2869" s="112">
        <f>'OPEN FOREIGN ORDER'!AF2495</f>
        <v>0</v>
      </c>
      <c r="J2869" s="112">
        <f>'OPEN FOREIGN ORDER'!AG2495</f>
        <v>0</v>
      </c>
    </row>
    <row r="2870" spans="1:10">
      <c r="A2870">
        <f>'OPEN FOREIGN ORDER'!D2496</f>
        <v>0</v>
      </c>
      <c r="B2870">
        <f>'OPEN FOREIGN ORDER'!F2496</f>
        <v>0</v>
      </c>
      <c r="C2870">
        <f>'OPEN FOREIGN ORDER'!Z2496</f>
        <v>0</v>
      </c>
      <c r="D2870" s="123">
        <f>'OPEN FOREIGN ORDER'!AA2496</f>
        <v>0</v>
      </c>
      <c r="E2870" s="112">
        <f>'OPEN FOREIGN ORDER'!AB2496</f>
        <v>0</v>
      </c>
      <c r="F2870" s="112">
        <f>'OPEN FOREIGN ORDER'!AC2496</f>
        <v>0</v>
      </c>
      <c r="G2870" s="112">
        <f>'OPEN FOREIGN ORDER'!AD2496</f>
        <v>0</v>
      </c>
      <c r="H2870" s="112">
        <f>'OPEN FOREIGN ORDER'!AE2496</f>
        <v>0</v>
      </c>
      <c r="I2870" s="112">
        <f>'OPEN FOREIGN ORDER'!AF2496</f>
        <v>0</v>
      </c>
      <c r="J2870" s="112">
        <f>'OPEN FOREIGN ORDER'!AG2496</f>
        <v>0</v>
      </c>
    </row>
    <row r="2871" spans="1:10">
      <c r="A2871">
        <f>'OPEN FOREIGN ORDER'!D2497</f>
        <v>0</v>
      </c>
      <c r="B2871">
        <f>'OPEN FOREIGN ORDER'!F2497</f>
        <v>0</v>
      </c>
      <c r="C2871">
        <f>'OPEN FOREIGN ORDER'!Z2497</f>
        <v>0</v>
      </c>
      <c r="D2871" s="123">
        <f>'OPEN FOREIGN ORDER'!AA2497</f>
        <v>0</v>
      </c>
      <c r="E2871" s="112">
        <f>'OPEN FOREIGN ORDER'!AB2497</f>
        <v>0</v>
      </c>
      <c r="F2871" s="112">
        <f>'OPEN FOREIGN ORDER'!AC2497</f>
        <v>0</v>
      </c>
      <c r="G2871" s="112">
        <f>'OPEN FOREIGN ORDER'!AD2497</f>
        <v>0</v>
      </c>
      <c r="H2871" s="112">
        <f>'OPEN FOREIGN ORDER'!AE2497</f>
        <v>0</v>
      </c>
      <c r="I2871" s="112">
        <f>'OPEN FOREIGN ORDER'!AF2497</f>
        <v>0</v>
      </c>
      <c r="J2871" s="112">
        <f>'OPEN FOREIGN ORDER'!AG2497</f>
        <v>0</v>
      </c>
    </row>
    <row r="2872" spans="1:10">
      <c r="A2872">
        <f>'OPEN FOREIGN ORDER'!D2498</f>
        <v>0</v>
      </c>
      <c r="B2872">
        <f>'OPEN FOREIGN ORDER'!F2498</f>
        <v>0</v>
      </c>
      <c r="C2872">
        <f>'OPEN FOREIGN ORDER'!Z2498</f>
        <v>0</v>
      </c>
      <c r="D2872" s="123">
        <f>'OPEN FOREIGN ORDER'!AA2498</f>
        <v>0</v>
      </c>
      <c r="E2872" s="112">
        <f>'OPEN FOREIGN ORDER'!AB2498</f>
        <v>0</v>
      </c>
      <c r="F2872" s="112">
        <f>'OPEN FOREIGN ORDER'!AC2498</f>
        <v>0</v>
      </c>
      <c r="G2872" s="112">
        <f>'OPEN FOREIGN ORDER'!AD2498</f>
        <v>0</v>
      </c>
      <c r="H2872" s="112">
        <f>'OPEN FOREIGN ORDER'!AE2498</f>
        <v>0</v>
      </c>
      <c r="I2872" s="112">
        <f>'OPEN FOREIGN ORDER'!AF2498</f>
        <v>0</v>
      </c>
      <c r="J2872" s="112">
        <f>'OPEN FOREIGN ORDER'!AG2498</f>
        <v>0</v>
      </c>
    </row>
    <row r="2873" spans="1:10">
      <c r="A2873">
        <f>'OPEN FOREIGN ORDER'!D2499</f>
        <v>0</v>
      </c>
      <c r="B2873">
        <f>'OPEN FOREIGN ORDER'!F2499</f>
        <v>0</v>
      </c>
      <c r="C2873">
        <f>'OPEN FOREIGN ORDER'!Z2499</f>
        <v>0</v>
      </c>
      <c r="D2873" s="123">
        <f>'OPEN FOREIGN ORDER'!AA2499</f>
        <v>0</v>
      </c>
      <c r="E2873" s="112">
        <f>'OPEN FOREIGN ORDER'!AB2499</f>
        <v>0</v>
      </c>
      <c r="F2873" s="112">
        <f>'OPEN FOREIGN ORDER'!AC2499</f>
        <v>0</v>
      </c>
      <c r="G2873" s="112">
        <f>'OPEN FOREIGN ORDER'!AD2499</f>
        <v>0</v>
      </c>
      <c r="H2873" s="112">
        <f>'OPEN FOREIGN ORDER'!AE2499</f>
        <v>0</v>
      </c>
      <c r="I2873" s="112">
        <f>'OPEN FOREIGN ORDER'!AF2499</f>
        <v>0</v>
      </c>
      <c r="J2873" s="112">
        <f>'OPEN FOREIGN ORDER'!AG2499</f>
        <v>0</v>
      </c>
    </row>
    <row r="2874" spans="1:10">
      <c r="A2874">
        <f>'OPEN FOREIGN ORDER'!D2500</f>
        <v>0</v>
      </c>
      <c r="B2874">
        <f>'OPEN FOREIGN ORDER'!F2500</f>
        <v>0</v>
      </c>
      <c r="C2874">
        <f>'OPEN FOREIGN ORDER'!Z2500</f>
        <v>0</v>
      </c>
      <c r="D2874" s="123">
        <f>'OPEN FOREIGN ORDER'!AA2500</f>
        <v>0</v>
      </c>
      <c r="E2874" s="112">
        <f>'OPEN FOREIGN ORDER'!AB2500</f>
        <v>0</v>
      </c>
      <c r="F2874" s="112">
        <f>'OPEN FOREIGN ORDER'!AC2500</f>
        <v>0</v>
      </c>
      <c r="G2874" s="112">
        <f>'OPEN FOREIGN ORDER'!AD2500</f>
        <v>0</v>
      </c>
      <c r="H2874" s="112">
        <f>'OPEN FOREIGN ORDER'!AE2500</f>
        <v>0</v>
      </c>
      <c r="I2874" s="112">
        <f>'OPEN FOREIGN ORDER'!AF2500</f>
        <v>0</v>
      </c>
      <c r="J2874" s="112">
        <f>'OPEN FOREIGN ORDER'!AG2500</f>
        <v>0</v>
      </c>
    </row>
    <row r="2875" spans="1:10">
      <c r="A2875">
        <f>'OPEN FOREIGN ORDER'!D2501</f>
        <v>0</v>
      </c>
      <c r="B2875">
        <f>'OPEN FOREIGN ORDER'!F2501</f>
        <v>0</v>
      </c>
      <c r="C2875">
        <f>'OPEN FOREIGN ORDER'!Z2501</f>
        <v>0</v>
      </c>
      <c r="D2875" s="123">
        <f>'OPEN FOREIGN ORDER'!AA2501</f>
        <v>0</v>
      </c>
      <c r="E2875" s="112">
        <f>'OPEN FOREIGN ORDER'!AB2501</f>
        <v>0</v>
      </c>
      <c r="F2875" s="112">
        <f>'OPEN FOREIGN ORDER'!AC2501</f>
        <v>0</v>
      </c>
      <c r="G2875" s="112">
        <f>'OPEN FOREIGN ORDER'!AD2501</f>
        <v>0</v>
      </c>
      <c r="H2875" s="112">
        <f>'OPEN FOREIGN ORDER'!AE2501</f>
        <v>0</v>
      </c>
      <c r="I2875" s="112">
        <f>'OPEN FOREIGN ORDER'!AF2501</f>
        <v>0</v>
      </c>
      <c r="J2875" s="112">
        <f>'OPEN FOREIGN ORDER'!AG2501</f>
        <v>0</v>
      </c>
    </row>
    <row r="2876" spans="1:10">
      <c r="A2876">
        <f>'OPEN FOREIGN ORDER'!D2502</f>
        <v>0</v>
      </c>
      <c r="B2876">
        <f>'OPEN FOREIGN ORDER'!F2502</f>
        <v>0</v>
      </c>
      <c r="C2876">
        <f>'OPEN FOREIGN ORDER'!Z2502</f>
        <v>0</v>
      </c>
      <c r="D2876" s="123">
        <f>'OPEN FOREIGN ORDER'!AA2502</f>
        <v>0</v>
      </c>
      <c r="E2876" s="112">
        <f>'OPEN FOREIGN ORDER'!AB2502</f>
        <v>0</v>
      </c>
      <c r="F2876" s="112">
        <f>'OPEN FOREIGN ORDER'!AC2502</f>
        <v>0</v>
      </c>
      <c r="G2876" s="112">
        <f>'OPEN FOREIGN ORDER'!AD2502</f>
        <v>0</v>
      </c>
      <c r="H2876" s="112">
        <f>'OPEN FOREIGN ORDER'!AE2502</f>
        <v>0</v>
      </c>
      <c r="I2876" s="112">
        <f>'OPEN FOREIGN ORDER'!AF2502</f>
        <v>0</v>
      </c>
      <c r="J2876" s="112">
        <f>'OPEN FOREIGN ORDER'!AG2502</f>
        <v>0</v>
      </c>
    </row>
    <row r="2877" spans="1:10">
      <c r="A2877">
        <f>'OPEN FOREIGN ORDER'!D2503</f>
        <v>0</v>
      </c>
      <c r="B2877">
        <f>'OPEN FOREIGN ORDER'!F2503</f>
        <v>0</v>
      </c>
      <c r="C2877">
        <f>'OPEN FOREIGN ORDER'!Z2503</f>
        <v>0</v>
      </c>
      <c r="D2877" s="123">
        <f>'OPEN FOREIGN ORDER'!AA2503</f>
        <v>0</v>
      </c>
      <c r="E2877" s="112">
        <f>'OPEN FOREIGN ORDER'!AB2503</f>
        <v>0</v>
      </c>
      <c r="F2877" s="112">
        <f>'OPEN FOREIGN ORDER'!AC2503</f>
        <v>0</v>
      </c>
      <c r="G2877" s="112">
        <f>'OPEN FOREIGN ORDER'!AD2503</f>
        <v>0</v>
      </c>
      <c r="H2877" s="112">
        <f>'OPEN FOREIGN ORDER'!AE2503</f>
        <v>0</v>
      </c>
      <c r="I2877" s="112">
        <f>'OPEN FOREIGN ORDER'!AF2503</f>
        <v>0</v>
      </c>
      <c r="J2877" s="112">
        <f>'OPEN FOREIGN ORDER'!AG2503</f>
        <v>0</v>
      </c>
    </row>
    <row r="2878" spans="1:10">
      <c r="A2878">
        <f>'OPEN FOREIGN ORDER'!D2504</f>
        <v>0</v>
      </c>
      <c r="B2878">
        <f>'OPEN FOREIGN ORDER'!F2504</f>
        <v>0</v>
      </c>
      <c r="C2878">
        <f>'OPEN FOREIGN ORDER'!Z2504</f>
        <v>0</v>
      </c>
      <c r="D2878" s="123">
        <f>'OPEN FOREIGN ORDER'!AA2504</f>
        <v>0</v>
      </c>
      <c r="E2878" s="112">
        <f>'OPEN FOREIGN ORDER'!AB2504</f>
        <v>0</v>
      </c>
      <c r="F2878" s="112">
        <f>'OPEN FOREIGN ORDER'!AC2504</f>
        <v>0</v>
      </c>
      <c r="G2878" s="112">
        <f>'OPEN FOREIGN ORDER'!AD2504</f>
        <v>0</v>
      </c>
      <c r="H2878" s="112">
        <f>'OPEN FOREIGN ORDER'!AE2504</f>
        <v>0</v>
      </c>
      <c r="I2878" s="112">
        <f>'OPEN FOREIGN ORDER'!AF2504</f>
        <v>0</v>
      </c>
      <c r="J2878" s="112">
        <f>'OPEN FOREIGN ORDER'!AG2504</f>
        <v>0</v>
      </c>
    </row>
    <row r="2879" spans="1:10">
      <c r="A2879">
        <f>'OPEN FOREIGN ORDER'!D2505</f>
        <v>0</v>
      </c>
      <c r="B2879">
        <f>'OPEN FOREIGN ORDER'!F2505</f>
        <v>0</v>
      </c>
      <c r="C2879">
        <f>'OPEN FOREIGN ORDER'!Z2505</f>
        <v>0</v>
      </c>
      <c r="D2879" s="123">
        <f>'OPEN FOREIGN ORDER'!AA2505</f>
        <v>0</v>
      </c>
      <c r="E2879" s="112">
        <f>'OPEN FOREIGN ORDER'!AB2505</f>
        <v>0</v>
      </c>
      <c r="F2879" s="112">
        <f>'OPEN FOREIGN ORDER'!AC2505</f>
        <v>0</v>
      </c>
      <c r="G2879" s="112">
        <f>'OPEN FOREIGN ORDER'!AD2505</f>
        <v>0</v>
      </c>
      <c r="H2879" s="112">
        <f>'OPEN FOREIGN ORDER'!AE2505</f>
        <v>0</v>
      </c>
      <c r="I2879" s="112">
        <f>'OPEN FOREIGN ORDER'!AF2505</f>
        <v>0</v>
      </c>
      <c r="J2879" s="112">
        <f>'OPEN FOREIGN ORDER'!AG2505</f>
        <v>0</v>
      </c>
    </row>
    <row r="2880" spans="1:10">
      <c r="A2880">
        <f>'OPEN FOREIGN ORDER'!D2506</f>
        <v>0</v>
      </c>
      <c r="B2880">
        <f>'OPEN FOREIGN ORDER'!F2506</f>
        <v>0</v>
      </c>
      <c r="C2880">
        <f>'OPEN FOREIGN ORDER'!Z2506</f>
        <v>0</v>
      </c>
      <c r="D2880" s="123">
        <f>'OPEN FOREIGN ORDER'!AA2506</f>
        <v>0</v>
      </c>
      <c r="E2880" s="112">
        <f>'OPEN FOREIGN ORDER'!AB2506</f>
        <v>0</v>
      </c>
      <c r="F2880" s="112">
        <f>'OPEN FOREIGN ORDER'!AC2506</f>
        <v>0</v>
      </c>
      <c r="G2880" s="112">
        <f>'OPEN FOREIGN ORDER'!AD2506</f>
        <v>0</v>
      </c>
      <c r="H2880" s="112">
        <f>'OPEN FOREIGN ORDER'!AE2506</f>
        <v>0</v>
      </c>
      <c r="I2880" s="112">
        <f>'OPEN FOREIGN ORDER'!AF2506</f>
        <v>0</v>
      </c>
      <c r="J2880" s="112">
        <f>'OPEN FOREIGN ORDER'!AG2506</f>
        <v>0</v>
      </c>
    </row>
    <row r="2881" spans="1:10">
      <c r="A2881">
        <f>'OPEN FOREIGN ORDER'!D2507</f>
        <v>0</v>
      </c>
      <c r="B2881">
        <f>'OPEN FOREIGN ORDER'!F2507</f>
        <v>0</v>
      </c>
      <c r="C2881">
        <f>'OPEN FOREIGN ORDER'!Z2507</f>
        <v>0</v>
      </c>
      <c r="D2881" s="123">
        <f>'OPEN FOREIGN ORDER'!AA2507</f>
        <v>0</v>
      </c>
      <c r="E2881" s="112">
        <f>'OPEN FOREIGN ORDER'!AB2507</f>
        <v>0</v>
      </c>
      <c r="F2881" s="112">
        <f>'OPEN FOREIGN ORDER'!AC2507</f>
        <v>0</v>
      </c>
      <c r="G2881" s="112">
        <f>'OPEN FOREIGN ORDER'!AD2507</f>
        <v>0</v>
      </c>
      <c r="H2881" s="112">
        <f>'OPEN FOREIGN ORDER'!AE2507</f>
        <v>0</v>
      </c>
      <c r="I2881" s="112">
        <f>'OPEN FOREIGN ORDER'!AF2507</f>
        <v>0</v>
      </c>
      <c r="J2881" s="112">
        <f>'OPEN FOREIGN ORDER'!AG2507</f>
        <v>0</v>
      </c>
    </row>
    <row r="2882" spans="1:10">
      <c r="A2882">
        <f>'OPEN FOREIGN ORDER'!D2508</f>
        <v>0</v>
      </c>
      <c r="B2882">
        <f>'OPEN FOREIGN ORDER'!F2508</f>
        <v>0</v>
      </c>
      <c r="C2882">
        <f>'OPEN FOREIGN ORDER'!Z2508</f>
        <v>0</v>
      </c>
      <c r="D2882" s="123">
        <f>'OPEN FOREIGN ORDER'!AA2508</f>
        <v>0</v>
      </c>
      <c r="E2882" s="112">
        <f>'OPEN FOREIGN ORDER'!AB2508</f>
        <v>0</v>
      </c>
      <c r="F2882" s="112">
        <f>'OPEN FOREIGN ORDER'!AC2508</f>
        <v>0</v>
      </c>
      <c r="G2882" s="112">
        <f>'OPEN FOREIGN ORDER'!AD2508</f>
        <v>0</v>
      </c>
      <c r="H2882" s="112">
        <f>'OPEN FOREIGN ORDER'!AE2508</f>
        <v>0</v>
      </c>
      <c r="I2882" s="112">
        <f>'OPEN FOREIGN ORDER'!AF2508</f>
        <v>0</v>
      </c>
      <c r="J2882" s="112">
        <f>'OPEN FOREIGN ORDER'!AG2508</f>
        <v>0</v>
      </c>
    </row>
    <row r="2883" spans="1:10">
      <c r="A2883">
        <f>'OPEN FOREIGN ORDER'!D2509</f>
        <v>0</v>
      </c>
      <c r="B2883">
        <f>'OPEN FOREIGN ORDER'!F2509</f>
        <v>0</v>
      </c>
      <c r="C2883">
        <f>'OPEN FOREIGN ORDER'!Z2509</f>
        <v>0</v>
      </c>
      <c r="D2883" s="123">
        <f>'OPEN FOREIGN ORDER'!AA2509</f>
        <v>0</v>
      </c>
      <c r="E2883" s="112">
        <f>'OPEN FOREIGN ORDER'!AB2509</f>
        <v>0</v>
      </c>
      <c r="F2883" s="112">
        <f>'OPEN FOREIGN ORDER'!AC2509</f>
        <v>0</v>
      </c>
      <c r="G2883" s="112">
        <f>'OPEN FOREIGN ORDER'!AD2509</f>
        <v>0</v>
      </c>
      <c r="H2883" s="112">
        <f>'OPEN FOREIGN ORDER'!AE2509</f>
        <v>0</v>
      </c>
      <c r="I2883" s="112">
        <f>'OPEN FOREIGN ORDER'!AF2509</f>
        <v>0</v>
      </c>
      <c r="J2883" s="112">
        <f>'OPEN FOREIGN ORDER'!AG2509</f>
        <v>0</v>
      </c>
    </row>
    <row r="2884" spans="1:10">
      <c r="A2884">
        <f>'OPEN FOREIGN ORDER'!D2510</f>
        <v>0</v>
      </c>
      <c r="B2884">
        <f>'OPEN FOREIGN ORDER'!F2510</f>
        <v>0</v>
      </c>
      <c r="C2884">
        <f>'OPEN FOREIGN ORDER'!Z2510</f>
        <v>0</v>
      </c>
      <c r="D2884" s="123">
        <f>'OPEN FOREIGN ORDER'!AA2510</f>
        <v>0</v>
      </c>
      <c r="E2884" s="112">
        <f>'OPEN FOREIGN ORDER'!AB2510</f>
        <v>0</v>
      </c>
      <c r="F2884" s="112">
        <f>'OPEN FOREIGN ORDER'!AC2510</f>
        <v>0</v>
      </c>
      <c r="G2884" s="112">
        <f>'OPEN FOREIGN ORDER'!AD2510</f>
        <v>0</v>
      </c>
      <c r="H2884" s="112">
        <f>'OPEN FOREIGN ORDER'!AE2510</f>
        <v>0</v>
      </c>
      <c r="I2884" s="112">
        <f>'OPEN FOREIGN ORDER'!AF2510</f>
        <v>0</v>
      </c>
      <c r="J2884" s="112">
        <f>'OPEN FOREIGN ORDER'!AG2510</f>
        <v>0</v>
      </c>
    </row>
    <row r="2885" spans="1:10">
      <c r="A2885">
        <f>'OPEN FOREIGN ORDER'!D2511</f>
        <v>0</v>
      </c>
      <c r="B2885">
        <f>'OPEN FOREIGN ORDER'!F2511</f>
        <v>0</v>
      </c>
      <c r="C2885">
        <f>'OPEN FOREIGN ORDER'!Z2511</f>
        <v>0</v>
      </c>
      <c r="D2885" s="123">
        <f>'OPEN FOREIGN ORDER'!AA2511</f>
        <v>0</v>
      </c>
      <c r="E2885" s="112">
        <f>'OPEN FOREIGN ORDER'!AB2511</f>
        <v>0</v>
      </c>
      <c r="F2885" s="112">
        <f>'OPEN FOREIGN ORDER'!AC2511</f>
        <v>0</v>
      </c>
      <c r="G2885" s="112">
        <f>'OPEN FOREIGN ORDER'!AD2511</f>
        <v>0</v>
      </c>
      <c r="H2885" s="112">
        <f>'OPEN FOREIGN ORDER'!AE2511</f>
        <v>0</v>
      </c>
      <c r="I2885" s="112">
        <f>'OPEN FOREIGN ORDER'!AF2511</f>
        <v>0</v>
      </c>
      <c r="J2885" s="112">
        <f>'OPEN FOREIGN ORDER'!AG2511</f>
        <v>0</v>
      </c>
    </row>
    <row r="2886" spans="1:10">
      <c r="A2886">
        <f>'OPEN FOREIGN ORDER'!D2512</f>
        <v>0</v>
      </c>
      <c r="B2886">
        <f>'OPEN FOREIGN ORDER'!F2512</f>
        <v>0</v>
      </c>
      <c r="C2886">
        <f>'OPEN FOREIGN ORDER'!Z2512</f>
        <v>0</v>
      </c>
      <c r="D2886" s="123">
        <f>'OPEN FOREIGN ORDER'!AA2512</f>
        <v>0</v>
      </c>
      <c r="E2886" s="112">
        <f>'OPEN FOREIGN ORDER'!AB2512</f>
        <v>0</v>
      </c>
      <c r="F2886" s="112">
        <f>'OPEN FOREIGN ORDER'!AC2512</f>
        <v>0</v>
      </c>
      <c r="G2886" s="112">
        <f>'OPEN FOREIGN ORDER'!AD2512</f>
        <v>0</v>
      </c>
      <c r="H2886" s="112">
        <f>'OPEN FOREIGN ORDER'!AE2512</f>
        <v>0</v>
      </c>
      <c r="I2886" s="112">
        <f>'OPEN FOREIGN ORDER'!AF2512</f>
        <v>0</v>
      </c>
      <c r="J2886" s="112">
        <f>'OPEN FOREIGN ORDER'!AG2512</f>
        <v>0</v>
      </c>
    </row>
    <row r="2887" spans="1:10">
      <c r="A2887">
        <f>'OPEN FOREIGN ORDER'!D2513</f>
        <v>0</v>
      </c>
      <c r="B2887">
        <f>'OPEN FOREIGN ORDER'!F2513</f>
        <v>0</v>
      </c>
      <c r="C2887">
        <f>'OPEN FOREIGN ORDER'!Z2513</f>
        <v>0</v>
      </c>
      <c r="D2887" s="123">
        <f>'OPEN FOREIGN ORDER'!AA2513</f>
        <v>0</v>
      </c>
      <c r="E2887" s="112">
        <f>'OPEN FOREIGN ORDER'!AB2513</f>
        <v>0</v>
      </c>
      <c r="F2887" s="112">
        <f>'OPEN FOREIGN ORDER'!AC2513</f>
        <v>0</v>
      </c>
      <c r="G2887" s="112">
        <f>'OPEN FOREIGN ORDER'!AD2513</f>
        <v>0</v>
      </c>
      <c r="H2887" s="112">
        <f>'OPEN FOREIGN ORDER'!AE2513</f>
        <v>0</v>
      </c>
      <c r="I2887" s="112">
        <f>'OPEN FOREIGN ORDER'!AF2513</f>
        <v>0</v>
      </c>
      <c r="J2887" s="112">
        <f>'OPEN FOREIGN ORDER'!AG2513</f>
        <v>0</v>
      </c>
    </row>
    <row r="2888" spans="1:10">
      <c r="A2888">
        <f>'OPEN FOREIGN ORDER'!D2514</f>
        <v>0</v>
      </c>
      <c r="B2888">
        <f>'OPEN FOREIGN ORDER'!F2514</f>
        <v>0</v>
      </c>
      <c r="C2888">
        <f>'OPEN FOREIGN ORDER'!Z2514</f>
        <v>0</v>
      </c>
      <c r="D2888" s="123">
        <f>'OPEN FOREIGN ORDER'!AA2514</f>
        <v>0</v>
      </c>
      <c r="E2888" s="112">
        <f>'OPEN FOREIGN ORDER'!AB2514</f>
        <v>0</v>
      </c>
      <c r="F2888" s="112">
        <f>'OPEN FOREIGN ORDER'!AC2514</f>
        <v>0</v>
      </c>
      <c r="G2888" s="112">
        <f>'OPEN FOREIGN ORDER'!AD2514</f>
        <v>0</v>
      </c>
      <c r="H2888" s="112">
        <f>'OPEN FOREIGN ORDER'!AE2514</f>
        <v>0</v>
      </c>
      <c r="I2888" s="112">
        <f>'OPEN FOREIGN ORDER'!AF2514</f>
        <v>0</v>
      </c>
      <c r="J2888" s="112">
        <f>'OPEN FOREIGN ORDER'!AG2514</f>
        <v>0</v>
      </c>
    </row>
    <row r="2889" spans="1:10">
      <c r="A2889">
        <f>'OPEN FOREIGN ORDER'!D2515</f>
        <v>0</v>
      </c>
      <c r="B2889">
        <f>'OPEN FOREIGN ORDER'!F2515</f>
        <v>0</v>
      </c>
      <c r="C2889">
        <f>'OPEN FOREIGN ORDER'!Z2515</f>
        <v>0</v>
      </c>
      <c r="D2889" s="123">
        <f>'OPEN FOREIGN ORDER'!AA2515</f>
        <v>0</v>
      </c>
      <c r="E2889" s="112">
        <f>'OPEN FOREIGN ORDER'!AB2515</f>
        <v>0</v>
      </c>
      <c r="F2889" s="112">
        <f>'OPEN FOREIGN ORDER'!AC2515</f>
        <v>0</v>
      </c>
      <c r="G2889" s="112">
        <f>'OPEN FOREIGN ORDER'!AD2515</f>
        <v>0</v>
      </c>
      <c r="H2889" s="112">
        <f>'OPEN FOREIGN ORDER'!AE2515</f>
        <v>0</v>
      </c>
      <c r="I2889" s="112">
        <f>'OPEN FOREIGN ORDER'!AF2515</f>
        <v>0</v>
      </c>
      <c r="J2889" s="112">
        <f>'OPEN FOREIGN ORDER'!AG2515</f>
        <v>0</v>
      </c>
    </row>
    <row r="2890" spans="1:10">
      <c r="A2890">
        <f>'OPEN FOREIGN ORDER'!D2516</f>
        <v>0</v>
      </c>
      <c r="B2890">
        <f>'OPEN FOREIGN ORDER'!F2516</f>
        <v>0</v>
      </c>
      <c r="C2890">
        <f>'OPEN FOREIGN ORDER'!Z2516</f>
        <v>0</v>
      </c>
      <c r="D2890" s="123">
        <f>'OPEN FOREIGN ORDER'!AA2516</f>
        <v>0</v>
      </c>
      <c r="E2890" s="112">
        <f>'OPEN FOREIGN ORDER'!AB2516</f>
        <v>0</v>
      </c>
      <c r="F2890" s="112">
        <f>'OPEN FOREIGN ORDER'!AC2516</f>
        <v>0</v>
      </c>
      <c r="G2890" s="112">
        <f>'OPEN FOREIGN ORDER'!AD2516</f>
        <v>0</v>
      </c>
      <c r="H2890" s="112">
        <f>'OPEN FOREIGN ORDER'!AE2516</f>
        <v>0</v>
      </c>
      <c r="I2890" s="112">
        <f>'OPEN FOREIGN ORDER'!AF2516</f>
        <v>0</v>
      </c>
      <c r="J2890" s="112">
        <f>'OPEN FOREIGN ORDER'!AG2516</f>
        <v>0</v>
      </c>
    </row>
    <row r="2891" spans="1:10">
      <c r="A2891">
        <f>'OPEN FOREIGN ORDER'!D2517</f>
        <v>0</v>
      </c>
      <c r="B2891">
        <f>'OPEN FOREIGN ORDER'!F2517</f>
        <v>0</v>
      </c>
      <c r="C2891">
        <f>'OPEN FOREIGN ORDER'!Z2517</f>
        <v>0</v>
      </c>
      <c r="D2891" s="123">
        <f>'OPEN FOREIGN ORDER'!AA2517</f>
        <v>0</v>
      </c>
      <c r="E2891" s="112">
        <f>'OPEN FOREIGN ORDER'!AB2517</f>
        <v>0</v>
      </c>
      <c r="F2891" s="112">
        <f>'OPEN FOREIGN ORDER'!AC2517</f>
        <v>0</v>
      </c>
      <c r="G2891" s="112">
        <f>'OPEN FOREIGN ORDER'!AD2517</f>
        <v>0</v>
      </c>
      <c r="H2891" s="112">
        <f>'OPEN FOREIGN ORDER'!AE2517</f>
        <v>0</v>
      </c>
      <c r="I2891" s="112">
        <f>'OPEN FOREIGN ORDER'!AF2517</f>
        <v>0</v>
      </c>
      <c r="J2891" s="112">
        <f>'OPEN FOREIGN ORDER'!AG2517</f>
        <v>0</v>
      </c>
    </row>
    <row r="2892" spans="1:10">
      <c r="A2892">
        <f>'OPEN FOREIGN ORDER'!D2518</f>
        <v>0</v>
      </c>
      <c r="B2892">
        <f>'OPEN FOREIGN ORDER'!F2518</f>
        <v>0</v>
      </c>
      <c r="C2892">
        <f>'OPEN FOREIGN ORDER'!Z2518</f>
        <v>0</v>
      </c>
      <c r="D2892" s="123">
        <f>'OPEN FOREIGN ORDER'!AA2518</f>
        <v>0</v>
      </c>
      <c r="E2892" s="112">
        <f>'OPEN FOREIGN ORDER'!AB2518</f>
        <v>0</v>
      </c>
      <c r="F2892" s="112">
        <f>'OPEN FOREIGN ORDER'!AC2518</f>
        <v>0</v>
      </c>
      <c r="G2892" s="112">
        <f>'OPEN FOREIGN ORDER'!AD2518</f>
        <v>0</v>
      </c>
      <c r="H2892" s="112">
        <f>'OPEN FOREIGN ORDER'!AE2518</f>
        <v>0</v>
      </c>
      <c r="I2892" s="112">
        <f>'OPEN FOREIGN ORDER'!AF2518</f>
        <v>0</v>
      </c>
      <c r="J2892" s="112">
        <f>'OPEN FOREIGN ORDER'!AG2518</f>
        <v>0</v>
      </c>
    </row>
    <row r="2893" spans="1:10">
      <c r="A2893">
        <f>'OPEN FOREIGN ORDER'!D2519</f>
        <v>0</v>
      </c>
      <c r="B2893">
        <f>'OPEN FOREIGN ORDER'!F2519</f>
        <v>0</v>
      </c>
      <c r="C2893">
        <f>'OPEN FOREIGN ORDER'!Z2519</f>
        <v>0</v>
      </c>
      <c r="D2893" s="123">
        <f>'OPEN FOREIGN ORDER'!AA2519</f>
        <v>0</v>
      </c>
      <c r="E2893" s="112">
        <f>'OPEN FOREIGN ORDER'!AB2519</f>
        <v>0</v>
      </c>
      <c r="F2893" s="112">
        <f>'OPEN FOREIGN ORDER'!AC2519</f>
        <v>0</v>
      </c>
      <c r="G2893" s="112">
        <f>'OPEN FOREIGN ORDER'!AD2519</f>
        <v>0</v>
      </c>
      <c r="H2893" s="112">
        <f>'OPEN FOREIGN ORDER'!AE2519</f>
        <v>0</v>
      </c>
      <c r="I2893" s="112">
        <f>'OPEN FOREIGN ORDER'!AF2519</f>
        <v>0</v>
      </c>
      <c r="J2893" s="112">
        <f>'OPEN FOREIGN ORDER'!AG2519</f>
        <v>0</v>
      </c>
    </row>
    <row r="2894" spans="1:10">
      <c r="A2894">
        <f>'OPEN FOREIGN ORDER'!D2520</f>
        <v>0</v>
      </c>
      <c r="B2894">
        <f>'OPEN FOREIGN ORDER'!F2520</f>
        <v>0</v>
      </c>
      <c r="C2894">
        <f>'OPEN FOREIGN ORDER'!Z2520</f>
        <v>0</v>
      </c>
      <c r="D2894" s="123">
        <f>'OPEN FOREIGN ORDER'!AA2520</f>
        <v>0</v>
      </c>
      <c r="E2894" s="112">
        <f>'OPEN FOREIGN ORDER'!AB2520</f>
        <v>0</v>
      </c>
      <c r="F2894" s="112">
        <f>'OPEN FOREIGN ORDER'!AC2520</f>
        <v>0</v>
      </c>
      <c r="G2894" s="112">
        <f>'OPEN FOREIGN ORDER'!AD2520</f>
        <v>0</v>
      </c>
      <c r="H2894" s="112">
        <f>'OPEN FOREIGN ORDER'!AE2520</f>
        <v>0</v>
      </c>
      <c r="I2894" s="112">
        <f>'OPEN FOREIGN ORDER'!AF2520</f>
        <v>0</v>
      </c>
      <c r="J2894" s="112">
        <f>'OPEN FOREIGN ORDER'!AG2520</f>
        <v>0</v>
      </c>
    </row>
    <row r="2895" spans="1:10">
      <c r="A2895">
        <f>'OPEN FOREIGN ORDER'!D2521</f>
        <v>0</v>
      </c>
      <c r="B2895">
        <f>'OPEN FOREIGN ORDER'!F2521</f>
        <v>0</v>
      </c>
      <c r="C2895">
        <f>'OPEN FOREIGN ORDER'!Z2521</f>
        <v>0</v>
      </c>
      <c r="D2895" s="123">
        <f>'OPEN FOREIGN ORDER'!AA2521</f>
        <v>0</v>
      </c>
      <c r="E2895" s="112">
        <f>'OPEN FOREIGN ORDER'!AB2521</f>
        <v>0</v>
      </c>
      <c r="F2895" s="112">
        <f>'OPEN FOREIGN ORDER'!AC2521</f>
        <v>0</v>
      </c>
      <c r="G2895" s="112">
        <f>'OPEN FOREIGN ORDER'!AD2521</f>
        <v>0</v>
      </c>
      <c r="H2895" s="112">
        <f>'OPEN FOREIGN ORDER'!AE2521</f>
        <v>0</v>
      </c>
      <c r="I2895" s="112">
        <f>'OPEN FOREIGN ORDER'!AF2521</f>
        <v>0</v>
      </c>
      <c r="J2895" s="112">
        <f>'OPEN FOREIGN ORDER'!AG2521</f>
        <v>0</v>
      </c>
    </row>
    <row r="2896" spans="1:10">
      <c r="A2896">
        <f>'OPEN FOREIGN ORDER'!D2522</f>
        <v>0</v>
      </c>
      <c r="B2896">
        <f>'OPEN FOREIGN ORDER'!F2522</f>
        <v>0</v>
      </c>
      <c r="C2896">
        <f>'OPEN FOREIGN ORDER'!Z2522</f>
        <v>0</v>
      </c>
      <c r="D2896" s="123">
        <f>'OPEN FOREIGN ORDER'!AA2522</f>
        <v>0</v>
      </c>
      <c r="E2896" s="112">
        <f>'OPEN FOREIGN ORDER'!AB2522</f>
        <v>0</v>
      </c>
      <c r="F2896" s="112">
        <f>'OPEN FOREIGN ORDER'!AC2522</f>
        <v>0</v>
      </c>
      <c r="G2896" s="112">
        <f>'OPEN FOREIGN ORDER'!AD2522</f>
        <v>0</v>
      </c>
      <c r="H2896" s="112">
        <f>'OPEN FOREIGN ORDER'!AE2522</f>
        <v>0</v>
      </c>
      <c r="I2896" s="112">
        <f>'OPEN FOREIGN ORDER'!AF2522</f>
        <v>0</v>
      </c>
      <c r="J2896" s="112">
        <f>'OPEN FOREIGN ORDER'!AG2522</f>
        <v>0</v>
      </c>
    </row>
    <row r="2897" spans="1:10">
      <c r="A2897">
        <f>'OPEN FOREIGN ORDER'!D2523</f>
        <v>0</v>
      </c>
      <c r="B2897">
        <f>'OPEN FOREIGN ORDER'!F2523</f>
        <v>0</v>
      </c>
      <c r="C2897">
        <f>'OPEN FOREIGN ORDER'!Z2523</f>
        <v>0</v>
      </c>
      <c r="D2897" s="123">
        <f>'OPEN FOREIGN ORDER'!AA2523</f>
        <v>0</v>
      </c>
      <c r="E2897" s="112">
        <f>'OPEN FOREIGN ORDER'!AB2523</f>
        <v>0</v>
      </c>
      <c r="F2897" s="112">
        <f>'OPEN FOREIGN ORDER'!AC2523</f>
        <v>0</v>
      </c>
      <c r="G2897" s="112">
        <f>'OPEN FOREIGN ORDER'!AD2523</f>
        <v>0</v>
      </c>
      <c r="H2897" s="112">
        <f>'OPEN FOREIGN ORDER'!AE2523</f>
        <v>0</v>
      </c>
      <c r="I2897" s="112">
        <f>'OPEN FOREIGN ORDER'!AF2523</f>
        <v>0</v>
      </c>
      <c r="J2897" s="112">
        <f>'OPEN FOREIGN ORDER'!AG2523</f>
        <v>0</v>
      </c>
    </row>
    <row r="2898" spans="1:10">
      <c r="A2898">
        <f>'OPEN FOREIGN ORDER'!D2524</f>
        <v>0</v>
      </c>
      <c r="B2898">
        <f>'OPEN FOREIGN ORDER'!F2524</f>
        <v>0</v>
      </c>
      <c r="C2898">
        <f>'OPEN FOREIGN ORDER'!Z2524</f>
        <v>0</v>
      </c>
      <c r="D2898" s="123">
        <f>'OPEN FOREIGN ORDER'!AA2524</f>
        <v>0</v>
      </c>
      <c r="E2898" s="112">
        <f>'OPEN FOREIGN ORDER'!AB2524</f>
        <v>0</v>
      </c>
      <c r="F2898" s="112">
        <f>'OPEN FOREIGN ORDER'!AC2524</f>
        <v>0</v>
      </c>
      <c r="G2898" s="112">
        <f>'OPEN FOREIGN ORDER'!AD2524</f>
        <v>0</v>
      </c>
      <c r="H2898" s="112">
        <f>'OPEN FOREIGN ORDER'!AE2524</f>
        <v>0</v>
      </c>
      <c r="I2898" s="112">
        <f>'OPEN FOREIGN ORDER'!AF2524</f>
        <v>0</v>
      </c>
      <c r="J2898" s="112">
        <f>'OPEN FOREIGN ORDER'!AG2524</f>
        <v>0</v>
      </c>
    </row>
    <row r="2899" spans="1:10">
      <c r="A2899">
        <f>'OPEN FOREIGN ORDER'!D2525</f>
        <v>0</v>
      </c>
      <c r="B2899">
        <f>'OPEN FOREIGN ORDER'!F2525</f>
        <v>0</v>
      </c>
      <c r="C2899">
        <f>'OPEN FOREIGN ORDER'!Z2525</f>
        <v>0</v>
      </c>
      <c r="D2899" s="123">
        <f>'OPEN FOREIGN ORDER'!AA2525</f>
        <v>0</v>
      </c>
      <c r="E2899" s="112">
        <f>'OPEN FOREIGN ORDER'!AB2525</f>
        <v>0</v>
      </c>
      <c r="F2899" s="112">
        <f>'OPEN FOREIGN ORDER'!AC2525</f>
        <v>0</v>
      </c>
      <c r="G2899" s="112">
        <f>'OPEN FOREIGN ORDER'!AD2525</f>
        <v>0</v>
      </c>
      <c r="H2899" s="112">
        <f>'OPEN FOREIGN ORDER'!AE2525</f>
        <v>0</v>
      </c>
      <c r="I2899" s="112">
        <f>'OPEN FOREIGN ORDER'!AF2525</f>
        <v>0</v>
      </c>
      <c r="J2899" s="112">
        <f>'OPEN FOREIGN ORDER'!AG2525</f>
        <v>0</v>
      </c>
    </row>
    <row r="2900" spans="1:10">
      <c r="A2900">
        <f>'OPEN FOREIGN ORDER'!D2526</f>
        <v>0</v>
      </c>
      <c r="B2900">
        <f>'OPEN FOREIGN ORDER'!F2526</f>
        <v>0</v>
      </c>
      <c r="C2900">
        <f>'OPEN FOREIGN ORDER'!Z2526</f>
        <v>0</v>
      </c>
      <c r="D2900" s="123">
        <f>'OPEN FOREIGN ORDER'!AA2526</f>
        <v>0</v>
      </c>
      <c r="E2900" s="112">
        <f>'OPEN FOREIGN ORDER'!AB2526</f>
        <v>0</v>
      </c>
      <c r="F2900" s="112">
        <f>'OPEN FOREIGN ORDER'!AC2526</f>
        <v>0</v>
      </c>
      <c r="G2900" s="112">
        <f>'OPEN FOREIGN ORDER'!AD2526</f>
        <v>0</v>
      </c>
      <c r="H2900" s="112">
        <f>'OPEN FOREIGN ORDER'!AE2526</f>
        <v>0</v>
      </c>
      <c r="I2900" s="112">
        <f>'OPEN FOREIGN ORDER'!AF2526</f>
        <v>0</v>
      </c>
      <c r="J2900" s="112">
        <f>'OPEN FOREIGN ORDER'!AG2526</f>
        <v>0</v>
      </c>
    </row>
    <row r="2901" spans="1:10">
      <c r="A2901">
        <f>'OPEN FOREIGN ORDER'!D2527</f>
        <v>0</v>
      </c>
      <c r="B2901">
        <f>'OPEN FOREIGN ORDER'!F2527</f>
        <v>0</v>
      </c>
      <c r="C2901">
        <f>'OPEN FOREIGN ORDER'!Z2527</f>
        <v>0</v>
      </c>
      <c r="D2901" s="123">
        <f>'OPEN FOREIGN ORDER'!AA2527</f>
        <v>0</v>
      </c>
      <c r="E2901" s="112">
        <f>'OPEN FOREIGN ORDER'!AB2527</f>
        <v>0</v>
      </c>
      <c r="F2901" s="112">
        <f>'OPEN FOREIGN ORDER'!AC2527</f>
        <v>0</v>
      </c>
      <c r="G2901" s="112">
        <f>'OPEN FOREIGN ORDER'!AD2527</f>
        <v>0</v>
      </c>
      <c r="H2901" s="112">
        <f>'OPEN FOREIGN ORDER'!AE2527</f>
        <v>0</v>
      </c>
      <c r="I2901" s="112">
        <f>'OPEN FOREIGN ORDER'!AF2527</f>
        <v>0</v>
      </c>
      <c r="J2901" s="112">
        <f>'OPEN FOREIGN ORDER'!AG2527</f>
        <v>0</v>
      </c>
    </row>
    <row r="2902" spans="1:10">
      <c r="A2902">
        <f>'OPEN FOREIGN ORDER'!D2528</f>
        <v>0</v>
      </c>
      <c r="B2902">
        <f>'OPEN FOREIGN ORDER'!F2528</f>
        <v>0</v>
      </c>
      <c r="C2902">
        <f>'OPEN FOREIGN ORDER'!Z2528</f>
        <v>0</v>
      </c>
      <c r="D2902" s="123">
        <f>'OPEN FOREIGN ORDER'!AA2528</f>
        <v>0</v>
      </c>
      <c r="E2902" s="112">
        <f>'OPEN FOREIGN ORDER'!AB2528</f>
        <v>0</v>
      </c>
      <c r="F2902" s="112">
        <f>'OPEN FOREIGN ORDER'!AC2528</f>
        <v>0</v>
      </c>
      <c r="G2902" s="112">
        <f>'OPEN FOREIGN ORDER'!AD2528</f>
        <v>0</v>
      </c>
      <c r="H2902" s="112">
        <f>'OPEN FOREIGN ORDER'!AE2528</f>
        <v>0</v>
      </c>
      <c r="I2902" s="112">
        <f>'OPEN FOREIGN ORDER'!AF2528</f>
        <v>0</v>
      </c>
      <c r="J2902" s="112">
        <f>'OPEN FOREIGN ORDER'!AG2528</f>
        <v>0</v>
      </c>
    </row>
    <row r="2903" spans="1:10">
      <c r="A2903">
        <f>'OPEN FOREIGN ORDER'!D2529</f>
        <v>0</v>
      </c>
      <c r="B2903">
        <f>'OPEN FOREIGN ORDER'!F2529</f>
        <v>0</v>
      </c>
      <c r="C2903">
        <f>'OPEN FOREIGN ORDER'!Z2529</f>
        <v>0</v>
      </c>
      <c r="D2903" s="123">
        <f>'OPEN FOREIGN ORDER'!AA2529</f>
        <v>0</v>
      </c>
      <c r="E2903" s="112">
        <f>'OPEN FOREIGN ORDER'!AB2529</f>
        <v>0</v>
      </c>
      <c r="F2903" s="112">
        <f>'OPEN FOREIGN ORDER'!AC2529</f>
        <v>0</v>
      </c>
      <c r="G2903" s="112">
        <f>'OPEN FOREIGN ORDER'!AD2529</f>
        <v>0</v>
      </c>
      <c r="H2903" s="112">
        <f>'OPEN FOREIGN ORDER'!AE2529</f>
        <v>0</v>
      </c>
      <c r="I2903" s="112">
        <f>'OPEN FOREIGN ORDER'!AF2529</f>
        <v>0</v>
      </c>
      <c r="J2903" s="112">
        <f>'OPEN FOREIGN ORDER'!AG2529</f>
        <v>0</v>
      </c>
    </row>
    <row r="2904" spans="1:10">
      <c r="A2904">
        <f>'OPEN FOREIGN ORDER'!D2530</f>
        <v>0</v>
      </c>
      <c r="B2904">
        <f>'OPEN FOREIGN ORDER'!F2530</f>
        <v>0</v>
      </c>
      <c r="C2904">
        <f>'OPEN FOREIGN ORDER'!Z2530</f>
        <v>0</v>
      </c>
      <c r="D2904" s="123">
        <f>'OPEN FOREIGN ORDER'!AA2530</f>
        <v>0</v>
      </c>
      <c r="E2904" s="112">
        <f>'OPEN FOREIGN ORDER'!AB2530</f>
        <v>0</v>
      </c>
      <c r="F2904" s="112">
        <f>'OPEN FOREIGN ORDER'!AC2530</f>
        <v>0</v>
      </c>
      <c r="G2904" s="112">
        <f>'OPEN FOREIGN ORDER'!AD2530</f>
        <v>0</v>
      </c>
      <c r="H2904" s="112">
        <f>'OPEN FOREIGN ORDER'!AE2530</f>
        <v>0</v>
      </c>
      <c r="I2904" s="112">
        <f>'OPEN FOREIGN ORDER'!AF2530</f>
        <v>0</v>
      </c>
      <c r="J2904" s="112">
        <f>'OPEN FOREIGN ORDER'!AG2530</f>
        <v>0</v>
      </c>
    </row>
    <row r="2905" spans="1:10">
      <c r="A2905">
        <f>'OPEN FOREIGN ORDER'!D2531</f>
        <v>0</v>
      </c>
      <c r="B2905">
        <f>'OPEN FOREIGN ORDER'!F2531</f>
        <v>0</v>
      </c>
      <c r="C2905">
        <f>'OPEN FOREIGN ORDER'!Z2531</f>
        <v>0</v>
      </c>
      <c r="D2905" s="123">
        <f>'OPEN FOREIGN ORDER'!AA2531</f>
        <v>0</v>
      </c>
      <c r="E2905" s="112">
        <f>'OPEN FOREIGN ORDER'!AB2531</f>
        <v>0</v>
      </c>
      <c r="F2905" s="112">
        <f>'OPEN FOREIGN ORDER'!AC2531</f>
        <v>0</v>
      </c>
      <c r="G2905" s="112">
        <f>'OPEN FOREIGN ORDER'!AD2531</f>
        <v>0</v>
      </c>
      <c r="H2905" s="112">
        <f>'OPEN FOREIGN ORDER'!AE2531</f>
        <v>0</v>
      </c>
      <c r="I2905" s="112">
        <f>'OPEN FOREIGN ORDER'!AF2531</f>
        <v>0</v>
      </c>
      <c r="J2905" s="112">
        <f>'OPEN FOREIGN ORDER'!AG2531</f>
        <v>0</v>
      </c>
    </row>
    <row r="2906" spans="1:10">
      <c r="A2906">
        <f>'OPEN FOREIGN ORDER'!D2532</f>
        <v>0</v>
      </c>
      <c r="B2906">
        <f>'OPEN FOREIGN ORDER'!F2532</f>
        <v>0</v>
      </c>
      <c r="C2906">
        <f>'OPEN FOREIGN ORDER'!Z2532</f>
        <v>0</v>
      </c>
      <c r="D2906" s="123">
        <f>'OPEN FOREIGN ORDER'!AA2532</f>
        <v>0</v>
      </c>
      <c r="E2906" s="112">
        <f>'OPEN FOREIGN ORDER'!AB2532</f>
        <v>0</v>
      </c>
      <c r="F2906" s="112">
        <f>'OPEN FOREIGN ORDER'!AC2532</f>
        <v>0</v>
      </c>
      <c r="G2906" s="112">
        <f>'OPEN FOREIGN ORDER'!AD2532</f>
        <v>0</v>
      </c>
      <c r="H2906" s="112">
        <f>'OPEN FOREIGN ORDER'!AE2532</f>
        <v>0</v>
      </c>
      <c r="I2906" s="112">
        <f>'OPEN FOREIGN ORDER'!AF2532</f>
        <v>0</v>
      </c>
      <c r="J2906" s="112">
        <f>'OPEN FOREIGN ORDER'!AG2532</f>
        <v>0</v>
      </c>
    </row>
    <row r="2907" spans="1:10">
      <c r="A2907">
        <f>'OPEN FOREIGN ORDER'!D2533</f>
        <v>0</v>
      </c>
      <c r="B2907">
        <f>'OPEN FOREIGN ORDER'!F2533</f>
        <v>0</v>
      </c>
      <c r="C2907">
        <f>'OPEN FOREIGN ORDER'!Z2533</f>
        <v>0</v>
      </c>
      <c r="D2907" s="123">
        <f>'OPEN FOREIGN ORDER'!AA2533</f>
        <v>0</v>
      </c>
      <c r="E2907" s="112">
        <f>'OPEN FOREIGN ORDER'!AB2533</f>
        <v>0</v>
      </c>
      <c r="F2907" s="112">
        <f>'OPEN FOREIGN ORDER'!AC2533</f>
        <v>0</v>
      </c>
      <c r="G2907" s="112">
        <f>'OPEN FOREIGN ORDER'!AD2533</f>
        <v>0</v>
      </c>
      <c r="H2907" s="112">
        <f>'OPEN FOREIGN ORDER'!AE2533</f>
        <v>0</v>
      </c>
      <c r="I2907" s="112">
        <f>'OPEN FOREIGN ORDER'!AF2533</f>
        <v>0</v>
      </c>
      <c r="J2907" s="112">
        <f>'OPEN FOREIGN ORDER'!AG2533</f>
        <v>0</v>
      </c>
    </row>
    <row r="2908" spans="1:10">
      <c r="A2908">
        <f>'OPEN FOREIGN ORDER'!D2534</f>
        <v>0</v>
      </c>
      <c r="B2908">
        <f>'OPEN FOREIGN ORDER'!F2534</f>
        <v>0</v>
      </c>
      <c r="C2908">
        <f>'OPEN FOREIGN ORDER'!Z2534</f>
        <v>0</v>
      </c>
      <c r="D2908" s="123">
        <f>'OPEN FOREIGN ORDER'!AA2534</f>
        <v>0</v>
      </c>
      <c r="E2908" s="112">
        <f>'OPEN FOREIGN ORDER'!AB2534</f>
        <v>0</v>
      </c>
      <c r="F2908" s="112">
        <f>'OPEN FOREIGN ORDER'!AC2534</f>
        <v>0</v>
      </c>
      <c r="G2908" s="112">
        <f>'OPEN FOREIGN ORDER'!AD2534</f>
        <v>0</v>
      </c>
      <c r="H2908" s="112">
        <f>'OPEN FOREIGN ORDER'!AE2534</f>
        <v>0</v>
      </c>
      <c r="I2908" s="112">
        <f>'OPEN FOREIGN ORDER'!AF2534</f>
        <v>0</v>
      </c>
      <c r="J2908" s="112">
        <f>'OPEN FOREIGN ORDER'!AG2534</f>
        <v>0</v>
      </c>
    </row>
    <row r="2909" spans="1:10">
      <c r="A2909">
        <f>'OPEN FOREIGN ORDER'!D2535</f>
        <v>0</v>
      </c>
      <c r="B2909">
        <f>'OPEN FOREIGN ORDER'!F2535</f>
        <v>0</v>
      </c>
      <c r="C2909">
        <f>'OPEN FOREIGN ORDER'!Z2535</f>
        <v>0</v>
      </c>
      <c r="D2909" s="123">
        <f>'OPEN FOREIGN ORDER'!AA2535</f>
        <v>0</v>
      </c>
      <c r="E2909" s="112">
        <f>'OPEN FOREIGN ORDER'!AB2535</f>
        <v>0</v>
      </c>
      <c r="F2909" s="112">
        <f>'OPEN FOREIGN ORDER'!AC2535</f>
        <v>0</v>
      </c>
      <c r="G2909" s="112">
        <f>'OPEN FOREIGN ORDER'!AD2535</f>
        <v>0</v>
      </c>
      <c r="H2909" s="112">
        <f>'OPEN FOREIGN ORDER'!AE2535</f>
        <v>0</v>
      </c>
      <c r="I2909" s="112">
        <f>'OPEN FOREIGN ORDER'!AF2535</f>
        <v>0</v>
      </c>
      <c r="J2909" s="112">
        <f>'OPEN FOREIGN ORDER'!AG2535</f>
        <v>0</v>
      </c>
    </row>
    <row r="2910" spans="1:10">
      <c r="A2910">
        <f>'OPEN FOREIGN ORDER'!D2536</f>
        <v>0</v>
      </c>
      <c r="B2910">
        <f>'OPEN FOREIGN ORDER'!F2536</f>
        <v>0</v>
      </c>
      <c r="C2910">
        <f>'OPEN FOREIGN ORDER'!Z2536</f>
        <v>0</v>
      </c>
      <c r="D2910" s="123">
        <f>'OPEN FOREIGN ORDER'!AA2536</f>
        <v>0</v>
      </c>
      <c r="E2910" s="112">
        <f>'OPEN FOREIGN ORDER'!AB2536</f>
        <v>0</v>
      </c>
      <c r="F2910" s="112">
        <f>'OPEN FOREIGN ORDER'!AC2536</f>
        <v>0</v>
      </c>
      <c r="G2910" s="112">
        <f>'OPEN FOREIGN ORDER'!AD2536</f>
        <v>0</v>
      </c>
      <c r="H2910" s="112">
        <f>'OPEN FOREIGN ORDER'!AE2536</f>
        <v>0</v>
      </c>
      <c r="I2910" s="112">
        <f>'OPEN FOREIGN ORDER'!AF2536</f>
        <v>0</v>
      </c>
      <c r="J2910" s="112">
        <f>'OPEN FOREIGN ORDER'!AG2536</f>
        <v>0</v>
      </c>
    </row>
    <row r="2911" spans="1:10">
      <c r="A2911">
        <f>'OPEN FOREIGN ORDER'!D2537</f>
        <v>0</v>
      </c>
      <c r="B2911">
        <f>'OPEN FOREIGN ORDER'!F2537</f>
        <v>0</v>
      </c>
      <c r="C2911">
        <f>'OPEN FOREIGN ORDER'!Z2537</f>
        <v>0</v>
      </c>
      <c r="D2911" s="123">
        <f>'OPEN FOREIGN ORDER'!AA2537</f>
        <v>0</v>
      </c>
      <c r="E2911" s="112">
        <f>'OPEN FOREIGN ORDER'!AB2537</f>
        <v>0</v>
      </c>
      <c r="F2911" s="112">
        <f>'OPEN FOREIGN ORDER'!AC2537</f>
        <v>0</v>
      </c>
      <c r="G2911" s="112">
        <f>'OPEN FOREIGN ORDER'!AD2537</f>
        <v>0</v>
      </c>
      <c r="H2911" s="112">
        <f>'OPEN FOREIGN ORDER'!AE2537</f>
        <v>0</v>
      </c>
      <c r="I2911" s="112">
        <f>'OPEN FOREIGN ORDER'!AF2537</f>
        <v>0</v>
      </c>
      <c r="J2911" s="112">
        <f>'OPEN FOREIGN ORDER'!AG2537</f>
        <v>0</v>
      </c>
    </row>
    <row r="2912" spans="1:10">
      <c r="A2912">
        <f>'OPEN FOREIGN ORDER'!D2538</f>
        <v>0</v>
      </c>
      <c r="B2912">
        <f>'OPEN FOREIGN ORDER'!F2538</f>
        <v>0</v>
      </c>
      <c r="C2912">
        <f>'OPEN FOREIGN ORDER'!Z2538</f>
        <v>0</v>
      </c>
      <c r="D2912" s="123">
        <f>'OPEN FOREIGN ORDER'!AA2538</f>
        <v>0</v>
      </c>
      <c r="E2912" s="112">
        <f>'OPEN FOREIGN ORDER'!AB2538</f>
        <v>0</v>
      </c>
      <c r="F2912" s="112">
        <f>'OPEN FOREIGN ORDER'!AC2538</f>
        <v>0</v>
      </c>
      <c r="G2912" s="112">
        <f>'OPEN FOREIGN ORDER'!AD2538</f>
        <v>0</v>
      </c>
      <c r="H2912" s="112">
        <f>'OPEN FOREIGN ORDER'!AE2538</f>
        <v>0</v>
      </c>
      <c r="I2912" s="112">
        <f>'OPEN FOREIGN ORDER'!AF2538</f>
        <v>0</v>
      </c>
      <c r="J2912" s="112">
        <f>'OPEN FOREIGN ORDER'!AG2538</f>
        <v>0</v>
      </c>
    </row>
    <row r="2913" spans="1:10">
      <c r="A2913">
        <f>'OPEN FOREIGN ORDER'!D2539</f>
        <v>0</v>
      </c>
      <c r="B2913">
        <f>'OPEN FOREIGN ORDER'!F2539</f>
        <v>0</v>
      </c>
      <c r="C2913">
        <f>'OPEN FOREIGN ORDER'!Z2539</f>
        <v>0</v>
      </c>
      <c r="D2913" s="123">
        <f>'OPEN FOREIGN ORDER'!AA2539</f>
        <v>0</v>
      </c>
      <c r="E2913" s="112">
        <f>'OPEN FOREIGN ORDER'!AB2539</f>
        <v>0</v>
      </c>
      <c r="F2913" s="112">
        <f>'OPEN FOREIGN ORDER'!AC2539</f>
        <v>0</v>
      </c>
      <c r="G2913" s="112">
        <f>'OPEN FOREIGN ORDER'!AD2539</f>
        <v>0</v>
      </c>
      <c r="H2913" s="112">
        <f>'OPEN FOREIGN ORDER'!AE2539</f>
        <v>0</v>
      </c>
      <c r="I2913" s="112">
        <f>'OPEN FOREIGN ORDER'!AF2539</f>
        <v>0</v>
      </c>
      <c r="J2913" s="112">
        <f>'OPEN FOREIGN ORDER'!AG2539</f>
        <v>0</v>
      </c>
    </row>
    <row r="2914" spans="1:10">
      <c r="A2914">
        <f>'OPEN FOREIGN ORDER'!D2540</f>
        <v>0</v>
      </c>
      <c r="B2914">
        <f>'OPEN FOREIGN ORDER'!F2540</f>
        <v>0</v>
      </c>
      <c r="C2914">
        <f>'OPEN FOREIGN ORDER'!Z2540</f>
        <v>0</v>
      </c>
      <c r="D2914" s="123">
        <f>'OPEN FOREIGN ORDER'!AA2540</f>
        <v>0</v>
      </c>
      <c r="E2914" s="112">
        <f>'OPEN FOREIGN ORDER'!AB2540</f>
        <v>0</v>
      </c>
      <c r="F2914" s="112">
        <f>'OPEN FOREIGN ORDER'!AC2540</f>
        <v>0</v>
      </c>
      <c r="G2914" s="112">
        <f>'OPEN FOREIGN ORDER'!AD2540</f>
        <v>0</v>
      </c>
      <c r="H2914" s="112">
        <f>'OPEN FOREIGN ORDER'!AE2540</f>
        <v>0</v>
      </c>
      <c r="I2914" s="112">
        <f>'OPEN FOREIGN ORDER'!AF2540</f>
        <v>0</v>
      </c>
      <c r="J2914" s="112">
        <f>'OPEN FOREIGN ORDER'!AG2540</f>
        <v>0</v>
      </c>
    </row>
    <row r="2915" spans="1:10">
      <c r="A2915">
        <f>'OPEN FOREIGN ORDER'!D2541</f>
        <v>0</v>
      </c>
      <c r="B2915">
        <f>'OPEN FOREIGN ORDER'!F2541</f>
        <v>0</v>
      </c>
      <c r="C2915">
        <f>'OPEN FOREIGN ORDER'!Z2541</f>
        <v>0</v>
      </c>
      <c r="D2915" s="123">
        <f>'OPEN FOREIGN ORDER'!AA2541</f>
        <v>0</v>
      </c>
      <c r="E2915" s="112">
        <f>'OPEN FOREIGN ORDER'!AB2541</f>
        <v>0</v>
      </c>
      <c r="F2915" s="112">
        <f>'OPEN FOREIGN ORDER'!AC2541</f>
        <v>0</v>
      </c>
      <c r="G2915" s="112">
        <f>'OPEN FOREIGN ORDER'!AD2541</f>
        <v>0</v>
      </c>
      <c r="H2915" s="112">
        <f>'OPEN FOREIGN ORDER'!AE2541</f>
        <v>0</v>
      </c>
      <c r="I2915" s="112">
        <f>'OPEN FOREIGN ORDER'!AF2541</f>
        <v>0</v>
      </c>
      <c r="J2915" s="112">
        <f>'OPEN FOREIGN ORDER'!AG2541</f>
        <v>0</v>
      </c>
    </row>
    <row r="2916" spans="1:10">
      <c r="A2916">
        <f>'OPEN FOREIGN ORDER'!D2542</f>
        <v>0</v>
      </c>
      <c r="B2916">
        <f>'OPEN FOREIGN ORDER'!F2542</f>
        <v>0</v>
      </c>
      <c r="C2916">
        <f>'OPEN FOREIGN ORDER'!Z2542</f>
        <v>0</v>
      </c>
      <c r="D2916" s="123">
        <f>'OPEN FOREIGN ORDER'!AA2542</f>
        <v>0</v>
      </c>
      <c r="E2916" s="112">
        <f>'OPEN FOREIGN ORDER'!AB2542</f>
        <v>0</v>
      </c>
      <c r="F2916" s="112">
        <f>'OPEN FOREIGN ORDER'!AC2542</f>
        <v>0</v>
      </c>
      <c r="G2916" s="112">
        <f>'OPEN FOREIGN ORDER'!AD2542</f>
        <v>0</v>
      </c>
      <c r="H2916" s="112">
        <f>'OPEN FOREIGN ORDER'!AE2542</f>
        <v>0</v>
      </c>
      <c r="I2916" s="112">
        <f>'OPEN FOREIGN ORDER'!AF2542</f>
        <v>0</v>
      </c>
      <c r="J2916" s="112">
        <f>'OPEN FOREIGN ORDER'!AG2542</f>
        <v>0</v>
      </c>
    </row>
    <row r="2917" spans="1:10">
      <c r="A2917">
        <f>'OPEN FOREIGN ORDER'!D2543</f>
        <v>0</v>
      </c>
      <c r="B2917">
        <f>'OPEN FOREIGN ORDER'!F2543</f>
        <v>0</v>
      </c>
      <c r="C2917">
        <f>'OPEN FOREIGN ORDER'!Z2543</f>
        <v>0</v>
      </c>
      <c r="D2917" s="123">
        <f>'OPEN FOREIGN ORDER'!AA2543</f>
        <v>0</v>
      </c>
      <c r="E2917" s="112">
        <f>'OPEN FOREIGN ORDER'!AB2543</f>
        <v>0</v>
      </c>
      <c r="F2917" s="112">
        <f>'OPEN FOREIGN ORDER'!AC2543</f>
        <v>0</v>
      </c>
      <c r="G2917" s="112">
        <f>'OPEN FOREIGN ORDER'!AD2543</f>
        <v>0</v>
      </c>
      <c r="H2917" s="112">
        <f>'OPEN FOREIGN ORDER'!AE2543</f>
        <v>0</v>
      </c>
      <c r="I2917" s="112">
        <f>'OPEN FOREIGN ORDER'!AF2543</f>
        <v>0</v>
      </c>
      <c r="J2917" s="112">
        <f>'OPEN FOREIGN ORDER'!AG2543</f>
        <v>0</v>
      </c>
    </row>
    <row r="2918" spans="1:10">
      <c r="A2918">
        <f>'OPEN FOREIGN ORDER'!D2544</f>
        <v>0</v>
      </c>
      <c r="B2918">
        <f>'OPEN FOREIGN ORDER'!F2544</f>
        <v>0</v>
      </c>
      <c r="C2918">
        <f>'OPEN FOREIGN ORDER'!Z2544</f>
        <v>0</v>
      </c>
      <c r="D2918" s="123">
        <f>'OPEN FOREIGN ORDER'!AA2544</f>
        <v>0</v>
      </c>
      <c r="E2918" s="112">
        <f>'OPEN FOREIGN ORDER'!AB2544</f>
        <v>0</v>
      </c>
      <c r="F2918" s="112">
        <f>'OPEN FOREIGN ORDER'!AC2544</f>
        <v>0</v>
      </c>
      <c r="G2918" s="112">
        <f>'OPEN FOREIGN ORDER'!AD2544</f>
        <v>0</v>
      </c>
      <c r="H2918" s="112">
        <f>'OPEN FOREIGN ORDER'!AE2544</f>
        <v>0</v>
      </c>
      <c r="I2918" s="112">
        <f>'OPEN FOREIGN ORDER'!AF2544</f>
        <v>0</v>
      </c>
      <c r="J2918" s="112">
        <f>'OPEN FOREIGN ORDER'!AG2544</f>
        <v>0</v>
      </c>
    </row>
    <row r="2919" spans="1:10">
      <c r="A2919">
        <f>'OPEN FOREIGN ORDER'!D2545</f>
        <v>0</v>
      </c>
      <c r="B2919">
        <f>'OPEN FOREIGN ORDER'!F2545</f>
        <v>0</v>
      </c>
      <c r="C2919">
        <f>'OPEN FOREIGN ORDER'!Z2545</f>
        <v>0</v>
      </c>
      <c r="D2919" s="123">
        <f>'OPEN FOREIGN ORDER'!AA2545</f>
        <v>0</v>
      </c>
      <c r="E2919" s="112">
        <f>'OPEN FOREIGN ORDER'!AB2545</f>
        <v>0</v>
      </c>
      <c r="F2919" s="112">
        <f>'OPEN FOREIGN ORDER'!AC2545</f>
        <v>0</v>
      </c>
      <c r="G2919" s="112">
        <f>'OPEN FOREIGN ORDER'!AD2545</f>
        <v>0</v>
      </c>
      <c r="H2919" s="112">
        <f>'OPEN FOREIGN ORDER'!AE2545</f>
        <v>0</v>
      </c>
      <c r="I2919" s="112">
        <f>'OPEN FOREIGN ORDER'!AF2545</f>
        <v>0</v>
      </c>
      <c r="J2919" s="112">
        <f>'OPEN FOREIGN ORDER'!AG2545</f>
        <v>0</v>
      </c>
    </row>
    <row r="2920" spans="1:10">
      <c r="A2920">
        <f>'OPEN FOREIGN ORDER'!D2546</f>
        <v>0</v>
      </c>
      <c r="B2920">
        <f>'OPEN FOREIGN ORDER'!F2546</f>
        <v>0</v>
      </c>
      <c r="C2920">
        <f>'OPEN FOREIGN ORDER'!Z2546</f>
        <v>0</v>
      </c>
      <c r="D2920" s="123">
        <f>'OPEN FOREIGN ORDER'!AA2546</f>
        <v>0</v>
      </c>
      <c r="E2920" s="112">
        <f>'OPEN FOREIGN ORDER'!AB2546</f>
        <v>0</v>
      </c>
      <c r="F2920" s="112">
        <f>'OPEN FOREIGN ORDER'!AC2546</f>
        <v>0</v>
      </c>
      <c r="G2920" s="112">
        <f>'OPEN FOREIGN ORDER'!AD2546</f>
        <v>0</v>
      </c>
      <c r="H2920" s="112">
        <f>'OPEN FOREIGN ORDER'!AE2546</f>
        <v>0</v>
      </c>
      <c r="I2920" s="112">
        <f>'OPEN FOREIGN ORDER'!AF2546</f>
        <v>0</v>
      </c>
      <c r="J2920" s="112">
        <f>'OPEN FOREIGN ORDER'!AG2546</f>
        <v>0</v>
      </c>
    </row>
    <row r="2921" spans="1:10">
      <c r="A2921">
        <f>'OPEN FOREIGN ORDER'!D2547</f>
        <v>0</v>
      </c>
      <c r="B2921">
        <f>'OPEN FOREIGN ORDER'!F2547</f>
        <v>0</v>
      </c>
      <c r="C2921">
        <f>'OPEN FOREIGN ORDER'!Z2547</f>
        <v>0</v>
      </c>
      <c r="D2921" s="123">
        <f>'OPEN FOREIGN ORDER'!AA2547</f>
        <v>0</v>
      </c>
      <c r="E2921" s="112">
        <f>'OPEN FOREIGN ORDER'!AB2547</f>
        <v>0</v>
      </c>
      <c r="F2921" s="112">
        <f>'OPEN FOREIGN ORDER'!AC2547</f>
        <v>0</v>
      </c>
      <c r="G2921" s="112">
        <f>'OPEN FOREIGN ORDER'!AD2547</f>
        <v>0</v>
      </c>
      <c r="H2921" s="112">
        <f>'OPEN FOREIGN ORDER'!AE2547</f>
        <v>0</v>
      </c>
      <c r="I2921" s="112">
        <f>'OPEN FOREIGN ORDER'!AF2547</f>
        <v>0</v>
      </c>
      <c r="J2921" s="112">
        <f>'OPEN FOREIGN ORDER'!AG2547</f>
        <v>0</v>
      </c>
    </row>
    <row r="2922" spans="1:10">
      <c r="A2922">
        <f>'OPEN FOREIGN ORDER'!D2548</f>
        <v>0</v>
      </c>
      <c r="B2922">
        <f>'OPEN FOREIGN ORDER'!F2548</f>
        <v>0</v>
      </c>
      <c r="C2922">
        <f>'OPEN FOREIGN ORDER'!Z2548</f>
        <v>0</v>
      </c>
      <c r="D2922" s="123">
        <f>'OPEN FOREIGN ORDER'!AA2548</f>
        <v>0</v>
      </c>
      <c r="E2922" s="112">
        <f>'OPEN FOREIGN ORDER'!AB2548</f>
        <v>0</v>
      </c>
      <c r="F2922" s="112">
        <f>'OPEN FOREIGN ORDER'!AC2548</f>
        <v>0</v>
      </c>
      <c r="G2922" s="112">
        <f>'OPEN FOREIGN ORDER'!AD2548</f>
        <v>0</v>
      </c>
      <c r="H2922" s="112">
        <f>'OPEN FOREIGN ORDER'!AE2548</f>
        <v>0</v>
      </c>
      <c r="I2922" s="112">
        <f>'OPEN FOREIGN ORDER'!AF2548</f>
        <v>0</v>
      </c>
      <c r="J2922" s="112">
        <f>'OPEN FOREIGN ORDER'!AG2548</f>
        <v>0</v>
      </c>
    </row>
    <row r="2923" spans="1:10">
      <c r="A2923">
        <f>'OPEN FOREIGN ORDER'!D2549</f>
        <v>0</v>
      </c>
      <c r="B2923">
        <f>'OPEN FOREIGN ORDER'!F2549</f>
        <v>0</v>
      </c>
      <c r="C2923">
        <f>'OPEN FOREIGN ORDER'!Z2549</f>
        <v>0</v>
      </c>
      <c r="D2923" s="123">
        <f>'OPEN FOREIGN ORDER'!AA2549</f>
        <v>0</v>
      </c>
      <c r="E2923" s="112">
        <f>'OPEN FOREIGN ORDER'!AB2549</f>
        <v>0</v>
      </c>
      <c r="F2923" s="112">
        <f>'OPEN FOREIGN ORDER'!AC2549</f>
        <v>0</v>
      </c>
      <c r="G2923" s="112">
        <f>'OPEN FOREIGN ORDER'!AD2549</f>
        <v>0</v>
      </c>
      <c r="H2923" s="112">
        <f>'OPEN FOREIGN ORDER'!AE2549</f>
        <v>0</v>
      </c>
      <c r="I2923" s="112">
        <f>'OPEN FOREIGN ORDER'!AF2549</f>
        <v>0</v>
      </c>
      <c r="J2923" s="112">
        <f>'OPEN FOREIGN ORDER'!AG2549</f>
        <v>0</v>
      </c>
    </row>
    <row r="2924" spans="1:10">
      <c r="A2924">
        <f>'OPEN FOREIGN ORDER'!D2550</f>
        <v>0</v>
      </c>
      <c r="B2924">
        <f>'OPEN FOREIGN ORDER'!F2550</f>
        <v>0</v>
      </c>
      <c r="C2924">
        <f>'OPEN FOREIGN ORDER'!Z2550</f>
        <v>0</v>
      </c>
      <c r="D2924" s="123">
        <f>'OPEN FOREIGN ORDER'!AA2550</f>
        <v>0</v>
      </c>
      <c r="E2924" s="112">
        <f>'OPEN FOREIGN ORDER'!AB2550</f>
        <v>0</v>
      </c>
      <c r="F2924" s="112">
        <f>'OPEN FOREIGN ORDER'!AC2550</f>
        <v>0</v>
      </c>
      <c r="G2924" s="112">
        <f>'OPEN FOREIGN ORDER'!AD2550</f>
        <v>0</v>
      </c>
      <c r="H2924" s="112">
        <f>'OPEN FOREIGN ORDER'!AE2550</f>
        <v>0</v>
      </c>
      <c r="I2924" s="112">
        <f>'OPEN FOREIGN ORDER'!AF2550</f>
        <v>0</v>
      </c>
      <c r="J2924" s="112">
        <f>'OPEN FOREIGN ORDER'!AG2550</f>
        <v>0</v>
      </c>
    </row>
    <row r="2925" spans="1:10">
      <c r="A2925">
        <f>'OPEN FOREIGN ORDER'!D2551</f>
        <v>0</v>
      </c>
      <c r="B2925">
        <f>'OPEN FOREIGN ORDER'!F2551</f>
        <v>0</v>
      </c>
      <c r="C2925">
        <f>'OPEN FOREIGN ORDER'!Z2551</f>
        <v>0</v>
      </c>
      <c r="D2925" s="123">
        <f>'OPEN FOREIGN ORDER'!AA2551</f>
        <v>0</v>
      </c>
      <c r="E2925" s="112">
        <f>'OPEN FOREIGN ORDER'!AB2551</f>
        <v>0</v>
      </c>
      <c r="F2925" s="112">
        <f>'OPEN FOREIGN ORDER'!AC2551</f>
        <v>0</v>
      </c>
      <c r="G2925" s="112">
        <f>'OPEN FOREIGN ORDER'!AD2551</f>
        <v>0</v>
      </c>
      <c r="H2925" s="112">
        <f>'OPEN FOREIGN ORDER'!AE2551</f>
        <v>0</v>
      </c>
      <c r="I2925" s="112">
        <f>'OPEN FOREIGN ORDER'!AF2551</f>
        <v>0</v>
      </c>
      <c r="J2925" s="112">
        <f>'OPEN FOREIGN ORDER'!AG2551</f>
        <v>0</v>
      </c>
    </row>
    <row r="2926" spans="1:10">
      <c r="A2926">
        <f>'OPEN FOREIGN ORDER'!D2552</f>
        <v>0</v>
      </c>
      <c r="B2926">
        <f>'OPEN FOREIGN ORDER'!F2552</f>
        <v>0</v>
      </c>
      <c r="C2926">
        <f>'OPEN FOREIGN ORDER'!Z2552</f>
        <v>0</v>
      </c>
      <c r="D2926" s="123">
        <f>'OPEN FOREIGN ORDER'!AA2552</f>
        <v>0</v>
      </c>
      <c r="E2926" s="112">
        <f>'OPEN FOREIGN ORDER'!AB2552</f>
        <v>0</v>
      </c>
      <c r="F2926" s="112">
        <f>'OPEN FOREIGN ORDER'!AC2552</f>
        <v>0</v>
      </c>
      <c r="G2926" s="112">
        <f>'OPEN FOREIGN ORDER'!AD2552</f>
        <v>0</v>
      </c>
      <c r="H2926" s="112">
        <f>'OPEN FOREIGN ORDER'!AE2552</f>
        <v>0</v>
      </c>
      <c r="I2926" s="112">
        <f>'OPEN FOREIGN ORDER'!AF2552</f>
        <v>0</v>
      </c>
      <c r="J2926" s="112">
        <f>'OPEN FOREIGN ORDER'!AG2552</f>
        <v>0</v>
      </c>
    </row>
    <row r="2927" spans="1:10">
      <c r="A2927">
        <f>'OPEN FOREIGN ORDER'!D2553</f>
        <v>0</v>
      </c>
      <c r="B2927">
        <f>'OPEN FOREIGN ORDER'!F2553</f>
        <v>0</v>
      </c>
      <c r="C2927">
        <f>'OPEN FOREIGN ORDER'!Z2553</f>
        <v>0</v>
      </c>
      <c r="D2927" s="123">
        <f>'OPEN FOREIGN ORDER'!AA2553</f>
        <v>0</v>
      </c>
      <c r="E2927" s="112">
        <f>'OPEN FOREIGN ORDER'!AB2553</f>
        <v>0</v>
      </c>
      <c r="F2927" s="112">
        <f>'OPEN FOREIGN ORDER'!AC2553</f>
        <v>0</v>
      </c>
      <c r="G2927" s="112">
        <f>'OPEN FOREIGN ORDER'!AD2553</f>
        <v>0</v>
      </c>
      <c r="H2927" s="112">
        <f>'OPEN FOREIGN ORDER'!AE2553</f>
        <v>0</v>
      </c>
      <c r="I2927" s="112">
        <f>'OPEN FOREIGN ORDER'!AF2553</f>
        <v>0</v>
      </c>
      <c r="J2927" s="112">
        <f>'OPEN FOREIGN ORDER'!AG2553</f>
        <v>0</v>
      </c>
    </row>
    <row r="2928" spans="1:10">
      <c r="A2928">
        <f>'OPEN FOREIGN ORDER'!D2554</f>
        <v>0</v>
      </c>
      <c r="B2928">
        <f>'OPEN FOREIGN ORDER'!F2554</f>
        <v>0</v>
      </c>
      <c r="C2928">
        <f>'OPEN FOREIGN ORDER'!Z2554</f>
        <v>0</v>
      </c>
      <c r="D2928" s="123">
        <f>'OPEN FOREIGN ORDER'!AA2554</f>
        <v>0</v>
      </c>
      <c r="E2928" s="112">
        <f>'OPEN FOREIGN ORDER'!AB2554</f>
        <v>0</v>
      </c>
      <c r="F2928" s="112">
        <f>'OPEN FOREIGN ORDER'!AC2554</f>
        <v>0</v>
      </c>
      <c r="G2928" s="112">
        <f>'OPEN FOREIGN ORDER'!AD2554</f>
        <v>0</v>
      </c>
      <c r="H2928" s="112">
        <f>'OPEN FOREIGN ORDER'!AE2554</f>
        <v>0</v>
      </c>
      <c r="I2928" s="112">
        <f>'OPEN FOREIGN ORDER'!AF2554</f>
        <v>0</v>
      </c>
      <c r="J2928" s="112">
        <f>'OPEN FOREIGN ORDER'!AG2554</f>
        <v>0</v>
      </c>
    </row>
    <row r="2929" spans="1:10">
      <c r="A2929">
        <f>'OPEN FOREIGN ORDER'!D2555</f>
        <v>0</v>
      </c>
      <c r="B2929">
        <f>'OPEN FOREIGN ORDER'!F2555</f>
        <v>0</v>
      </c>
      <c r="C2929">
        <f>'OPEN FOREIGN ORDER'!Z2555</f>
        <v>0</v>
      </c>
      <c r="D2929" s="123">
        <f>'OPEN FOREIGN ORDER'!AA2555</f>
        <v>0</v>
      </c>
      <c r="E2929" s="112">
        <f>'OPEN FOREIGN ORDER'!AB2555</f>
        <v>0</v>
      </c>
      <c r="F2929" s="112">
        <f>'OPEN FOREIGN ORDER'!AC2555</f>
        <v>0</v>
      </c>
      <c r="G2929" s="112">
        <f>'OPEN FOREIGN ORDER'!AD2555</f>
        <v>0</v>
      </c>
      <c r="H2929" s="112">
        <f>'OPEN FOREIGN ORDER'!AE2555</f>
        <v>0</v>
      </c>
      <c r="I2929" s="112">
        <f>'OPEN FOREIGN ORDER'!AF2555</f>
        <v>0</v>
      </c>
      <c r="J2929" s="112">
        <f>'OPEN FOREIGN ORDER'!AG2555</f>
        <v>0</v>
      </c>
    </row>
    <row r="2930" spans="1:10">
      <c r="A2930">
        <f>'OPEN FOREIGN ORDER'!D2556</f>
        <v>0</v>
      </c>
      <c r="B2930">
        <f>'OPEN FOREIGN ORDER'!F2556</f>
        <v>0</v>
      </c>
      <c r="C2930">
        <f>'OPEN FOREIGN ORDER'!Z2556</f>
        <v>0</v>
      </c>
      <c r="D2930" s="123">
        <f>'OPEN FOREIGN ORDER'!AA2556</f>
        <v>0</v>
      </c>
      <c r="E2930" s="112">
        <f>'OPEN FOREIGN ORDER'!AB2556</f>
        <v>0</v>
      </c>
      <c r="F2930" s="112">
        <f>'OPEN FOREIGN ORDER'!AC2556</f>
        <v>0</v>
      </c>
      <c r="G2930" s="112">
        <f>'OPEN FOREIGN ORDER'!AD2556</f>
        <v>0</v>
      </c>
      <c r="H2930" s="112">
        <f>'OPEN FOREIGN ORDER'!AE2556</f>
        <v>0</v>
      </c>
      <c r="I2930" s="112">
        <f>'OPEN FOREIGN ORDER'!AF2556</f>
        <v>0</v>
      </c>
      <c r="J2930" s="112">
        <f>'OPEN FOREIGN ORDER'!AG2556</f>
        <v>0</v>
      </c>
    </row>
    <row r="2931" spans="1:10">
      <c r="A2931">
        <f>'OPEN FOREIGN ORDER'!D2557</f>
        <v>0</v>
      </c>
      <c r="B2931">
        <f>'OPEN FOREIGN ORDER'!F2557</f>
        <v>0</v>
      </c>
      <c r="C2931">
        <f>'OPEN FOREIGN ORDER'!Z2557</f>
        <v>0</v>
      </c>
      <c r="D2931" s="123">
        <f>'OPEN FOREIGN ORDER'!AA2557</f>
        <v>0</v>
      </c>
      <c r="E2931" s="112">
        <f>'OPEN FOREIGN ORDER'!AB2557</f>
        <v>0</v>
      </c>
      <c r="F2931" s="112">
        <f>'OPEN FOREIGN ORDER'!AC2557</f>
        <v>0</v>
      </c>
      <c r="G2931" s="112">
        <f>'OPEN FOREIGN ORDER'!AD2557</f>
        <v>0</v>
      </c>
      <c r="H2931" s="112">
        <f>'OPEN FOREIGN ORDER'!AE2557</f>
        <v>0</v>
      </c>
      <c r="I2931" s="112">
        <f>'OPEN FOREIGN ORDER'!AF2557</f>
        <v>0</v>
      </c>
      <c r="J2931" s="112">
        <f>'OPEN FOREIGN ORDER'!AG2557</f>
        <v>0</v>
      </c>
    </row>
    <row r="2932" spans="1:10">
      <c r="A2932">
        <f>'OPEN FOREIGN ORDER'!D2558</f>
        <v>0</v>
      </c>
      <c r="B2932">
        <f>'OPEN FOREIGN ORDER'!F2558</f>
        <v>0</v>
      </c>
      <c r="C2932">
        <f>'OPEN FOREIGN ORDER'!Z2558</f>
        <v>0</v>
      </c>
      <c r="D2932" s="123">
        <f>'OPEN FOREIGN ORDER'!AA2558</f>
        <v>0</v>
      </c>
      <c r="E2932" s="112">
        <f>'OPEN FOREIGN ORDER'!AB2558</f>
        <v>0</v>
      </c>
      <c r="F2932" s="112">
        <f>'OPEN FOREIGN ORDER'!AC2558</f>
        <v>0</v>
      </c>
      <c r="G2932" s="112">
        <f>'OPEN FOREIGN ORDER'!AD2558</f>
        <v>0</v>
      </c>
      <c r="H2932" s="112">
        <f>'OPEN FOREIGN ORDER'!AE2558</f>
        <v>0</v>
      </c>
      <c r="I2932" s="112">
        <f>'OPEN FOREIGN ORDER'!AF2558</f>
        <v>0</v>
      </c>
      <c r="J2932" s="112">
        <f>'OPEN FOREIGN ORDER'!AG2558</f>
        <v>0</v>
      </c>
    </row>
    <row r="2933" spans="1:10">
      <c r="A2933">
        <f>'OPEN FOREIGN ORDER'!D2559</f>
        <v>0</v>
      </c>
      <c r="B2933">
        <f>'OPEN FOREIGN ORDER'!F2559</f>
        <v>0</v>
      </c>
      <c r="C2933">
        <f>'OPEN FOREIGN ORDER'!Z2559</f>
        <v>0</v>
      </c>
      <c r="D2933" s="123">
        <f>'OPEN FOREIGN ORDER'!AA2559</f>
        <v>0</v>
      </c>
      <c r="E2933" s="112">
        <f>'OPEN FOREIGN ORDER'!AB2559</f>
        <v>0</v>
      </c>
      <c r="F2933" s="112">
        <f>'OPEN FOREIGN ORDER'!AC2559</f>
        <v>0</v>
      </c>
      <c r="G2933" s="112">
        <f>'OPEN FOREIGN ORDER'!AD2559</f>
        <v>0</v>
      </c>
      <c r="H2933" s="112">
        <f>'OPEN FOREIGN ORDER'!AE2559</f>
        <v>0</v>
      </c>
      <c r="I2933" s="112">
        <f>'OPEN FOREIGN ORDER'!AF2559</f>
        <v>0</v>
      </c>
      <c r="J2933" s="112">
        <f>'OPEN FOREIGN ORDER'!AG2559</f>
        <v>0</v>
      </c>
    </row>
    <row r="2934" spans="1:10">
      <c r="A2934">
        <f>'OPEN FOREIGN ORDER'!D2560</f>
        <v>0</v>
      </c>
      <c r="B2934">
        <f>'OPEN FOREIGN ORDER'!F2560</f>
        <v>0</v>
      </c>
      <c r="C2934">
        <f>'OPEN FOREIGN ORDER'!Z2560</f>
        <v>0</v>
      </c>
      <c r="D2934" s="123">
        <f>'OPEN FOREIGN ORDER'!AA2560</f>
        <v>0</v>
      </c>
      <c r="E2934" s="112">
        <f>'OPEN FOREIGN ORDER'!AB2560</f>
        <v>0</v>
      </c>
      <c r="F2934" s="112">
        <f>'OPEN FOREIGN ORDER'!AC2560</f>
        <v>0</v>
      </c>
      <c r="G2934" s="112">
        <f>'OPEN FOREIGN ORDER'!AD2560</f>
        <v>0</v>
      </c>
      <c r="H2934" s="112">
        <f>'OPEN FOREIGN ORDER'!AE2560</f>
        <v>0</v>
      </c>
      <c r="I2934" s="112">
        <f>'OPEN FOREIGN ORDER'!AF2560</f>
        <v>0</v>
      </c>
      <c r="J2934" s="112">
        <f>'OPEN FOREIGN ORDER'!AG2560</f>
        <v>0</v>
      </c>
    </row>
    <row r="2935" spans="1:10">
      <c r="A2935">
        <f>'OPEN FOREIGN ORDER'!D2561</f>
        <v>0</v>
      </c>
      <c r="B2935">
        <f>'OPEN FOREIGN ORDER'!F2561</f>
        <v>0</v>
      </c>
      <c r="C2935">
        <f>'OPEN FOREIGN ORDER'!Z2561</f>
        <v>0</v>
      </c>
      <c r="D2935" s="123">
        <f>'OPEN FOREIGN ORDER'!AA2561</f>
        <v>0</v>
      </c>
      <c r="E2935" s="112">
        <f>'OPEN FOREIGN ORDER'!AB2561</f>
        <v>0</v>
      </c>
      <c r="F2935" s="112">
        <f>'OPEN FOREIGN ORDER'!AC2561</f>
        <v>0</v>
      </c>
      <c r="G2935" s="112">
        <f>'OPEN FOREIGN ORDER'!AD2561</f>
        <v>0</v>
      </c>
      <c r="H2935" s="112">
        <f>'OPEN FOREIGN ORDER'!AE2561</f>
        <v>0</v>
      </c>
      <c r="I2935" s="112">
        <f>'OPEN FOREIGN ORDER'!AF2561</f>
        <v>0</v>
      </c>
      <c r="J2935" s="112">
        <f>'OPEN FOREIGN ORDER'!AG2561</f>
        <v>0</v>
      </c>
    </row>
    <row r="2936" spans="1:10">
      <c r="A2936">
        <f>'OPEN FOREIGN ORDER'!D2562</f>
        <v>0</v>
      </c>
      <c r="B2936">
        <f>'OPEN FOREIGN ORDER'!F2562</f>
        <v>0</v>
      </c>
      <c r="C2936">
        <f>'OPEN FOREIGN ORDER'!Z2562</f>
        <v>0</v>
      </c>
      <c r="D2936" s="123">
        <f>'OPEN FOREIGN ORDER'!AA2562</f>
        <v>0</v>
      </c>
      <c r="E2936" s="112">
        <f>'OPEN FOREIGN ORDER'!AB2562</f>
        <v>0</v>
      </c>
      <c r="F2936" s="112">
        <f>'OPEN FOREIGN ORDER'!AC2562</f>
        <v>0</v>
      </c>
      <c r="G2936" s="112">
        <f>'OPEN FOREIGN ORDER'!AD2562</f>
        <v>0</v>
      </c>
      <c r="H2936" s="112">
        <f>'OPEN FOREIGN ORDER'!AE2562</f>
        <v>0</v>
      </c>
      <c r="I2936" s="112">
        <f>'OPEN FOREIGN ORDER'!AF2562</f>
        <v>0</v>
      </c>
      <c r="J2936" s="112">
        <f>'OPEN FOREIGN ORDER'!AG2562</f>
        <v>0</v>
      </c>
    </row>
    <row r="2937" spans="1:10">
      <c r="A2937">
        <f>'OPEN FOREIGN ORDER'!D2563</f>
        <v>0</v>
      </c>
      <c r="B2937">
        <f>'OPEN FOREIGN ORDER'!F2563</f>
        <v>0</v>
      </c>
      <c r="C2937">
        <f>'OPEN FOREIGN ORDER'!Z2563</f>
        <v>0</v>
      </c>
      <c r="D2937" s="123">
        <f>'OPEN FOREIGN ORDER'!AA2563</f>
        <v>0</v>
      </c>
      <c r="E2937" s="112">
        <f>'OPEN FOREIGN ORDER'!AB2563</f>
        <v>0</v>
      </c>
      <c r="F2937" s="112">
        <f>'OPEN FOREIGN ORDER'!AC2563</f>
        <v>0</v>
      </c>
      <c r="G2937" s="112">
        <f>'OPEN FOREIGN ORDER'!AD2563</f>
        <v>0</v>
      </c>
      <c r="H2937" s="112">
        <f>'OPEN FOREIGN ORDER'!AE2563</f>
        <v>0</v>
      </c>
      <c r="I2937" s="112">
        <f>'OPEN FOREIGN ORDER'!AF2563</f>
        <v>0</v>
      </c>
      <c r="J2937" s="112">
        <f>'OPEN FOREIGN ORDER'!AG2563</f>
        <v>0</v>
      </c>
    </row>
    <row r="2938" spans="1:10">
      <c r="A2938">
        <f>'OPEN FOREIGN ORDER'!D2564</f>
        <v>0</v>
      </c>
      <c r="B2938">
        <f>'OPEN FOREIGN ORDER'!F2564</f>
        <v>0</v>
      </c>
      <c r="C2938">
        <f>'OPEN FOREIGN ORDER'!Z2564</f>
        <v>0</v>
      </c>
      <c r="D2938" s="123">
        <f>'OPEN FOREIGN ORDER'!AA2564</f>
        <v>0</v>
      </c>
      <c r="E2938" s="112">
        <f>'OPEN FOREIGN ORDER'!AB2564</f>
        <v>0</v>
      </c>
      <c r="F2938" s="112">
        <f>'OPEN FOREIGN ORDER'!AC2564</f>
        <v>0</v>
      </c>
      <c r="G2938" s="112">
        <f>'OPEN FOREIGN ORDER'!AD2564</f>
        <v>0</v>
      </c>
      <c r="H2938" s="112">
        <f>'OPEN FOREIGN ORDER'!AE2564</f>
        <v>0</v>
      </c>
      <c r="I2938" s="112">
        <f>'OPEN FOREIGN ORDER'!AF2564</f>
        <v>0</v>
      </c>
      <c r="J2938" s="112">
        <f>'OPEN FOREIGN ORDER'!AG2564</f>
        <v>0</v>
      </c>
    </row>
    <row r="2939" spans="1:10">
      <c r="A2939">
        <f>'OPEN FOREIGN ORDER'!D2565</f>
        <v>0</v>
      </c>
      <c r="B2939">
        <f>'OPEN FOREIGN ORDER'!F2565</f>
        <v>0</v>
      </c>
      <c r="C2939">
        <f>'OPEN FOREIGN ORDER'!Z2565</f>
        <v>0</v>
      </c>
      <c r="D2939" s="123">
        <f>'OPEN FOREIGN ORDER'!AA2565</f>
        <v>0</v>
      </c>
      <c r="E2939" s="112">
        <f>'OPEN FOREIGN ORDER'!AB2565</f>
        <v>0</v>
      </c>
      <c r="F2939" s="112">
        <f>'OPEN FOREIGN ORDER'!AC2565</f>
        <v>0</v>
      </c>
      <c r="G2939" s="112">
        <f>'OPEN FOREIGN ORDER'!AD2565</f>
        <v>0</v>
      </c>
      <c r="H2939" s="112">
        <f>'OPEN FOREIGN ORDER'!AE2565</f>
        <v>0</v>
      </c>
      <c r="I2939" s="112">
        <f>'OPEN FOREIGN ORDER'!AF2565</f>
        <v>0</v>
      </c>
      <c r="J2939" s="112">
        <f>'OPEN FOREIGN ORDER'!AG2565</f>
        <v>0</v>
      </c>
    </row>
    <row r="2940" spans="1:10">
      <c r="A2940">
        <f>'OPEN FOREIGN ORDER'!D2566</f>
        <v>0</v>
      </c>
      <c r="B2940">
        <f>'OPEN FOREIGN ORDER'!F2566</f>
        <v>0</v>
      </c>
      <c r="C2940">
        <f>'OPEN FOREIGN ORDER'!Z2566</f>
        <v>0</v>
      </c>
      <c r="D2940" s="123">
        <f>'OPEN FOREIGN ORDER'!AA2566</f>
        <v>0</v>
      </c>
      <c r="E2940" s="112">
        <f>'OPEN FOREIGN ORDER'!AB2566</f>
        <v>0</v>
      </c>
      <c r="F2940" s="112">
        <f>'OPEN FOREIGN ORDER'!AC2566</f>
        <v>0</v>
      </c>
      <c r="G2940" s="112">
        <f>'OPEN FOREIGN ORDER'!AD2566</f>
        <v>0</v>
      </c>
      <c r="H2940" s="112">
        <f>'OPEN FOREIGN ORDER'!AE2566</f>
        <v>0</v>
      </c>
      <c r="I2940" s="112">
        <f>'OPEN FOREIGN ORDER'!AF2566</f>
        <v>0</v>
      </c>
      <c r="J2940" s="112">
        <f>'OPEN FOREIGN ORDER'!AG2566</f>
        <v>0</v>
      </c>
    </row>
    <row r="2941" spans="1:10">
      <c r="A2941">
        <f>'OPEN FOREIGN ORDER'!D2567</f>
        <v>0</v>
      </c>
      <c r="B2941">
        <f>'OPEN FOREIGN ORDER'!F2567</f>
        <v>0</v>
      </c>
      <c r="C2941">
        <f>'OPEN FOREIGN ORDER'!Z2567</f>
        <v>0</v>
      </c>
      <c r="D2941" s="123">
        <f>'OPEN FOREIGN ORDER'!AA2567</f>
        <v>0</v>
      </c>
      <c r="E2941" s="112">
        <f>'OPEN FOREIGN ORDER'!AB2567</f>
        <v>0</v>
      </c>
      <c r="F2941" s="112">
        <f>'OPEN FOREIGN ORDER'!AC2567</f>
        <v>0</v>
      </c>
      <c r="G2941" s="112">
        <f>'OPEN FOREIGN ORDER'!AD2567</f>
        <v>0</v>
      </c>
      <c r="H2941" s="112">
        <f>'OPEN FOREIGN ORDER'!AE2567</f>
        <v>0</v>
      </c>
      <c r="I2941" s="112">
        <f>'OPEN FOREIGN ORDER'!AF2567</f>
        <v>0</v>
      </c>
      <c r="J2941" s="112">
        <f>'OPEN FOREIGN ORDER'!AG2567</f>
        <v>0</v>
      </c>
    </row>
    <row r="2942" spans="1:10">
      <c r="A2942">
        <f>'OPEN FOREIGN ORDER'!D2568</f>
        <v>0</v>
      </c>
      <c r="B2942">
        <f>'OPEN FOREIGN ORDER'!F2568</f>
        <v>0</v>
      </c>
      <c r="C2942">
        <f>'OPEN FOREIGN ORDER'!Z2568</f>
        <v>0</v>
      </c>
      <c r="D2942" s="123">
        <f>'OPEN FOREIGN ORDER'!AA2568</f>
        <v>0</v>
      </c>
      <c r="E2942" s="112">
        <f>'OPEN FOREIGN ORDER'!AB2568</f>
        <v>0</v>
      </c>
      <c r="F2942" s="112">
        <f>'OPEN FOREIGN ORDER'!AC2568</f>
        <v>0</v>
      </c>
      <c r="G2942" s="112">
        <f>'OPEN FOREIGN ORDER'!AD2568</f>
        <v>0</v>
      </c>
      <c r="H2942" s="112">
        <f>'OPEN FOREIGN ORDER'!AE2568</f>
        <v>0</v>
      </c>
      <c r="I2942" s="112">
        <f>'OPEN FOREIGN ORDER'!AF2568</f>
        <v>0</v>
      </c>
      <c r="J2942" s="112">
        <f>'OPEN FOREIGN ORDER'!AG2568</f>
        <v>0</v>
      </c>
    </row>
    <row r="2943" spans="1:10">
      <c r="A2943">
        <f>'OPEN FOREIGN ORDER'!D2569</f>
        <v>0</v>
      </c>
      <c r="B2943">
        <f>'OPEN FOREIGN ORDER'!F2569</f>
        <v>0</v>
      </c>
      <c r="C2943">
        <f>'OPEN FOREIGN ORDER'!Z2569</f>
        <v>0</v>
      </c>
      <c r="D2943" s="123">
        <f>'OPEN FOREIGN ORDER'!AA2569</f>
        <v>0</v>
      </c>
      <c r="E2943" s="112">
        <f>'OPEN FOREIGN ORDER'!AB2569</f>
        <v>0</v>
      </c>
      <c r="F2943" s="112">
        <f>'OPEN FOREIGN ORDER'!AC2569</f>
        <v>0</v>
      </c>
      <c r="G2943" s="112">
        <f>'OPEN FOREIGN ORDER'!AD2569</f>
        <v>0</v>
      </c>
      <c r="H2943" s="112">
        <f>'OPEN FOREIGN ORDER'!AE2569</f>
        <v>0</v>
      </c>
      <c r="I2943" s="112">
        <f>'OPEN FOREIGN ORDER'!AF2569</f>
        <v>0</v>
      </c>
      <c r="J2943" s="112">
        <f>'OPEN FOREIGN ORDER'!AG2569</f>
        <v>0</v>
      </c>
    </row>
    <row r="2944" spans="1:10">
      <c r="A2944">
        <f>'OPEN FOREIGN ORDER'!D2570</f>
        <v>0</v>
      </c>
      <c r="B2944">
        <f>'OPEN FOREIGN ORDER'!F2570</f>
        <v>0</v>
      </c>
      <c r="C2944">
        <f>'OPEN FOREIGN ORDER'!Z2570</f>
        <v>0</v>
      </c>
      <c r="D2944" s="123">
        <f>'OPEN FOREIGN ORDER'!AA2570</f>
        <v>0</v>
      </c>
      <c r="E2944" s="112">
        <f>'OPEN FOREIGN ORDER'!AB2570</f>
        <v>0</v>
      </c>
      <c r="F2944" s="112">
        <f>'OPEN FOREIGN ORDER'!AC2570</f>
        <v>0</v>
      </c>
      <c r="G2944" s="112">
        <f>'OPEN FOREIGN ORDER'!AD2570</f>
        <v>0</v>
      </c>
      <c r="H2944" s="112">
        <f>'OPEN FOREIGN ORDER'!AE2570</f>
        <v>0</v>
      </c>
      <c r="I2944" s="112">
        <f>'OPEN FOREIGN ORDER'!AF2570</f>
        <v>0</v>
      </c>
      <c r="J2944" s="112">
        <f>'OPEN FOREIGN ORDER'!AG2570</f>
        <v>0</v>
      </c>
    </row>
    <row r="2945" spans="1:10">
      <c r="A2945">
        <f>'OPEN FOREIGN ORDER'!D2571</f>
        <v>0</v>
      </c>
      <c r="B2945">
        <f>'OPEN FOREIGN ORDER'!F2571</f>
        <v>0</v>
      </c>
      <c r="C2945">
        <f>'OPEN FOREIGN ORDER'!Z2571</f>
        <v>0</v>
      </c>
      <c r="D2945" s="123">
        <f>'OPEN FOREIGN ORDER'!AA2571</f>
        <v>0</v>
      </c>
      <c r="E2945" s="112">
        <f>'OPEN FOREIGN ORDER'!AB2571</f>
        <v>0</v>
      </c>
      <c r="F2945" s="112">
        <f>'OPEN FOREIGN ORDER'!AC2571</f>
        <v>0</v>
      </c>
      <c r="G2945" s="112">
        <f>'OPEN FOREIGN ORDER'!AD2571</f>
        <v>0</v>
      </c>
      <c r="H2945" s="112">
        <f>'OPEN FOREIGN ORDER'!AE2571</f>
        <v>0</v>
      </c>
      <c r="I2945" s="112">
        <f>'OPEN FOREIGN ORDER'!AF2571</f>
        <v>0</v>
      </c>
      <c r="J2945" s="112">
        <f>'OPEN FOREIGN ORDER'!AG2571</f>
        <v>0</v>
      </c>
    </row>
    <row r="2946" spans="1:10">
      <c r="A2946">
        <f>'OPEN FOREIGN ORDER'!D2572</f>
        <v>0</v>
      </c>
      <c r="B2946">
        <f>'OPEN FOREIGN ORDER'!F2572</f>
        <v>0</v>
      </c>
      <c r="C2946">
        <f>'OPEN FOREIGN ORDER'!Z2572</f>
        <v>0</v>
      </c>
      <c r="D2946" s="123">
        <f>'OPEN FOREIGN ORDER'!AA2572</f>
        <v>0</v>
      </c>
      <c r="E2946" s="112">
        <f>'OPEN FOREIGN ORDER'!AB2572</f>
        <v>0</v>
      </c>
      <c r="F2946" s="112">
        <f>'OPEN FOREIGN ORDER'!AC2572</f>
        <v>0</v>
      </c>
      <c r="G2946" s="112">
        <f>'OPEN FOREIGN ORDER'!AD2572</f>
        <v>0</v>
      </c>
      <c r="H2946" s="112">
        <f>'OPEN FOREIGN ORDER'!AE2572</f>
        <v>0</v>
      </c>
      <c r="I2946" s="112">
        <f>'OPEN FOREIGN ORDER'!AF2572</f>
        <v>0</v>
      </c>
      <c r="J2946" s="112">
        <f>'OPEN FOREIGN ORDER'!AG2572</f>
        <v>0</v>
      </c>
    </row>
    <row r="2947" spans="1:10">
      <c r="A2947">
        <f>'OPEN FOREIGN ORDER'!D2573</f>
        <v>0</v>
      </c>
      <c r="B2947">
        <f>'OPEN FOREIGN ORDER'!F2573</f>
        <v>0</v>
      </c>
      <c r="C2947">
        <f>'OPEN FOREIGN ORDER'!Z2573</f>
        <v>0</v>
      </c>
      <c r="D2947" s="123">
        <f>'OPEN FOREIGN ORDER'!AA2573</f>
        <v>0</v>
      </c>
      <c r="E2947" s="112">
        <f>'OPEN FOREIGN ORDER'!AB2573</f>
        <v>0</v>
      </c>
      <c r="F2947" s="112">
        <f>'OPEN FOREIGN ORDER'!AC2573</f>
        <v>0</v>
      </c>
      <c r="G2947" s="112">
        <f>'OPEN FOREIGN ORDER'!AD2573</f>
        <v>0</v>
      </c>
      <c r="H2947" s="112">
        <f>'OPEN FOREIGN ORDER'!AE2573</f>
        <v>0</v>
      </c>
      <c r="I2947" s="112">
        <f>'OPEN FOREIGN ORDER'!AF2573</f>
        <v>0</v>
      </c>
      <c r="J2947" s="112">
        <f>'OPEN FOREIGN ORDER'!AG2573</f>
        <v>0</v>
      </c>
    </row>
    <row r="2948" spans="1:10">
      <c r="A2948">
        <f>'OPEN FOREIGN ORDER'!D2574</f>
        <v>0</v>
      </c>
      <c r="B2948">
        <f>'OPEN FOREIGN ORDER'!F2574</f>
        <v>0</v>
      </c>
      <c r="C2948">
        <f>'OPEN FOREIGN ORDER'!Z2574</f>
        <v>0</v>
      </c>
      <c r="D2948" s="123">
        <f>'OPEN FOREIGN ORDER'!AA2574</f>
        <v>0</v>
      </c>
      <c r="E2948" s="112">
        <f>'OPEN FOREIGN ORDER'!AB2574</f>
        <v>0</v>
      </c>
      <c r="F2948" s="112">
        <f>'OPEN FOREIGN ORDER'!AC2574</f>
        <v>0</v>
      </c>
      <c r="G2948" s="112">
        <f>'OPEN FOREIGN ORDER'!AD2574</f>
        <v>0</v>
      </c>
      <c r="H2948" s="112">
        <f>'OPEN FOREIGN ORDER'!AE2574</f>
        <v>0</v>
      </c>
      <c r="I2948" s="112">
        <f>'OPEN FOREIGN ORDER'!AF2574</f>
        <v>0</v>
      </c>
      <c r="J2948" s="112">
        <f>'OPEN FOREIGN ORDER'!AG2574</f>
        <v>0</v>
      </c>
    </row>
    <row r="2949" spans="1:10">
      <c r="A2949">
        <f>'OPEN FOREIGN ORDER'!D2575</f>
        <v>0</v>
      </c>
      <c r="B2949">
        <f>'OPEN FOREIGN ORDER'!F2575</f>
        <v>0</v>
      </c>
      <c r="C2949">
        <f>'OPEN FOREIGN ORDER'!Z2575</f>
        <v>0</v>
      </c>
      <c r="D2949" s="123">
        <f>'OPEN FOREIGN ORDER'!AA2575</f>
        <v>0</v>
      </c>
      <c r="E2949" s="112">
        <f>'OPEN FOREIGN ORDER'!AB2575</f>
        <v>0</v>
      </c>
      <c r="F2949" s="112">
        <f>'OPEN FOREIGN ORDER'!AC2575</f>
        <v>0</v>
      </c>
      <c r="G2949" s="112">
        <f>'OPEN FOREIGN ORDER'!AD2575</f>
        <v>0</v>
      </c>
      <c r="H2949" s="112">
        <f>'OPEN FOREIGN ORDER'!AE2575</f>
        <v>0</v>
      </c>
      <c r="I2949" s="112">
        <f>'OPEN FOREIGN ORDER'!AF2575</f>
        <v>0</v>
      </c>
      <c r="J2949" s="112">
        <f>'OPEN FOREIGN ORDER'!AG2575</f>
        <v>0</v>
      </c>
    </row>
    <row r="2950" spans="1:10">
      <c r="A2950">
        <f>'OPEN FOREIGN ORDER'!D2576</f>
        <v>0</v>
      </c>
      <c r="B2950">
        <f>'OPEN FOREIGN ORDER'!F2576</f>
        <v>0</v>
      </c>
      <c r="C2950">
        <f>'OPEN FOREIGN ORDER'!Z2576</f>
        <v>0</v>
      </c>
      <c r="D2950" s="123">
        <f>'OPEN FOREIGN ORDER'!AA2576</f>
        <v>0</v>
      </c>
      <c r="E2950" s="112">
        <f>'OPEN FOREIGN ORDER'!AB2576</f>
        <v>0</v>
      </c>
      <c r="F2950" s="112">
        <f>'OPEN FOREIGN ORDER'!AC2576</f>
        <v>0</v>
      </c>
      <c r="G2950" s="112">
        <f>'OPEN FOREIGN ORDER'!AD2576</f>
        <v>0</v>
      </c>
      <c r="H2950" s="112">
        <f>'OPEN FOREIGN ORDER'!AE2576</f>
        <v>0</v>
      </c>
      <c r="I2950" s="112">
        <f>'OPEN FOREIGN ORDER'!AF2576</f>
        <v>0</v>
      </c>
      <c r="J2950" s="112">
        <f>'OPEN FOREIGN ORDER'!AG2576</f>
        <v>0</v>
      </c>
    </row>
    <row r="2951" spans="1:10">
      <c r="A2951">
        <f>'OPEN FOREIGN ORDER'!D2577</f>
        <v>0</v>
      </c>
      <c r="B2951">
        <f>'OPEN FOREIGN ORDER'!F2577</f>
        <v>0</v>
      </c>
      <c r="C2951">
        <f>'OPEN FOREIGN ORDER'!Z2577</f>
        <v>0</v>
      </c>
      <c r="D2951" s="123">
        <f>'OPEN FOREIGN ORDER'!AA2577</f>
        <v>0</v>
      </c>
      <c r="E2951" s="112">
        <f>'OPEN FOREIGN ORDER'!AB2577</f>
        <v>0</v>
      </c>
      <c r="F2951" s="112">
        <f>'OPEN FOREIGN ORDER'!AC2577</f>
        <v>0</v>
      </c>
      <c r="G2951" s="112">
        <f>'OPEN FOREIGN ORDER'!AD2577</f>
        <v>0</v>
      </c>
      <c r="H2951" s="112">
        <f>'OPEN FOREIGN ORDER'!AE2577</f>
        <v>0</v>
      </c>
      <c r="I2951" s="112">
        <f>'OPEN FOREIGN ORDER'!AF2577</f>
        <v>0</v>
      </c>
      <c r="J2951" s="112">
        <f>'OPEN FOREIGN ORDER'!AG2577</f>
        <v>0</v>
      </c>
    </row>
    <row r="2952" spans="1:10">
      <c r="A2952">
        <f>'OPEN FOREIGN ORDER'!D2578</f>
        <v>0</v>
      </c>
      <c r="B2952">
        <f>'OPEN FOREIGN ORDER'!F2578</f>
        <v>0</v>
      </c>
      <c r="C2952">
        <f>'OPEN FOREIGN ORDER'!Z2578</f>
        <v>0</v>
      </c>
      <c r="D2952" s="123">
        <f>'OPEN FOREIGN ORDER'!AA2578</f>
        <v>0</v>
      </c>
      <c r="E2952" s="112">
        <f>'OPEN FOREIGN ORDER'!AB2578</f>
        <v>0</v>
      </c>
      <c r="F2952" s="112">
        <f>'OPEN FOREIGN ORDER'!AC2578</f>
        <v>0</v>
      </c>
      <c r="G2952" s="112">
        <f>'OPEN FOREIGN ORDER'!AD2578</f>
        <v>0</v>
      </c>
      <c r="H2952" s="112">
        <f>'OPEN FOREIGN ORDER'!AE2578</f>
        <v>0</v>
      </c>
      <c r="I2952" s="112">
        <f>'OPEN FOREIGN ORDER'!AF2578</f>
        <v>0</v>
      </c>
      <c r="J2952" s="112">
        <f>'OPEN FOREIGN ORDER'!AG2578</f>
        <v>0</v>
      </c>
    </row>
    <row r="2953" spans="1:10">
      <c r="A2953">
        <f>'OPEN FOREIGN ORDER'!D2579</f>
        <v>0</v>
      </c>
      <c r="B2953">
        <f>'OPEN FOREIGN ORDER'!F2579</f>
        <v>0</v>
      </c>
      <c r="C2953">
        <f>'OPEN FOREIGN ORDER'!Z2579</f>
        <v>0</v>
      </c>
      <c r="D2953" s="123">
        <f>'OPEN FOREIGN ORDER'!AA2579</f>
        <v>0</v>
      </c>
      <c r="E2953" s="112">
        <f>'OPEN FOREIGN ORDER'!AB2579</f>
        <v>0</v>
      </c>
      <c r="F2953" s="112">
        <f>'OPEN FOREIGN ORDER'!AC2579</f>
        <v>0</v>
      </c>
      <c r="G2953" s="112">
        <f>'OPEN FOREIGN ORDER'!AD2579</f>
        <v>0</v>
      </c>
      <c r="H2953" s="112">
        <f>'OPEN FOREIGN ORDER'!AE2579</f>
        <v>0</v>
      </c>
      <c r="I2953" s="112">
        <f>'OPEN FOREIGN ORDER'!AF2579</f>
        <v>0</v>
      </c>
      <c r="J2953" s="112">
        <f>'OPEN FOREIGN ORDER'!AG2579</f>
        <v>0</v>
      </c>
    </row>
    <row r="2954" spans="1:10">
      <c r="A2954">
        <f>'OPEN FOREIGN ORDER'!D2580</f>
        <v>0</v>
      </c>
      <c r="B2954">
        <f>'OPEN FOREIGN ORDER'!F2580</f>
        <v>0</v>
      </c>
      <c r="C2954">
        <f>'OPEN FOREIGN ORDER'!Z2580</f>
        <v>0</v>
      </c>
      <c r="D2954" s="123">
        <f>'OPEN FOREIGN ORDER'!AA2580</f>
        <v>0</v>
      </c>
      <c r="E2954" s="112">
        <f>'OPEN FOREIGN ORDER'!AB2580</f>
        <v>0</v>
      </c>
      <c r="F2954" s="112">
        <f>'OPEN FOREIGN ORDER'!AC2580</f>
        <v>0</v>
      </c>
      <c r="G2954" s="112">
        <f>'OPEN FOREIGN ORDER'!AD2580</f>
        <v>0</v>
      </c>
      <c r="H2954" s="112">
        <f>'OPEN FOREIGN ORDER'!AE2580</f>
        <v>0</v>
      </c>
      <c r="I2954" s="112">
        <f>'OPEN FOREIGN ORDER'!AF2580</f>
        <v>0</v>
      </c>
      <c r="J2954" s="112">
        <f>'OPEN FOREIGN ORDER'!AG2580</f>
        <v>0</v>
      </c>
    </row>
    <row r="2955" spans="1:10">
      <c r="A2955">
        <f>'OPEN FOREIGN ORDER'!D2581</f>
        <v>0</v>
      </c>
      <c r="B2955">
        <f>'OPEN FOREIGN ORDER'!F2581</f>
        <v>0</v>
      </c>
      <c r="C2955">
        <f>'OPEN FOREIGN ORDER'!Z2581</f>
        <v>0</v>
      </c>
      <c r="D2955" s="123">
        <f>'OPEN FOREIGN ORDER'!AA2581</f>
        <v>0</v>
      </c>
      <c r="E2955" s="112">
        <f>'OPEN FOREIGN ORDER'!AB2581</f>
        <v>0</v>
      </c>
      <c r="F2955" s="112">
        <f>'OPEN FOREIGN ORDER'!AC2581</f>
        <v>0</v>
      </c>
      <c r="G2955" s="112">
        <f>'OPEN FOREIGN ORDER'!AD2581</f>
        <v>0</v>
      </c>
      <c r="H2955" s="112">
        <f>'OPEN FOREIGN ORDER'!AE2581</f>
        <v>0</v>
      </c>
      <c r="I2955" s="112">
        <f>'OPEN FOREIGN ORDER'!AF2581</f>
        <v>0</v>
      </c>
      <c r="J2955" s="112">
        <f>'OPEN FOREIGN ORDER'!AG2581</f>
        <v>0</v>
      </c>
    </row>
    <row r="2956" spans="1:10">
      <c r="A2956">
        <f>'OPEN FOREIGN ORDER'!D2582</f>
        <v>0</v>
      </c>
      <c r="B2956">
        <f>'OPEN FOREIGN ORDER'!F2582</f>
        <v>0</v>
      </c>
      <c r="C2956">
        <f>'OPEN FOREIGN ORDER'!Z2582</f>
        <v>0</v>
      </c>
      <c r="D2956" s="123">
        <f>'OPEN FOREIGN ORDER'!AA2582</f>
        <v>0</v>
      </c>
      <c r="E2956" s="112">
        <f>'OPEN FOREIGN ORDER'!AB2582</f>
        <v>0</v>
      </c>
      <c r="F2956" s="112">
        <f>'OPEN FOREIGN ORDER'!AC2582</f>
        <v>0</v>
      </c>
      <c r="G2956" s="112">
        <f>'OPEN FOREIGN ORDER'!AD2582</f>
        <v>0</v>
      </c>
      <c r="H2956" s="112">
        <f>'OPEN FOREIGN ORDER'!AE2582</f>
        <v>0</v>
      </c>
      <c r="I2956" s="112">
        <f>'OPEN FOREIGN ORDER'!AF2582</f>
        <v>0</v>
      </c>
      <c r="J2956" s="112">
        <f>'OPEN FOREIGN ORDER'!AG2582</f>
        <v>0</v>
      </c>
    </row>
    <row r="2957" spans="1:10">
      <c r="A2957">
        <f>'OPEN FOREIGN ORDER'!D2583</f>
        <v>0</v>
      </c>
      <c r="B2957">
        <f>'OPEN FOREIGN ORDER'!F2583</f>
        <v>0</v>
      </c>
      <c r="C2957">
        <f>'OPEN FOREIGN ORDER'!Z2583</f>
        <v>0</v>
      </c>
      <c r="D2957" s="123">
        <f>'OPEN FOREIGN ORDER'!AA2583</f>
        <v>0</v>
      </c>
      <c r="E2957" s="112">
        <f>'OPEN FOREIGN ORDER'!AB2583</f>
        <v>0</v>
      </c>
      <c r="F2957" s="112">
        <f>'OPEN FOREIGN ORDER'!AC2583</f>
        <v>0</v>
      </c>
      <c r="G2957" s="112">
        <f>'OPEN FOREIGN ORDER'!AD2583</f>
        <v>0</v>
      </c>
      <c r="H2957" s="112">
        <f>'OPEN FOREIGN ORDER'!AE2583</f>
        <v>0</v>
      </c>
      <c r="I2957" s="112">
        <f>'OPEN FOREIGN ORDER'!AF2583</f>
        <v>0</v>
      </c>
      <c r="J2957" s="112">
        <f>'OPEN FOREIGN ORDER'!AG2583</f>
        <v>0</v>
      </c>
    </row>
    <row r="2958" spans="1:10">
      <c r="A2958">
        <f>'OPEN FOREIGN ORDER'!D2584</f>
        <v>0</v>
      </c>
      <c r="B2958">
        <f>'OPEN FOREIGN ORDER'!F2584</f>
        <v>0</v>
      </c>
      <c r="C2958">
        <f>'OPEN FOREIGN ORDER'!Z2584</f>
        <v>0</v>
      </c>
      <c r="D2958" s="123">
        <f>'OPEN FOREIGN ORDER'!AA2584</f>
        <v>0</v>
      </c>
      <c r="E2958" s="112">
        <f>'OPEN FOREIGN ORDER'!AB2584</f>
        <v>0</v>
      </c>
      <c r="F2958" s="112">
        <f>'OPEN FOREIGN ORDER'!AC2584</f>
        <v>0</v>
      </c>
      <c r="G2958" s="112">
        <f>'OPEN FOREIGN ORDER'!AD2584</f>
        <v>0</v>
      </c>
      <c r="H2958" s="112">
        <f>'OPEN FOREIGN ORDER'!AE2584</f>
        <v>0</v>
      </c>
      <c r="I2958" s="112">
        <f>'OPEN FOREIGN ORDER'!AF2584</f>
        <v>0</v>
      </c>
      <c r="J2958" s="112">
        <f>'OPEN FOREIGN ORDER'!AG2584</f>
        <v>0</v>
      </c>
    </row>
    <row r="2959" spans="1:10">
      <c r="A2959">
        <f>'OPEN FOREIGN ORDER'!D2585</f>
        <v>0</v>
      </c>
      <c r="B2959">
        <f>'OPEN FOREIGN ORDER'!F2585</f>
        <v>0</v>
      </c>
      <c r="C2959">
        <f>'OPEN FOREIGN ORDER'!Z2585</f>
        <v>0</v>
      </c>
      <c r="D2959" s="123">
        <f>'OPEN FOREIGN ORDER'!AA2585</f>
        <v>0</v>
      </c>
      <c r="E2959" s="112">
        <f>'OPEN FOREIGN ORDER'!AB2585</f>
        <v>0</v>
      </c>
      <c r="F2959" s="112">
        <f>'OPEN FOREIGN ORDER'!AC2585</f>
        <v>0</v>
      </c>
      <c r="G2959" s="112">
        <f>'OPEN FOREIGN ORDER'!AD2585</f>
        <v>0</v>
      </c>
      <c r="H2959" s="112">
        <f>'OPEN FOREIGN ORDER'!AE2585</f>
        <v>0</v>
      </c>
      <c r="I2959" s="112">
        <f>'OPEN FOREIGN ORDER'!AF2585</f>
        <v>0</v>
      </c>
      <c r="J2959" s="112">
        <f>'OPEN FOREIGN ORDER'!AG2585</f>
        <v>0</v>
      </c>
    </row>
    <row r="2960" spans="1:10">
      <c r="A2960">
        <f>'OPEN FOREIGN ORDER'!D2586</f>
        <v>0</v>
      </c>
      <c r="B2960">
        <f>'OPEN FOREIGN ORDER'!F2586</f>
        <v>0</v>
      </c>
      <c r="C2960">
        <f>'OPEN FOREIGN ORDER'!Z2586</f>
        <v>0</v>
      </c>
      <c r="D2960" s="123">
        <f>'OPEN FOREIGN ORDER'!AA2586</f>
        <v>0</v>
      </c>
      <c r="E2960" s="112">
        <f>'OPEN FOREIGN ORDER'!AB2586</f>
        <v>0</v>
      </c>
      <c r="F2960" s="112">
        <f>'OPEN FOREIGN ORDER'!AC2586</f>
        <v>0</v>
      </c>
      <c r="G2960" s="112">
        <f>'OPEN FOREIGN ORDER'!AD2586</f>
        <v>0</v>
      </c>
      <c r="H2960" s="112">
        <f>'OPEN FOREIGN ORDER'!AE2586</f>
        <v>0</v>
      </c>
      <c r="I2960" s="112">
        <f>'OPEN FOREIGN ORDER'!AF2586</f>
        <v>0</v>
      </c>
      <c r="J2960" s="112">
        <f>'OPEN FOREIGN ORDER'!AG2586</f>
        <v>0</v>
      </c>
    </row>
    <row r="2961" spans="1:10">
      <c r="A2961">
        <f>'OPEN FOREIGN ORDER'!D2587</f>
        <v>0</v>
      </c>
      <c r="B2961">
        <f>'OPEN FOREIGN ORDER'!F2587</f>
        <v>0</v>
      </c>
      <c r="C2961">
        <f>'OPEN FOREIGN ORDER'!Z2587</f>
        <v>0</v>
      </c>
      <c r="D2961" s="123">
        <f>'OPEN FOREIGN ORDER'!AA2587</f>
        <v>0</v>
      </c>
      <c r="E2961" s="112">
        <f>'OPEN FOREIGN ORDER'!AB2587</f>
        <v>0</v>
      </c>
      <c r="F2961" s="112">
        <f>'OPEN FOREIGN ORDER'!AC2587</f>
        <v>0</v>
      </c>
      <c r="G2961" s="112">
        <f>'OPEN FOREIGN ORDER'!AD2587</f>
        <v>0</v>
      </c>
      <c r="H2961" s="112">
        <f>'OPEN FOREIGN ORDER'!AE2587</f>
        <v>0</v>
      </c>
      <c r="I2961" s="112">
        <f>'OPEN FOREIGN ORDER'!AF2587</f>
        <v>0</v>
      </c>
      <c r="J2961" s="112">
        <f>'OPEN FOREIGN ORDER'!AG2587</f>
        <v>0</v>
      </c>
    </row>
    <row r="2962" spans="1:10">
      <c r="A2962">
        <f>'OPEN FOREIGN ORDER'!D2588</f>
        <v>0</v>
      </c>
      <c r="B2962">
        <f>'OPEN FOREIGN ORDER'!F2588</f>
        <v>0</v>
      </c>
      <c r="C2962">
        <f>'OPEN FOREIGN ORDER'!Z2588</f>
        <v>0</v>
      </c>
      <c r="D2962" s="123">
        <f>'OPEN FOREIGN ORDER'!AA2588</f>
        <v>0</v>
      </c>
      <c r="E2962" s="112">
        <f>'OPEN FOREIGN ORDER'!AB2588</f>
        <v>0</v>
      </c>
      <c r="F2962" s="112">
        <f>'OPEN FOREIGN ORDER'!AC2588</f>
        <v>0</v>
      </c>
      <c r="G2962" s="112">
        <f>'OPEN FOREIGN ORDER'!AD2588</f>
        <v>0</v>
      </c>
      <c r="H2962" s="112">
        <f>'OPEN FOREIGN ORDER'!AE2588</f>
        <v>0</v>
      </c>
      <c r="I2962" s="112">
        <f>'OPEN FOREIGN ORDER'!AF2588</f>
        <v>0</v>
      </c>
      <c r="J2962" s="112">
        <f>'OPEN FOREIGN ORDER'!AG2588</f>
        <v>0</v>
      </c>
    </row>
    <row r="2963" spans="1:10">
      <c r="A2963">
        <f>'OPEN FOREIGN ORDER'!D2589</f>
        <v>0</v>
      </c>
      <c r="B2963">
        <f>'OPEN FOREIGN ORDER'!F2589</f>
        <v>0</v>
      </c>
      <c r="C2963">
        <f>'OPEN FOREIGN ORDER'!Z2589</f>
        <v>0</v>
      </c>
      <c r="D2963" s="123">
        <f>'OPEN FOREIGN ORDER'!AA2589</f>
        <v>0</v>
      </c>
      <c r="E2963" s="112">
        <f>'OPEN FOREIGN ORDER'!AB2589</f>
        <v>0</v>
      </c>
      <c r="F2963" s="112">
        <f>'OPEN FOREIGN ORDER'!AC2589</f>
        <v>0</v>
      </c>
      <c r="G2963" s="112">
        <f>'OPEN FOREIGN ORDER'!AD2589</f>
        <v>0</v>
      </c>
      <c r="H2963" s="112">
        <f>'OPEN FOREIGN ORDER'!AE2589</f>
        <v>0</v>
      </c>
      <c r="I2963" s="112">
        <f>'OPEN FOREIGN ORDER'!AF2589</f>
        <v>0</v>
      </c>
      <c r="J2963" s="112">
        <f>'OPEN FOREIGN ORDER'!AG2589</f>
        <v>0</v>
      </c>
    </row>
    <row r="2964" spans="1:10">
      <c r="A2964">
        <f>'OPEN FOREIGN ORDER'!D2590</f>
        <v>0</v>
      </c>
      <c r="B2964">
        <f>'OPEN FOREIGN ORDER'!F2590</f>
        <v>0</v>
      </c>
      <c r="C2964">
        <f>'OPEN FOREIGN ORDER'!Z2590</f>
        <v>0</v>
      </c>
      <c r="D2964" s="123">
        <f>'OPEN FOREIGN ORDER'!AA2590</f>
        <v>0</v>
      </c>
      <c r="E2964" s="112">
        <f>'OPEN FOREIGN ORDER'!AB2590</f>
        <v>0</v>
      </c>
      <c r="F2964" s="112">
        <f>'OPEN FOREIGN ORDER'!AC2590</f>
        <v>0</v>
      </c>
      <c r="G2964" s="112">
        <f>'OPEN FOREIGN ORDER'!AD2590</f>
        <v>0</v>
      </c>
      <c r="H2964" s="112">
        <f>'OPEN FOREIGN ORDER'!AE2590</f>
        <v>0</v>
      </c>
      <c r="I2964" s="112">
        <f>'OPEN FOREIGN ORDER'!AF2590</f>
        <v>0</v>
      </c>
      <c r="J2964" s="112">
        <f>'OPEN FOREIGN ORDER'!AG2590</f>
        <v>0</v>
      </c>
    </row>
    <row r="2965" spans="1:10">
      <c r="A2965">
        <f>'OPEN FOREIGN ORDER'!D2591</f>
        <v>0</v>
      </c>
      <c r="B2965">
        <f>'OPEN FOREIGN ORDER'!F2591</f>
        <v>0</v>
      </c>
      <c r="C2965">
        <f>'OPEN FOREIGN ORDER'!Z2591</f>
        <v>0</v>
      </c>
      <c r="D2965" s="123">
        <f>'OPEN FOREIGN ORDER'!AA2591</f>
        <v>0</v>
      </c>
      <c r="E2965" s="112">
        <f>'OPEN FOREIGN ORDER'!AB2591</f>
        <v>0</v>
      </c>
      <c r="F2965" s="112">
        <f>'OPEN FOREIGN ORDER'!AC2591</f>
        <v>0</v>
      </c>
      <c r="G2965" s="112">
        <f>'OPEN FOREIGN ORDER'!AD2591</f>
        <v>0</v>
      </c>
      <c r="H2965" s="112">
        <f>'OPEN FOREIGN ORDER'!AE2591</f>
        <v>0</v>
      </c>
      <c r="I2965" s="112">
        <f>'OPEN FOREIGN ORDER'!AF2591</f>
        <v>0</v>
      </c>
      <c r="J2965" s="112">
        <f>'OPEN FOREIGN ORDER'!AG2591</f>
        <v>0</v>
      </c>
    </row>
    <row r="2966" spans="1:10">
      <c r="A2966">
        <f>'OPEN FOREIGN ORDER'!D2592</f>
        <v>0</v>
      </c>
      <c r="B2966">
        <f>'OPEN FOREIGN ORDER'!F2592</f>
        <v>0</v>
      </c>
      <c r="C2966">
        <f>'OPEN FOREIGN ORDER'!Z2592</f>
        <v>0</v>
      </c>
      <c r="D2966" s="123">
        <f>'OPEN FOREIGN ORDER'!AA2592</f>
        <v>0</v>
      </c>
      <c r="E2966" s="112">
        <f>'OPEN FOREIGN ORDER'!AB2592</f>
        <v>0</v>
      </c>
      <c r="F2966" s="112">
        <f>'OPEN FOREIGN ORDER'!AC2592</f>
        <v>0</v>
      </c>
      <c r="G2966" s="112">
        <f>'OPEN FOREIGN ORDER'!AD2592</f>
        <v>0</v>
      </c>
      <c r="H2966" s="112">
        <f>'OPEN FOREIGN ORDER'!AE2592</f>
        <v>0</v>
      </c>
      <c r="I2966" s="112">
        <f>'OPEN FOREIGN ORDER'!AF2592</f>
        <v>0</v>
      </c>
      <c r="J2966" s="112">
        <f>'OPEN FOREIGN ORDER'!AG2592</f>
        <v>0</v>
      </c>
    </row>
    <row r="2967" spans="1:10">
      <c r="A2967">
        <f>'OPEN FOREIGN ORDER'!D2593</f>
        <v>0</v>
      </c>
      <c r="B2967">
        <f>'OPEN FOREIGN ORDER'!F2593</f>
        <v>0</v>
      </c>
      <c r="C2967">
        <f>'OPEN FOREIGN ORDER'!Z2593</f>
        <v>0</v>
      </c>
      <c r="D2967" s="123">
        <f>'OPEN FOREIGN ORDER'!AA2593</f>
        <v>0</v>
      </c>
      <c r="E2967" s="112">
        <f>'OPEN FOREIGN ORDER'!AB2593</f>
        <v>0</v>
      </c>
      <c r="F2967" s="112">
        <f>'OPEN FOREIGN ORDER'!AC2593</f>
        <v>0</v>
      </c>
      <c r="G2967" s="112">
        <f>'OPEN FOREIGN ORDER'!AD2593</f>
        <v>0</v>
      </c>
      <c r="H2967" s="112">
        <f>'OPEN FOREIGN ORDER'!AE2593</f>
        <v>0</v>
      </c>
      <c r="I2967" s="112">
        <f>'OPEN FOREIGN ORDER'!AF2593</f>
        <v>0</v>
      </c>
      <c r="J2967" s="112">
        <f>'OPEN FOREIGN ORDER'!AG2593</f>
        <v>0</v>
      </c>
    </row>
    <row r="2968" spans="1:10">
      <c r="A2968">
        <f>'OPEN FOREIGN ORDER'!D2594</f>
        <v>0</v>
      </c>
      <c r="B2968">
        <f>'OPEN FOREIGN ORDER'!F2594</f>
        <v>0</v>
      </c>
      <c r="C2968">
        <f>'OPEN FOREIGN ORDER'!Z2594</f>
        <v>0</v>
      </c>
      <c r="D2968" s="123">
        <f>'OPEN FOREIGN ORDER'!AA2594</f>
        <v>0</v>
      </c>
      <c r="E2968" s="112">
        <f>'OPEN FOREIGN ORDER'!AB2594</f>
        <v>0</v>
      </c>
      <c r="F2968" s="112">
        <f>'OPEN FOREIGN ORDER'!AC2594</f>
        <v>0</v>
      </c>
      <c r="G2968" s="112">
        <f>'OPEN FOREIGN ORDER'!AD2594</f>
        <v>0</v>
      </c>
      <c r="H2968" s="112">
        <f>'OPEN FOREIGN ORDER'!AE2594</f>
        <v>0</v>
      </c>
      <c r="I2968" s="112">
        <f>'OPEN FOREIGN ORDER'!AF2594</f>
        <v>0</v>
      </c>
      <c r="J2968" s="112">
        <f>'OPEN FOREIGN ORDER'!AG2594</f>
        <v>0</v>
      </c>
    </row>
    <row r="2969" spans="1:10">
      <c r="A2969">
        <f>'OPEN FOREIGN ORDER'!D2595</f>
        <v>0</v>
      </c>
      <c r="B2969">
        <f>'OPEN FOREIGN ORDER'!F2595</f>
        <v>0</v>
      </c>
      <c r="C2969">
        <f>'OPEN FOREIGN ORDER'!Z2595</f>
        <v>0</v>
      </c>
      <c r="D2969" s="123">
        <f>'OPEN FOREIGN ORDER'!AA2595</f>
        <v>0</v>
      </c>
      <c r="E2969" s="112">
        <f>'OPEN FOREIGN ORDER'!AB2595</f>
        <v>0</v>
      </c>
      <c r="F2969" s="112">
        <f>'OPEN FOREIGN ORDER'!AC2595</f>
        <v>0</v>
      </c>
      <c r="G2969" s="112">
        <f>'OPEN FOREIGN ORDER'!AD2595</f>
        <v>0</v>
      </c>
      <c r="H2969" s="112">
        <f>'OPEN FOREIGN ORDER'!AE2595</f>
        <v>0</v>
      </c>
      <c r="I2969" s="112">
        <f>'OPEN FOREIGN ORDER'!AF2595</f>
        <v>0</v>
      </c>
      <c r="J2969" s="112">
        <f>'OPEN FOREIGN ORDER'!AG2595</f>
        <v>0</v>
      </c>
    </row>
    <row r="2970" spans="1:10">
      <c r="A2970">
        <f>'OPEN FOREIGN ORDER'!D2596</f>
        <v>0</v>
      </c>
      <c r="B2970">
        <f>'OPEN FOREIGN ORDER'!F2596</f>
        <v>0</v>
      </c>
      <c r="C2970">
        <f>'OPEN FOREIGN ORDER'!Z2596</f>
        <v>0</v>
      </c>
      <c r="D2970" s="123">
        <f>'OPEN FOREIGN ORDER'!AA2596</f>
        <v>0</v>
      </c>
      <c r="E2970" s="112">
        <f>'OPEN FOREIGN ORDER'!AB2596</f>
        <v>0</v>
      </c>
      <c r="F2970" s="112">
        <f>'OPEN FOREIGN ORDER'!AC2596</f>
        <v>0</v>
      </c>
      <c r="G2970" s="112">
        <f>'OPEN FOREIGN ORDER'!AD2596</f>
        <v>0</v>
      </c>
      <c r="H2970" s="112">
        <f>'OPEN FOREIGN ORDER'!AE2596</f>
        <v>0</v>
      </c>
      <c r="I2970" s="112">
        <f>'OPEN FOREIGN ORDER'!AF2596</f>
        <v>0</v>
      </c>
      <c r="J2970" s="112">
        <f>'OPEN FOREIGN ORDER'!AG2596</f>
        <v>0</v>
      </c>
    </row>
    <row r="2971" spans="1:10">
      <c r="A2971">
        <f>'OPEN FOREIGN ORDER'!D2597</f>
        <v>0</v>
      </c>
      <c r="B2971">
        <f>'OPEN FOREIGN ORDER'!F2597</f>
        <v>0</v>
      </c>
      <c r="C2971">
        <f>'OPEN FOREIGN ORDER'!Z2597</f>
        <v>0</v>
      </c>
      <c r="D2971" s="123">
        <f>'OPEN FOREIGN ORDER'!AA2597</f>
        <v>0</v>
      </c>
      <c r="E2971" s="112">
        <f>'OPEN FOREIGN ORDER'!AB2597</f>
        <v>0</v>
      </c>
      <c r="F2971" s="112">
        <f>'OPEN FOREIGN ORDER'!AC2597</f>
        <v>0</v>
      </c>
      <c r="G2971" s="112">
        <f>'OPEN FOREIGN ORDER'!AD2597</f>
        <v>0</v>
      </c>
      <c r="H2971" s="112">
        <f>'OPEN FOREIGN ORDER'!AE2597</f>
        <v>0</v>
      </c>
      <c r="I2971" s="112">
        <f>'OPEN FOREIGN ORDER'!AF2597</f>
        <v>0</v>
      </c>
      <c r="J2971" s="112">
        <f>'OPEN FOREIGN ORDER'!AG2597</f>
        <v>0</v>
      </c>
    </row>
    <row r="2972" spans="1:10">
      <c r="A2972">
        <f>'OPEN FOREIGN ORDER'!D2598</f>
        <v>0</v>
      </c>
      <c r="B2972">
        <f>'OPEN FOREIGN ORDER'!F2598</f>
        <v>0</v>
      </c>
      <c r="C2972">
        <f>'OPEN FOREIGN ORDER'!Z2598</f>
        <v>0</v>
      </c>
      <c r="D2972" s="123">
        <f>'OPEN FOREIGN ORDER'!AA2598</f>
        <v>0</v>
      </c>
      <c r="E2972" s="112">
        <f>'OPEN FOREIGN ORDER'!AB2598</f>
        <v>0</v>
      </c>
      <c r="F2972" s="112">
        <f>'OPEN FOREIGN ORDER'!AC2598</f>
        <v>0</v>
      </c>
      <c r="G2972" s="112">
        <f>'OPEN FOREIGN ORDER'!AD2598</f>
        <v>0</v>
      </c>
      <c r="H2972" s="112">
        <f>'OPEN FOREIGN ORDER'!AE2598</f>
        <v>0</v>
      </c>
      <c r="I2972" s="112">
        <f>'OPEN FOREIGN ORDER'!AF2598</f>
        <v>0</v>
      </c>
      <c r="J2972" s="112">
        <f>'OPEN FOREIGN ORDER'!AG2598</f>
        <v>0</v>
      </c>
    </row>
    <row r="2973" spans="1:10">
      <c r="A2973">
        <f>'OPEN FOREIGN ORDER'!D2599</f>
        <v>0</v>
      </c>
      <c r="B2973">
        <f>'OPEN FOREIGN ORDER'!F2599</f>
        <v>0</v>
      </c>
      <c r="C2973">
        <f>'OPEN FOREIGN ORDER'!Z2599</f>
        <v>0</v>
      </c>
      <c r="D2973" s="123">
        <f>'OPEN FOREIGN ORDER'!AA2599</f>
        <v>0</v>
      </c>
      <c r="E2973" s="112">
        <f>'OPEN FOREIGN ORDER'!AB2599</f>
        <v>0</v>
      </c>
      <c r="F2973" s="112">
        <f>'OPEN FOREIGN ORDER'!AC2599</f>
        <v>0</v>
      </c>
      <c r="G2973" s="112">
        <f>'OPEN FOREIGN ORDER'!AD2599</f>
        <v>0</v>
      </c>
      <c r="H2973" s="112">
        <f>'OPEN FOREIGN ORDER'!AE2599</f>
        <v>0</v>
      </c>
      <c r="I2973" s="112">
        <f>'OPEN FOREIGN ORDER'!AF2599</f>
        <v>0</v>
      </c>
      <c r="J2973" s="112">
        <f>'OPEN FOREIGN ORDER'!AG2599</f>
        <v>0</v>
      </c>
    </row>
    <row r="2974" spans="1:10">
      <c r="A2974">
        <f>'OPEN FOREIGN ORDER'!D2600</f>
        <v>0</v>
      </c>
      <c r="B2974">
        <f>'OPEN FOREIGN ORDER'!F2600</f>
        <v>0</v>
      </c>
      <c r="C2974">
        <f>'OPEN FOREIGN ORDER'!Z2600</f>
        <v>0</v>
      </c>
      <c r="D2974" s="123">
        <f>'OPEN FOREIGN ORDER'!AA2600</f>
        <v>0</v>
      </c>
      <c r="E2974" s="112">
        <f>'OPEN FOREIGN ORDER'!AB2600</f>
        <v>0</v>
      </c>
      <c r="F2974" s="112">
        <f>'OPEN FOREIGN ORDER'!AC2600</f>
        <v>0</v>
      </c>
      <c r="G2974" s="112">
        <f>'OPEN FOREIGN ORDER'!AD2600</f>
        <v>0</v>
      </c>
      <c r="H2974" s="112">
        <f>'OPEN FOREIGN ORDER'!AE2600</f>
        <v>0</v>
      </c>
      <c r="I2974" s="112">
        <f>'OPEN FOREIGN ORDER'!AF2600</f>
        <v>0</v>
      </c>
      <c r="J2974" s="112">
        <f>'OPEN FOREIGN ORDER'!AG2600</f>
        <v>0</v>
      </c>
    </row>
    <row r="2975" spans="1:10">
      <c r="A2975">
        <f>'OPEN FOREIGN ORDER'!D2601</f>
        <v>0</v>
      </c>
      <c r="B2975">
        <f>'OPEN FOREIGN ORDER'!F2601</f>
        <v>0</v>
      </c>
      <c r="C2975">
        <f>'OPEN FOREIGN ORDER'!Z2601</f>
        <v>0</v>
      </c>
      <c r="D2975" s="123">
        <f>'OPEN FOREIGN ORDER'!AA2601</f>
        <v>0</v>
      </c>
      <c r="E2975" s="112">
        <f>'OPEN FOREIGN ORDER'!AB2601</f>
        <v>0</v>
      </c>
      <c r="F2975" s="112">
        <f>'OPEN FOREIGN ORDER'!AC2601</f>
        <v>0</v>
      </c>
      <c r="G2975" s="112">
        <f>'OPEN FOREIGN ORDER'!AD2601</f>
        <v>0</v>
      </c>
      <c r="H2975" s="112">
        <f>'OPEN FOREIGN ORDER'!AE2601</f>
        <v>0</v>
      </c>
      <c r="I2975" s="112">
        <f>'OPEN FOREIGN ORDER'!AF2601</f>
        <v>0</v>
      </c>
      <c r="J2975" s="112">
        <f>'OPEN FOREIGN ORDER'!AG2601</f>
        <v>0</v>
      </c>
    </row>
    <row r="2976" spans="1:10">
      <c r="A2976">
        <f>'OPEN FOREIGN ORDER'!D2602</f>
        <v>0</v>
      </c>
      <c r="B2976">
        <f>'OPEN FOREIGN ORDER'!F2602</f>
        <v>0</v>
      </c>
      <c r="C2976">
        <f>'OPEN FOREIGN ORDER'!Z2602</f>
        <v>0</v>
      </c>
      <c r="D2976" s="123">
        <f>'OPEN FOREIGN ORDER'!AA2602</f>
        <v>0</v>
      </c>
      <c r="E2976" s="112">
        <f>'OPEN FOREIGN ORDER'!AB2602</f>
        <v>0</v>
      </c>
      <c r="F2976" s="112">
        <f>'OPEN FOREIGN ORDER'!AC2602</f>
        <v>0</v>
      </c>
      <c r="G2976" s="112">
        <f>'OPEN FOREIGN ORDER'!AD2602</f>
        <v>0</v>
      </c>
      <c r="H2976" s="112">
        <f>'OPEN FOREIGN ORDER'!AE2602</f>
        <v>0</v>
      </c>
      <c r="I2976" s="112">
        <f>'OPEN FOREIGN ORDER'!AF2602</f>
        <v>0</v>
      </c>
      <c r="J2976" s="112">
        <f>'OPEN FOREIGN ORDER'!AG2602</f>
        <v>0</v>
      </c>
    </row>
    <row r="2977" spans="1:10">
      <c r="A2977">
        <f>'OPEN FOREIGN ORDER'!D2603</f>
        <v>0</v>
      </c>
      <c r="B2977">
        <f>'OPEN FOREIGN ORDER'!F2603</f>
        <v>0</v>
      </c>
      <c r="C2977">
        <f>'OPEN FOREIGN ORDER'!Z2603</f>
        <v>0</v>
      </c>
      <c r="D2977" s="123">
        <f>'OPEN FOREIGN ORDER'!AA2603</f>
        <v>0</v>
      </c>
      <c r="E2977" s="112">
        <f>'OPEN FOREIGN ORDER'!AB2603</f>
        <v>0</v>
      </c>
      <c r="F2977" s="112">
        <f>'OPEN FOREIGN ORDER'!AC2603</f>
        <v>0</v>
      </c>
      <c r="G2977" s="112">
        <f>'OPEN FOREIGN ORDER'!AD2603</f>
        <v>0</v>
      </c>
      <c r="H2977" s="112">
        <f>'OPEN FOREIGN ORDER'!AE2603</f>
        <v>0</v>
      </c>
      <c r="I2977" s="112">
        <f>'OPEN FOREIGN ORDER'!AF2603</f>
        <v>0</v>
      </c>
      <c r="J2977" s="112">
        <f>'OPEN FOREIGN ORDER'!AG2603</f>
        <v>0</v>
      </c>
    </row>
    <row r="2978" spans="1:10">
      <c r="A2978">
        <f>'OPEN FOREIGN ORDER'!D2604</f>
        <v>0</v>
      </c>
      <c r="B2978">
        <f>'OPEN FOREIGN ORDER'!F2604</f>
        <v>0</v>
      </c>
      <c r="C2978">
        <f>'OPEN FOREIGN ORDER'!Z2604</f>
        <v>0</v>
      </c>
      <c r="D2978" s="123">
        <f>'OPEN FOREIGN ORDER'!AA2604</f>
        <v>0</v>
      </c>
      <c r="E2978" s="112">
        <f>'OPEN FOREIGN ORDER'!AB2604</f>
        <v>0</v>
      </c>
      <c r="F2978" s="112">
        <f>'OPEN FOREIGN ORDER'!AC2604</f>
        <v>0</v>
      </c>
      <c r="G2978" s="112">
        <f>'OPEN FOREIGN ORDER'!AD2604</f>
        <v>0</v>
      </c>
      <c r="H2978" s="112">
        <f>'OPEN FOREIGN ORDER'!AE2604</f>
        <v>0</v>
      </c>
      <c r="I2978" s="112">
        <f>'OPEN FOREIGN ORDER'!AF2604</f>
        <v>0</v>
      </c>
      <c r="J2978" s="112">
        <f>'OPEN FOREIGN ORDER'!AG2604</f>
        <v>0</v>
      </c>
    </row>
    <row r="2979" spans="1:10">
      <c r="A2979">
        <f>'OPEN FOREIGN ORDER'!D2605</f>
        <v>0</v>
      </c>
      <c r="B2979">
        <f>'OPEN FOREIGN ORDER'!F2605</f>
        <v>0</v>
      </c>
      <c r="C2979">
        <f>'OPEN FOREIGN ORDER'!Z2605</f>
        <v>0</v>
      </c>
      <c r="D2979" s="123">
        <f>'OPEN FOREIGN ORDER'!AA2605</f>
        <v>0</v>
      </c>
      <c r="E2979" s="112">
        <f>'OPEN FOREIGN ORDER'!AB2605</f>
        <v>0</v>
      </c>
      <c r="F2979" s="112">
        <f>'OPEN FOREIGN ORDER'!AC2605</f>
        <v>0</v>
      </c>
      <c r="G2979" s="112">
        <f>'OPEN FOREIGN ORDER'!AD2605</f>
        <v>0</v>
      </c>
      <c r="H2979" s="112">
        <f>'OPEN FOREIGN ORDER'!AE2605</f>
        <v>0</v>
      </c>
      <c r="I2979" s="112">
        <f>'OPEN FOREIGN ORDER'!AF2605</f>
        <v>0</v>
      </c>
      <c r="J2979" s="112">
        <f>'OPEN FOREIGN ORDER'!AG2605</f>
        <v>0</v>
      </c>
    </row>
    <row r="2980" spans="1:10">
      <c r="A2980">
        <f>'OPEN FOREIGN ORDER'!D2606</f>
        <v>0</v>
      </c>
      <c r="B2980">
        <f>'OPEN FOREIGN ORDER'!F2606</f>
        <v>0</v>
      </c>
      <c r="C2980">
        <f>'OPEN FOREIGN ORDER'!Z2606</f>
        <v>0</v>
      </c>
      <c r="D2980" s="123">
        <f>'OPEN FOREIGN ORDER'!AA2606</f>
        <v>0</v>
      </c>
      <c r="E2980" s="112">
        <f>'OPEN FOREIGN ORDER'!AB2606</f>
        <v>0</v>
      </c>
      <c r="F2980" s="112">
        <f>'OPEN FOREIGN ORDER'!AC2606</f>
        <v>0</v>
      </c>
      <c r="G2980" s="112">
        <f>'OPEN FOREIGN ORDER'!AD2606</f>
        <v>0</v>
      </c>
      <c r="H2980" s="112">
        <f>'OPEN FOREIGN ORDER'!AE2606</f>
        <v>0</v>
      </c>
      <c r="I2980" s="112">
        <f>'OPEN FOREIGN ORDER'!AF2606</f>
        <v>0</v>
      </c>
      <c r="J2980" s="112">
        <f>'OPEN FOREIGN ORDER'!AG2606</f>
        <v>0</v>
      </c>
    </row>
    <row r="2981" spans="1:10">
      <c r="A2981">
        <f>'OPEN FOREIGN ORDER'!D2607</f>
        <v>0</v>
      </c>
      <c r="B2981">
        <f>'OPEN FOREIGN ORDER'!F2607</f>
        <v>0</v>
      </c>
      <c r="C2981">
        <f>'OPEN FOREIGN ORDER'!Z2607</f>
        <v>0</v>
      </c>
      <c r="D2981" s="123">
        <f>'OPEN FOREIGN ORDER'!AA2607</f>
        <v>0</v>
      </c>
      <c r="E2981" s="112">
        <f>'OPEN FOREIGN ORDER'!AB2607</f>
        <v>0</v>
      </c>
      <c r="F2981" s="112">
        <f>'OPEN FOREIGN ORDER'!AC2607</f>
        <v>0</v>
      </c>
      <c r="G2981" s="112">
        <f>'OPEN FOREIGN ORDER'!AD2607</f>
        <v>0</v>
      </c>
      <c r="H2981" s="112">
        <f>'OPEN FOREIGN ORDER'!AE2607</f>
        <v>0</v>
      </c>
      <c r="I2981" s="112">
        <f>'OPEN FOREIGN ORDER'!AF2607</f>
        <v>0</v>
      </c>
      <c r="J2981" s="112">
        <f>'OPEN FOREIGN ORDER'!AG2607</f>
        <v>0</v>
      </c>
    </row>
    <row r="2982" spans="1:10">
      <c r="A2982">
        <f>'OPEN FOREIGN ORDER'!D2608</f>
        <v>0</v>
      </c>
      <c r="B2982">
        <f>'OPEN FOREIGN ORDER'!F2608</f>
        <v>0</v>
      </c>
      <c r="C2982">
        <f>'OPEN FOREIGN ORDER'!Z2608</f>
        <v>0</v>
      </c>
      <c r="D2982" s="123">
        <f>'OPEN FOREIGN ORDER'!AA2608</f>
        <v>0</v>
      </c>
      <c r="E2982" s="112">
        <f>'OPEN FOREIGN ORDER'!AB2608</f>
        <v>0</v>
      </c>
      <c r="F2982" s="112">
        <f>'OPEN FOREIGN ORDER'!AC2608</f>
        <v>0</v>
      </c>
      <c r="G2982" s="112">
        <f>'OPEN FOREIGN ORDER'!AD2608</f>
        <v>0</v>
      </c>
      <c r="H2982" s="112">
        <f>'OPEN FOREIGN ORDER'!AE2608</f>
        <v>0</v>
      </c>
      <c r="I2982" s="112">
        <f>'OPEN FOREIGN ORDER'!AF2608</f>
        <v>0</v>
      </c>
      <c r="J2982" s="112">
        <f>'OPEN FOREIGN ORDER'!AG2608</f>
        <v>0</v>
      </c>
    </row>
    <row r="2983" spans="1:10">
      <c r="A2983">
        <f>'OPEN FOREIGN ORDER'!D2609</f>
        <v>0</v>
      </c>
      <c r="B2983">
        <f>'OPEN FOREIGN ORDER'!F2609</f>
        <v>0</v>
      </c>
      <c r="C2983">
        <f>'OPEN FOREIGN ORDER'!Z2609</f>
        <v>0</v>
      </c>
      <c r="D2983" s="123">
        <f>'OPEN FOREIGN ORDER'!AA2609</f>
        <v>0</v>
      </c>
      <c r="E2983" s="112">
        <f>'OPEN FOREIGN ORDER'!AB2609</f>
        <v>0</v>
      </c>
      <c r="F2983" s="112">
        <f>'OPEN FOREIGN ORDER'!AC2609</f>
        <v>0</v>
      </c>
      <c r="G2983" s="112">
        <f>'OPEN FOREIGN ORDER'!AD2609</f>
        <v>0</v>
      </c>
      <c r="H2983" s="112">
        <f>'OPEN FOREIGN ORDER'!AE2609</f>
        <v>0</v>
      </c>
      <c r="I2983" s="112">
        <f>'OPEN FOREIGN ORDER'!AF2609</f>
        <v>0</v>
      </c>
      <c r="J2983" s="112">
        <f>'OPEN FOREIGN ORDER'!AG2609</f>
        <v>0</v>
      </c>
    </row>
    <row r="2984" spans="1:10">
      <c r="A2984">
        <f>'OPEN FOREIGN ORDER'!D2610</f>
        <v>0</v>
      </c>
      <c r="B2984">
        <f>'OPEN FOREIGN ORDER'!F2610</f>
        <v>0</v>
      </c>
      <c r="C2984">
        <f>'OPEN FOREIGN ORDER'!Z2610</f>
        <v>0</v>
      </c>
      <c r="D2984" s="123">
        <f>'OPEN FOREIGN ORDER'!AA2610</f>
        <v>0</v>
      </c>
      <c r="E2984" s="112">
        <f>'OPEN FOREIGN ORDER'!AB2610</f>
        <v>0</v>
      </c>
      <c r="F2984" s="112">
        <f>'OPEN FOREIGN ORDER'!AC2610</f>
        <v>0</v>
      </c>
      <c r="G2984" s="112">
        <f>'OPEN FOREIGN ORDER'!AD2610</f>
        <v>0</v>
      </c>
      <c r="H2984" s="112">
        <f>'OPEN FOREIGN ORDER'!AE2610</f>
        <v>0</v>
      </c>
      <c r="I2984" s="112">
        <f>'OPEN FOREIGN ORDER'!AF2610</f>
        <v>0</v>
      </c>
      <c r="J2984" s="112">
        <f>'OPEN FOREIGN ORDER'!AG2610</f>
        <v>0</v>
      </c>
    </row>
    <row r="2985" spans="1:10">
      <c r="A2985">
        <f>'OPEN FOREIGN ORDER'!D2611</f>
        <v>0</v>
      </c>
      <c r="B2985">
        <f>'OPEN FOREIGN ORDER'!F2611</f>
        <v>0</v>
      </c>
      <c r="C2985">
        <f>'OPEN FOREIGN ORDER'!Z2611</f>
        <v>0</v>
      </c>
      <c r="D2985" s="123">
        <f>'OPEN FOREIGN ORDER'!AA2611</f>
        <v>0</v>
      </c>
      <c r="E2985" s="112">
        <f>'OPEN FOREIGN ORDER'!AB2611</f>
        <v>0</v>
      </c>
      <c r="F2985" s="112">
        <f>'OPEN FOREIGN ORDER'!AC2611</f>
        <v>0</v>
      </c>
      <c r="G2985" s="112">
        <f>'OPEN FOREIGN ORDER'!AD2611</f>
        <v>0</v>
      </c>
      <c r="H2985" s="112">
        <f>'OPEN FOREIGN ORDER'!AE2611</f>
        <v>0</v>
      </c>
      <c r="I2985" s="112">
        <f>'OPEN FOREIGN ORDER'!AF2611</f>
        <v>0</v>
      </c>
      <c r="J2985" s="112">
        <f>'OPEN FOREIGN ORDER'!AG2611</f>
        <v>0</v>
      </c>
    </row>
    <row r="2986" spans="1:10">
      <c r="A2986">
        <f>'OPEN FOREIGN ORDER'!D2612</f>
        <v>0</v>
      </c>
      <c r="B2986">
        <f>'OPEN FOREIGN ORDER'!F2612</f>
        <v>0</v>
      </c>
      <c r="C2986">
        <f>'OPEN FOREIGN ORDER'!Z2612</f>
        <v>0</v>
      </c>
      <c r="D2986" s="123">
        <f>'OPEN FOREIGN ORDER'!AA2612</f>
        <v>0</v>
      </c>
      <c r="E2986" s="112">
        <f>'OPEN FOREIGN ORDER'!AB2612</f>
        <v>0</v>
      </c>
      <c r="F2986" s="112">
        <f>'OPEN FOREIGN ORDER'!AC2612</f>
        <v>0</v>
      </c>
      <c r="G2986" s="112">
        <f>'OPEN FOREIGN ORDER'!AD2612</f>
        <v>0</v>
      </c>
      <c r="H2986" s="112">
        <f>'OPEN FOREIGN ORDER'!AE2612</f>
        <v>0</v>
      </c>
      <c r="I2986" s="112">
        <f>'OPEN FOREIGN ORDER'!AF2612</f>
        <v>0</v>
      </c>
      <c r="J2986" s="112">
        <f>'OPEN FOREIGN ORDER'!AG2612</f>
        <v>0</v>
      </c>
    </row>
    <row r="2987" spans="1:10">
      <c r="A2987">
        <f>'OPEN FOREIGN ORDER'!D2613</f>
        <v>0</v>
      </c>
      <c r="B2987">
        <f>'OPEN FOREIGN ORDER'!F2613</f>
        <v>0</v>
      </c>
      <c r="C2987">
        <f>'OPEN FOREIGN ORDER'!Z2613</f>
        <v>0</v>
      </c>
      <c r="D2987" s="123">
        <f>'OPEN FOREIGN ORDER'!AA2613</f>
        <v>0</v>
      </c>
      <c r="E2987" s="112">
        <f>'OPEN FOREIGN ORDER'!AB2613</f>
        <v>0</v>
      </c>
      <c r="F2987" s="112">
        <f>'OPEN FOREIGN ORDER'!AC2613</f>
        <v>0</v>
      </c>
      <c r="G2987" s="112">
        <f>'OPEN FOREIGN ORDER'!AD2613</f>
        <v>0</v>
      </c>
      <c r="H2987" s="112">
        <f>'OPEN FOREIGN ORDER'!AE2613</f>
        <v>0</v>
      </c>
      <c r="I2987" s="112">
        <f>'OPEN FOREIGN ORDER'!AF2613</f>
        <v>0</v>
      </c>
      <c r="J2987" s="112">
        <f>'OPEN FOREIGN ORDER'!AG2613</f>
        <v>0</v>
      </c>
    </row>
    <row r="2988" spans="1:10">
      <c r="A2988">
        <f>'OPEN FOREIGN ORDER'!D2614</f>
        <v>0</v>
      </c>
      <c r="B2988">
        <f>'OPEN FOREIGN ORDER'!F2614</f>
        <v>0</v>
      </c>
      <c r="C2988">
        <f>'OPEN FOREIGN ORDER'!Z2614</f>
        <v>0</v>
      </c>
      <c r="D2988" s="123">
        <f>'OPEN FOREIGN ORDER'!AA2614</f>
        <v>0</v>
      </c>
      <c r="E2988" s="112">
        <f>'OPEN FOREIGN ORDER'!AB2614</f>
        <v>0</v>
      </c>
      <c r="F2988" s="112">
        <f>'OPEN FOREIGN ORDER'!AC2614</f>
        <v>0</v>
      </c>
      <c r="G2988" s="112">
        <f>'OPEN FOREIGN ORDER'!AD2614</f>
        <v>0</v>
      </c>
      <c r="H2988" s="112">
        <f>'OPEN FOREIGN ORDER'!AE2614</f>
        <v>0</v>
      </c>
      <c r="I2988" s="112">
        <f>'OPEN FOREIGN ORDER'!AF2614</f>
        <v>0</v>
      </c>
      <c r="J2988" s="112">
        <f>'OPEN FOREIGN ORDER'!AG2614</f>
        <v>0</v>
      </c>
    </row>
    <row r="2989" spans="1:10">
      <c r="A2989">
        <f>'OPEN FOREIGN ORDER'!D2615</f>
        <v>0</v>
      </c>
      <c r="B2989">
        <f>'OPEN FOREIGN ORDER'!F2615</f>
        <v>0</v>
      </c>
      <c r="C2989">
        <f>'OPEN FOREIGN ORDER'!Z2615</f>
        <v>0</v>
      </c>
      <c r="D2989" s="123">
        <f>'OPEN FOREIGN ORDER'!AA2615</f>
        <v>0</v>
      </c>
      <c r="E2989" s="112">
        <f>'OPEN FOREIGN ORDER'!AB2615</f>
        <v>0</v>
      </c>
      <c r="F2989" s="112">
        <f>'OPEN FOREIGN ORDER'!AC2615</f>
        <v>0</v>
      </c>
      <c r="G2989" s="112">
        <f>'OPEN FOREIGN ORDER'!AD2615</f>
        <v>0</v>
      </c>
      <c r="H2989" s="112">
        <f>'OPEN FOREIGN ORDER'!AE2615</f>
        <v>0</v>
      </c>
      <c r="I2989" s="112">
        <f>'OPEN FOREIGN ORDER'!AF2615</f>
        <v>0</v>
      </c>
      <c r="J2989" s="112">
        <f>'OPEN FOREIGN ORDER'!AG2615</f>
        <v>0</v>
      </c>
    </row>
    <row r="2990" spans="1:10">
      <c r="A2990">
        <f>'OPEN FOREIGN ORDER'!D2616</f>
        <v>0</v>
      </c>
      <c r="B2990">
        <f>'OPEN FOREIGN ORDER'!F2616</f>
        <v>0</v>
      </c>
      <c r="C2990">
        <f>'OPEN FOREIGN ORDER'!Z2616</f>
        <v>0</v>
      </c>
      <c r="D2990" s="123">
        <f>'OPEN FOREIGN ORDER'!AA2616</f>
        <v>0</v>
      </c>
      <c r="E2990" s="112">
        <f>'OPEN FOREIGN ORDER'!AB2616</f>
        <v>0</v>
      </c>
      <c r="F2990" s="112">
        <f>'OPEN FOREIGN ORDER'!AC2616</f>
        <v>0</v>
      </c>
      <c r="G2990" s="112">
        <f>'OPEN FOREIGN ORDER'!AD2616</f>
        <v>0</v>
      </c>
      <c r="H2990" s="112">
        <f>'OPEN FOREIGN ORDER'!AE2616</f>
        <v>0</v>
      </c>
      <c r="I2990" s="112">
        <f>'OPEN FOREIGN ORDER'!AF2616</f>
        <v>0</v>
      </c>
      <c r="J2990" s="112">
        <f>'OPEN FOREIGN ORDER'!AG2616</f>
        <v>0</v>
      </c>
    </row>
    <row r="2991" spans="1:10">
      <c r="A2991">
        <f>'OPEN FOREIGN ORDER'!D2617</f>
        <v>0</v>
      </c>
      <c r="B2991">
        <f>'OPEN FOREIGN ORDER'!F2617</f>
        <v>0</v>
      </c>
      <c r="C2991">
        <f>'OPEN FOREIGN ORDER'!Z2617</f>
        <v>0</v>
      </c>
      <c r="D2991" s="123">
        <f>'OPEN FOREIGN ORDER'!AA2617</f>
        <v>0</v>
      </c>
      <c r="E2991" s="112">
        <f>'OPEN FOREIGN ORDER'!AB2617</f>
        <v>0</v>
      </c>
      <c r="F2991" s="112">
        <f>'OPEN FOREIGN ORDER'!AC2617</f>
        <v>0</v>
      </c>
      <c r="G2991" s="112">
        <f>'OPEN FOREIGN ORDER'!AD2617</f>
        <v>0</v>
      </c>
      <c r="H2991" s="112">
        <f>'OPEN FOREIGN ORDER'!AE2617</f>
        <v>0</v>
      </c>
      <c r="I2991" s="112">
        <f>'OPEN FOREIGN ORDER'!AF2617</f>
        <v>0</v>
      </c>
      <c r="J2991" s="112">
        <f>'OPEN FOREIGN ORDER'!AG2617</f>
        <v>0</v>
      </c>
    </row>
    <row r="2992" spans="1:10">
      <c r="A2992">
        <f>'OPEN FOREIGN ORDER'!D2618</f>
        <v>0</v>
      </c>
      <c r="B2992">
        <f>'OPEN FOREIGN ORDER'!F2618</f>
        <v>0</v>
      </c>
      <c r="C2992">
        <f>'OPEN FOREIGN ORDER'!Z2618</f>
        <v>0</v>
      </c>
      <c r="D2992" s="123">
        <f>'OPEN FOREIGN ORDER'!AA2618</f>
        <v>0</v>
      </c>
      <c r="E2992" s="112">
        <f>'OPEN FOREIGN ORDER'!AB2618</f>
        <v>0</v>
      </c>
      <c r="F2992" s="112">
        <f>'OPEN FOREIGN ORDER'!AC2618</f>
        <v>0</v>
      </c>
      <c r="G2992" s="112">
        <f>'OPEN FOREIGN ORDER'!AD2618</f>
        <v>0</v>
      </c>
      <c r="H2992" s="112">
        <f>'OPEN FOREIGN ORDER'!AE2618</f>
        <v>0</v>
      </c>
      <c r="I2992" s="112">
        <f>'OPEN FOREIGN ORDER'!AF2618</f>
        <v>0</v>
      </c>
      <c r="J2992" s="112">
        <f>'OPEN FOREIGN ORDER'!AG2618</f>
        <v>0</v>
      </c>
    </row>
    <row r="2993" spans="1:10">
      <c r="A2993">
        <f>'OPEN FOREIGN ORDER'!D2619</f>
        <v>0</v>
      </c>
      <c r="B2993">
        <f>'OPEN FOREIGN ORDER'!F2619</f>
        <v>0</v>
      </c>
      <c r="C2993">
        <f>'OPEN FOREIGN ORDER'!Z2619</f>
        <v>0</v>
      </c>
      <c r="D2993" s="123">
        <f>'OPEN FOREIGN ORDER'!AA2619</f>
        <v>0</v>
      </c>
      <c r="E2993" s="112">
        <f>'OPEN FOREIGN ORDER'!AB2619</f>
        <v>0</v>
      </c>
      <c r="F2993" s="112">
        <f>'OPEN FOREIGN ORDER'!AC2619</f>
        <v>0</v>
      </c>
      <c r="G2993" s="112">
        <f>'OPEN FOREIGN ORDER'!AD2619</f>
        <v>0</v>
      </c>
      <c r="H2993" s="112">
        <f>'OPEN FOREIGN ORDER'!AE2619</f>
        <v>0</v>
      </c>
      <c r="I2993" s="112">
        <f>'OPEN FOREIGN ORDER'!AF2619</f>
        <v>0</v>
      </c>
      <c r="J2993" s="112">
        <f>'OPEN FOREIGN ORDER'!AG2619</f>
        <v>0</v>
      </c>
    </row>
    <row r="2994" spans="1:10">
      <c r="A2994">
        <f>'OPEN FOREIGN ORDER'!D2620</f>
        <v>0</v>
      </c>
      <c r="B2994">
        <f>'OPEN FOREIGN ORDER'!F2620</f>
        <v>0</v>
      </c>
      <c r="C2994">
        <f>'OPEN FOREIGN ORDER'!Z2620</f>
        <v>0</v>
      </c>
      <c r="D2994" s="123">
        <f>'OPEN FOREIGN ORDER'!AA2620</f>
        <v>0</v>
      </c>
      <c r="E2994" s="112">
        <f>'OPEN FOREIGN ORDER'!AB2620</f>
        <v>0</v>
      </c>
      <c r="F2994" s="112">
        <f>'OPEN FOREIGN ORDER'!AC2620</f>
        <v>0</v>
      </c>
      <c r="G2994" s="112">
        <f>'OPEN FOREIGN ORDER'!AD2620</f>
        <v>0</v>
      </c>
      <c r="H2994" s="112">
        <f>'OPEN FOREIGN ORDER'!AE2620</f>
        <v>0</v>
      </c>
      <c r="I2994" s="112">
        <f>'OPEN FOREIGN ORDER'!AF2620</f>
        <v>0</v>
      </c>
      <c r="J2994" s="112">
        <f>'OPEN FOREIGN ORDER'!AG2620</f>
        <v>0</v>
      </c>
    </row>
    <row r="2995" spans="1:10">
      <c r="A2995">
        <f>'OPEN FOREIGN ORDER'!D2621</f>
        <v>0</v>
      </c>
      <c r="B2995">
        <f>'OPEN FOREIGN ORDER'!F2621</f>
        <v>0</v>
      </c>
      <c r="C2995">
        <f>'OPEN FOREIGN ORDER'!Z2621</f>
        <v>0</v>
      </c>
      <c r="D2995" s="123">
        <f>'OPEN FOREIGN ORDER'!AA2621</f>
        <v>0</v>
      </c>
      <c r="E2995" s="112">
        <f>'OPEN FOREIGN ORDER'!AB2621</f>
        <v>0</v>
      </c>
      <c r="F2995" s="112">
        <f>'OPEN FOREIGN ORDER'!AC2621</f>
        <v>0</v>
      </c>
      <c r="G2995" s="112">
        <f>'OPEN FOREIGN ORDER'!AD2621</f>
        <v>0</v>
      </c>
      <c r="H2995" s="112">
        <f>'OPEN FOREIGN ORDER'!AE2621</f>
        <v>0</v>
      </c>
      <c r="I2995" s="112">
        <f>'OPEN FOREIGN ORDER'!AF2621</f>
        <v>0</v>
      </c>
      <c r="J2995" s="112">
        <f>'OPEN FOREIGN ORDER'!AG2621</f>
        <v>0</v>
      </c>
    </row>
    <row r="2996" spans="1:10">
      <c r="A2996">
        <f>'OPEN FOREIGN ORDER'!D2622</f>
        <v>0</v>
      </c>
      <c r="B2996">
        <f>'OPEN FOREIGN ORDER'!F2622</f>
        <v>0</v>
      </c>
      <c r="C2996">
        <f>'OPEN FOREIGN ORDER'!Z2622</f>
        <v>0</v>
      </c>
      <c r="D2996" s="123">
        <f>'OPEN FOREIGN ORDER'!AA2622</f>
        <v>0</v>
      </c>
      <c r="E2996" s="112">
        <f>'OPEN FOREIGN ORDER'!AB2622</f>
        <v>0</v>
      </c>
      <c r="F2996" s="112">
        <f>'OPEN FOREIGN ORDER'!AC2622</f>
        <v>0</v>
      </c>
      <c r="G2996" s="112">
        <f>'OPEN FOREIGN ORDER'!AD2622</f>
        <v>0</v>
      </c>
      <c r="H2996" s="112">
        <f>'OPEN FOREIGN ORDER'!AE2622</f>
        <v>0</v>
      </c>
      <c r="I2996" s="112">
        <f>'OPEN FOREIGN ORDER'!AF2622</f>
        <v>0</v>
      </c>
      <c r="J2996" s="112">
        <f>'OPEN FOREIGN ORDER'!AG2622</f>
        <v>0</v>
      </c>
    </row>
    <row r="2997" spans="1:10">
      <c r="A2997">
        <f>'OPEN FOREIGN ORDER'!D2623</f>
        <v>0</v>
      </c>
      <c r="B2997">
        <f>'OPEN FOREIGN ORDER'!F2623</f>
        <v>0</v>
      </c>
      <c r="C2997">
        <f>'OPEN FOREIGN ORDER'!Z2623</f>
        <v>0</v>
      </c>
      <c r="D2997" s="123">
        <f>'OPEN FOREIGN ORDER'!AA2623</f>
        <v>0</v>
      </c>
      <c r="E2997" s="112">
        <f>'OPEN FOREIGN ORDER'!AB2623</f>
        <v>0</v>
      </c>
      <c r="F2997" s="112">
        <f>'OPEN FOREIGN ORDER'!AC2623</f>
        <v>0</v>
      </c>
      <c r="G2997" s="112">
        <f>'OPEN FOREIGN ORDER'!AD2623</f>
        <v>0</v>
      </c>
      <c r="H2997" s="112">
        <f>'OPEN FOREIGN ORDER'!AE2623</f>
        <v>0</v>
      </c>
      <c r="I2997" s="112">
        <f>'OPEN FOREIGN ORDER'!AF2623</f>
        <v>0</v>
      </c>
      <c r="J2997" s="112">
        <f>'OPEN FOREIGN ORDER'!AG2623</f>
        <v>0</v>
      </c>
    </row>
    <row r="2998" spans="1:10">
      <c r="A2998">
        <f>'OPEN FOREIGN ORDER'!D2624</f>
        <v>0</v>
      </c>
      <c r="B2998">
        <f>'OPEN FOREIGN ORDER'!F2624</f>
        <v>0</v>
      </c>
      <c r="C2998">
        <f>'OPEN FOREIGN ORDER'!Z2624</f>
        <v>0</v>
      </c>
      <c r="D2998" s="123">
        <f>'OPEN FOREIGN ORDER'!AA2624</f>
        <v>0</v>
      </c>
      <c r="E2998" s="112">
        <f>'OPEN FOREIGN ORDER'!AB2624</f>
        <v>0</v>
      </c>
      <c r="F2998" s="112">
        <f>'OPEN FOREIGN ORDER'!AC2624</f>
        <v>0</v>
      </c>
      <c r="G2998" s="112">
        <f>'OPEN FOREIGN ORDER'!AD2624</f>
        <v>0</v>
      </c>
      <c r="H2998" s="112">
        <f>'OPEN FOREIGN ORDER'!AE2624</f>
        <v>0</v>
      </c>
      <c r="I2998" s="112">
        <f>'OPEN FOREIGN ORDER'!AF2624</f>
        <v>0</v>
      </c>
      <c r="J2998" s="112">
        <f>'OPEN FOREIGN ORDER'!AG2624</f>
        <v>0</v>
      </c>
    </row>
    <row r="2999" spans="1:10">
      <c r="A2999">
        <f>'OPEN FOREIGN ORDER'!D2625</f>
        <v>0</v>
      </c>
      <c r="B2999">
        <f>'OPEN FOREIGN ORDER'!F2625</f>
        <v>0</v>
      </c>
      <c r="C2999">
        <f>'OPEN FOREIGN ORDER'!Z2625</f>
        <v>0</v>
      </c>
      <c r="D2999" s="123">
        <f>'OPEN FOREIGN ORDER'!AA2625</f>
        <v>0</v>
      </c>
      <c r="E2999" s="112">
        <f>'OPEN FOREIGN ORDER'!AB2625</f>
        <v>0</v>
      </c>
      <c r="F2999" s="112">
        <f>'OPEN FOREIGN ORDER'!AC2625</f>
        <v>0</v>
      </c>
      <c r="G2999" s="112">
        <f>'OPEN FOREIGN ORDER'!AD2625</f>
        <v>0</v>
      </c>
      <c r="H2999" s="112">
        <f>'OPEN FOREIGN ORDER'!AE2625</f>
        <v>0</v>
      </c>
      <c r="I2999" s="112">
        <f>'OPEN FOREIGN ORDER'!AF2625</f>
        <v>0</v>
      </c>
      <c r="J2999" s="112">
        <f>'OPEN FOREIGN ORDER'!AG2625</f>
        <v>0</v>
      </c>
    </row>
    <row r="3000" spans="1:10">
      <c r="A3000">
        <f>'OPEN FOREIGN ORDER'!D2626</f>
        <v>0</v>
      </c>
      <c r="B3000">
        <f>'OPEN FOREIGN ORDER'!F2626</f>
        <v>0</v>
      </c>
      <c r="C3000">
        <f>'OPEN FOREIGN ORDER'!Z2626</f>
        <v>0</v>
      </c>
      <c r="D3000" s="123">
        <f>'OPEN FOREIGN ORDER'!AA2626</f>
        <v>0</v>
      </c>
      <c r="E3000" s="112">
        <f>'OPEN FOREIGN ORDER'!AB2626</f>
        <v>0</v>
      </c>
      <c r="F3000" s="112">
        <f>'OPEN FOREIGN ORDER'!AC2626</f>
        <v>0</v>
      </c>
      <c r="G3000" s="112">
        <f>'OPEN FOREIGN ORDER'!AD2626</f>
        <v>0</v>
      </c>
      <c r="H3000" s="112">
        <f>'OPEN FOREIGN ORDER'!AE2626</f>
        <v>0</v>
      </c>
      <c r="I3000" s="112">
        <f>'OPEN FOREIGN ORDER'!AF2626</f>
        <v>0</v>
      </c>
      <c r="J3000" s="112">
        <f>'OPEN FOREIGN ORDER'!AG2626</f>
        <v>0</v>
      </c>
    </row>
  </sheetData>
  <autoFilter ref="A1:J3000" xr:uid="{2F8B5109-289E-4BBD-B0F3-2E161A5018F4}"/>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7A6E7-162E-46F7-BB2C-C708F1339497}">
  <dimension ref="A1:AI9"/>
  <sheetViews>
    <sheetView zoomScale="50" zoomScaleNormal="50" workbookViewId="0">
      <selection activeCell="S3" sqref="S3:Y3"/>
    </sheetView>
  </sheetViews>
  <sheetFormatPr defaultRowHeight="15"/>
  <cols>
    <col min="2" max="2" width="19.28515625" customWidth="1"/>
    <col min="3" max="3" width="20.7109375" customWidth="1"/>
    <col min="4" max="4" width="8.85546875" bestFit="1" customWidth="1"/>
    <col min="6" max="6" width="23.42578125" bestFit="1" customWidth="1"/>
    <col min="7" max="7" width="44.7109375" bestFit="1" customWidth="1"/>
    <col min="8" max="8" width="23.28515625" customWidth="1"/>
    <col min="9" max="9" width="16.7109375" customWidth="1"/>
    <col min="10" max="10" width="19.28515625" customWidth="1"/>
    <col min="11" max="11" width="19.85546875" customWidth="1"/>
    <col min="12" max="12" width="14.140625" customWidth="1"/>
    <col min="13" max="13" width="12.42578125" customWidth="1"/>
    <col min="14" max="14" width="11.7109375" customWidth="1"/>
    <col min="15" max="15" width="26.7109375" customWidth="1"/>
    <col min="16" max="16" width="20.28515625" customWidth="1"/>
    <col min="17" max="17" width="19.28515625" customWidth="1"/>
    <col min="18" max="18" width="15.42578125" customWidth="1"/>
    <col min="19" max="19" width="13.85546875" customWidth="1"/>
    <col min="20" max="20" width="13.5703125" customWidth="1"/>
    <col min="21" max="21" width="7.85546875" bestFit="1" customWidth="1"/>
    <col min="22" max="22" width="7.140625" bestFit="1" customWidth="1"/>
    <col min="23" max="23" width="7" bestFit="1" customWidth="1"/>
    <col min="24" max="24" width="11" customWidth="1"/>
    <col min="25" max="25" width="15" customWidth="1"/>
    <col min="26" max="26" width="14.28515625" customWidth="1"/>
    <col min="27" max="27" width="12.140625" customWidth="1"/>
    <col min="28" max="28" width="6.140625" bestFit="1" customWidth="1"/>
    <col min="29" max="29" width="5.85546875" bestFit="1" customWidth="1"/>
    <col min="30" max="30" width="6" bestFit="1" customWidth="1"/>
    <col min="31" max="31" width="5.7109375" bestFit="1" customWidth="1"/>
    <col min="32" max="32" width="6.42578125" bestFit="1" customWidth="1"/>
    <col min="33" max="33" width="5.28515625" bestFit="1" customWidth="1"/>
    <col min="34" max="34" width="22.7109375" customWidth="1"/>
  </cols>
  <sheetData>
    <row r="1" spans="1:35" s="108" customFormat="1" ht="75">
      <c r="B1" s="108" t="s">
        <v>0</v>
      </c>
      <c r="C1" s="108" t="s">
        <v>17</v>
      </c>
      <c r="D1" s="108" t="s">
        <v>793</v>
      </c>
      <c r="E1" s="108" t="s">
        <v>794</v>
      </c>
      <c r="F1" s="108" t="s">
        <v>3</v>
      </c>
      <c r="G1" s="108" t="s">
        <v>82</v>
      </c>
      <c r="H1" s="109" t="s">
        <v>16</v>
      </c>
      <c r="I1" s="109" t="s">
        <v>789</v>
      </c>
      <c r="J1" s="109" t="s">
        <v>788</v>
      </c>
      <c r="K1" s="109" t="s">
        <v>790</v>
      </c>
      <c r="L1" s="109" t="s">
        <v>791</v>
      </c>
      <c r="M1" s="109" t="s">
        <v>792</v>
      </c>
      <c r="N1" s="109" t="s">
        <v>835</v>
      </c>
      <c r="O1" s="109" t="s">
        <v>834</v>
      </c>
      <c r="P1" s="109" t="s">
        <v>1184</v>
      </c>
      <c r="Q1" s="109" t="s">
        <v>836</v>
      </c>
      <c r="R1" s="109" t="s">
        <v>1185</v>
      </c>
      <c r="S1" s="109" t="s">
        <v>1186</v>
      </c>
      <c r="T1" s="108" t="s">
        <v>12</v>
      </c>
      <c r="U1" s="109" t="s">
        <v>787</v>
      </c>
      <c r="V1" s="109" t="s">
        <v>13</v>
      </c>
      <c r="W1" s="109" t="s">
        <v>14</v>
      </c>
      <c r="X1" s="109" t="s">
        <v>81</v>
      </c>
      <c r="Y1" s="108" t="s">
        <v>795</v>
      </c>
      <c r="Z1" s="108" t="s">
        <v>241</v>
      </c>
      <c r="AA1" s="109" t="s">
        <v>6</v>
      </c>
      <c r="AB1" s="110" t="s">
        <v>7</v>
      </c>
      <c r="AC1" s="110" t="s">
        <v>8</v>
      </c>
      <c r="AD1" s="110" t="s">
        <v>9</v>
      </c>
      <c r="AE1" s="110" t="s">
        <v>10</v>
      </c>
      <c r="AF1" s="110" t="s">
        <v>53</v>
      </c>
      <c r="AG1" s="111" t="s">
        <v>48</v>
      </c>
      <c r="AH1" s="109" t="s">
        <v>798</v>
      </c>
    </row>
    <row r="2" spans="1:35" s="9" customFormat="1" ht="122.25" customHeight="1">
      <c r="A2" s="9">
        <f ca="1">TODAY()-H2+1</f>
        <v>721</v>
      </c>
      <c r="B2" s="31" t="s">
        <v>57</v>
      </c>
      <c r="C2" s="11" t="s">
        <v>21</v>
      </c>
      <c r="D2" s="11" t="s">
        <v>63</v>
      </c>
      <c r="E2" s="11" t="s">
        <v>1137</v>
      </c>
      <c r="F2" s="32" t="s">
        <v>64</v>
      </c>
      <c r="G2" s="32" t="s">
        <v>65</v>
      </c>
      <c r="H2" s="16">
        <v>45473</v>
      </c>
      <c r="I2" s="16"/>
      <c r="J2" s="16"/>
      <c r="K2" s="16"/>
      <c r="L2" s="16"/>
      <c r="M2" s="16"/>
      <c r="N2" s="16"/>
      <c r="O2" s="16"/>
      <c r="P2" s="16"/>
      <c r="Q2" s="16"/>
      <c r="R2" s="16"/>
      <c r="S2" s="16"/>
      <c r="T2" s="7" t="s">
        <v>20</v>
      </c>
      <c r="U2" s="2"/>
      <c r="V2" s="16"/>
      <c r="W2" s="59" t="s">
        <v>72</v>
      </c>
      <c r="X2" s="4" t="s">
        <v>232</v>
      </c>
      <c r="Y2" s="7"/>
      <c r="Z2" s="32" t="s">
        <v>88</v>
      </c>
      <c r="AA2" s="12">
        <v>45320</v>
      </c>
      <c r="AB2" s="23"/>
      <c r="AC2" s="43">
        <v>51792</v>
      </c>
      <c r="AD2" s="23"/>
      <c r="AE2" s="23"/>
      <c r="AF2" s="23"/>
      <c r="AG2" s="46"/>
      <c r="AH2" s="16"/>
      <c r="AI2" s="7"/>
    </row>
    <row r="3" spans="1:35" s="9" customFormat="1" ht="122.25" customHeight="1">
      <c r="A3" s="9">
        <f ca="1">TODAY()-H3+1</f>
        <v>949</v>
      </c>
      <c r="B3" s="31" t="s">
        <v>78</v>
      </c>
      <c r="C3" s="11" t="s">
        <v>21</v>
      </c>
      <c r="D3" s="11" t="s">
        <v>84</v>
      </c>
      <c r="E3" s="11" t="s">
        <v>85</v>
      </c>
      <c r="F3" s="32" t="s">
        <v>83</v>
      </c>
      <c r="G3" s="32" t="s">
        <v>86</v>
      </c>
      <c r="H3" s="16">
        <v>45245</v>
      </c>
      <c r="I3" s="16"/>
      <c r="J3" s="16"/>
      <c r="K3" s="16"/>
      <c r="L3" s="16"/>
      <c r="M3" s="16"/>
      <c r="N3" s="16"/>
      <c r="O3" s="16"/>
      <c r="P3" s="16"/>
      <c r="Q3" s="16"/>
      <c r="R3" s="16"/>
      <c r="S3" s="16"/>
      <c r="T3" s="7" t="s">
        <v>49</v>
      </c>
      <c r="U3" s="2" t="s">
        <v>75</v>
      </c>
      <c r="V3" s="16" t="s">
        <v>91</v>
      </c>
      <c r="W3" s="16" t="s">
        <v>92</v>
      </c>
      <c r="X3" s="4" t="s">
        <v>320</v>
      </c>
      <c r="Y3" s="7"/>
      <c r="Z3" s="32" t="s">
        <v>47</v>
      </c>
      <c r="AA3" s="12">
        <v>44819</v>
      </c>
      <c r="AB3" s="10"/>
      <c r="AC3" s="43">
        <v>31847.5</v>
      </c>
      <c r="AD3" s="10"/>
      <c r="AE3" s="10"/>
      <c r="AF3" s="10"/>
      <c r="AG3" s="36"/>
      <c r="AH3" s="16"/>
      <c r="AI3" s="7"/>
    </row>
    <row r="4" spans="1:35" s="9" customFormat="1" ht="122.25" customHeight="1">
      <c r="A4" s="9">
        <f ca="1">TODAY()-H4+1</f>
        <v>949</v>
      </c>
      <c r="B4" s="31" t="s">
        <v>78</v>
      </c>
      <c r="C4" s="11" t="s">
        <v>21</v>
      </c>
      <c r="D4" s="11" t="s">
        <v>84</v>
      </c>
      <c r="E4" s="11" t="s">
        <v>85</v>
      </c>
      <c r="F4" s="32" t="s">
        <v>83</v>
      </c>
      <c r="G4" s="32" t="s">
        <v>86</v>
      </c>
      <c r="H4" s="16">
        <v>45245</v>
      </c>
      <c r="I4" s="16"/>
      <c r="J4" s="16"/>
      <c r="K4" s="16"/>
      <c r="L4" s="16"/>
      <c r="M4" s="16"/>
      <c r="N4" s="16"/>
      <c r="O4" s="16"/>
      <c r="P4" s="16"/>
      <c r="Q4" s="16"/>
      <c r="R4" s="16"/>
      <c r="S4" s="16"/>
      <c r="T4" s="7" t="s">
        <v>49</v>
      </c>
      <c r="U4" s="2" t="s">
        <v>75</v>
      </c>
      <c r="V4" s="16" t="s">
        <v>91</v>
      </c>
      <c r="W4" s="16" t="s">
        <v>92</v>
      </c>
      <c r="X4" s="4" t="s">
        <v>156</v>
      </c>
      <c r="Y4" s="7"/>
      <c r="Z4" s="32" t="s">
        <v>93</v>
      </c>
      <c r="AA4" s="12"/>
      <c r="AB4" s="10"/>
      <c r="AC4" s="43">
        <v>31847.5</v>
      </c>
      <c r="AD4" s="10"/>
      <c r="AE4" s="10"/>
      <c r="AF4" s="10"/>
      <c r="AG4" s="36"/>
      <c r="AH4" s="16"/>
      <c r="AI4" s="7"/>
    </row>
    <row r="8" spans="1:35" ht="11.45" customHeight="1"/>
    <row r="9" spans="1:35" hidden="1"/>
  </sheetData>
  <dataValidations count="3">
    <dataValidation allowBlank="1" showInputMessage="1" showErrorMessage="1" errorTitle="Invalid Date Format" error="Please click Retry Button_x000a_Correct Date format dd/mm/yyyy" sqref="AH1:AH4 H1:W2 H3:U4 V3:W3" xr:uid="{900976DC-5857-41AF-A496-A334E7BBD584}"/>
    <dataValidation type="date" allowBlank="1" showInputMessage="1" showErrorMessage="1" errorTitle="Invalid date format" error="Please click Retry Button_x000a_Correct Date format dd/mm/yyyy" sqref="B1:C1 B2:B4" xr:uid="{226BF1C4-43CE-4EB9-B232-9629C0681CC3}">
      <formula1>41640</formula1>
      <formula2>767376</formula2>
    </dataValidation>
    <dataValidation type="date" showInputMessage="1" showErrorMessage="1" errorTitle="Invalid Date Format" error="Please click Retry Button_x000a_Correct Date format dd/mm/yyyy" sqref="AA2:AB4 AD2:AG4" xr:uid="{00000000-0002-0000-0200-000001000000}">
      <formula1>43466</formula1>
      <formula2>767376</formula2>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2" id="{1A95EF2B-8B46-48AC-A421-90B88D328E56}">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A2</xm:sqref>
        </x14:conditionalFormatting>
        <x14:conditionalFormatting xmlns:xm="http://schemas.microsoft.com/office/excel/2006/main">
          <x14:cfRule type="iconSet" priority="1" id="{15DDE1BC-35A2-410B-894A-A00C2C2C7888}">
            <x14:iconSet iconSet="3Symbols" custom="1">
              <x14:cfvo type="percent">
                <xm:f>0</xm:f>
              </x14:cfvo>
              <x14:cfvo type="formula">
                <xm:f>0</xm:f>
              </x14:cfvo>
              <x14:cfvo type="formula" gte="0">
                <xm:f>-21</xm:f>
              </x14:cfvo>
              <x14:cfIcon iconSet="3Symbols" iconId="2"/>
              <x14:cfIcon iconSet="3Symbols" iconId="0"/>
              <x14:cfIcon iconSet="3Symbols" iconId="1"/>
            </x14:iconSet>
          </x14:cfRule>
          <xm:sqref>A3:A4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C66FF-47FC-40B7-AA0E-5F23C433DE86}">
  <dimension ref="A1:D13"/>
  <sheetViews>
    <sheetView workbookViewId="0">
      <selection activeCell="C5" sqref="C5"/>
    </sheetView>
  </sheetViews>
  <sheetFormatPr defaultRowHeight="15"/>
  <cols>
    <col min="1" max="1" width="20.28515625" customWidth="1"/>
    <col min="2" max="2" width="72" bestFit="1" customWidth="1"/>
    <col min="3" max="3" width="24.42578125" bestFit="1" customWidth="1"/>
    <col min="4" max="4" width="30.42578125" bestFit="1" customWidth="1"/>
  </cols>
  <sheetData>
    <row r="1" spans="1:4">
      <c r="A1" s="313" t="s">
        <v>3573</v>
      </c>
      <c r="B1" s="313" t="s">
        <v>3572</v>
      </c>
      <c r="C1" s="313" t="s">
        <v>3575</v>
      </c>
      <c r="D1" s="313" t="s">
        <v>3574</v>
      </c>
    </row>
    <row r="2" spans="1:4" ht="48" customHeight="1">
      <c r="A2" s="2" t="s">
        <v>2439</v>
      </c>
      <c r="B2" s="30" t="s">
        <v>3577</v>
      </c>
      <c r="C2" s="16">
        <v>45986</v>
      </c>
      <c r="D2" s="100" t="s">
        <v>3568</v>
      </c>
    </row>
    <row r="3" spans="1:4" ht="48" customHeight="1">
      <c r="A3" s="2" t="s">
        <v>2453</v>
      </c>
      <c r="B3" s="30" t="s">
        <v>3578</v>
      </c>
      <c r="C3" s="16">
        <v>45986</v>
      </c>
      <c r="D3" s="100" t="s">
        <v>3569</v>
      </c>
    </row>
    <row r="4" spans="1:4" ht="48" customHeight="1">
      <c r="A4" s="2" t="s">
        <v>3168</v>
      </c>
      <c r="B4" s="30" t="s">
        <v>3576</v>
      </c>
      <c r="C4" s="16">
        <v>46016</v>
      </c>
      <c r="D4" s="100" t="s">
        <v>3570</v>
      </c>
    </row>
    <row r="5" spans="1:4" ht="48" customHeight="1">
      <c r="A5" s="2" t="s">
        <v>3259</v>
      </c>
      <c r="B5" s="30" t="s">
        <v>3579</v>
      </c>
      <c r="C5" s="16">
        <v>46016</v>
      </c>
      <c r="D5" s="100" t="s">
        <v>3571</v>
      </c>
    </row>
    <row r="6" spans="1:4" ht="48" customHeight="1">
      <c r="A6" s="2" t="s">
        <v>3402</v>
      </c>
      <c r="B6" s="30" t="s">
        <v>3580</v>
      </c>
      <c r="C6" s="16">
        <v>46047</v>
      </c>
      <c r="D6" s="100" t="s">
        <v>3571</v>
      </c>
    </row>
    <row r="7" spans="1:4" ht="48" customHeight="1">
      <c r="A7" s="2" t="s">
        <v>3397</v>
      </c>
      <c r="B7" s="30" t="s">
        <v>3399</v>
      </c>
      <c r="C7" s="16">
        <v>46016</v>
      </c>
      <c r="D7" s="100" t="s">
        <v>3571</v>
      </c>
    </row>
    <row r="11" spans="1:4">
      <c r="B11" s="336"/>
    </row>
    <row r="12" spans="1:4">
      <c r="B12" s="335"/>
    </row>
    <row r="13" spans="1:4">
      <c r="B13" s="335"/>
    </row>
  </sheetData>
  <dataValidations count="1">
    <dataValidation allowBlank="1" showInputMessage="1" showErrorMessage="1" errorTitle="Invalid Date Format" error="Please click Retry Button_x000a_Correct Date format dd/mm/yyyy" sqref="C2:C7" xr:uid="{0219B989-3009-4C0E-9A0A-CA8642F8CBC4}"/>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WorkbookXmlPart xmlns:i="http://www.w3.org/2001/XMLSchema-instance" xmlns="http://schemas.datacontract.org/2004/07/Microsoft.Dynamics.AX.Framework.OfficeAddin.XmlParts">
  <Connections/>
  <DataSources/>
  <Id>05a03713-c1ea-4d5e-84b4-cc26b0163e3d</Id>
  <MetadataPersistentCacheBinary i:nil="true"/>
  <MetadataVersion>4</MetadataVersion>
  <Version xmlns:d2p1="http://schemas.datacontract.org/2004/07/System">
    <d2p1:_Build>6000</d2p1:_Build>
    <d2p1:_Major>6</d2p1:_Major>
    <d2p1:_Minor>3</d2p1:_Minor>
    <d2p1:_Revision>151</d2p1:_Revision>
  </Version>
  <WorkbookOptions>
    <IsDesignLocked>false</IsDesignLocked>
    <RefreshAllDataOnOpen>false</RefreshAllDataOnOpen>
  </WorkbookOptions>
</WorkbookXmlPart>
</file>

<file path=customXml/item2.xml><?xml version="1.0" encoding="utf-8"?>
<Workbook xmlns="http://schemas.datacontract.org/2004/07/Microsoft.Dynamics.AX.Framework.OfficeAddin.Excel" xmlns:i="http://www.w3.org/2001/XMLSchema-instance" xmlns:z="http://schemas.microsoft.com/2003/10/Serialization/" z:Id="1" z:Type="Microsoft.Dynamics.AX.Framework.OfficeAddin.Excel.Workbook" z:Assembly="Microsoft.Dynamics.AX.Framework.OfficeAddin.Excel, Version=6.3.0.0, Culture=neutral, PublicKeyToken=31bf3856ad364e35">
  <CachedLookupTables xmlns:a="http://schemas.microsoft.com/2003/10/Serialization/Arrays" z:Id="2" z:Type="System.Collections.Generic.HashSet`1[[System.String, mscorlib, Version=4.0.0.0, Culture=neutral, PublicKeyToken=b77a5c561934e089]]" z:Assembly="System.Core, Version=4.0.0.0, Culture=neutral, PublicKeyToken=b77a5c561934e089">
    <Version xmlns="" z:Id="3" z:Type="System.Int32" z:Assembly="0">0</Version>
    <Comparer xmlns="" z:Id="4" z:Type="Microsoft.Dynamics.AX.Framework.OfficeAddin.Excel.CaseAndCultureInsensitiveStringEqualityComparer" z:Assembly="Microsoft.Dynamics.AX.Framework.OfficeAddin.Excel, Version=6.3.0.0, Culture=neutral, PublicKeyToken=31bf3856ad364e35"/>
    <Capacity xmlns="" z:Id="5" z:Type="System.Int32" z:Assembly="0">0</Capacity>
  </CachedLookupTables>
  <Connection z:Id="6" z:Type="Microsoft.Dynamics.AX.Framework.OfficeAddin.DynamicsAX.Connection" z:Assembly="Microsoft.Dynamics.AX.Framework.OfficeAddin.DynamicsAX, Version=6.3.0.0, Culture=neutral, PublicKeyToken=31bf3856ad364e35">
    <Id xmlns="http://schemas.datacontract.org/2004/07/Microsoft.Dynamics.AX.Framework.OfficeAddin.DynamicsAX">ed18da17-1cf6-4209-aff6-2e25e227493f</Id>
    <company xmlns="http://schemas.datacontract.org/2004/07/Microsoft.Dynamics.AX.Framework.OfficeAddin.DynamicsAX" i:nil="true"/>
    <partitionKey xmlns="http://schemas.datacontract.org/2004/07/Microsoft.Dynamics.AX.Framework.OfficeAddin.DynamicsAX" i:nil="true"/>
    <serverName xmlns="http://schemas.datacontract.org/2004/07/Microsoft.Dynamics.AX.Framework.OfficeAddin.DynamicsAX" z:Id="7">AX-LB1</serverName>
    <servicePortName xmlns="http://schemas.datacontract.org/2004/07/Microsoft.Dynamics.AX.Framework.OfficeAddin.DynamicsAX" z:Id="8">OBAPort</servicePortName>
    <wsdlPort xmlns="http://schemas.datacontract.org/2004/07/Microsoft.Dynamics.AX.Framework.OfficeAddin.DynamicsAX">8101</wsdlPort>
  </Connection>
  <DataSources xmlns:a="http://schemas.microsoft.com/2003/10/Serialization/Arrays" z:Id="9" z:Type="System.Collections.Generic.Dictionary`2[[System.Guid, mscorlib, Version=4.0.0.0, Culture=neutral, PublicKeyToken=b77a5c561934e089],[Microsoft.Dynamics.AX.Framework.OfficeAddin.Excel.ExcelDataSource, Microsoft.Dynamics.AX.Framework.OfficeAddin.Excel, Version=6.3.0.0, Culture=neutral, PublicKeyToken=31bf3856ad364e35]]" z:Assembly="0">
    <Version xmlns="" z:Id="10" z:Type="System.Int32" z:Assembly="0">0</Version>
    <Comparer xmlns="" z:Id="11" z:Type="System.Collections.Generic.GenericEqualityComparer`1[[System.Guid, mscorlib, Version=4.0.0.0, Culture=neutral, PublicKeyToken=b77a5c561934e089]]" z:Assembly="0"/>
    <HashSize xmlns="" z:Id="12" z:Type="System.Int32" z:Assembly="0">0</HashSize>
  </DataSources>
  <Id>05a03713-c1ea-4d5e-84b4-cc26b0163e3d</Id>
  <IsDataPaneVisible>false</IsDataPaneVisible>
  <IsDesignMode>false</IsDesignMode>
  <IsUserSpecifiedDataSourcePublishOrder>false</IsUserSpecifiedDataSourcePublishOrder>
  <LegalEntity i:nil="true"/>
  <LookupContexts xmlns:a="http://schemas.microsoft.com/2003/10/Serialization/Arrays" z:Id="13" z:Type="System.Collections.Generic.Dictionary`2[[System.Guid, mscorlib, Version=4.0.0.0, Culture=neutral, PublicKeyToken=b77a5c561934e089],[Microsoft.Dynamics.AX.Framework.OfficeAddin.ILookupContext, Microsoft.Dynamics.AX.Framework.OfficeAddin, Version=6.3.0.0, Culture=neutral, PublicKeyToken=31bf3856ad364e35]]" z:Assembly="0">
    <Version xmlns="" z:Id="14" z:Type="System.Int32" z:Assembly="0">0</Version>
    <Comparer xmlns="" z:Ref="11" i:nil="true"/>
    <HashSize xmlns="" z:Id="15" z:Type="System.Int32" z:Assembly="0">0</HashSize>
  </LookupContexts>
  <LookupTableListObjects xmlns:a="http://schemas.microsoft.com/2003/10/Serialization/Arrays" z:Id="16" z:Type="System.Collections.Generic.Dictionary`2[[System.String, mscorlib, Version=4.0.0.0, Culture=neutral, PublicKeyToken=b77a5c561934e089],[Microsoft.Dynamics.AX.Framework.OfficeAddin.Excel.ListObject, Microsoft.Dynamics.AX.Framework.OfficeAddin.Excel, Version=6.3.0.0, Culture=neutral, PublicKeyToken=31bf3856ad364e35]]" z:Assembly="0">
    <Version xmlns="" z:Id="17" z:Type="System.Int32" z:Assembly="0">0</Version>
    <Comparer xmlns="" z:Id="18" z:Type="System.Collections.Generic.GenericEqualityComparer`1[[System.String, mscorlib, Version=4.0.0.0, Culture=neutral, PublicKeyToken=b77a5c561934e089]]" z:Assembly="0"/>
    <HashSize xmlns="" z:Id="19" z:Type="System.Int32" z:Assembly="0">0</HashSize>
  </LookupTableListObjects>
  <PublishingOptions z:Id="20">
    <ContinueOnError>true</ContinueOnError>
    <PublishMode>Interactive</PublishMode>
    <PublishPath i:nil="true"/>
  </PublishingOptions>
  <WorkbookOptions z:Id="21" z:Type="Microsoft.Dynamics.AX.Framework.OfficeAddin.Excel.WorkbookOptions" z:Assembly="Microsoft.Dynamics.AX.Framework.OfficeAddin.Excel, Version=6.3.0.0, Culture=neutral, PublicKeyToken=31bf3856ad364e35">
    <IsDesignLocked>false</IsDesignLocked>
    <LanguageId z:Id="22">EN-IN</LanguageId>
    <RefreshAllDataOnOpen>false</RefreshAllDataOnOpen>
    <RefreshLabelsOnOpen>true</RefreshLabelsOnOpen>
  </WorkbookOptions>
  <Worksheets xmlns:a="http://schemas.microsoft.com/2003/10/Serialization/Arrays" z:Id="23" z:Type="System.Collections.Generic.Dictionary`2[[System.Guid, mscorlib, Version=4.0.0.0, Culture=neutral, PublicKeyToken=b77a5c561934e089],[Microsoft.Dynamics.AX.Framework.OfficeAddin.Excel.Worksheet, Microsoft.Dynamics.AX.Framework.OfficeAddin.Excel, Version=6.3.0.0, Culture=neutral, PublicKeyToken=31bf3856ad364e35]]" z:Assembly="0">
    <Version xmlns="" z:Id="24" z:Type="System.Int32" z:Assembly="0">0</Version>
    <Comparer xmlns="" z:Id="25" z:Type="System.Collections.Generic.GenericEqualityComparer`1[[System.Guid, mscorlib, Version=4.0.0.0, Culture=neutral, PublicKeyToken=b77a5c561934e089]]" z:Assembly="0"/>
    <HashSize xmlns="" z:Id="26" z:Type="System.Int32" z:Assembly="0">0</HashSize>
  </Worksheets>
  <dataSourcePublishOrder xmlns:a="http://schemas.datacontract.org/2004/07/Microsoft.Dynamics.AX.Framework.OfficeAddin" i:nil="true"/>
  <publishingStatusRetrievalData z:Id="27">
    <ExcelDataSourcePublishLogs xmlns:a="http://schemas.microsoft.com/2003/10/Serialization/Arrays" z:Id="28" z:Type="System.Collections.Generic.Dictionary`2[[System.Guid, mscorlib, Version=4.0.0.0, Culture=neutral, PublicKeyToken=b77a5c561934e089],[Microsoft.Dynamics.AX.Framework.OfficeAddin.Excel.ExcelDataSourcePublishLog, Microsoft.Dynamics.AX.Framework.OfficeAddin.Excel, Version=6.3.0.0, Culture=neutral, PublicKeyToken=31bf3856ad364e35]]" z:Assembly="0">
      <Version xmlns="" z:Id="29" z:Type="System.Int32" z:Assembly="0">0</Version>
      <Comparer xmlns="" z:Ref="11" i:nil="true"/>
      <HashSize xmlns="" z:Id="30" z:Type="System.Int32" z:Assembly="0">0</HashSize>
    </ExcelDataSourcePublishLogs>
  </publishingStatusRetrievalData>
</Workbook>
</file>

<file path=customXml/itemProps1.xml><?xml version="1.0" encoding="utf-8"?>
<ds:datastoreItem xmlns:ds="http://schemas.openxmlformats.org/officeDocument/2006/customXml" ds:itemID="{26F7D38F-D093-4A23-98F2-A10DCE389F3F}">
  <ds:schemaRefs>
    <ds:schemaRef ds:uri="http://schemas.datacontract.org/2004/07/Microsoft.Dynamics.AX.Framework.OfficeAddin.XmlParts"/>
    <ds:schemaRef ds:uri="http://schemas.datacontract.org/2004/07/System"/>
  </ds:schemaRefs>
</ds:datastoreItem>
</file>

<file path=customXml/itemProps2.xml><?xml version="1.0" encoding="utf-8"?>
<ds:datastoreItem xmlns:ds="http://schemas.openxmlformats.org/officeDocument/2006/customXml" ds:itemID="{87CA5F6C-5317-4736-826D-E54B49B1A975}">
  <ds:schemaRefs>
    <ds:schemaRef ds:uri="http://schemas.datacontract.org/2004/07/Microsoft.Dynamics.AX.Framework.OfficeAddin.Excel"/>
    <ds:schemaRef ds:uri="http://schemas.microsoft.com/2003/10/Serialization/"/>
    <ds:schemaRef ds:uri="http://schemas.microsoft.com/2003/10/Serialization/Arrays"/>
    <ds:schemaRef ds:uri=""/>
    <ds:schemaRef ds:uri="http://schemas.datacontract.org/2004/07/Microsoft.Dynamics.AX.Framework.OfficeAddin.DynamicsAX"/>
    <ds:schemaRef ds:uri="http://schemas.datacontract.org/2004/07/Microsoft.Dynamics.AX.Framework.Office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1</vt:i4>
      </vt:variant>
      <vt:variant>
        <vt:lpstr>Named Ranges</vt:lpstr>
      </vt:variant>
      <vt:variant>
        <vt:i4>2</vt:i4>
      </vt:variant>
    </vt:vector>
  </HeadingPairs>
  <TitlesOfParts>
    <vt:vector size="11" baseType="lpstr">
      <vt:lpstr>OPEN FOREIGN ORDER</vt:lpstr>
      <vt:lpstr>CLOSE FOREIGN ORDER</vt:lpstr>
      <vt:lpstr>OUTSTANDING PAYMENT FOLLOW UP</vt:lpstr>
      <vt:lpstr>OPEN LOCAL ORDER</vt:lpstr>
      <vt:lpstr>CLOSE LOCAL ORDER </vt:lpstr>
      <vt:lpstr>PAYMENT</vt:lpstr>
      <vt:lpstr>PO CLOSED 2024</vt:lpstr>
      <vt:lpstr>Sheet1</vt:lpstr>
      <vt:lpstr>Chart1</vt:lpstr>
      <vt:lpstr>'OPEN FOREIGN ORDER'!Print_Area</vt:lpstr>
      <vt:lpstr>'OUTSTANDING PAYMENT FOLLOW UP'!Print_Area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Jaypal Hauradhun</dc:creator>
  <cp:lastModifiedBy>Bryan Denis-Claude Bottine</cp:lastModifiedBy>
  <cp:lastPrinted>2025-11-27T07:48:39Z</cp:lastPrinted>
  <dcterms:created xsi:type="dcterms:W3CDTF">2022-01-21T05:33:08Z</dcterms:created>
  <dcterms:modified xsi:type="dcterms:W3CDTF">2026-06-20T04:55:39Z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 Dynamics AX Template">
    <vt:lpwstr>05a03713-c1ea-4d5e-84b4-cc26b0163e3d</vt:lpwstr>
  </property>
  <property fmtid="{D5CDD505-2E9C-101B-9397-08002B2CF9AE}" pid="3" name="Microsoft Dynamics AX Template ID">
    <vt:lpwstr/>
  </property>
  <property fmtid="{D5CDD505-2E9C-101B-9397-08002B2CF9AE}" pid="4" name="Microsoft Dynamics AX Language">
    <vt:lpwstr/>
  </property>
  <property fmtid="{D5CDD505-2E9C-101B-9397-08002B2CF9AE}" pid="5" name="Microsoft Dynamics AX Root Table">
    <vt:lpwstr/>
  </property>
  <property fmtid="{D5CDD505-2E9C-101B-9397-08002B2CF9AE}" pid="6" name="Microsoft Dynamics AX Template Instance ID">
    <vt:lpwstr>b4af6d33-b2ea-4859-bae2-2fff7b03eea4</vt:lpwstr>
  </property>
</Properties>
</file>